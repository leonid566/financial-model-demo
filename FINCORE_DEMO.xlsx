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ho\Documents\Codex\2026-10-15\files-pasted-by-the-user-master-2\outputs\"/>
    </mc:Choice>
  </mc:AlternateContent>
  <xr:revisionPtr revIDLastSave="0" documentId="13_ncr:1_{3A4E704E-496C-453D-8C28-0F218820DD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ПАНЕЛЬ" sheetId="1" r:id="rId1"/>
    <sheet name="НАСТРОЙКИ" sheetId="2" r:id="rId2"/>
    <sheet name="ДДС" sheetId="3" r:id="rId3"/>
    <sheet name="ОПиУ" sheetId="4" r:id="rId4"/>
    <sheet name="БАЛАНС" sheetId="5" r:id="rId5"/>
    <sheet name="НАЛОГИ" sheetId="6" r:id="rId6"/>
    <sheet name="БЮДЖЕТ" sheetId="7" r:id="rId7"/>
    <sheet name="РЕЗЕРВЫ" sheetId="8" r:id="rId8"/>
    <sheet name="РЕИНВЕСТИЦИИ" sheetId="9" r:id="rId9"/>
    <sheet name="ПРОГНОЗ" sheetId="10" r:id="rId10"/>
    <sheet name="РИСКИ" sheetId="11" r:id="rId11"/>
    <sheet name="ПОКАЗАТЕЛИ" sheetId="12" r:id="rId12"/>
    <sheet name="АНАЛИТИКА" sheetId="13" r:id="rId13"/>
    <sheet name="КРЕДИТ" sheetId="14" r:id="rId14"/>
    <sheet name="АКТИВЫ" sheetId="15" r:id="rId15"/>
    <sheet name="ИНВЕСТПРОЕКТ" sheetId="16" r:id="rId16"/>
    <sheet name="ОПЕРАЦИИ" sheetId="17" r:id="rId17"/>
    <sheet name="НАЧИСЛЕНИЯ" sheetId="18" r:id="rId18"/>
    <sheet name="СЧЕТА" sheetId="19" r:id="rId19"/>
    <sheet name="СПРАВОЧНИКИ" sheetId="20" r:id="rId20"/>
    <sheet name="КОНТРОЛЬ" sheetId="21" r:id="rId21"/>
    <sheet name="ИНСТРУКЦИЯ" sheetId="22" r:id="rId22"/>
  </sheets>
  <definedNames>
    <definedName name="БонусНПД">НАСТРОЙКИ!$B$18</definedName>
    <definedName name="Виды">СПРАВОЧНИКИ!$J$7:$J$13</definedName>
    <definedName name="ВычетУСН">НАСТРОЙКИ!$B$22</definedName>
    <definedName name="Год">НАСТРОЙКИ!$B$9</definedName>
    <definedName name="ДатаОтчета">НАСТРОЙКИ!$B$10</definedName>
    <definedName name="ДоходПрошлыйГод">НАСТРОЙКИ!$B$21</definedName>
    <definedName name="_xlnm.Print_Titles" localSheetId="14">АКТИВЫ!$1:$6</definedName>
    <definedName name="_xlnm.Print_Titles" localSheetId="17">НАЧИСЛЕНИЯ!$1:$6</definedName>
    <definedName name="_xlnm.Print_Titles" localSheetId="16">ОПЕРАЦИИ!$1:$6</definedName>
    <definedName name="_xlnm.Print_Titles" localSheetId="18">СЧЕТА!$1:$6</definedName>
    <definedName name="Категории">СПРАВОЧНИКИ!$F$7:$F$66</definedName>
    <definedName name="Контрагенты">СПРАВОЧНИКИ!$G$7:$G$66</definedName>
    <definedName name="ЛимитНПД">НАЛОГИ!$B$39</definedName>
    <definedName name="ЛимитУСН">НАЛОГИ!$B$41</definedName>
    <definedName name="МаксВзносы">НАСТРОЙКИ!$B$20</definedName>
    <definedName name="МесяцыРезерва">НАСТРОЙКИ!$B$24</definedName>
    <definedName name="НачалоУчета">НАСТРОЙКИ!$B$11</definedName>
    <definedName name="_xlnm.Print_Area" localSheetId="14">АКТИВЫ!$A$1:$J$18</definedName>
    <definedName name="_xlnm.Print_Area" localSheetId="12">АНАЛИТИКА!$A$1:$F$25</definedName>
    <definedName name="_xlnm.Print_Area" localSheetId="4">БАЛАНС!$A$1:$C$30</definedName>
    <definedName name="_xlnm.Print_Area" localSheetId="6">БЮДЖЕТ!$A$1:$N$41</definedName>
    <definedName name="_xlnm.Print_Area" localSheetId="2">ДДС!$A$1:$N$39</definedName>
    <definedName name="_xlnm.Print_Area" localSheetId="15">ИНВЕСТПРОЕКТ!$A$1:$M$20</definedName>
    <definedName name="_xlnm.Print_Area" localSheetId="21">ИНСТРУКЦИЯ!$A$1:$B$26</definedName>
    <definedName name="_xlnm.Print_Area" localSheetId="20">КОНТРОЛЬ!$A$1:$D$28</definedName>
    <definedName name="_xlnm.Print_Area" localSheetId="13">КРЕДИТ!$A$1:$J$32</definedName>
    <definedName name="_xlnm.Print_Area" localSheetId="5">НАЛОГИ!$A$1:$N$31</definedName>
    <definedName name="_xlnm.Print_Area" localSheetId="1">НАСТРОЙКИ!$A$1:$C$40</definedName>
    <definedName name="_xlnm.Print_Area" localSheetId="17">НАЧИСЛЕНИЯ!$A$1:$P$23</definedName>
    <definedName name="_xlnm.Print_Area" localSheetId="16">ОПЕРАЦИИ!$A$1:$O$25</definedName>
    <definedName name="_xlnm.Print_Area" localSheetId="3">ОПиУ!$A$1:$N$39</definedName>
    <definedName name="_xlnm.Print_Area" localSheetId="0">ПАНЕЛЬ!$A$1:$N$39</definedName>
    <definedName name="_xlnm.Print_Area" localSheetId="11">ПОКАЗАТЕЛИ!$A$1:$C$22</definedName>
    <definedName name="_xlnm.Print_Area" localSheetId="9">ПРОГНОЗ!$A$1:$N$51</definedName>
    <definedName name="_xlnm.Print_Area" localSheetId="7">РЕЗЕРВЫ!$A$1:$C$18</definedName>
    <definedName name="_xlnm.Print_Area" localSheetId="8">РЕИНВЕСТИЦИИ!$A$1:$E$27</definedName>
    <definedName name="_xlnm.Print_Area" localSheetId="10">РИСКИ!$A$1:$F$26</definedName>
    <definedName name="_xlnm.Print_Area" localSheetId="19">СПРАВОЧНИКИ!$A$1:$L$29</definedName>
    <definedName name="_xlnm.Print_Area" localSheetId="18">СЧЕТА!$A$1:$F$24</definedName>
    <definedName name="ПорогНДС">НАЛОГИ!$B$40</definedName>
    <definedName name="Проекты">СПРАВОЧНИКИ!$I$7:$I$66</definedName>
    <definedName name="Режим">НАСТРОЙКИ!$B$8</definedName>
    <definedName name="РежимыИП">СПРАВОЧНИКИ!$K$7:$K$10</definedName>
    <definedName name="РежимыООО">СПРАВОЧНИКИ!$L$7:$L$9</definedName>
    <definedName name="Сотрудники">НАСТРОЙКИ!$B$12</definedName>
    <definedName name="СтавкаДоход">НАСТРОЙКИ!$B$14</definedName>
    <definedName name="СтавкаДР">НАСТРОЙКИ!$B$15</definedName>
    <definedName name="СтавкаНПДФЛ">НАСТРОЙКИ!$B$16</definedName>
    <definedName name="СтавкаНПДЮЛ">НАСТРОЙКИ!$B$17</definedName>
    <definedName name="Сценарий">НАСТРОЙКИ!$B$23</definedName>
    <definedName name="Счета">СЧЕТА!$A$7:$A$16</definedName>
    <definedName name="Типы">СПРАВОЧНИКИ!$A$7:$A$22</definedName>
    <definedName name="ФиксВзносы">НАСТРОЙКИ!$B$19</definedName>
    <definedName name="Форма">НАСТРОЙКИ!$B$7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21" l="1"/>
  <c r="D27" i="21" s="1"/>
  <c r="B22" i="21"/>
  <c r="D22" i="21" s="1"/>
  <c r="B21" i="21"/>
  <c r="D21" i="21" s="1"/>
  <c r="E16" i="19"/>
  <c r="D16" i="19"/>
  <c r="C16" i="19"/>
  <c r="E15" i="19"/>
  <c r="D15" i="19"/>
  <c r="C15" i="19"/>
  <c r="E14" i="19"/>
  <c r="D14" i="19"/>
  <c r="C14" i="19"/>
  <c r="E13" i="19"/>
  <c r="D13" i="19"/>
  <c r="C13" i="19"/>
  <c r="E12" i="19"/>
  <c r="D12" i="19"/>
  <c r="C12" i="19"/>
  <c r="E11" i="19"/>
  <c r="D11" i="19"/>
  <c r="C11" i="19"/>
  <c r="E10" i="19"/>
  <c r="D10" i="19"/>
  <c r="C10" i="19"/>
  <c r="D9" i="19"/>
  <c r="C9" i="19"/>
  <c r="E9" i="19" s="1"/>
  <c r="B21" i="19" s="1"/>
  <c r="B10" i="8" s="1"/>
  <c r="D8" i="19"/>
  <c r="C8" i="19"/>
  <c r="Q606" i="18"/>
  <c r="P606" i="18"/>
  <c r="O606" i="18"/>
  <c r="N606" i="18"/>
  <c r="M606" i="18"/>
  <c r="L606" i="18"/>
  <c r="K606" i="18"/>
  <c r="Q605" i="18"/>
  <c r="P605" i="18"/>
  <c r="O605" i="18"/>
  <c r="N605" i="18"/>
  <c r="M605" i="18"/>
  <c r="L605" i="18"/>
  <c r="K605" i="18"/>
  <c r="Q604" i="18"/>
  <c r="P604" i="18"/>
  <c r="O604" i="18"/>
  <c r="N604" i="18"/>
  <c r="M604" i="18"/>
  <c r="L604" i="18"/>
  <c r="K604" i="18"/>
  <c r="Q603" i="18"/>
  <c r="P603" i="18"/>
  <c r="O603" i="18"/>
  <c r="N603" i="18"/>
  <c r="M603" i="18"/>
  <c r="L603" i="18"/>
  <c r="K603" i="18"/>
  <c r="Q602" i="18"/>
  <c r="P602" i="18"/>
  <c r="O602" i="18"/>
  <c r="N602" i="18"/>
  <c r="M602" i="18"/>
  <c r="L602" i="18"/>
  <c r="K602" i="18"/>
  <c r="Q601" i="18"/>
  <c r="P601" i="18"/>
  <c r="O601" i="18"/>
  <c r="N601" i="18"/>
  <c r="M601" i="18"/>
  <c r="L601" i="18"/>
  <c r="K601" i="18"/>
  <c r="Q600" i="18"/>
  <c r="P600" i="18"/>
  <c r="O600" i="18"/>
  <c r="N600" i="18"/>
  <c r="M600" i="18"/>
  <c r="L600" i="18"/>
  <c r="K600" i="18"/>
  <c r="Q599" i="18"/>
  <c r="P599" i="18"/>
  <c r="O599" i="18"/>
  <c r="N599" i="18"/>
  <c r="M599" i="18"/>
  <c r="L599" i="18"/>
  <c r="K599" i="18"/>
  <c r="Q598" i="18"/>
  <c r="P598" i="18"/>
  <c r="O598" i="18"/>
  <c r="N598" i="18"/>
  <c r="M598" i="18"/>
  <c r="L598" i="18"/>
  <c r="K598" i="18"/>
  <c r="Q597" i="18"/>
  <c r="P597" i="18"/>
  <c r="O597" i="18"/>
  <c r="N597" i="18"/>
  <c r="M597" i="18"/>
  <c r="L597" i="18"/>
  <c r="K597" i="18"/>
  <c r="Q596" i="18"/>
  <c r="P596" i="18"/>
  <c r="O596" i="18"/>
  <c r="N596" i="18"/>
  <c r="M596" i="18"/>
  <c r="L596" i="18"/>
  <c r="K596" i="18"/>
  <c r="Q595" i="18"/>
  <c r="P595" i="18"/>
  <c r="O595" i="18"/>
  <c r="N595" i="18"/>
  <c r="M595" i="18"/>
  <c r="L595" i="18"/>
  <c r="K595" i="18"/>
  <c r="Q594" i="18"/>
  <c r="P594" i="18"/>
  <c r="O594" i="18"/>
  <c r="N594" i="18"/>
  <c r="M594" i="18"/>
  <c r="L594" i="18"/>
  <c r="K594" i="18"/>
  <c r="Q593" i="18"/>
  <c r="P593" i="18"/>
  <c r="O593" i="18"/>
  <c r="N593" i="18"/>
  <c r="M593" i="18"/>
  <c r="L593" i="18"/>
  <c r="K593" i="18"/>
  <c r="Q592" i="18"/>
  <c r="P592" i="18"/>
  <c r="O592" i="18"/>
  <c r="N592" i="18"/>
  <c r="M592" i="18"/>
  <c r="L592" i="18"/>
  <c r="K592" i="18"/>
  <c r="Q591" i="18"/>
  <c r="P591" i="18"/>
  <c r="O591" i="18"/>
  <c r="N591" i="18"/>
  <c r="M591" i="18"/>
  <c r="L591" i="18"/>
  <c r="K591" i="18"/>
  <c r="Q590" i="18"/>
  <c r="P590" i="18"/>
  <c r="O590" i="18"/>
  <c r="N590" i="18"/>
  <c r="M590" i="18"/>
  <c r="L590" i="18"/>
  <c r="K590" i="18"/>
  <c r="Q589" i="18"/>
  <c r="P589" i="18"/>
  <c r="O589" i="18"/>
  <c r="N589" i="18"/>
  <c r="M589" i="18"/>
  <c r="L589" i="18"/>
  <c r="K589" i="18"/>
  <c r="Q588" i="18"/>
  <c r="P588" i="18"/>
  <c r="O588" i="18"/>
  <c r="N588" i="18"/>
  <c r="M588" i="18"/>
  <c r="L588" i="18"/>
  <c r="K588" i="18"/>
  <c r="Q587" i="18"/>
  <c r="P587" i="18"/>
  <c r="O587" i="18"/>
  <c r="N587" i="18"/>
  <c r="M587" i="18"/>
  <c r="L587" i="18"/>
  <c r="K587" i="18"/>
  <c r="Q586" i="18"/>
  <c r="P586" i="18"/>
  <c r="O586" i="18"/>
  <c r="N586" i="18"/>
  <c r="M586" i="18"/>
  <c r="L586" i="18"/>
  <c r="K586" i="18"/>
  <c r="Q585" i="18"/>
  <c r="P585" i="18"/>
  <c r="O585" i="18"/>
  <c r="N585" i="18"/>
  <c r="M585" i="18"/>
  <c r="L585" i="18"/>
  <c r="K585" i="18"/>
  <c r="Q584" i="18"/>
  <c r="P584" i="18"/>
  <c r="O584" i="18"/>
  <c r="N584" i="18"/>
  <c r="M584" i="18"/>
  <c r="L584" i="18"/>
  <c r="K584" i="18"/>
  <c r="Q583" i="18"/>
  <c r="P583" i="18"/>
  <c r="O583" i="18"/>
  <c r="N583" i="18"/>
  <c r="M583" i="18"/>
  <c r="L583" i="18"/>
  <c r="K583" i="18"/>
  <c r="Q582" i="18"/>
  <c r="P582" i="18"/>
  <c r="O582" i="18"/>
  <c r="N582" i="18"/>
  <c r="M582" i="18"/>
  <c r="L582" i="18"/>
  <c r="K582" i="18"/>
  <c r="Q581" i="18"/>
  <c r="P581" i="18"/>
  <c r="O581" i="18"/>
  <c r="N581" i="18"/>
  <c r="M581" i="18"/>
  <c r="L581" i="18"/>
  <c r="K581" i="18"/>
  <c r="Q580" i="18"/>
  <c r="P580" i="18"/>
  <c r="O580" i="18"/>
  <c r="N580" i="18"/>
  <c r="M580" i="18"/>
  <c r="L580" i="18"/>
  <c r="K580" i="18"/>
  <c r="Q579" i="18"/>
  <c r="P579" i="18"/>
  <c r="O579" i="18"/>
  <c r="N579" i="18"/>
  <c r="M579" i="18"/>
  <c r="L579" i="18"/>
  <c r="K579" i="18"/>
  <c r="Q578" i="18"/>
  <c r="P578" i="18"/>
  <c r="O578" i="18"/>
  <c r="N578" i="18"/>
  <c r="M578" i="18"/>
  <c r="L578" i="18"/>
  <c r="K578" i="18"/>
  <c r="Q577" i="18"/>
  <c r="P577" i="18"/>
  <c r="O577" i="18"/>
  <c r="N577" i="18"/>
  <c r="M577" i="18"/>
  <c r="L577" i="18"/>
  <c r="K577" i="18"/>
  <c r="Q576" i="18"/>
  <c r="P576" i="18"/>
  <c r="O576" i="18"/>
  <c r="N576" i="18"/>
  <c r="M576" i="18"/>
  <c r="L576" i="18"/>
  <c r="K576" i="18"/>
  <c r="Q575" i="18"/>
  <c r="P575" i="18"/>
  <c r="O575" i="18"/>
  <c r="N575" i="18"/>
  <c r="M575" i="18"/>
  <c r="L575" i="18"/>
  <c r="K575" i="18"/>
  <c r="Q574" i="18"/>
  <c r="P574" i="18"/>
  <c r="O574" i="18"/>
  <c r="N574" i="18"/>
  <c r="M574" i="18"/>
  <c r="L574" i="18"/>
  <c r="K574" i="18"/>
  <c r="Q573" i="18"/>
  <c r="P573" i="18"/>
  <c r="O573" i="18"/>
  <c r="N573" i="18"/>
  <c r="M573" i="18"/>
  <c r="L573" i="18"/>
  <c r="K573" i="18"/>
  <c r="Q572" i="18"/>
  <c r="P572" i="18"/>
  <c r="O572" i="18"/>
  <c r="N572" i="18"/>
  <c r="M572" i="18"/>
  <c r="L572" i="18"/>
  <c r="K572" i="18"/>
  <c r="Q571" i="18"/>
  <c r="P571" i="18"/>
  <c r="O571" i="18"/>
  <c r="N571" i="18"/>
  <c r="M571" i="18"/>
  <c r="L571" i="18"/>
  <c r="K571" i="18"/>
  <c r="Q570" i="18"/>
  <c r="P570" i="18"/>
  <c r="O570" i="18"/>
  <c r="N570" i="18"/>
  <c r="M570" i="18"/>
  <c r="L570" i="18"/>
  <c r="K570" i="18"/>
  <c r="Q569" i="18"/>
  <c r="P569" i="18"/>
  <c r="O569" i="18"/>
  <c r="N569" i="18"/>
  <c r="M569" i="18"/>
  <c r="L569" i="18"/>
  <c r="K569" i="18"/>
  <c r="Q568" i="18"/>
  <c r="P568" i="18"/>
  <c r="O568" i="18"/>
  <c r="N568" i="18"/>
  <c r="M568" i="18"/>
  <c r="L568" i="18"/>
  <c r="K568" i="18"/>
  <c r="Q567" i="18"/>
  <c r="P567" i="18"/>
  <c r="O567" i="18"/>
  <c r="N567" i="18"/>
  <c r="M567" i="18"/>
  <c r="L567" i="18"/>
  <c r="K567" i="18"/>
  <c r="Q566" i="18"/>
  <c r="P566" i="18"/>
  <c r="O566" i="18"/>
  <c r="N566" i="18"/>
  <c r="M566" i="18"/>
  <c r="L566" i="18"/>
  <c r="K566" i="18"/>
  <c r="Q565" i="18"/>
  <c r="P565" i="18"/>
  <c r="O565" i="18"/>
  <c r="N565" i="18"/>
  <c r="M565" i="18"/>
  <c r="L565" i="18"/>
  <c r="K565" i="18"/>
  <c r="Q564" i="18"/>
  <c r="P564" i="18"/>
  <c r="O564" i="18"/>
  <c r="N564" i="18"/>
  <c r="M564" i="18"/>
  <c r="L564" i="18"/>
  <c r="K564" i="18"/>
  <c r="Q563" i="18"/>
  <c r="P563" i="18"/>
  <c r="O563" i="18"/>
  <c r="N563" i="18"/>
  <c r="M563" i="18"/>
  <c r="L563" i="18"/>
  <c r="K563" i="18"/>
  <c r="Q562" i="18"/>
  <c r="P562" i="18"/>
  <c r="O562" i="18"/>
  <c r="N562" i="18"/>
  <c r="M562" i="18"/>
  <c r="L562" i="18"/>
  <c r="K562" i="18"/>
  <c r="Q561" i="18"/>
  <c r="P561" i="18"/>
  <c r="O561" i="18"/>
  <c r="N561" i="18"/>
  <c r="M561" i="18"/>
  <c r="L561" i="18"/>
  <c r="K561" i="18"/>
  <c r="Q560" i="18"/>
  <c r="P560" i="18"/>
  <c r="O560" i="18"/>
  <c r="N560" i="18"/>
  <c r="M560" i="18"/>
  <c r="L560" i="18"/>
  <c r="K560" i="18"/>
  <c r="Q559" i="18"/>
  <c r="P559" i="18"/>
  <c r="O559" i="18"/>
  <c r="N559" i="18"/>
  <c r="M559" i="18"/>
  <c r="L559" i="18"/>
  <c r="K559" i="18"/>
  <c r="Q558" i="18"/>
  <c r="P558" i="18"/>
  <c r="O558" i="18"/>
  <c r="N558" i="18"/>
  <c r="M558" i="18"/>
  <c r="L558" i="18"/>
  <c r="K558" i="18"/>
  <c r="Q557" i="18"/>
  <c r="P557" i="18"/>
  <c r="O557" i="18"/>
  <c r="N557" i="18"/>
  <c r="M557" i="18"/>
  <c r="L557" i="18"/>
  <c r="K557" i="18"/>
  <c r="Q556" i="18"/>
  <c r="P556" i="18"/>
  <c r="O556" i="18"/>
  <c r="N556" i="18"/>
  <c r="M556" i="18"/>
  <c r="L556" i="18"/>
  <c r="K556" i="18"/>
  <c r="Q555" i="18"/>
  <c r="P555" i="18"/>
  <c r="O555" i="18"/>
  <c r="N555" i="18"/>
  <c r="M555" i="18"/>
  <c r="L555" i="18"/>
  <c r="K555" i="18"/>
  <c r="Q554" i="18"/>
  <c r="P554" i="18"/>
  <c r="O554" i="18"/>
  <c r="N554" i="18"/>
  <c r="M554" i="18"/>
  <c r="L554" i="18"/>
  <c r="K554" i="18"/>
  <c r="Q553" i="18"/>
  <c r="P553" i="18"/>
  <c r="O553" i="18"/>
  <c r="N553" i="18"/>
  <c r="M553" i="18"/>
  <c r="L553" i="18"/>
  <c r="K553" i="18"/>
  <c r="Q552" i="18"/>
  <c r="P552" i="18"/>
  <c r="O552" i="18"/>
  <c r="N552" i="18"/>
  <c r="M552" i="18"/>
  <c r="L552" i="18"/>
  <c r="K552" i="18"/>
  <c r="Q551" i="18"/>
  <c r="P551" i="18"/>
  <c r="O551" i="18"/>
  <c r="N551" i="18"/>
  <c r="M551" i="18"/>
  <c r="L551" i="18"/>
  <c r="K551" i="18"/>
  <c r="Q550" i="18"/>
  <c r="P550" i="18"/>
  <c r="O550" i="18"/>
  <c r="N550" i="18"/>
  <c r="M550" i="18"/>
  <c r="L550" i="18"/>
  <c r="K550" i="18"/>
  <c r="Q549" i="18"/>
  <c r="P549" i="18"/>
  <c r="O549" i="18"/>
  <c r="N549" i="18"/>
  <c r="M549" i="18"/>
  <c r="L549" i="18"/>
  <c r="K549" i="18"/>
  <c r="Q548" i="18"/>
  <c r="P548" i="18"/>
  <c r="O548" i="18"/>
  <c r="N548" i="18"/>
  <c r="M548" i="18"/>
  <c r="L548" i="18"/>
  <c r="K548" i="18"/>
  <c r="Q547" i="18"/>
  <c r="P547" i="18"/>
  <c r="O547" i="18"/>
  <c r="N547" i="18"/>
  <c r="M547" i="18"/>
  <c r="L547" i="18"/>
  <c r="K547" i="18"/>
  <c r="Q546" i="18"/>
  <c r="P546" i="18"/>
  <c r="O546" i="18"/>
  <c r="N546" i="18"/>
  <c r="M546" i="18"/>
  <c r="L546" i="18"/>
  <c r="K546" i="18"/>
  <c r="Q545" i="18"/>
  <c r="P545" i="18"/>
  <c r="O545" i="18"/>
  <c r="N545" i="18"/>
  <c r="M545" i="18"/>
  <c r="L545" i="18"/>
  <c r="K545" i="18"/>
  <c r="Q544" i="18"/>
  <c r="P544" i="18"/>
  <c r="O544" i="18"/>
  <c r="N544" i="18"/>
  <c r="M544" i="18"/>
  <c r="L544" i="18"/>
  <c r="K544" i="18"/>
  <c r="Q543" i="18"/>
  <c r="P543" i="18"/>
  <c r="O543" i="18"/>
  <c r="N543" i="18"/>
  <c r="M543" i="18"/>
  <c r="L543" i="18"/>
  <c r="K543" i="18"/>
  <c r="Q542" i="18"/>
  <c r="P542" i="18"/>
  <c r="O542" i="18"/>
  <c r="N542" i="18"/>
  <c r="M542" i="18"/>
  <c r="L542" i="18"/>
  <c r="K542" i="18"/>
  <c r="Q541" i="18"/>
  <c r="P541" i="18"/>
  <c r="O541" i="18"/>
  <c r="N541" i="18"/>
  <c r="M541" i="18"/>
  <c r="L541" i="18"/>
  <c r="K541" i="18"/>
  <c r="Q540" i="18"/>
  <c r="P540" i="18"/>
  <c r="O540" i="18"/>
  <c r="N540" i="18"/>
  <c r="M540" i="18"/>
  <c r="L540" i="18"/>
  <c r="K540" i="18"/>
  <c r="Q539" i="18"/>
  <c r="P539" i="18"/>
  <c r="O539" i="18"/>
  <c r="N539" i="18"/>
  <c r="M539" i="18"/>
  <c r="L539" i="18"/>
  <c r="K539" i="18"/>
  <c r="Q538" i="18"/>
  <c r="P538" i="18"/>
  <c r="O538" i="18"/>
  <c r="N538" i="18"/>
  <c r="M538" i="18"/>
  <c r="L538" i="18"/>
  <c r="K538" i="18"/>
  <c r="Q537" i="18"/>
  <c r="P537" i="18"/>
  <c r="O537" i="18"/>
  <c r="N537" i="18"/>
  <c r="M537" i="18"/>
  <c r="L537" i="18"/>
  <c r="K537" i="18"/>
  <c r="Q536" i="18"/>
  <c r="P536" i="18"/>
  <c r="O536" i="18"/>
  <c r="N536" i="18"/>
  <c r="M536" i="18"/>
  <c r="L536" i="18"/>
  <c r="K536" i="18"/>
  <c r="Q535" i="18"/>
  <c r="P535" i="18"/>
  <c r="O535" i="18"/>
  <c r="N535" i="18"/>
  <c r="M535" i="18"/>
  <c r="L535" i="18"/>
  <c r="K535" i="18"/>
  <c r="Q534" i="18"/>
  <c r="P534" i="18"/>
  <c r="O534" i="18"/>
  <c r="N534" i="18"/>
  <c r="M534" i="18"/>
  <c r="L534" i="18"/>
  <c r="K534" i="18"/>
  <c r="Q533" i="18"/>
  <c r="P533" i="18"/>
  <c r="O533" i="18"/>
  <c r="N533" i="18"/>
  <c r="M533" i="18"/>
  <c r="L533" i="18"/>
  <c r="K533" i="18"/>
  <c r="Q532" i="18"/>
  <c r="P532" i="18"/>
  <c r="O532" i="18"/>
  <c r="N532" i="18"/>
  <c r="M532" i="18"/>
  <c r="L532" i="18"/>
  <c r="K532" i="18"/>
  <c r="Q531" i="18"/>
  <c r="P531" i="18"/>
  <c r="O531" i="18"/>
  <c r="N531" i="18"/>
  <c r="M531" i="18"/>
  <c r="L531" i="18"/>
  <c r="K531" i="18"/>
  <c r="Q530" i="18"/>
  <c r="P530" i="18"/>
  <c r="O530" i="18"/>
  <c r="N530" i="18"/>
  <c r="M530" i="18"/>
  <c r="L530" i="18"/>
  <c r="K530" i="18"/>
  <c r="Q529" i="18"/>
  <c r="P529" i="18"/>
  <c r="O529" i="18"/>
  <c r="N529" i="18"/>
  <c r="M529" i="18"/>
  <c r="L529" i="18"/>
  <c r="K529" i="18"/>
  <c r="Q528" i="18"/>
  <c r="P528" i="18"/>
  <c r="O528" i="18"/>
  <c r="N528" i="18"/>
  <c r="M528" i="18"/>
  <c r="L528" i="18"/>
  <c r="K528" i="18"/>
  <c r="Q527" i="18"/>
  <c r="P527" i="18"/>
  <c r="O527" i="18"/>
  <c r="N527" i="18"/>
  <c r="M527" i="18"/>
  <c r="L527" i="18"/>
  <c r="K527" i="18"/>
  <c r="Q526" i="18"/>
  <c r="P526" i="18"/>
  <c r="O526" i="18"/>
  <c r="N526" i="18"/>
  <c r="M526" i="18"/>
  <c r="L526" i="18"/>
  <c r="K526" i="18"/>
  <c r="Q525" i="18"/>
  <c r="P525" i="18"/>
  <c r="O525" i="18"/>
  <c r="N525" i="18"/>
  <c r="M525" i="18"/>
  <c r="L525" i="18"/>
  <c r="K525" i="18"/>
  <c r="Q524" i="18"/>
  <c r="P524" i="18"/>
  <c r="O524" i="18"/>
  <c r="N524" i="18"/>
  <c r="M524" i="18"/>
  <c r="L524" i="18"/>
  <c r="K524" i="18"/>
  <c r="Q523" i="18"/>
  <c r="P523" i="18"/>
  <c r="O523" i="18"/>
  <c r="N523" i="18"/>
  <c r="M523" i="18"/>
  <c r="L523" i="18"/>
  <c r="K523" i="18"/>
  <c r="Q522" i="18"/>
  <c r="P522" i="18"/>
  <c r="O522" i="18"/>
  <c r="N522" i="18"/>
  <c r="M522" i="18"/>
  <c r="L522" i="18"/>
  <c r="K522" i="18"/>
  <c r="Q521" i="18"/>
  <c r="P521" i="18"/>
  <c r="O521" i="18"/>
  <c r="N521" i="18"/>
  <c r="M521" i="18"/>
  <c r="L521" i="18"/>
  <c r="K521" i="18"/>
  <c r="Q520" i="18"/>
  <c r="P520" i="18"/>
  <c r="O520" i="18"/>
  <c r="N520" i="18"/>
  <c r="M520" i="18"/>
  <c r="L520" i="18"/>
  <c r="K520" i="18"/>
  <c r="Q519" i="18"/>
  <c r="P519" i="18"/>
  <c r="O519" i="18"/>
  <c r="N519" i="18"/>
  <c r="M519" i="18"/>
  <c r="L519" i="18"/>
  <c r="K519" i="18"/>
  <c r="Q518" i="18"/>
  <c r="P518" i="18"/>
  <c r="O518" i="18"/>
  <c r="N518" i="18"/>
  <c r="M518" i="18"/>
  <c r="L518" i="18"/>
  <c r="K518" i="18"/>
  <c r="Q517" i="18"/>
  <c r="P517" i="18"/>
  <c r="O517" i="18"/>
  <c r="N517" i="18"/>
  <c r="M517" i="18"/>
  <c r="L517" i="18"/>
  <c r="K517" i="18"/>
  <c r="Q516" i="18"/>
  <c r="P516" i="18"/>
  <c r="O516" i="18"/>
  <c r="N516" i="18"/>
  <c r="M516" i="18"/>
  <c r="L516" i="18"/>
  <c r="K516" i="18"/>
  <c r="Q515" i="18"/>
  <c r="P515" i="18"/>
  <c r="O515" i="18"/>
  <c r="N515" i="18"/>
  <c r="M515" i="18"/>
  <c r="L515" i="18"/>
  <c r="K515" i="18"/>
  <c r="Q514" i="18"/>
  <c r="P514" i="18"/>
  <c r="O514" i="18"/>
  <c r="N514" i="18"/>
  <c r="M514" i="18"/>
  <c r="L514" i="18"/>
  <c r="K514" i="18"/>
  <c r="Q513" i="18"/>
  <c r="P513" i="18"/>
  <c r="O513" i="18"/>
  <c r="N513" i="18"/>
  <c r="M513" i="18"/>
  <c r="L513" i="18"/>
  <c r="K513" i="18"/>
  <c r="Q512" i="18"/>
  <c r="P512" i="18"/>
  <c r="O512" i="18"/>
  <c r="N512" i="18"/>
  <c r="M512" i="18"/>
  <c r="L512" i="18"/>
  <c r="K512" i="18"/>
  <c r="Q511" i="18"/>
  <c r="P511" i="18"/>
  <c r="O511" i="18"/>
  <c r="N511" i="18"/>
  <c r="M511" i="18"/>
  <c r="L511" i="18"/>
  <c r="K511" i="18"/>
  <c r="Q510" i="18"/>
  <c r="P510" i="18"/>
  <c r="O510" i="18"/>
  <c r="N510" i="18"/>
  <c r="M510" i="18"/>
  <c r="L510" i="18"/>
  <c r="K510" i="18"/>
  <c r="Q509" i="18"/>
  <c r="P509" i="18"/>
  <c r="O509" i="18"/>
  <c r="N509" i="18"/>
  <c r="M509" i="18"/>
  <c r="L509" i="18"/>
  <c r="K509" i="18"/>
  <c r="Q508" i="18"/>
  <c r="P508" i="18"/>
  <c r="O508" i="18"/>
  <c r="N508" i="18"/>
  <c r="M508" i="18"/>
  <c r="L508" i="18"/>
  <c r="K508" i="18"/>
  <c r="Q507" i="18"/>
  <c r="P507" i="18"/>
  <c r="O507" i="18"/>
  <c r="N507" i="18"/>
  <c r="M507" i="18"/>
  <c r="L507" i="18"/>
  <c r="K507" i="18"/>
  <c r="Q506" i="18"/>
  <c r="P506" i="18"/>
  <c r="O506" i="18"/>
  <c r="N506" i="18"/>
  <c r="M506" i="18"/>
  <c r="L506" i="18"/>
  <c r="K506" i="18"/>
  <c r="Q505" i="18"/>
  <c r="P505" i="18"/>
  <c r="O505" i="18"/>
  <c r="N505" i="18"/>
  <c r="M505" i="18"/>
  <c r="L505" i="18"/>
  <c r="K505" i="18"/>
  <c r="Q504" i="18"/>
  <c r="P504" i="18"/>
  <c r="O504" i="18"/>
  <c r="N504" i="18"/>
  <c r="M504" i="18"/>
  <c r="L504" i="18"/>
  <c r="K504" i="18"/>
  <c r="Q503" i="18"/>
  <c r="P503" i="18"/>
  <c r="O503" i="18"/>
  <c r="N503" i="18"/>
  <c r="M503" i="18"/>
  <c r="L503" i="18"/>
  <c r="K503" i="18"/>
  <c r="Q502" i="18"/>
  <c r="P502" i="18"/>
  <c r="O502" i="18"/>
  <c r="N502" i="18"/>
  <c r="M502" i="18"/>
  <c r="L502" i="18"/>
  <c r="K502" i="18"/>
  <c r="Q501" i="18"/>
  <c r="P501" i="18"/>
  <c r="O501" i="18"/>
  <c r="N501" i="18"/>
  <c r="M501" i="18"/>
  <c r="L501" i="18"/>
  <c r="K501" i="18"/>
  <c r="Q500" i="18"/>
  <c r="P500" i="18"/>
  <c r="O500" i="18"/>
  <c r="N500" i="18"/>
  <c r="M500" i="18"/>
  <c r="L500" i="18"/>
  <c r="K500" i="18"/>
  <c r="Q499" i="18"/>
  <c r="P499" i="18"/>
  <c r="O499" i="18"/>
  <c r="N499" i="18"/>
  <c r="M499" i="18"/>
  <c r="L499" i="18"/>
  <c r="K499" i="18"/>
  <c r="Q498" i="18"/>
  <c r="P498" i="18"/>
  <c r="O498" i="18"/>
  <c r="N498" i="18"/>
  <c r="M498" i="18"/>
  <c r="L498" i="18"/>
  <c r="K498" i="18"/>
  <c r="Q497" i="18"/>
  <c r="P497" i="18"/>
  <c r="O497" i="18"/>
  <c r="N497" i="18"/>
  <c r="M497" i="18"/>
  <c r="L497" i="18"/>
  <c r="K497" i="18"/>
  <c r="Q496" i="18"/>
  <c r="P496" i="18"/>
  <c r="O496" i="18"/>
  <c r="N496" i="18"/>
  <c r="M496" i="18"/>
  <c r="L496" i="18"/>
  <c r="K496" i="18"/>
  <c r="Q495" i="18"/>
  <c r="P495" i="18"/>
  <c r="O495" i="18"/>
  <c r="N495" i="18"/>
  <c r="M495" i="18"/>
  <c r="L495" i="18"/>
  <c r="K495" i="18"/>
  <c r="Q494" i="18"/>
  <c r="P494" i="18"/>
  <c r="O494" i="18"/>
  <c r="N494" i="18"/>
  <c r="M494" i="18"/>
  <c r="L494" i="18"/>
  <c r="K494" i="18"/>
  <c r="Q493" i="18"/>
  <c r="P493" i="18"/>
  <c r="O493" i="18"/>
  <c r="N493" i="18"/>
  <c r="M493" i="18"/>
  <c r="L493" i="18"/>
  <c r="K493" i="18"/>
  <c r="Q492" i="18"/>
  <c r="P492" i="18"/>
  <c r="O492" i="18"/>
  <c r="N492" i="18"/>
  <c r="M492" i="18"/>
  <c r="L492" i="18"/>
  <c r="K492" i="18"/>
  <c r="Q491" i="18"/>
  <c r="P491" i="18"/>
  <c r="O491" i="18"/>
  <c r="N491" i="18"/>
  <c r="M491" i="18"/>
  <c r="L491" i="18"/>
  <c r="K491" i="18"/>
  <c r="Q490" i="18"/>
  <c r="P490" i="18"/>
  <c r="O490" i="18"/>
  <c r="N490" i="18"/>
  <c r="M490" i="18"/>
  <c r="L490" i="18"/>
  <c r="K490" i="18"/>
  <c r="Q489" i="18"/>
  <c r="P489" i="18"/>
  <c r="O489" i="18"/>
  <c r="N489" i="18"/>
  <c r="M489" i="18"/>
  <c r="L489" i="18"/>
  <c r="K489" i="18"/>
  <c r="Q488" i="18"/>
  <c r="P488" i="18"/>
  <c r="O488" i="18"/>
  <c r="N488" i="18"/>
  <c r="M488" i="18"/>
  <c r="L488" i="18"/>
  <c r="K488" i="18"/>
  <c r="Q487" i="18"/>
  <c r="P487" i="18"/>
  <c r="O487" i="18"/>
  <c r="N487" i="18"/>
  <c r="M487" i="18"/>
  <c r="L487" i="18"/>
  <c r="K487" i="18"/>
  <c r="Q486" i="18"/>
  <c r="P486" i="18"/>
  <c r="O486" i="18"/>
  <c r="N486" i="18"/>
  <c r="M486" i="18"/>
  <c r="L486" i="18"/>
  <c r="K486" i="18"/>
  <c r="Q485" i="18"/>
  <c r="P485" i="18"/>
  <c r="O485" i="18"/>
  <c r="N485" i="18"/>
  <c r="M485" i="18"/>
  <c r="L485" i="18"/>
  <c r="K485" i="18"/>
  <c r="Q484" i="18"/>
  <c r="P484" i="18"/>
  <c r="O484" i="18"/>
  <c r="N484" i="18"/>
  <c r="M484" i="18"/>
  <c r="L484" i="18"/>
  <c r="K484" i="18"/>
  <c r="Q483" i="18"/>
  <c r="P483" i="18"/>
  <c r="O483" i="18"/>
  <c r="N483" i="18"/>
  <c r="M483" i="18"/>
  <c r="L483" i="18"/>
  <c r="K483" i="18"/>
  <c r="Q482" i="18"/>
  <c r="P482" i="18"/>
  <c r="O482" i="18"/>
  <c r="N482" i="18"/>
  <c r="M482" i="18"/>
  <c r="L482" i="18"/>
  <c r="K482" i="18"/>
  <c r="Q481" i="18"/>
  <c r="P481" i="18"/>
  <c r="O481" i="18"/>
  <c r="N481" i="18"/>
  <c r="M481" i="18"/>
  <c r="L481" i="18"/>
  <c r="K481" i="18"/>
  <c r="Q480" i="18"/>
  <c r="P480" i="18"/>
  <c r="O480" i="18"/>
  <c r="N480" i="18"/>
  <c r="M480" i="18"/>
  <c r="L480" i="18"/>
  <c r="K480" i="18"/>
  <c r="Q479" i="18"/>
  <c r="P479" i="18"/>
  <c r="O479" i="18"/>
  <c r="N479" i="18"/>
  <c r="M479" i="18"/>
  <c r="L479" i="18"/>
  <c r="K479" i="18"/>
  <c r="Q478" i="18"/>
  <c r="P478" i="18"/>
  <c r="O478" i="18"/>
  <c r="N478" i="18"/>
  <c r="M478" i="18"/>
  <c r="L478" i="18"/>
  <c r="K478" i="18"/>
  <c r="Q477" i="18"/>
  <c r="P477" i="18"/>
  <c r="O477" i="18"/>
  <c r="N477" i="18"/>
  <c r="M477" i="18"/>
  <c r="L477" i="18"/>
  <c r="K477" i="18"/>
  <c r="Q476" i="18"/>
  <c r="P476" i="18"/>
  <c r="O476" i="18"/>
  <c r="N476" i="18"/>
  <c r="M476" i="18"/>
  <c r="L476" i="18"/>
  <c r="K476" i="18"/>
  <c r="Q475" i="18"/>
  <c r="P475" i="18"/>
  <c r="O475" i="18"/>
  <c r="N475" i="18"/>
  <c r="M475" i="18"/>
  <c r="L475" i="18"/>
  <c r="K475" i="18"/>
  <c r="Q474" i="18"/>
  <c r="P474" i="18"/>
  <c r="O474" i="18"/>
  <c r="N474" i="18"/>
  <c r="M474" i="18"/>
  <c r="L474" i="18"/>
  <c r="K474" i="18"/>
  <c r="Q473" i="18"/>
  <c r="P473" i="18"/>
  <c r="O473" i="18"/>
  <c r="N473" i="18"/>
  <c r="M473" i="18"/>
  <c r="L473" i="18"/>
  <c r="K473" i="18"/>
  <c r="Q472" i="18"/>
  <c r="P472" i="18"/>
  <c r="O472" i="18"/>
  <c r="N472" i="18"/>
  <c r="M472" i="18"/>
  <c r="L472" i="18"/>
  <c r="K472" i="18"/>
  <c r="Q471" i="18"/>
  <c r="P471" i="18"/>
  <c r="O471" i="18"/>
  <c r="N471" i="18"/>
  <c r="M471" i="18"/>
  <c r="L471" i="18"/>
  <c r="K471" i="18"/>
  <c r="Q470" i="18"/>
  <c r="P470" i="18"/>
  <c r="O470" i="18"/>
  <c r="N470" i="18"/>
  <c r="M470" i="18"/>
  <c r="L470" i="18"/>
  <c r="K470" i="18"/>
  <c r="Q469" i="18"/>
  <c r="P469" i="18"/>
  <c r="O469" i="18"/>
  <c r="N469" i="18"/>
  <c r="M469" i="18"/>
  <c r="L469" i="18"/>
  <c r="K469" i="18"/>
  <c r="Q468" i="18"/>
  <c r="P468" i="18"/>
  <c r="O468" i="18"/>
  <c r="N468" i="18"/>
  <c r="M468" i="18"/>
  <c r="L468" i="18"/>
  <c r="K468" i="18"/>
  <c r="Q467" i="18"/>
  <c r="P467" i="18"/>
  <c r="O467" i="18"/>
  <c r="N467" i="18"/>
  <c r="M467" i="18"/>
  <c r="L467" i="18"/>
  <c r="K467" i="18"/>
  <c r="Q466" i="18"/>
  <c r="P466" i="18"/>
  <c r="O466" i="18"/>
  <c r="N466" i="18"/>
  <c r="M466" i="18"/>
  <c r="L466" i="18"/>
  <c r="K466" i="18"/>
  <c r="Q465" i="18"/>
  <c r="P465" i="18"/>
  <c r="O465" i="18"/>
  <c r="N465" i="18"/>
  <c r="M465" i="18"/>
  <c r="L465" i="18"/>
  <c r="K465" i="18"/>
  <c r="Q464" i="18"/>
  <c r="P464" i="18"/>
  <c r="O464" i="18"/>
  <c r="N464" i="18"/>
  <c r="M464" i="18"/>
  <c r="L464" i="18"/>
  <c r="K464" i="18"/>
  <c r="Q463" i="18"/>
  <c r="P463" i="18"/>
  <c r="O463" i="18"/>
  <c r="N463" i="18"/>
  <c r="M463" i="18"/>
  <c r="L463" i="18"/>
  <c r="K463" i="18"/>
  <c r="Q462" i="18"/>
  <c r="P462" i="18"/>
  <c r="O462" i="18"/>
  <c r="N462" i="18"/>
  <c r="M462" i="18"/>
  <c r="L462" i="18"/>
  <c r="K462" i="18"/>
  <c r="Q461" i="18"/>
  <c r="P461" i="18"/>
  <c r="O461" i="18"/>
  <c r="N461" i="18"/>
  <c r="M461" i="18"/>
  <c r="L461" i="18"/>
  <c r="K461" i="18"/>
  <c r="Q460" i="18"/>
  <c r="P460" i="18"/>
  <c r="O460" i="18"/>
  <c r="N460" i="18"/>
  <c r="M460" i="18"/>
  <c r="L460" i="18"/>
  <c r="K460" i="18"/>
  <c r="Q459" i="18"/>
  <c r="P459" i="18"/>
  <c r="O459" i="18"/>
  <c r="N459" i="18"/>
  <c r="M459" i="18"/>
  <c r="L459" i="18"/>
  <c r="K459" i="18"/>
  <c r="Q458" i="18"/>
  <c r="P458" i="18"/>
  <c r="O458" i="18"/>
  <c r="N458" i="18"/>
  <c r="M458" i="18"/>
  <c r="L458" i="18"/>
  <c r="K458" i="18"/>
  <c r="Q457" i="18"/>
  <c r="P457" i="18"/>
  <c r="O457" i="18"/>
  <c r="N457" i="18"/>
  <c r="M457" i="18"/>
  <c r="L457" i="18"/>
  <c r="K457" i="18"/>
  <c r="Q456" i="18"/>
  <c r="P456" i="18"/>
  <c r="O456" i="18"/>
  <c r="N456" i="18"/>
  <c r="M456" i="18"/>
  <c r="L456" i="18"/>
  <c r="K456" i="18"/>
  <c r="Q455" i="18"/>
  <c r="P455" i="18"/>
  <c r="O455" i="18"/>
  <c r="N455" i="18"/>
  <c r="M455" i="18"/>
  <c r="L455" i="18"/>
  <c r="K455" i="18"/>
  <c r="Q454" i="18"/>
  <c r="P454" i="18"/>
  <c r="O454" i="18"/>
  <c r="N454" i="18"/>
  <c r="M454" i="18"/>
  <c r="L454" i="18"/>
  <c r="K454" i="18"/>
  <c r="Q453" i="18"/>
  <c r="P453" i="18"/>
  <c r="O453" i="18"/>
  <c r="N453" i="18"/>
  <c r="M453" i="18"/>
  <c r="L453" i="18"/>
  <c r="K453" i="18"/>
  <c r="Q452" i="18"/>
  <c r="P452" i="18"/>
  <c r="O452" i="18"/>
  <c r="N452" i="18"/>
  <c r="M452" i="18"/>
  <c r="L452" i="18"/>
  <c r="K452" i="18"/>
  <c r="Q451" i="18"/>
  <c r="P451" i="18"/>
  <c r="O451" i="18"/>
  <c r="N451" i="18"/>
  <c r="M451" i="18"/>
  <c r="L451" i="18"/>
  <c r="K451" i="18"/>
  <c r="Q450" i="18"/>
  <c r="P450" i="18"/>
  <c r="O450" i="18"/>
  <c r="N450" i="18"/>
  <c r="M450" i="18"/>
  <c r="L450" i="18"/>
  <c r="K450" i="18"/>
  <c r="Q449" i="18"/>
  <c r="P449" i="18"/>
  <c r="O449" i="18"/>
  <c r="N449" i="18"/>
  <c r="M449" i="18"/>
  <c r="L449" i="18"/>
  <c r="K449" i="18"/>
  <c r="Q448" i="18"/>
  <c r="P448" i="18"/>
  <c r="O448" i="18"/>
  <c r="N448" i="18"/>
  <c r="M448" i="18"/>
  <c r="L448" i="18"/>
  <c r="K448" i="18"/>
  <c r="Q447" i="18"/>
  <c r="P447" i="18"/>
  <c r="O447" i="18"/>
  <c r="N447" i="18"/>
  <c r="M447" i="18"/>
  <c r="L447" i="18"/>
  <c r="K447" i="18"/>
  <c r="Q446" i="18"/>
  <c r="P446" i="18"/>
  <c r="O446" i="18"/>
  <c r="N446" i="18"/>
  <c r="M446" i="18"/>
  <c r="L446" i="18"/>
  <c r="K446" i="18"/>
  <c r="Q445" i="18"/>
  <c r="P445" i="18"/>
  <c r="O445" i="18"/>
  <c r="N445" i="18"/>
  <c r="M445" i="18"/>
  <c r="L445" i="18"/>
  <c r="K445" i="18"/>
  <c r="Q444" i="18"/>
  <c r="P444" i="18"/>
  <c r="O444" i="18"/>
  <c r="N444" i="18"/>
  <c r="M444" i="18"/>
  <c r="L444" i="18"/>
  <c r="K444" i="18"/>
  <c r="Q443" i="18"/>
  <c r="P443" i="18"/>
  <c r="O443" i="18"/>
  <c r="N443" i="18"/>
  <c r="M443" i="18"/>
  <c r="L443" i="18"/>
  <c r="K443" i="18"/>
  <c r="Q442" i="18"/>
  <c r="P442" i="18"/>
  <c r="O442" i="18"/>
  <c r="N442" i="18"/>
  <c r="M442" i="18"/>
  <c r="L442" i="18"/>
  <c r="K442" i="18"/>
  <c r="Q441" i="18"/>
  <c r="P441" i="18"/>
  <c r="O441" i="18"/>
  <c r="N441" i="18"/>
  <c r="M441" i="18"/>
  <c r="L441" i="18"/>
  <c r="K441" i="18"/>
  <c r="Q440" i="18"/>
  <c r="P440" i="18"/>
  <c r="O440" i="18"/>
  <c r="N440" i="18"/>
  <c r="M440" i="18"/>
  <c r="L440" i="18"/>
  <c r="K440" i="18"/>
  <c r="Q439" i="18"/>
  <c r="P439" i="18"/>
  <c r="O439" i="18"/>
  <c r="N439" i="18"/>
  <c r="M439" i="18"/>
  <c r="L439" i="18"/>
  <c r="K439" i="18"/>
  <c r="Q438" i="18"/>
  <c r="P438" i="18"/>
  <c r="O438" i="18"/>
  <c r="N438" i="18"/>
  <c r="M438" i="18"/>
  <c r="L438" i="18"/>
  <c r="K438" i="18"/>
  <c r="Q437" i="18"/>
  <c r="P437" i="18"/>
  <c r="O437" i="18"/>
  <c r="N437" i="18"/>
  <c r="M437" i="18"/>
  <c r="L437" i="18"/>
  <c r="K437" i="18"/>
  <c r="Q436" i="18"/>
  <c r="P436" i="18"/>
  <c r="O436" i="18"/>
  <c r="N436" i="18"/>
  <c r="M436" i="18"/>
  <c r="L436" i="18"/>
  <c r="K436" i="18"/>
  <c r="Q435" i="18"/>
  <c r="P435" i="18"/>
  <c r="O435" i="18"/>
  <c r="N435" i="18"/>
  <c r="M435" i="18"/>
  <c r="L435" i="18"/>
  <c r="K435" i="18"/>
  <c r="Q434" i="18"/>
  <c r="P434" i="18"/>
  <c r="O434" i="18"/>
  <c r="N434" i="18"/>
  <c r="M434" i="18"/>
  <c r="L434" i="18"/>
  <c r="K434" i="18"/>
  <c r="Q433" i="18"/>
  <c r="P433" i="18"/>
  <c r="O433" i="18"/>
  <c r="N433" i="18"/>
  <c r="M433" i="18"/>
  <c r="L433" i="18"/>
  <c r="K433" i="18"/>
  <c r="Q432" i="18"/>
  <c r="P432" i="18"/>
  <c r="O432" i="18"/>
  <c r="N432" i="18"/>
  <c r="M432" i="18"/>
  <c r="L432" i="18"/>
  <c r="K432" i="18"/>
  <c r="Q431" i="18"/>
  <c r="P431" i="18"/>
  <c r="O431" i="18"/>
  <c r="N431" i="18"/>
  <c r="M431" i="18"/>
  <c r="L431" i="18"/>
  <c r="K431" i="18"/>
  <c r="Q430" i="18"/>
  <c r="P430" i="18"/>
  <c r="O430" i="18"/>
  <c r="N430" i="18"/>
  <c r="M430" i="18"/>
  <c r="L430" i="18"/>
  <c r="K430" i="18"/>
  <c r="Q429" i="18"/>
  <c r="P429" i="18"/>
  <c r="O429" i="18"/>
  <c r="N429" i="18"/>
  <c r="M429" i="18"/>
  <c r="L429" i="18"/>
  <c r="K429" i="18"/>
  <c r="Q428" i="18"/>
  <c r="P428" i="18"/>
  <c r="O428" i="18"/>
  <c r="N428" i="18"/>
  <c r="M428" i="18"/>
  <c r="L428" i="18"/>
  <c r="K428" i="18"/>
  <c r="Q427" i="18"/>
  <c r="P427" i="18"/>
  <c r="O427" i="18"/>
  <c r="N427" i="18"/>
  <c r="M427" i="18"/>
  <c r="L427" i="18"/>
  <c r="K427" i="18"/>
  <c r="Q426" i="18"/>
  <c r="P426" i="18"/>
  <c r="O426" i="18"/>
  <c r="N426" i="18"/>
  <c r="M426" i="18"/>
  <c r="L426" i="18"/>
  <c r="K426" i="18"/>
  <c r="Q425" i="18"/>
  <c r="P425" i="18"/>
  <c r="O425" i="18"/>
  <c r="N425" i="18"/>
  <c r="M425" i="18"/>
  <c r="L425" i="18"/>
  <c r="K425" i="18"/>
  <c r="Q424" i="18"/>
  <c r="P424" i="18"/>
  <c r="O424" i="18"/>
  <c r="N424" i="18"/>
  <c r="M424" i="18"/>
  <c r="L424" i="18"/>
  <c r="K424" i="18"/>
  <c r="Q423" i="18"/>
  <c r="P423" i="18"/>
  <c r="O423" i="18"/>
  <c r="N423" i="18"/>
  <c r="M423" i="18"/>
  <c r="L423" i="18"/>
  <c r="K423" i="18"/>
  <c r="Q422" i="18"/>
  <c r="P422" i="18"/>
  <c r="O422" i="18"/>
  <c r="N422" i="18"/>
  <c r="M422" i="18"/>
  <c r="L422" i="18"/>
  <c r="K422" i="18"/>
  <c r="Q421" i="18"/>
  <c r="P421" i="18"/>
  <c r="O421" i="18"/>
  <c r="N421" i="18"/>
  <c r="M421" i="18"/>
  <c r="L421" i="18"/>
  <c r="K421" i="18"/>
  <c r="Q420" i="18"/>
  <c r="P420" i="18"/>
  <c r="O420" i="18"/>
  <c r="N420" i="18"/>
  <c r="M420" i="18"/>
  <c r="L420" i="18"/>
  <c r="K420" i="18"/>
  <c r="Q419" i="18"/>
  <c r="P419" i="18"/>
  <c r="O419" i="18"/>
  <c r="N419" i="18"/>
  <c r="M419" i="18"/>
  <c r="L419" i="18"/>
  <c r="K419" i="18"/>
  <c r="Q418" i="18"/>
  <c r="P418" i="18"/>
  <c r="O418" i="18"/>
  <c r="N418" i="18"/>
  <c r="M418" i="18"/>
  <c r="L418" i="18"/>
  <c r="K418" i="18"/>
  <c r="Q417" i="18"/>
  <c r="P417" i="18"/>
  <c r="O417" i="18"/>
  <c r="N417" i="18"/>
  <c r="M417" i="18"/>
  <c r="L417" i="18"/>
  <c r="K417" i="18"/>
  <c r="Q416" i="18"/>
  <c r="P416" i="18"/>
  <c r="O416" i="18"/>
  <c r="N416" i="18"/>
  <c r="M416" i="18"/>
  <c r="L416" i="18"/>
  <c r="K416" i="18"/>
  <c r="Q415" i="18"/>
  <c r="P415" i="18"/>
  <c r="O415" i="18"/>
  <c r="N415" i="18"/>
  <c r="M415" i="18"/>
  <c r="L415" i="18"/>
  <c r="K415" i="18"/>
  <c r="Q414" i="18"/>
  <c r="P414" i="18"/>
  <c r="O414" i="18"/>
  <c r="N414" i="18"/>
  <c r="M414" i="18"/>
  <c r="L414" i="18"/>
  <c r="K414" i="18"/>
  <c r="Q413" i="18"/>
  <c r="P413" i="18"/>
  <c r="O413" i="18"/>
  <c r="N413" i="18"/>
  <c r="M413" i="18"/>
  <c r="L413" i="18"/>
  <c r="K413" i="18"/>
  <c r="Q412" i="18"/>
  <c r="P412" i="18"/>
  <c r="O412" i="18"/>
  <c r="N412" i="18"/>
  <c r="M412" i="18"/>
  <c r="L412" i="18"/>
  <c r="K412" i="18"/>
  <c r="Q411" i="18"/>
  <c r="P411" i="18"/>
  <c r="O411" i="18"/>
  <c r="N411" i="18"/>
  <c r="M411" i="18"/>
  <c r="L411" i="18"/>
  <c r="K411" i="18"/>
  <c r="Q410" i="18"/>
  <c r="P410" i="18"/>
  <c r="O410" i="18"/>
  <c r="N410" i="18"/>
  <c r="M410" i="18"/>
  <c r="L410" i="18"/>
  <c r="K410" i="18"/>
  <c r="Q409" i="18"/>
  <c r="P409" i="18"/>
  <c r="O409" i="18"/>
  <c r="N409" i="18"/>
  <c r="M409" i="18"/>
  <c r="L409" i="18"/>
  <c r="K409" i="18"/>
  <c r="Q408" i="18"/>
  <c r="P408" i="18"/>
  <c r="O408" i="18"/>
  <c r="N408" i="18"/>
  <c r="M408" i="18"/>
  <c r="L408" i="18"/>
  <c r="K408" i="18"/>
  <c r="Q407" i="18"/>
  <c r="P407" i="18"/>
  <c r="O407" i="18"/>
  <c r="N407" i="18"/>
  <c r="M407" i="18"/>
  <c r="L407" i="18"/>
  <c r="K407" i="18"/>
  <c r="Q406" i="18"/>
  <c r="P406" i="18"/>
  <c r="O406" i="18"/>
  <c r="N406" i="18"/>
  <c r="M406" i="18"/>
  <c r="L406" i="18"/>
  <c r="K406" i="18"/>
  <c r="Q405" i="18"/>
  <c r="P405" i="18"/>
  <c r="O405" i="18"/>
  <c r="N405" i="18"/>
  <c r="M405" i="18"/>
  <c r="L405" i="18"/>
  <c r="K405" i="18"/>
  <c r="Q404" i="18"/>
  <c r="P404" i="18"/>
  <c r="O404" i="18"/>
  <c r="N404" i="18"/>
  <c r="M404" i="18"/>
  <c r="L404" i="18"/>
  <c r="K404" i="18"/>
  <c r="Q403" i="18"/>
  <c r="P403" i="18"/>
  <c r="O403" i="18"/>
  <c r="N403" i="18"/>
  <c r="M403" i="18"/>
  <c r="L403" i="18"/>
  <c r="K403" i="18"/>
  <c r="Q402" i="18"/>
  <c r="P402" i="18"/>
  <c r="O402" i="18"/>
  <c r="N402" i="18"/>
  <c r="M402" i="18"/>
  <c r="L402" i="18"/>
  <c r="K402" i="18"/>
  <c r="Q401" i="18"/>
  <c r="P401" i="18"/>
  <c r="O401" i="18"/>
  <c r="N401" i="18"/>
  <c r="M401" i="18"/>
  <c r="L401" i="18"/>
  <c r="K401" i="18"/>
  <c r="Q400" i="18"/>
  <c r="P400" i="18"/>
  <c r="O400" i="18"/>
  <c r="N400" i="18"/>
  <c r="M400" i="18"/>
  <c r="L400" i="18"/>
  <c r="K400" i="18"/>
  <c r="Q399" i="18"/>
  <c r="P399" i="18"/>
  <c r="O399" i="18"/>
  <c r="N399" i="18"/>
  <c r="M399" i="18"/>
  <c r="L399" i="18"/>
  <c r="K399" i="18"/>
  <c r="Q398" i="18"/>
  <c r="P398" i="18"/>
  <c r="O398" i="18"/>
  <c r="N398" i="18"/>
  <c r="M398" i="18"/>
  <c r="L398" i="18"/>
  <c r="K398" i="18"/>
  <c r="Q397" i="18"/>
  <c r="P397" i="18"/>
  <c r="O397" i="18"/>
  <c r="N397" i="18"/>
  <c r="M397" i="18"/>
  <c r="L397" i="18"/>
  <c r="K397" i="18"/>
  <c r="Q396" i="18"/>
  <c r="P396" i="18"/>
  <c r="O396" i="18"/>
  <c r="N396" i="18"/>
  <c r="M396" i="18"/>
  <c r="L396" i="18"/>
  <c r="K396" i="18"/>
  <c r="Q395" i="18"/>
  <c r="P395" i="18"/>
  <c r="O395" i="18"/>
  <c r="N395" i="18"/>
  <c r="M395" i="18"/>
  <c r="L395" i="18"/>
  <c r="K395" i="18"/>
  <c r="Q394" i="18"/>
  <c r="P394" i="18"/>
  <c r="O394" i="18"/>
  <c r="N394" i="18"/>
  <c r="M394" i="18"/>
  <c r="L394" i="18"/>
  <c r="K394" i="18"/>
  <c r="Q393" i="18"/>
  <c r="P393" i="18"/>
  <c r="O393" i="18"/>
  <c r="N393" i="18"/>
  <c r="M393" i="18"/>
  <c r="L393" i="18"/>
  <c r="K393" i="18"/>
  <c r="Q392" i="18"/>
  <c r="P392" i="18"/>
  <c r="O392" i="18"/>
  <c r="N392" i="18"/>
  <c r="M392" i="18"/>
  <c r="L392" i="18"/>
  <c r="K392" i="18"/>
  <c r="Q391" i="18"/>
  <c r="P391" i="18"/>
  <c r="O391" i="18"/>
  <c r="N391" i="18"/>
  <c r="M391" i="18"/>
  <c r="L391" i="18"/>
  <c r="K391" i="18"/>
  <c r="Q390" i="18"/>
  <c r="P390" i="18"/>
  <c r="O390" i="18"/>
  <c r="N390" i="18"/>
  <c r="M390" i="18"/>
  <c r="L390" i="18"/>
  <c r="K390" i="18"/>
  <c r="Q389" i="18"/>
  <c r="P389" i="18"/>
  <c r="O389" i="18"/>
  <c r="N389" i="18"/>
  <c r="M389" i="18"/>
  <c r="L389" i="18"/>
  <c r="K389" i="18"/>
  <c r="Q388" i="18"/>
  <c r="P388" i="18"/>
  <c r="O388" i="18"/>
  <c r="N388" i="18"/>
  <c r="M388" i="18"/>
  <c r="L388" i="18"/>
  <c r="K388" i="18"/>
  <c r="Q387" i="18"/>
  <c r="P387" i="18"/>
  <c r="O387" i="18"/>
  <c r="N387" i="18"/>
  <c r="M387" i="18"/>
  <c r="L387" i="18"/>
  <c r="K387" i="18"/>
  <c r="Q386" i="18"/>
  <c r="P386" i="18"/>
  <c r="O386" i="18"/>
  <c r="N386" i="18"/>
  <c r="M386" i="18"/>
  <c r="L386" i="18"/>
  <c r="K386" i="18"/>
  <c r="Q385" i="18"/>
  <c r="P385" i="18"/>
  <c r="O385" i="18"/>
  <c r="N385" i="18"/>
  <c r="M385" i="18"/>
  <c r="L385" i="18"/>
  <c r="K385" i="18"/>
  <c r="Q384" i="18"/>
  <c r="P384" i="18"/>
  <c r="O384" i="18"/>
  <c r="N384" i="18"/>
  <c r="M384" i="18"/>
  <c r="L384" i="18"/>
  <c r="K384" i="18"/>
  <c r="Q383" i="18"/>
  <c r="P383" i="18"/>
  <c r="O383" i="18"/>
  <c r="N383" i="18"/>
  <c r="M383" i="18"/>
  <c r="L383" i="18"/>
  <c r="K383" i="18"/>
  <c r="Q382" i="18"/>
  <c r="P382" i="18"/>
  <c r="O382" i="18"/>
  <c r="N382" i="18"/>
  <c r="M382" i="18"/>
  <c r="L382" i="18"/>
  <c r="K382" i="18"/>
  <c r="Q381" i="18"/>
  <c r="P381" i="18"/>
  <c r="O381" i="18"/>
  <c r="N381" i="18"/>
  <c r="M381" i="18"/>
  <c r="L381" i="18"/>
  <c r="K381" i="18"/>
  <c r="Q380" i="18"/>
  <c r="P380" i="18"/>
  <c r="O380" i="18"/>
  <c r="N380" i="18"/>
  <c r="M380" i="18"/>
  <c r="L380" i="18"/>
  <c r="K380" i="18"/>
  <c r="Q379" i="18"/>
  <c r="P379" i="18"/>
  <c r="O379" i="18"/>
  <c r="N379" i="18"/>
  <c r="M379" i="18"/>
  <c r="L379" i="18"/>
  <c r="K379" i="18"/>
  <c r="Q378" i="18"/>
  <c r="P378" i="18"/>
  <c r="O378" i="18"/>
  <c r="N378" i="18"/>
  <c r="M378" i="18"/>
  <c r="L378" i="18"/>
  <c r="K378" i="18"/>
  <c r="Q377" i="18"/>
  <c r="P377" i="18"/>
  <c r="O377" i="18"/>
  <c r="N377" i="18"/>
  <c r="M377" i="18"/>
  <c r="L377" i="18"/>
  <c r="K377" i="18"/>
  <c r="Q376" i="18"/>
  <c r="P376" i="18"/>
  <c r="O376" i="18"/>
  <c r="N376" i="18"/>
  <c r="M376" i="18"/>
  <c r="L376" i="18"/>
  <c r="K376" i="18"/>
  <c r="Q375" i="18"/>
  <c r="P375" i="18"/>
  <c r="O375" i="18"/>
  <c r="N375" i="18"/>
  <c r="M375" i="18"/>
  <c r="L375" i="18"/>
  <c r="K375" i="18"/>
  <c r="Q374" i="18"/>
  <c r="P374" i="18"/>
  <c r="O374" i="18"/>
  <c r="N374" i="18"/>
  <c r="M374" i="18"/>
  <c r="L374" i="18"/>
  <c r="K374" i="18"/>
  <c r="Q373" i="18"/>
  <c r="P373" i="18"/>
  <c r="O373" i="18"/>
  <c r="N373" i="18"/>
  <c r="M373" i="18"/>
  <c r="L373" i="18"/>
  <c r="K373" i="18"/>
  <c r="Q372" i="18"/>
  <c r="P372" i="18"/>
  <c r="O372" i="18"/>
  <c r="N372" i="18"/>
  <c r="M372" i="18"/>
  <c r="L372" i="18"/>
  <c r="K372" i="18"/>
  <c r="Q371" i="18"/>
  <c r="P371" i="18"/>
  <c r="O371" i="18"/>
  <c r="N371" i="18"/>
  <c r="M371" i="18"/>
  <c r="L371" i="18"/>
  <c r="K371" i="18"/>
  <c r="Q370" i="18"/>
  <c r="P370" i="18"/>
  <c r="O370" i="18"/>
  <c r="N370" i="18"/>
  <c r="M370" i="18"/>
  <c r="L370" i="18"/>
  <c r="K370" i="18"/>
  <c r="Q369" i="18"/>
  <c r="P369" i="18"/>
  <c r="O369" i="18"/>
  <c r="N369" i="18"/>
  <c r="M369" i="18"/>
  <c r="L369" i="18"/>
  <c r="K369" i="18"/>
  <c r="Q368" i="18"/>
  <c r="P368" i="18"/>
  <c r="O368" i="18"/>
  <c r="N368" i="18"/>
  <c r="M368" i="18"/>
  <c r="L368" i="18"/>
  <c r="K368" i="18"/>
  <c r="Q367" i="18"/>
  <c r="P367" i="18"/>
  <c r="O367" i="18"/>
  <c r="N367" i="18"/>
  <c r="M367" i="18"/>
  <c r="L367" i="18"/>
  <c r="K367" i="18"/>
  <c r="Q366" i="18"/>
  <c r="P366" i="18"/>
  <c r="O366" i="18"/>
  <c r="N366" i="18"/>
  <c r="M366" i="18"/>
  <c r="L366" i="18"/>
  <c r="K366" i="18"/>
  <c r="Q365" i="18"/>
  <c r="P365" i="18"/>
  <c r="O365" i="18"/>
  <c r="N365" i="18"/>
  <c r="M365" i="18"/>
  <c r="L365" i="18"/>
  <c r="K365" i="18"/>
  <c r="Q364" i="18"/>
  <c r="P364" i="18"/>
  <c r="O364" i="18"/>
  <c r="N364" i="18"/>
  <c r="M364" i="18"/>
  <c r="L364" i="18"/>
  <c r="K364" i="18"/>
  <c r="Q363" i="18"/>
  <c r="P363" i="18"/>
  <c r="O363" i="18"/>
  <c r="N363" i="18"/>
  <c r="M363" i="18"/>
  <c r="L363" i="18"/>
  <c r="K363" i="18"/>
  <c r="Q362" i="18"/>
  <c r="P362" i="18"/>
  <c r="O362" i="18"/>
  <c r="N362" i="18"/>
  <c r="M362" i="18"/>
  <c r="L362" i="18"/>
  <c r="K362" i="18"/>
  <c r="Q361" i="18"/>
  <c r="P361" i="18"/>
  <c r="O361" i="18"/>
  <c r="N361" i="18"/>
  <c r="M361" i="18"/>
  <c r="L361" i="18"/>
  <c r="K361" i="18"/>
  <c r="Q360" i="18"/>
  <c r="P360" i="18"/>
  <c r="O360" i="18"/>
  <c r="N360" i="18"/>
  <c r="M360" i="18"/>
  <c r="L360" i="18"/>
  <c r="K360" i="18"/>
  <c r="Q359" i="18"/>
  <c r="P359" i="18"/>
  <c r="O359" i="18"/>
  <c r="N359" i="18"/>
  <c r="M359" i="18"/>
  <c r="L359" i="18"/>
  <c r="K359" i="18"/>
  <c r="Q358" i="18"/>
  <c r="P358" i="18"/>
  <c r="O358" i="18"/>
  <c r="N358" i="18"/>
  <c r="M358" i="18"/>
  <c r="L358" i="18"/>
  <c r="K358" i="18"/>
  <c r="Q357" i="18"/>
  <c r="P357" i="18"/>
  <c r="O357" i="18"/>
  <c r="N357" i="18"/>
  <c r="M357" i="18"/>
  <c r="L357" i="18"/>
  <c r="K357" i="18"/>
  <c r="Q356" i="18"/>
  <c r="P356" i="18"/>
  <c r="O356" i="18"/>
  <c r="N356" i="18"/>
  <c r="M356" i="18"/>
  <c r="L356" i="18"/>
  <c r="K356" i="18"/>
  <c r="Q355" i="18"/>
  <c r="P355" i="18"/>
  <c r="O355" i="18"/>
  <c r="N355" i="18"/>
  <c r="M355" i="18"/>
  <c r="L355" i="18"/>
  <c r="K355" i="18"/>
  <c r="Q354" i="18"/>
  <c r="P354" i="18"/>
  <c r="O354" i="18"/>
  <c r="N354" i="18"/>
  <c r="M354" i="18"/>
  <c r="L354" i="18"/>
  <c r="K354" i="18"/>
  <c r="Q353" i="18"/>
  <c r="P353" i="18"/>
  <c r="O353" i="18"/>
  <c r="N353" i="18"/>
  <c r="M353" i="18"/>
  <c r="L353" i="18"/>
  <c r="K353" i="18"/>
  <c r="Q352" i="18"/>
  <c r="P352" i="18"/>
  <c r="O352" i="18"/>
  <c r="N352" i="18"/>
  <c r="M352" i="18"/>
  <c r="L352" i="18"/>
  <c r="K352" i="18"/>
  <c r="Q351" i="18"/>
  <c r="P351" i="18"/>
  <c r="O351" i="18"/>
  <c r="N351" i="18"/>
  <c r="M351" i="18"/>
  <c r="L351" i="18"/>
  <c r="K351" i="18"/>
  <c r="Q350" i="18"/>
  <c r="P350" i="18"/>
  <c r="O350" i="18"/>
  <c r="N350" i="18"/>
  <c r="M350" i="18"/>
  <c r="L350" i="18"/>
  <c r="K350" i="18"/>
  <c r="Q349" i="18"/>
  <c r="P349" i="18"/>
  <c r="O349" i="18"/>
  <c r="N349" i="18"/>
  <c r="M349" i="18"/>
  <c r="L349" i="18"/>
  <c r="K349" i="18"/>
  <c r="Q348" i="18"/>
  <c r="P348" i="18"/>
  <c r="O348" i="18"/>
  <c r="N348" i="18"/>
  <c r="M348" i="18"/>
  <c r="L348" i="18"/>
  <c r="K348" i="18"/>
  <c r="Q347" i="18"/>
  <c r="P347" i="18"/>
  <c r="O347" i="18"/>
  <c r="N347" i="18"/>
  <c r="M347" i="18"/>
  <c r="L347" i="18"/>
  <c r="K347" i="18"/>
  <c r="Q346" i="18"/>
  <c r="P346" i="18"/>
  <c r="O346" i="18"/>
  <c r="N346" i="18"/>
  <c r="M346" i="18"/>
  <c r="L346" i="18"/>
  <c r="K346" i="18"/>
  <c r="Q345" i="18"/>
  <c r="P345" i="18"/>
  <c r="O345" i="18"/>
  <c r="N345" i="18"/>
  <c r="M345" i="18"/>
  <c r="L345" i="18"/>
  <c r="K345" i="18"/>
  <c r="Q344" i="18"/>
  <c r="P344" i="18"/>
  <c r="O344" i="18"/>
  <c r="N344" i="18"/>
  <c r="M344" i="18"/>
  <c r="L344" i="18"/>
  <c r="K344" i="18"/>
  <c r="Q343" i="18"/>
  <c r="P343" i="18"/>
  <c r="O343" i="18"/>
  <c r="N343" i="18"/>
  <c r="M343" i="18"/>
  <c r="L343" i="18"/>
  <c r="K343" i="18"/>
  <c r="Q342" i="18"/>
  <c r="P342" i="18"/>
  <c r="O342" i="18"/>
  <c r="N342" i="18"/>
  <c r="M342" i="18"/>
  <c r="L342" i="18"/>
  <c r="K342" i="18"/>
  <c r="Q341" i="18"/>
  <c r="P341" i="18"/>
  <c r="O341" i="18"/>
  <c r="N341" i="18"/>
  <c r="M341" i="18"/>
  <c r="L341" i="18"/>
  <c r="K341" i="18"/>
  <c r="Q340" i="18"/>
  <c r="P340" i="18"/>
  <c r="O340" i="18"/>
  <c r="N340" i="18"/>
  <c r="M340" i="18"/>
  <c r="L340" i="18"/>
  <c r="K340" i="18"/>
  <c r="Q339" i="18"/>
  <c r="P339" i="18"/>
  <c r="O339" i="18"/>
  <c r="N339" i="18"/>
  <c r="M339" i="18"/>
  <c r="L339" i="18"/>
  <c r="K339" i="18"/>
  <c r="Q338" i="18"/>
  <c r="P338" i="18"/>
  <c r="O338" i="18"/>
  <c r="N338" i="18"/>
  <c r="M338" i="18"/>
  <c r="L338" i="18"/>
  <c r="K338" i="18"/>
  <c r="Q337" i="18"/>
  <c r="P337" i="18"/>
  <c r="O337" i="18"/>
  <c r="N337" i="18"/>
  <c r="M337" i="18"/>
  <c r="L337" i="18"/>
  <c r="K337" i="18"/>
  <c r="Q336" i="18"/>
  <c r="P336" i="18"/>
  <c r="O336" i="18"/>
  <c r="N336" i="18"/>
  <c r="M336" i="18"/>
  <c r="L336" i="18"/>
  <c r="K336" i="18"/>
  <c r="Q335" i="18"/>
  <c r="P335" i="18"/>
  <c r="O335" i="18"/>
  <c r="N335" i="18"/>
  <c r="M335" i="18"/>
  <c r="L335" i="18"/>
  <c r="K335" i="18"/>
  <c r="Q334" i="18"/>
  <c r="P334" i="18"/>
  <c r="O334" i="18"/>
  <c r="N334" i="18"/>
  <c r="M334" i="18"/>
  <c r="L334" i="18"/>
  <c r="K334" i="18"/>
  <c r="Q333" i="18"/>
  <c r="P333" i="18"/>
  <c r="O333" i="18"/>
  <c r="N333" i="18"/>
  <c r="M333" i="18"/>
  <c r="L333" i="18"/>
  <c r="K333" i="18"/>
  <c r="Q332" i="18"/>
  <c r="P332" i="18"/>
  <c r="O332" i="18"/>
  <c r="N332" i="18"/>
  <c r="M332" i="18"/>
  <c r="L332" i="18"/>
  <c r="K332" i="18"/>
  <c r="Q331" i="18"/>
  <c r="P331" i="18"/>
  <c r="O331" i="18"/>
  <c r="N331" i="18"/>
  <c r="M331" i="18"/>
  <c r="L331" i="18"/>
  <c r="K331" i="18"/>
  <c r="Q330" i="18"/>
  <c r="P330" i="18"/>
  <c r="O330" i="18"/>
  <c r="N330" i="18"/>
  <c r="M330" i="18"/>
  <c r="L330" i="18"/>
  <c r="K330" i="18"/>
  <c r="Q329" i="18"/>
  <c r="P329" i="18"/>
  <c r="O329" i="18"/>
  <c r="N329" i="18"/>
  <c r="M329" i="18"/>
  <c r="L329" i="18"/>
  <c r="K329" i="18"/>
  <c r="Q328" i="18"/>
  <c r="P328" i="18"/>
  <c r="O328" i="18"/>
  <c r="N328" i="18"/>
  <c r="M328" i="18"/>
  <c r="L328" i="18"/>
  <c r="K328" i="18"/>
  <c r="Q327" i="18"/>
  <c r="P327" i="18"/>
  <c r="O327" i="18"/>
  <c r="N327" i="18"/>
  <c r="M327" i="18"/>
  <c r="L327" i="18"/>
  <c r="K327" i="18"/>
  <c r="Q326" i="18"/>
  <c r="P326" i="18"/>
  <c r="O326" i="18"/>
  <c r="N326" i="18"/>
  <c r="M326" i="18"/>
  <c r="L326" i="18"/>
  <c r="K326" i="18"/>
  <c r="Q325" i="18"/>
  <c r="P325" i="18"/>
  <c r="O325" i="18"/>
  <c r="N325" i="18"/>
  <c r="M325" i="18"/>
  <c r="L325" i="18"/>
  <c r="K325" i="18"/>
  <c r="Q324" i="18"/>
  <c r="P324" i="18"/>
  <c r="O324" i="18"/>
  <c r="N324" i="18"/>
  <c r="M324" i="18"/>
  <c r="L324" i="18"/>
  <c r="K324" i="18"/>
  <c r="Q323" i="18"/>
  <c r="P323" i="18"/>
  <c r="O323" i="18"/>
  <c r="N323" i="18"/>
  <c r="M323" i="18"/>
  <c r="L323" i="18"/>
  <c r="K323" i="18"/>
  <c r="Q322" i="18"/>
  <c r="P322" i="18"/>
  <c r="O322" i="18"/>
  <c r="N322" i="18"/>
  <c r="M322" i="18"/>
  <c r="L322" i="18"/>
  <c r="K322" i="18"/>
  <c r="Q321" i="18"/>
  <c r="P321" i="18"/>
  <c r="O321" i="18"/>
  <c r="N321" i="18"/>
  <c r="M321" i="18"/>
  <c r="L321" i="18"/>
  <c r="K321" i="18"/>
  <c r="Q320" i="18"/>
  <c r="P320" i="18"/>
  <c r="O320" i="18"/>
  <c r="N320" i="18"/>
  <c r="M320" i="18"/>
  <c r="L320" i="18"/>
  <c r="K320" i="18"/>
  <c r="Q319" i="18"/>
  <c r="P319" i="18"/>
  <c r="O319" i="18"/>
  <c r="N319" i="18"/>
  <c r="M319" i="18"/>
  <c r="L319" i="18"/>
  <c r="K319" i="18"/>
  <c r="Q318" i="18"/>
  <c r="P318" i="18"/>
  <c r="O318" i="18"/>
  <c r="N318" i="18"/>
  <c r="M318" i="18"/>
  <c r="L318" i="18"/>
  <c r="K318" i="18"/>
  <c r="Q317" i="18"/>
  <c r="P317" i="18"/>
  <c r="O317" i="18"/>
  <c r="N317" i="18"/>
  <c r="M317" i="18"/>
  <c r="L317" i="18"/>
  <c r="K317" i="18"/>
  <c r="Q316" i="18"/>
  <c r="P316" i="18"/>
  <c r="O316" i="18"/>
  <c r="N316" i="18"/>
  <c r="M316" i="18"/>
  <c r="L316" i="18"/>
  <c r="K316" i="18"/>
  <c r="Q315" i="18"/>
  <c r="P315" i="18"/>
  <c r="O315" i="18"/>
  <c r="N315" i="18"/>
  <c r="M315" i="18"/>
  <c r="L315" i="18"/>
  <c r="K315" i="18"/>
  <c r="Q314" i="18"/>
  <c r="P314" i="18"/>
  <c r="O314" i="18"/>
  <c r="N314" i="18"/>
  <c r="M314" i="18"/>
  <c r="L314" i="18"/>
  <c r="K314" i="18"/>
  <c r="Q313" i="18"/>
  <c r="P313" i="18"/>
  <c r="O313" i="18"/>
  <c r="N313" i="18"/>
  <c r="M313" i="18"/>
  <c r="L313" i="18"/>
  <c r="K313" i="18"/>
  <c r="Q312" i="18"/>
  <c r="P312" i="18"/>
  <c r="O312" i="18"/>
  <c r="N312" i="18"/>
  <c r="M312" i="18"/>
  <c r="L312" i="18"/>
  <c r="K312" i="18"/>
  <c r="Q311" i="18"/>
  <c r="P311" i="18"/>
  <c r="O311" i="18"/>
  <c r="N311" i="18"/>
  <c r="M311" i="18"/>
  <c r="L311" i="18"/>
  <c r="K311" i="18"/>
  <c r="Q310" i="18"/>
  <c r="P310" i="18"/>
  <c r="O310" i="18"/>
  <c r="N310" i="18"/>
  <c r="M310" i="18"/>
  <c r="L310" i="18"/>
  <c r="K310" i="18"/>
  <c r="Q309" i="18"/>
  <c r="P309" i="18"/>
  <c r="O309" i="18"/>
  <c r="N309" i="18"/>
  <c r="M309" i="18"/>
  <c r="L309" i="18"/>
  <c r="K309" i="18"/>
  <c r="Q308" i="18"/>
  <c r="P308" i="18"/>
  <c r="O308" i="18"/>
  <c r="N308" i="18"/>
  <c r="M308" i="18"/>
  <c r="L308" i="18"/>
  <c r="K308" i="18"/>
  <c r="Q307" i="18"/>
  <c r="P307" i="18"/>
  <c r="O307" i="18"/>
  <c r="N307" i="18"/>
  <c r="M307" i="18"/>
  <c r="L307" i="18"/>
  <c r="K307" i="18"/>
  <c r="Q306" i="18"/>
  <c r="P306" i="18"/>
  <c r="O306" i="18"/>
  <c r="N306" i="18"/>
  <c r="M306" i="18"/>
  <c r="L306" i="18"/>
  <c r="K306" i="18"/>
  <c r="Q305" i="18"/>
  <c r="P305" i="18"/>
  <c r="O305" i="18"/>
  <c r="N305" i="18"/>
  <c r="M305" i="18"/>
  <c r="L305" i="18"/>
  <c r="K305" i="18"/>
  <c r="Q304" i="18"/>
  <c r="P304" i="18"/>
  <c r="O304" i="18"/>
  <c r="N304" i="18"/>
  <c r="M304" i="18"/>
  <c r="L304" i="18"/>
  <c r="K304" i="18"/>
  <c r="Q303" i="18"/>
  <c r="P303" i="18"/>
  <c r="O303" i="18"/>
  <c r="N303" i="18"/>
  <c r="M303" i="18"/>
  <c r="L303" i="18"/>
  <c r="K303" i="18"/>
  <c r="Q302" i="18"/>
  <c r="P302" i="18"/>
  <c r="O302" i="18"/>
  <c r="N302" i="18"/>
  <c r="M302" i="18"/>
  <c r="L302" i="18"/>
  <c r="K302" i="18"/>
  <c r="Q301" i="18"/>
  <c r="P301" i="18"/>
  <c r="O301" i="18"/>
  <c r="N301" i="18"/>
  <c r="M301" i="18"/>
  <c r="L301" i="18"/>
  <c r="K301" i="18"/>
  <c r="Q300" i="18"/>
  <c r="P300" i="18"/>
  <c r="O300" i="18"/>
  <c r="N300" i="18"/>
  <c r="M300" i="18"/>
  <c r="L300" i="18"/>
  <c r="K300" i="18"/>
  <c r="Q299" i="18"/>
  <c r="P299" i="18"/>
  <c r="O299" i="18"/>
  <c r="N299" i="18"/>
  <c r="M299" i="18"/>
  <c r="L299" i="18"/>
  <c r="K299" i="18"/>
  <c r="Q298" i="18"/>
  <c r="P298" i="18"/>
  <c r="O298" i="18"/>
  <c r="N298" i="18"/>
  <c r="M298" i="18"/>
  <c r="L298" i="18"/>
  <c r="K298" i="18"/>
  <c r="Q297" i="18"/>
  <c r="P297" i="18"/>
  <c r="O297" i="18"/>
  <c r="N297" i="18"/>
  <c r="M297" i="18"/>
  <c r="L297" i="18"/>
  <c r="K297" i="18"/>
  <c r="Q296" i="18"/>
  <c r="P296" i="18"/>
  <c r="O296" i="18"/>
  <c r="N296" i="18"/>
  <c r="M296" i="18"/>
  <c r="L296" i="18"/>
  <c r="K296" i="18"/>
  <c r="Q295" i="18"/>
  <c r="P295" i="18"/>
  <c r="O295" i="18"/>
  <c r="N295" i="18"/>
  <c r="M295" i="18"/>
  <c r="L295" i="18"/>
  <c r="K295" i="18"/>
  <c r="Q294" i="18"/>
  <c r="P294" i="18"/>
  <c r="O294" i="18"/>
  <c r="N294" i="18"/>
  <c r="M294" i="18"/>
  <c r="L294" i="18"/>
  <c r="K294" i="18"/>
  <c r="Q293" i="18"/>
  <c r="P293" i="18"/>
  <c r="O293" i="18"/>
  <c r="N293" i="18"/>
  <c r="M293" i="18"/>
  <c r="L293" i="18"/>
  <c r="K293" i="18"/>
  <c r="Q292" i="18"/>
  <c r="P292" i="18"/>
  <c r="O292" i="18"/>
  <c r="N292" i="18"/>
  <c r="M292" i="18"/>
  <c r="L292" i="18"/>
  <c r="K292" i="18"/>
  <c r="Q291" i="18"/>
  <c r="P291" i="18"/>
  <c r="O291" i="18"/>
  <c r="N291" i="18"/>
  <c r="M291" i="18"/>
  <c r="L291" i="18"/>
  <c r="K291" i="18"/>
  <c r="Q290" i="18"/>
  <c r="P290" i="18"/>
  <c r="O290" i="18"/>
  <c r="N290" i="18"/>
  <c r="M290" i="18"/>
  <c r="L290" i="18"/>
  <c r="K290" i="18"/>
  <c r="Q289" i="18"/>
  <c r="P289" i="18"/>
  <c r="O289" i="18"/>
  <c r="N289" i="18"/>
  <c r="M289" i="18"/>
  <c r="L289" i="18"/>
  <c r="K289" i="18"/>
  <c r="Q288" i="18"/>
  <c r="P288" i="18"/>
  <c r="O288" i="18"/>
  <c r="N288" i="18"/>
  <c r="M288" i="18"/>
  <c r="L288" i="18"/>
  <c r="K288" i="18"/>
  <c r="Q287" i="18"/>
  <c r="P287" i="18"/>
  <c r="O287" i="18"/>
  <c r="N287" i="18"/>
  <c r="M287" i="18"/>
  <c r="L287" i="18"/>
  <c r="K287" i="18"/>
  <c r="Q286" i="18"/>
  <c r="P286" i="18"/>
  <c r="O286" i="18"/>
  <c r="N286" i="18"/>
  <c r="M286" i="18"/>
  <c r="L286" i="18"/>
  <c r="K286" i="18"/>
  <c r="Q285" i="18"/>
  <c r="P285" i="18"/>
  <c r="O285" i="18"/>
  <c r="N285" i="18"/>
  <c r="M285" i="18"/>
  <c r="L285" i="18"/>
  <c r="K285" i="18"/>
  <c r="Q284" i="18"/>
  <c r="P284" i="18"/>
  <c r="O284" i="18"/>
  <c r="N284" i="18"/>
  <c r="M284" i="18"/>
  <c r="L284" i="18"/>
  <c r="K284" i="18"/>
  <c r="Q283" i="18"/>
  <c r="P283" i="18"/>
  <c r="O283" i="18"/>
  <c r="N283" i="18"/>
  <c r="M283" i="18"/>
  <c r="L283" i="18"/>
  <c r="K283" i="18"/>
  <c r="Q282" i="18"/>
  <c r="P282" i="18"/>
  <c r="O282" i="18"/>
  <c r="N282" i="18"/>
  <c r="M282" i="18"/>
  <c r="L282" i="18"/>
  <c r="K282" i="18"/>
  <c r="Q281" i="18"/>
  <c r="P281" i="18"/>
  <c r="O281" i="18"/>
  <c r="N281" i="18"/>
  <c r="M281" i="18"/>
  <c r="L281" i="18"/>
  <c r="K281" i="18"/>
  <c r="Q280" i="18"/>
  <c r="P280" i="18"/>
  <c r="O280" i="18"/>
  <c r="N280" i="18"/>
  <c r="M280" i="18"/>
  <c r="L280" i="18"/>
  <c r="K280" i="18"/>
  <c r="Q279" i="18"/>
  <c r="P279" i="18"/>
  <c r="O279" i="18"/>
  <c r="N279" i="18"/>
  <c r="M279" i="18"/>
  <c r="L279" i="18"/>
  <c r="K279" i="18"/>
  <c r="Q278" i="18"/>
  <c r="P278" i="18"/>
  <c r="O278" i="18"/>
  <c r="N278" i="18"/>
  <c r="M278" i="18"/>
  <c r="L278" i="18"/>
  <c r="K278" i="18"/>
  <c r="Q277" i="18"/>
  <c r="P277" i="18"/>
  <c r="O277" i="18"/>
  <c r="N277" i="18"/>
  <c r="M277" i="18"/>
  <c r="L277" i="18"/>
  <c r="K277" i="18"/>
  <c r="Q276" i="18"/>
  <c r="P276" i="18"/>
  <c r="O276" i="18"/>
  <c r="N276" i="18"/>
  <c r="M276" i="18"/>
  <c r="L276" i="18"/>
  <c r="K276" i="18"/>
  <c r="Q275" i="18"/>
  <c r="P275" i="18"/>
  <c r="O275" i="18"/>
  <c r="N275" i="18"/>
  <c r="M275" i="18"/>
  <c r="L275" i="18"/>
  <c r="K275" i="18"/>
  <c r="Q274" i="18"/>
  <c r="P274" i="18"/>
  <c r="O274" i="18"/>
  <c r="N274" i="18"/>
  <c r="M274" i="18"/>
  <c r="L274" i="18"/>
  <c r="K274" i="18"/>
  <c r="Q273" i="18"/>
  <c r="P273" i="18"/>
  <c r="O273" i="18"/>
  <c r="N273" i="18"/>
  <c r="M273" i="18"/>
  <c r="L273" i="18"/>
  <c r="K273" i="18"/>
  <c r="Q272" i="18"/>
  <c r="P272" i="18"/>
  <c r="O272" i="18"/>
  <c r="N272" i="18"/>
  <c r="M272" i="18"/>
  <c r="L272" i="18"/>
  <c r="K272" i="18"/>
  <c r="Q271" i="18"/>
  <c r="P271" i="18"/>
  <c r="O271" i="18"/>
  <c r="N271" i="18"/>
  <c r="M271" i="18"/>
  <c r="L271" i="18"/>
  <c r="K271" i="18"/>
  <c r="Q270" i="18"/>
  <c r="P270" i="18"/>
  <c r="O270" i="18"/>
  <c r="N270" i="18"/>
  <c r="M270" i="18"/>
  <c r="L270" i="18"/>
  <c r="K270" i="18"/>
  <c r="Q269" i="18"/>
  <c r="P269" i="18"/>
  <c r="O269" i="18"/>
  <c r="N269" i="18"/>
  <c r="M269" i="18"/>
  <c r="L269" i="18"/>
  <c r="K269" i="18"/>
  <c r="Q268" i="18"/>
  <c r="P268" i="18"/>
  <c r="O268" i="18"/>
  <c r="N268" i="18"/>
  <c r="M268" i="18"/>
  <c r="L268" i="18"/>
  <c r="K268" i="18"/>
  <c r="Q267" i="18"/>
  <c r="P267" i="18"/>
  <c r="O267" i="18"/>
  <c r="N267" i="18"/>
  <c r="M267" i="18"/>
  <c r="L267" i="18"/>
  <c r="K267" i="18"/>
  <c r="Q266" i="18"/>
  <c r="P266" i="18"/>
  <c r="O266" i="18"/>
  <c r="N266" i="18"/>
  <c r="M266" i="18"/>
  <c r="L266" i="18"/>
  <c r="K266" i="18"/>
  <c r="Q265" i="18"/>
  <c r="P265" i="18"/>
  <c r="O265" i="18"/>
  <c r="N265" i="18"/>
  <c r="M265" i="18"/>
  <c r="L265" i="18"/>
  <c r="K265" i="18"/>
  <c r="Q264" i="18"/>
  <c r="P264" i="18"/>
  <c r="O264" i="18"/>
  <c r="N264" i="18"/>
  <c r="M264" i="18"/>
  <c r="L264" i="18"/>
  <c r="K264" i="18"/>
  <c r="Q263" i="18"/>
  <c r="P263" i="18"/>
  <c r="O263" i="18"/>
  <c r="N263" i="18"/>
  <c r="M263" i="18"/>
  <c r="L263" i="18"/>
  <c r="K263" i="18"/>
  <c r="Q262" i="18"/>
  <c r="P262" i="18"/>
  <c r="O262" i="18"/>
  <c r="N262" i="18"/>
  <c r="M262" i="18"/>
  <c r="L262" i="18"/>
  <c r="K262" i="18"/>
  <c r="Q261" i="18"/>
  <c r="P261" i="18"/>
  <c r="O261" i="18"/>
  <c r="N261" i="18"/>
  <c r="M261" i="18"/>
  <c r="L261" i="18"/>
  <c r="K261" i="18"/>
  <c r="Q260" i="18"/>
  <c r="P260" i="18"/>
  <c r="O260" i="18"/>
  <c r="N260" i="18"/>
  <c r="M260" i="18"/>
  <c r="L260" i="18"/>
  <c r="K260" i="18"/>
  <c r="Q259" i="18"/>
  <c r="P259" i="18"/>
  <c r="O259" i="18"/>
  <c r="N259" i="18"/>
  <c r="M259" i="18"/>
  <c r="L259" i="18"/>
  <c r="K259" i="18"/>
  <c r="Q258" i="18"/>
  <c r="P258" i="18"/>
  <c r="O258" i="18"/>
  <c r="N258" i="18"/>
  <c r="M258" i="18"/>
  <c r="L258" i="18"/>
  <c r="K258" i="18"/>
  <c r="Q257" i="18"/>
  <c r="P257" i="18"/>
  <c r="O257" i="18"/>
  <c r="N257" i="18"/>
  <c r="M257" i="18"/>
  <c r="L257" i="18"/>
  <c r="K257" i="18"/>
  <c r="Q256" i="18"/>
  <c r="P256" i="18"/>
  <c r="O256" i="18"/>
  <c r="N256" i="18"/>
  <c r="M256" i="18"/>
  <c r="L256" i="18"/>
  <c r="K256" i="18"/>
  <c r="Q255" i="18"/>
  <c r="P255" i="18"/>
  <c r="O255" i="18"/>
  <c r="N255" i="18"/>
  <c r="M255" i="18"/>
  <c r="L255" i="18"/>
  <c r="K255" i="18"/>
  <c r="Q254" i="18"/>
  <c r="P254" i="18"/>
  <c r="O254" i="18"/>
  <c r="N254" i="18"/>
  <c r="M254" i="18"/>
  <c r="L254" i="18"/>
  <c r="K254" i="18"/>
  <c r="Q253" i="18"/>
  <c r="P253" i="18"/>
  <c r="O253" i="18"/>
  <c r="N253" i="18"/>
  <c r="M253" i="18"/>
  <c r="L253" i="18"/>
  <c r="K253" i="18"/>
  <c r="Q252" i="18"/>
  <c r="P252" i="18"/>
  <c r="O252" i="18"/>
  <c r="N252" i="18"/>
  <c r="M252" i="18"/>
  <c r="L252" i="18"/>
  <c r="K252" i="18"/>
  <c r="Q251" i="18"/>
  <c r="P251" i="18"/>
  <c r="O251" i="18"/>
  <c r="N251" i="18"/>
  <c r="M251" i="18"/>
  <c r="L251" i="18"/>
  <c r="K251" i="18"/>
  <c r="Q250" i="18"/>
  <c r="P250" i="18"/>
  <c r="O250" i="18"/>
  <c r="N250" i="18"/>
  <c r="M250" i="18"/>
  <c r="L250" i="18"/>
  <c r="K250" i="18"/>
  <c r="Q249" i="18"/>
  <c r="P249" i="18"/>
  <c r="O249" i="18"/>
  <c r="N249" i="18"/>
  <c r="M249" i="18"/>
  <c r="L249" i="18"/>
  <c r="K249" i="18"/>
  <c r="Q248" i="18"/>
  <c r="P248" i="18"/>
  <c r="O248" i="18"/>
  <c r="N248" i="18"/>
  <c r="M248" i="18"/>
  <c r="L248" i="18"/>
  <c r="K248" i="18"/>
  <c r="Q247" i="18"/>
  <c r="P247" i="18"/>
  <c r="O247" i="18"/>
  <c r="N247" i="18"/>
  <c r="M247" i="18"/>
  <c r="L247" i="18"/>
  <c r="K247" i="18"/>
  <c r="Q246" i="18"/>
  <c r="P246" i="18"/>
  <c r="O246" i="18"/>
  <c r="N246" i="18"/>
  <c r="M246" i="18"/>
  <c r="L246" i="18"/>
  <c r="K246" i="18"/>
  <c r="Q245" i="18"/>
  <c r="P245" i="18"/>
  <c r="O245" i="18"/>
  <c r="N245" i="18"/>
  <c r="M245" i="18"/>
  <c r="L245" i="18"/>
  <c r="K245" i="18"/>
  <c r="Q244" i="18"/>
  <c r="P244" i="18"/>
  <c r="O244" i="18"/>
  <c r="N244" i="18"/>
  <c r="M244" i="18"/>
  <c r="L244" i="18"/>
  <c r="K244" i="18"/>
  <c r="Q243" i="18"/>
  <c r="P243" i="18"/>
  <c r="O243" i="18"/>
  <c r="N243" i="18"/>
  <c r="M243" i="18"/>
  <c r="L243" i="18"/>
  <c r="K243" i="18"/>
  <c r="Q242" i="18"/>
  <c r="P242" i="18"/>
  <c r="O242" i="18"/>
  <c r="N242" i="18"/>
  <c r="M242" i="18"/>
  <c r="L242" i="18"/>
  <c r="K242" i="18"/>
  <c r="Q241" i="18"/>
  <c r="P241" i="18"/>
  <c r="O241" i="18"/>
  <c r="N241" i="18"/>
  <c r="M241" i="18"/>
  <c r="L241" i="18"/>
  <c r="K241" i="18"/>
  <c r="Q240" i="18"/>
  <c r="P240" i="18"/>
  <c r="O240" i="18"/>
  <c r="N240" i="18"/>
  <c r="M240" i="18"/>
  <c r="L240" i="18"/>
  <c r="K240" i="18"/>
  <c r="Q239" i="18"/>
  <c r="P239" i="18"/>
  <c r="O239" i="18"/>
  <c r="N239" i="18"/>
  <c r="M239" i="18"/>
  <c r="L239" i="18"/>
  <c r="K239" i="18"/>
  <c r="Q238" i="18"/>
  <c r="P238" i="18"/>
  <c r="O238" i="18"/>
  <c r="N238" i="18"/>
  <c r="M238" i="18"/>
  <c r="L238" i="18"/>
  <c r="K238" i="18"/>
  <c r="Q237" i="18"/>
  <c r="P237" i="18"/>
  <c r="O237" i="18"/>
  <c r="N237" i="18"/>
  <c r="M237" i="18"/>
  <c r="L237" i="18"/>
  <c r="K237" i="18"/>
  <c r="Q236" i="18"/>
  <c r="P236" i="18"/>
  <c r="O236" i="18"/>
  <c r="N236" i="18"/>
  <c r="M236" i="18"/>
  <c r="L236" i="18"/>
  <c r="K236" i="18"/>
  <c r="Q235" i="18"/>
  <c r="P235" i="18"/>
  <c r="O235" i="18"/>
  <c r="N235" i="18"/>
  <c r="M235" i="18"/>
  <c r="L235" i="18"/>
  <c r="K235" i="18"/>
  <c r="Q234" i="18"/>
  <c r="P234" i="18"/>
  <c r="O234" i="18"/>
  <c r="N234" i="18"/>
  <c r="M234" i="18"/>
  <c r="L234" i="18"/>
  <c r="K234" i="18"/>
  <c r="Q233" i="18"/>
  <c r="P233" i="18"/>
  <c r="O233" i="18"/>
  <c r="N233" i="18"/>
  <c r="M233" i="18"/>
  <c r="L233" i="18"/>
  <c r="K233" i="18"/>
  <c r="Q232" i="18"/>
  <c r="P232" i="18"/>
  <c r="O232" i="18"/>
  <c r="N232" i="18"/>
  <c r="M232" i="18"/>
  <c r="L232" i="18"/>
  <c r="K232" i="18"/>
  <c r="Q231" i="18"/>
  <c r="P231" i="18"/>
  <c r="O231" i="18"/>
  <c r="N231" i="18"/>
  <c r="M231" i="18"/>
  <c r="L231" i="18"/>
  <c r="K231" i="18"/>
  <c r="Q230" i="18"/>
  <c r="P230" i="18"/>
  <c r="O230" i="18"/>
  <c r="N230" i="18"/>
  <c r="M230" i="18"/>
  <c r="L230" i="18"/>
  <c r="K230" i="18"/>
  <c r="Q229" i="18"/>
  <c r="P229" i="18"/>
  <c r="O229" i="18"/>
  <c r="N229" i="18"/>
  <c r="M229" i="18"/>
  <c r="L229" i="18"/>
  <c r="K229" i="18"/>
  <c r="Q228" i="18"/>
  <c r="P228" i="18"/>
  <c r="O228" i="18"/>
  <c r="N228" i="18"/>
  <c r="M228" i="18"/>
  <c r="L228" i="18"/>
  <c r="K228" i="18"/>
  <c r="Q227" i="18"/>
  <c r="P227" i="18"/>
  <c r="O227" i="18"/>
  <c r="N227" i="18"/>
  <c r="M227" i="18"/>
  <c r="L227" i="18"/>
  <c r="K227" i="18"/>
  <c r="Q226" i="18"/>
  <c r="P226" i="18"/>
  <c r="O226" i="18"/>
  <c r="N226" i="18"/>
  <c r="M226" i="18"/>
  <c r="L226" i="18"/>
  <c r="K226" i="18"/>
  <c r="Q225" i="18"/>
  <c r="P225" i="18"/>
  <c r="O225" i="18"/>
  <c r="N225" i="18"/>
  <c r="M225" i="18"/>
  <c r="L225" i="18"/>
  <c r="K225" i="18"/>
  <c r="Q224" i="18"/>
  <c r="P224" i="18"/>
  <c r="O224" i="18"/>
  <c r="N224" i="18"/>
  <c r="M224" i="18"/>
  <c r="L224" i="18"/>
  <c r="K224" i="18"/>
  <c r="Q223" i="18"/>
  <c r="P223" i="18"/>
  <c r="O223" i="18"/>
  <c r="N223" i="18"/>
  <c r="M223" i="18"/>
  <c r="L223" i="18"/>
  <c r="K223" i="18"/>
  <c r="Q222" i="18"/>
  <c r="P222" i="18"/>
  <c r="O222" i="18"/>
  <c r="N222" i="18"/>
  <c r="M222" i="18"/>
  <c r="L222" i="18"/>
  <c r="K222" i="18"/>
  <c r="Q221" i="18"/>
  <c r="P221" i="18"/>
  <c r="O221" i="18"/>
  <c r="N221" i="18"/>
  <c r="M221" i="18"/>
  <c r="L221" i="18"/>
  <c r="K221" i="18"/>
  <c r="Q220" i="18"/>
  <c r="P220" i="18"/>
  <c r="O220" i="18"/>
  <c r="N220" i="18"/>
  <c r="M220" i="18"/>
  <c r="L220" i="18"/>
  <c r="K220" i="18"/>
  <c r="Q219" i="18"/>
  <c r="P219" i="18"/>
  <c r="O219" i="18"/>
  <c r="N219" i="18"/>
  <c r="M219" i="18"/>
  <c r="L219" i="18"/>
  <c r="K219" i="18"/>
  <c r="Q218" i="18"/>
  <c r="P218" i="18"/>
  <c r="O218" i="18"/>
  <c r="N218" i="18"/>
  <c r="M218" i="18"/>
  <c r="L218" i="18"/>
  <c r="K218" i="18"/>
  <c r="Q217" i="18"/>
  <c r="P217" i="18"/>
  <c r="O217" i="18"/>
  <c r="N217" i="18"/>
  <c r="M217" i="18"/>
  <c r="L217" i="18"/>
  <c r="K217" i="18"/>
  <c r="Q216" i="18"/>
  <c r="P216" i="18"/>
  <c r="O216" i="18"/>
  <c r="N216" i="18"/>
  <c r="M216" i="18"/>
  <c r="L216" i="18"/>
  <c r="K216" i="18"/>
  <c r="Q215" i="18"/>
  <c r="P215" i="18"/>
  <c r="O215" i="18"/>
  <c r="N215" i="18"/>
  <c r="M215" i="18"/>
  <c r="L215" i="18"/>
  <c r="K215" i="18"/>
  <c r="Q214" i="18"/>
  <c r="P214" i="18"/>
  <c r="O214" i="18"/>
  <c r="N214" i="18"/>
  <c r="M214" i="18"/>
  <c r="L214" i="18"/>
  <c r="K214" i="18"/>
  <c r="Q213" i="18"/>
  <c r="P213" i="18"/>
  <c r="O213" i="18"/>
  <c r="N213" i="18"/>
  <c r="M213" i="18"/>
  <c r="L213" i="18"/>
  <c r="K213" i="18"/>
  <c r="Q212" i="18"/>
  <c r="P212" i="18"/>
  <c r="O212" i="18"/>
  <c r="N212" i="18"/>
  <c r="M212" i="18"/>
  <c r="L212" i="18"/>
  <c r="K212" i="18"/>
  <c r="Q211" i="18"/>
  <c r="P211" i="18"/>
  <c r="O211" i="18"/>
  <c r="N211" i="18"/>
  <c r="M211" i="18"/>
  <c r="L211" i="18"/>
  <c r="K211" i="18"/>
  <c r="Q210" i="18"/>
  <c r="P210" i="18"/>
  <c r="O210" i="18"/>
  <c r="N210" i="18"/>
  <c r="M210" i="18"/>
  <c r="L210" i="18"/>
  <c r="K210" i="18"/>
  <c r="Q209" i="18"/>
  <c r="P209" i="18"/>
  <c r="O209" i="18"/>
  <c r="N209" i="18"/>
  <c r="M209" i="18"/>
  <c r="L209" i="18"/>
  <c r="K209" i="18"/>
  <c r="Q208" i="18"/>
  <c r="P208" i="18"/>
  <c r="O208" i="18"/>
  <c r="N208" i="18"/>
  <c r="M208" i="18"/>
  <c r="L208" i="18"/>
  <c r="K208" i="18"/>
  <c r="Q207" i="18"/>
  <c r="P207" i="18"/>
  <c r="O207" i="18"/>
  <c r="N207" i="18"/>
  <c r="M207" i="18"/>
  <c r="L207" i="18"/>
  <c r="K207" i="18"/>
  <c r="Q206" i="18"/>
  <c r="P206" i="18"/>
  <c r="O206" i="18"/>
  <c r="N206" i="18"/>
  <c r="M206" i="18"/>
  <c r="L206" i="18"/>
  <c r="K206" i="18"/>
  <c r="Q205" i="18"/>
  <c r="P205" i="18"/>
  <c r="O205" i="18"/>
  <c r="N205" i="18"/>
  <c r="M205" i="18"/>
  <c r="L205" i="18"/>
  <c r="K205" i="18"/>
  <c r="Q204" i="18"/>
  <c r="P204" i="18"/>
  <c r="O204" i="18"/>
  <c r="N204" i="18"/>
  <c r="M204" i="18"/>
  <c r="L204" i="18"/>
  <c r="K204" i="18"/>
  <c r="Q203" i="18"/>
  <c r="P203" i="18"/>
  <c r="O203" i="18"/>
  <c r="N203" i="18"/>
  <c r="M203" i="18"/>
  <c r="L203" i="18"/>
  <c r="K203" i="18"/>
  <c r="Q202" i="18"/>
  <c r="P202" i="18"/>
  <c r="O202" i="18"/>
  <c r="N202" i="18"/>
  <c r="M202" i="18"/>
  <c r="L202" i="18"/>
  <c r="K202" i="18"/>
  <c r="Q201" i="18"/>
  <c r="P201" i="18"/>
  <c r="O201" i="18"/>
  <c r="N201" i="18"/>
  <c r="M201" i="18"/>
  <c r="L201" i="18"/>
  <c r="K201" i="18"/>
  <c r="Q200" i="18"/>
  <c r="P200" i="18"/>
  <c r="O200" i="18"/>
  <c r="N200" i="18"/>
  <c r="M200" i="18"/>
  <c r="L200" i="18"/>
  <c r="K200" i="18"/>
  <c r="Q199" i="18"/>
  <c r="P199" i="18"/>
  <c r="O199" i="18"/>
  <c r="N199" i="18"/>
  <c r="M199" i="18"/>
  <c r="L199" i="18"/>
  <c r="K199" i="18"/>
  <c r="Q198" i="18"/>
  <c r="P198" i="18"/>
  <c r="O198" i="18"/>
  <c r="N198" i="18"/>
  <c r="M198" i="18"/>
  <c r="L198" i="18"/>
  <c r="K198" i="18"/>
  <c r="Q197" i="18"/>
  <c r="P197" i="18"/>
  <c r="O197" i="18"/>
  <c r="N197" i="18"/>
  <c r="M197" i="18"/>
  <c r="L197" i="18"/>
  <c r="K197" i="18"/>
  <c r="Q196" i="18"/>
  <c r="P196" i="18"/>
  <c r="O196" i="18"/>
  <c r="N196" i="18"/>
  <c r="M196" i="18"/>
  <c r="L196" i="18"/>
  <c r="K196" i="18"/>
  <c r="Q195" i="18"/>
  <c r="P195" i="18"/>
  <c r="O195" i="18"/>
  <c r="N195" i="18"/>
  <c r="M195" i="18"/>
  <c r="L195" i="18"/>
  <c r="K195" i="18"/>
  <c r="Q194" i="18"/>
  <c r="P194" i="18"/>
  <c r="O194" i="18"/>
  <c r="N194" i="18"/>
  <c r="M194" i="18"/>
  <c r="L194" i="18"/>
  <c r="K194" i="18"/>
  <c r="Q193" i="18"/>
  <c r="P193" i="18"/>
  <c r="O193" i="18"/>
  <c r="N193" i="18"/>
  <c r="M193" i="18"/>
  <c r="L193" i="18"/>
  <c r="K193" i="18"/>
  <c r="Q192" i="18"/>
  <c r="P192" i="18"/>
  <c r="O192" i="18"/>
  <c r="N192" i="18"/>
  <c r="M192" i="18"/>
  <c r="L192" i="18"/>
  <c r="K192" i="18"/>
  <c r="Q191" i="18"/>
  <c r="P191" i="18"/>
  <c r="O191" i="18"/>
  <c r="N191" i="18"/>
  <c r="M191" i="18"/>
  <c r="L191" i="18"/>
  <c r="K191" i="18"/>
  <c r="Q190" i="18"/>
  <c r="P190" i="18"/>
  <c r="O190" i="18"/>
  <c r="N190" i="18"/>
  <c r="M190" i="18"/>
  <c r="L190" i="18"/>
  <c r="K190" i="18"/>
  <c r="Q189" i="18"/>
  <c r="P189" i="18"/>
  <c r="O189" i="18"/>
  <c r="N189" i="18"/>
  <c r="M189" i="18"/>
  <c r="L189" i="18"/>
  <c r="K189" i="18"/>
  <c r="Q188" i="18"/>
  <c r="P188" i="18"/>
  <c r="O188" i="18"/>
  <c r="N188" i="18"/>
  <c r="M188" i="18"/>
  <c r="L188" i="18"/>
  <c r="K188" i="18"/>
  <c r="Q187" i="18"/>
  <c r="P187" i="18"/>
  <c r="O187" i="18"/>
  <c r="N187" i="18"/>
  <c r="M187" i="18"/>
  <c r="L187" i="18"/>
  <c r="K187" i="18"/>
  <c r="Q186" i="18"/>
  <c r="P186" i="18"/>
  <c r="O186" i="18"/>
  <c r="N186" i="18"/>
  <c r="M186" i="18"/>
  <c r="L186" i="18"/>
  <c r="K186" i="18"/>
  <c r="Q185" i="18"/>
  <c r="P185" i="18"/>
  <c r="O185" i="18"/>
  <c r="N185" i="18"/>
  <c r="M185" i="18"/>
  <c r="L185" i="18"/>
  <c r="K185" i="18"/>
  <c r="Q184" i="18"/>
  <c r="P184" i="18"/>
  <c r="O184" i="18"/>
  <c r="N184" i="18"/>
  <c r="M184" i="18"/>
  <c r="L184" i="18"/>
  <c r="K184" i="18"/>
  <c r="Q183" i="18"/>
  <c r="P183" i="18"/>
  <c r="O183" i="18"/>
  <c r="N183" i="18"/>
  <c r="M183" i="18"/>
  <c r="L183" i="18"/>
  <c r="K183" i="18"/>
  <c r="Q182" i="18"/>
  <c r="P182" i="18"/>
  <c r="O182" i="18"/>
  <c r="N182" i="18"/>
  <c r="M182" i="18"/>
  <c r="L182" i="18"/>
  <c r="K182" i="18"/>
  <c r="Q181" i="18"/>
  <c r="P181" i="18"/>
  <c r="O181" i="18"/>
  <c r="N181" i="18"/>
  <c r="M181" i="18"/>
  <c r="L181" i="18"/>
  <c r="K181" i="18"/>
  <c r="Q180" i="18"/>
  <c r="P180" i="18"/>
  <c r="O180" i="18"/>
  <c r="N180" i="18"/>
  <c r="M180" i="18"/>
  <c r="L180" i="18"/>
  <c r="K180" i="18"/>
  <c r="Q179" i="18"/>
  <c r="P179" i="18"/>
  <c r="O179" i="18"/>
  <c r="N179" i="18"/>
  <c r="M179" i="18"/>
  <c r="L179" i="18"/>
  <c r="K179" i="18"/>
  <c r="Q178" i="18"/>
  <c r="P178" i="18"/>
  <c r="O178" i="18"/>
  <c r="N178" i="18"/>
  <c r="M178" i="18"/>
  <c r="L178" i="18"/>
  <c r="K178" i="18"/>
  <c r="Q177" i="18"/>
  <c r="P177" i="18"/>
  <c r="O177" i="18"/>
  <c r="N177" i="18"/>
  <c r="M177" i="18"/>
  <c r="L177" i="18"/>
  <c r="K177" i="18"/>
  <c r="Q176" i="18"/>
  <c r="P176" i="18"/>
  <c r="O176" i="18"/>
  <c r="N176" i="18"/>
  <c r="M176" i="18"/>
  <c r="L176" i="18"/>
  <c r="K176" i="18"/>
  <c r="Q175" i="18"/>
  <c r="V282" i="17" s="1"/>
  <c r="Q174" i="18"/>
  <c r="Q173" i="18"/>
  <c r="Q172" i="18"/>
  <c r="Q171" i="18"/>
  <c r="Q170" i="18"/>
  <c r="Q169" i="18"/>
  <c r="Q168" i="18"/>
  <c r="Q167" i="18"/>
  <c r="Q166" i="18"/>
  <c r="Q165" i="18"/>
  <c r="Q164" i="18"/>
  <c r="Q163" i="18"/>
  <c r="Q162" i="18"/>
  <c r="Q161" i="18"/>
  <c r="Q160" i="18"/>
  <c r="Q159" i="18"/>
  <c r="Q158" i="18"/>
  <c r="Q157" i="18"/>
  <c r="Q156" i="18"/>
  <c r="Q155" i="18"/>
  <c r="Q154" i="18"/>
  <c r="Q153" i="18"/>
  <c r="Q152" i="18"/>
  <c r="Q151" i="18"/>
  <c r="Q150" i="18"/>
  <c r="Q149" i="18"/>
  <c r="Q148" i="18"/>
  <c r="Q147" i="18"/>
  <c r="Q146" i="18"/>
  <c r="Q145" i="18"/>
  <c r="Q144" i="18"/>
  <c r="Q143" i="18"/>
  <c r="Q142" i="18"/>
  <c r="Q141" i="18"/>
  <c r="Q140" i="18"/>
  <c r="Q139" i="18"/>
  <c r="Q138" i="18"/>
  <c r="Q137" i="18"/>
  <c r="Q136" i="18"/>
  <c r="Q135" i="18"/>
  <c r="Q134" i="18"/>
  <c r="Q133" i="18"/>
  <c r="Q132" i="18"/>
  <c r="Q131" i="18"/>
  <c r="Q130" i="18"/>
  <c r="Q129" i="18"/>
  <c r="Q128" i="18"/>
  <c r="Q127" i="18"/>
  <c r="Q126" i="18"/>
  <c r="Q125" i="18"/>
  <c r="Q124" i="18"/>
  <c r="Q123" i="18"/>
  <c r="Q122" i="18"/>
  <c r="Q121" i="18"/>
  <c r="Q120" i="18"/>
  <c r="Q119" i="18"/>
  <c r="Q118" i="18"/>
  <c r="Q117" i="18"/>
  <c r="Q116" i="18"/>
  <c r="Q115" i="18"/>
  <c r="Q114" i="18"/>
  <c r="Q113" i="18"/>
  <c r="Q112" i="18"/>
  <c r="Q111" i="18"/>
  <c r="Q110" i="18"/>
  <c r="Q109" i="18"/>
  <c r="Q108" i="18"/>
  <c r="Q107" i="18"/>
  <c r="Q106" i="18"/>
  <c r="Q105" i="18"/>
  <c r="Q104" i="18"/>
  <c r="Q103" i="18"/>
  <c r="Q102" i="18"/>
  <c r="Q101" i="18"/>
  <c r="Q100" i="18"/>
  <c r="Q99" i="18"/>
  <c r="Q98" i="18"/>
  <c r="Q97" i="18"/>
  <c r="Q96" i="18"/>
  <c r="Q95" i="18"/>
  <c r="Q94" i="18"/>
  <c r="Q93" i="18"/>
  <c r="Q92" i="18"/>
  <c r="Q91" i="18"/>
  <c r="Q90" i="18"/>
  <c r="Q89" i="18"/>
  <c r="Q88" i="18"/>
  <c r="Q87" i="18"/>
  <c r="Q86" i="18"/>
  <c r="Q85" i="18"/>
  <c r="Q84" i="18"/>
  <c r="Q83" i="18"/>
  <c r="Q82" i="18"/>
  <c r="Q81" i="18"/>
  <c r="Q80" i="18"/>
  <c r="Q79" i="18"/>
  <c r="Q78" i="18"/>
  <c r="Q77" i="18"/>
  <c r="Q76" i="18"/>
  <c r="Q75" i="18"/>
  <c r="Q74" i="18"/>
  <c r="Q73" i="18"/>
  <c r="Q72" i="18"/>
  <c r="Q71" i="18"/>
  <c r="Q70" i="18"/>
  <c r="Q69" i="18"/>
  <c r="Q68" i="18"/>
  <c r="Q67" i="18"/>
  <c r="Q66" i="18"/>
  <c r="Q65" i="18"/>
  <c r="Q64" i="18"/>
  <c r="Q63" i="18"/>
  <c r="Q62" i="18"/>
  <c r="Q61" i="18"/>
  <c r="Q60" i="18"/>
  <c r="Q59" i="18"/>
  <c r="Q58" i="18"/>
  <c r="Q57" i="18"/>
  <c r="Q56" i="18"/>
  <c r="Q55" i="18"/>
  <c r="Q54" i="18"/>
  <c r="Q53" i="18"/>
  <c r="Q52" i="18"/>
  <c r="Q51" i="18"/>
  <c r="Q50" i="18"/>
  <c r="Q49" i="18"/>
  <c r="Q48" i="18"/>
  <c r="Q47" i="18"/>
  <c r="Q46" i="18"/>
  <c r="Q45" i="18"/>
  <c r="Q44" i="18"/>
  <c r="Q43" i="18"/>
  <c r="Q42" i="18"/>
  <c r="Q41" i="18"/>
  <c r="Q40" i="18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Q10" i="18"/>
  <c r="Q9" i="18"/>
  <c r="Q8" i="18"/>
  <c r="Q7" i="18"/>
  <c r="W1006" i="17"/>
  <c r="V1006" i="17"/>
  <c r="U1006" i="17"/>
  <c r="T1006" i="17"/>
  <c r="S1006" i="17"/>
  <c r="R1006" i="17"/>
  <c r="Q1006" i="17"/>
  <c r="P1006" i="17"/>
  <c r="W1005" i="17"/>
  <c r="V1005" i="17"/>
  <c r="U1005" i="17"/>
  <c r="T1005" i="17"/>
  <c r="S1005" i="17"/>
  <c r="R1005" i="17"/>
  <c r="Q1005" i="17"/>
  <c r="P1005" i="17"/>
  <c r="W1004" i="17"/>
  <c r="V1004" i="17"/>
  <c r="U1004" i="17"/>
  <c r="T1004" i="17"/>
  <c r="S1004" i="17"/>
  <c r="R1004" i="17"/>
  <c r="Q1004" i="17"/>
  <c r="P1004" i="17"/>
  <c r="W1003" i="17"/>
  <c r="V1003" i="17"/>
  <c r="U1003" i="17"/>
  <c r="T1003" i="17"/>
  <c r="S1003" i="17"/>
  <c r="R1003" i="17"/>
  <c r="Q1003" i="17"/>
  <c r="P1003" i="17"/>
  <c r="W1002" i="17"/>
  <c r="V1002" i="17"/>
  <c r="U1002" i="17"/>
  <c r="T1002" i="17"/>
  <c r="S1002" i="17"/>
  <c r="R1002" i="17"/>
  <c r="Q1002" i="17"/>
  <c r="P1002" i="17"/>
  <c r="W1001" i="17"/>
  <c r="V1001" i="17"/>
  <c r="U1001" i="17"/>
  <c r="T1001" i="17"/>
  <c r="S1001" i="17"/>
  <c r="R1001" i="17"/>
  <c r="Q1001" i="17"/>
  <c r="P1001" i="17"/>
  <c r="W1000" i="17"/>
  <c r="V1000" i="17"/>
  <c r="U1000" i="17"/>
  <c r="T1000" i="17"/>
  <c r="S1000" i="17"/>
  <c r="R1000" i="17"/>
  <c r="Q1000" i="17"/>
  <c r="P1000" i="17"/>
  <c r="W999" i="17"/>
  <c r="V999" i="17"/>
  <c r="U999" i="17"/>
  <c r="T999" i="17"/>
  <c r="S999" i="17"/>
  <c r="R999" i="17"/>
  <c r="Q999" i="17"/>
  <c r="P999" i="17"/>
  <c r="W998" i="17"/>
  <c r="V998" i="17"/>
  <c r="U998" i="17"/>
  <c r="T998" i="17"/>
  <c r="S998" i="17"/>
  <c r="R998" i="17"/>
  <c r="Q998" i="17"/>
  <c r="P998" i="17"/>
  <c r="W997" i="17"/>
  <c r="V997" i="17"/>
  <c r="U997" i="17"/>
  <c r="T997" i="17"/>
  <c r="S997" i="17"/>
  <c r="R997" i="17"/>
  <c r="Q997" i="17"/>
  <c r="P997" i="17"/>
  <c r="W996" i="17"/>
  <c r="V996" i="17"/>
  <c r="U996" i="17"/>
  <c r="T996" i="17"/>
  <c r="S996" i="17"/>
  <c r="R996" i="17"/>
  <c r="Q996" i="17"/>
  <c r="P996" i="17"/>
  <c r="W995" i="17"/>
  <c r="V995" i="17"/>
  <c r="U995" i="17"/>
  <c r="T995" i="17"/>
  <c r="S995" i="17"/>
  <c r="R995" i="17"/>
  <c r="Q995" i="17"/>
  <c r="P995" i="17"/>
  <c r="W994" i="17"/>
  <c r="V994" i="17"/>
  <c r="U994" i="17"/>
  <c r="T994" i="17"/>
  <c r="S994" i="17"/>
  <c r="R994" i="17"/>
  <c r="Q994" i="17"/>
  <c r="P994" i="17"/>
  <c r="W993" i="17"/>
  <c r="V993" i="17"/>
  <c r="U993" i="17"/>
  <c r="T993" i="17"/>
  <c r="S993" i="17"/>
  <c r="R993" i="17"/>
  <c r="Q993" i="17"/>
  <c r="P993" i="17"/>
  <c r="W992" i="17"/>
  <c r="V992" i="17"/>
  <c r="U992" i="17"/>
  <c r="T992" i="17"/>
  <c r="S992" i="17"/>
  <c r="R992" i="17"/>
  <c r="Q992" i="17"/>
  <c r="P992" i="17"/>
  <c r="W991" i="17"/>
  <c r="V991" i="17"/>
  <c r="U991" i="17"/>
  <c r="T991" i="17"/>
  <c r="S991" i="17"/>
  <c r="R991" i="17"/>
  <c r="Q991" i="17"/>
  <c r="P991" i="17"/>
  <c r="W990" i="17"/>
  <c r="V990" i="17"/>
  <c r="U990" i="17"/>
  <c r="T990" i="17"/>
  <c r="S990" i="17"/>
  <c r="R990" i="17"/>
  <c r="Q990" i="17"/>
  <c r="P990" i="17"/>
  <c r="W989" i="17"/>
  <c r="V989" i="17"/>
  <c r="U989" i="17"/>
  <c r="T989" i="17"/>
  <c r="S989" i="17"/>
  <c r="R989" i="17"/>
  <c r="Q989" i="17"/>
  <c r="P989" i="17"/>
  <c r="W988" i="17"/>
  <c r="V988" i="17"/>
  <c r="U988" i="17"/>
  <c r="T988" i="17"/>
  <c r="S988" i="17"/>
  <c r="R988" i="17"/>
  <c r="Q988" i="17"/>
  <c r="P988" i="17"/>
  <c r="W987" i="17"/>
  <c r="V987" i="17"/>
  <c r="U987" i="17"/>
  <c r="T987" i="17"/>
  <c r="S987" i="17"/>
  <c r="R987" i="17"/>
  <c r="Q987" i="17"/>
  <c r="P987" i="17"/>
  <c r="W986" i="17"/>
  <c r="V986" i="17"/>
  <c r="U986" i="17"/>
  <c r="T986" i="17"/>
  <c r="S986" i="17"/>
  <c r="R986" i="17"/>
  <c r="Q986" i="17"/>
  <c r="P986" i="17"/>
  <c r="W985" i="17"/>
  <c r="V985" i="17"/>
  <c r="U985" i="17"/>
  <c r="T985" i="17"/>
  <c r="S985" i="17"/>
  <c r="R985" i="17"/>
  <c r="Q985" i="17"/>
  <c r="P985" i="17"/>
  <c r="W984" i="17"/>
  <c r="V984" i="17"/>
  <c r="U984" i="17"/>
  <c r="T984" i="17"/>
  <c r="S984" i="17"/>
  <c r="R984" i="17"/>
  <c r="Q984" i="17"/>
  <c r="P984" i="17"/>
  <c r="W983" i="17"/>
  <c r="V983" i="17"/>
  <c r="U983" i="17"/>
  <c r="T983" i="17"/>
  <c r="S983" i="17"/>
  <c r="R983" i="17"/>
  <c r="Q983" i="17"/>
  <c r="P983" i="17"/>
  <c r="W982" i="17"/>
  <c r="V982" i="17"/>
  <c r="U982" i="17"/>
  <c r="T982" i="17"/>
  <c r="S982" i="17"/>
  <c r="R982" i="17"/>
  <c r="Q982" i="17"/>
  <c r="P982" i="17"/>
  <c r="W981" i="17"/>
  <c r="V981" i="17"/>
  <c r="U981" i="17"/>
  <c r="T981" i="17"/>
  <c r="S981" i="17"/>
  <c r="R981" i="17"/>
  <c r="Q981" i="17"/>
  <c r="P981" i="17"/>
  <c r="W980" i="17"/>
  <c r="V980" i="17"/>
  <c r="U980" i="17"/>
  <c r="T980" i="17"/>
  <c r="S980" i="17"/>
  <c r="R980" i="17"/>
  <c r="Q980" i="17"/>
  <c r="P980" i="17"/>
  <c r="W979" i="17"/>
  <c r="V979" i="17"/>
  <c r="U979" i="17"/>
  <c r="T979" i="17"/>
  <c r="S979" i="17"/>
  <c r="R979" i="17"/>
  <c r="Q979" i="17"/>
  <c r="P979" i="17"/>
  <c r="W978" i="17"/>
  <c r="V978" i="17"/>
  <c r="U978" i="17"/>
  <c r="T978" i="17"/>
  <c r="S978" i="17"/>
  <c r="R978" i="17"/>
  <c r="Q978" i="17"/>
  <c r="P978" i="17"/>
  <c r="W977" i="17"/>
  <c r="V977" i="17"/>
  <c r="U977" i="17"/>
  <c r="T977" i="17"/>
  <c r="S977" i="17"/>
  <c r="R977" i="17"/>
  <c r="Q977" i="17"/>
  <c r="P977" i="17"/>
  <c r="W976" i="17"/>
  <c r="V976" i="17"/>
  <c r="U976" i="17"/>
  <c r="T976" i="17"/>
  <c r="S976" i="17"/>
  <c r="R976" i="17"/>
  <c r="Q976" i="17"/>
  <c r="P976" i="17"/>
  <c r="W975" i="17"/>
  <c r="V975" i="17"/>
  <c r="U975" i="17"/>
  <c r="T975" i="17"/>
  <c r="S975" i="17"/>
  <c r="R975" i="17"/>
  <c r="Q975" i="17"/>
  <c r="P975" i="17"/>
  <c r="W974" i="17"/>
  <c r="V974" i="17"/>
  <c r="U974" i="17"/>
  <c r="T974" i="17"/>
  <c r="S974" i="17"/>
  <c r="R974" i="17"/>
  <c r="Q974" i="17"/>
  <c r="P974" i="17"/>
  <c r="W973" i="17"/>
  <c r="V973" i="17"/>
  <c r="U973" i="17"/>
  <c r="T973" i="17"/>
  <c r="S973" i="17"/>
  <c r="R973" i="17"/>
  <c r="Q973" i="17"/>
  <c r="P973" i="17"/>
  <c r="W972" i="17"/>
  <c r="V972" i="17"/>
  <c r="U972" i="17"/>
  <c r="T972" i="17"/>
  <c r="S972" i="17"/>
  <c r="R972" i="17"/>
  <c r="Q972" i="17"/>
  <c r="P972" i="17"/>
  <c r="W971" i="17"/>
  <c r="V971" i="17"/>
  <c r="U971" i="17"/>
  <c r="T971" i="17"/>
  <c r="S971" i="17"/>
  <c r="R971" i="17"/>
  <c r="Q971" i="17"/>
  <c r="P971" i="17"/>
  <c r="W970" i="17"/>
  <c r="V970" i="17"/>
  <c r="U970" i="17"/>
  <c r="T970" i="17"/>
  <c r="S970" i="17"/>
  <c r="R970" i="17"/>
  <c r="Q970" i="17"/>
  <c r="P970" i="17"/>
  <c r="W969" i="17"/>
  <c r="V969" i="17"/>
  <c r="U969" i="17"/>
  <c r="T969" i="17"/>
  <c r="S969" i="17"/>
  <c r="R969" i="17"/>
  <c r="Q969" i="17"/>
  <c r="P969" i="17"/>
  <c r="W968" i="17"/>
  <c r="V968" i="17"/>
  <c r="U968" i="17"/>
  <c r="T968" i="17"/>
  <c r="S968" i="17"/>
  <c r="R968" i="17"/>
  <c r="Q968" i="17"/>
  <c r="P968" i="17"/>
  <c r="W967" i="17"/>
  <c r="V967" i="17"/>
  <c r="U967" i="17"/>
  <c r="T967" i="17"/>
  <c r="S967" i="17"/>
  <c r="R967" i="17"/>
  <c r="Q967" i="17"/>
  <c r="P967" i="17"/>
  <c r="W966" i="17"/>
  <c r="V966" i="17"/>
  <c r="U966" i="17"/>
  <c r="T966" i="17"/>
  <c r="S966" i="17"/>
  <c r="R966" i="17"/>
  <c r="Q966" i="17"/>
  <c r="P966" i="17"/>
  <c r="W965" i="17"/>
  <c r="V965" i="17"/>
  <c r="U965" i="17"/>
  <c r="T965" i="17"/>
  <c r="S965" i="17"/>
  <c r="R965" i="17"/>
  <c r="Q965" i="17"/>
  <c r="P965" i="17"/>
  <c r="W964" i="17"/>
  <c r="V964" i="17"/>
  <c r="U964" i="17"/>
  <c r="T964" i="17"/>
  <c r="S964" i="17"/>
  <c r="R964" i="17"/>
  <c r="Q964" i="17"/>
  <c r="P964" i="17"/>
  <c r="W963" i="17"/>
  <c r="V963" i="17"/>
  <c r="U963" i="17"/>
  <c r="T963" i="17"/>
  <c r="S963" i="17"/>
  <c r="R963" i="17"/>
  <c r="Q963" i="17"/>
  <c r="P963" i="17"/>
  <c r="W962" i="17"/>
  <c r="V962" i="17"/>
  <c r="U962" i="17"/>
  <c r="T962" i="17"/>
  <c r="S962" i="17"/>
  <c r="R962" i="17"/>
  <c r="Q962" i="17"/>
  <c r="P962" i="17"/>
  <c r="W961" i="17"/>
  <c r="V961" i="17"/>
  <c r="U961" i="17"/>
  <c r="T961" i="17"/>
  <c r="S961" i="17"/>
  <c r="R961" i="17"/>
  <c r="Q961" i="17"/>
  <c r="P961" i="17"/>
  <c r="W960" i="17"/>
  <c r="V960" i="17"/>
  <c r="U960" i="17"/>
  <c r="T960" i="17"/>
  <c r="S960" i="17"/>
  <c r="R960" i="17"/>
  <c r="Q960" i="17"/>
  <c r="P960" i="17"/>
  <c r="W959" i="17"/>
  <c r="V959" i="17"/>
  <c r="U959" i="17"/>
  <c r="T959" i="17"/>
  <c r="S959" i="17"/>
  <c r="R959" i="17"/>
  <c r="Q959" i="17"/>
  <c r="P959" i="17"/>
  <c r="W958" i="17"/>
  <c r="V958" i="17"/>
  <c r="U958" i="17"/>
  <c r="T958" i="17"/>
  <c r="S958" i="17"/>
  <c r="R958" i="17"/>
  <c r="Q958" i="17"/>
  <c r="P958" i="17"/>
  <c r="W957" i="17"/>
  <c r="V957" i="17"/>
  <c r="U957" i="17"/>
  <c r="T957" i="17"/>
  <c r="S957" i="17"/>
  <c r="R957" i="17"/>
  <c r="Q957" i="17"/>
  <c r="P957" i="17"/>
  <c r="W956" i="17"/>
  <c r="V956" i="17"/>
  <c r="U956" i="17"/>
  <c r="T956" i="17"/>
  <c r="S956" i="17"/>
  <c r="R956" i="17"/>
  <c r="Q956" i="17"/>
  <c r="P956" i="17"/>
  <c r="W955" i="17"/>
  <c r="V955" i="17"/>
  <c r="U955" i="17"/>
  <c r="T955" i="17"/>
  <c r="S955" i="17"/>
  <c r="R955" i="17"/>
  <c r="Q955" i="17"/>
  <c r="P955" i="17"/>
  <c r="W954" i="17"/>
  <c r="V954" i="17"/>
  <c r="U954" i="17"/>
  <c r="T954" i="17"/>
  <c r="S954" i="17"/>
  <c r="R954" i="17"/>
  <c r="Q954" i="17"/>
  <c r="P954" i="17"/>
  <c r="W953" i="17"/>
  <c r="V953" i="17"/>
  <c r="U953" i="17"/>
  <c r="T953" i="17"/>
  <c r="S953" i="17"/>
  <c r="R953" i="17"/>
  <c r="Q953" i="17"/>
  <c r="P953" i="17"/>
  <c r="W952" i="17"/>
  <c r="V952" i="17"/>
  <c r="U952" i="17"/>
  <c r="T952" i="17"/>
  <c r="S952" i="17"/>
  <c r="R952" i="17"/>
  <c r="Q952" i="17"/>
  <c r="P952" i="17"/>
  <c r="W951" i="17"/>
  <c r="V951" i="17"/>
  <c r="U951" i="17"/>
  <c r="T951" i="17"/>
  <c r="S951" i="17"/>
  <c r="R951" i="17"/>
  <c r="Q951" i="17"/>
  <c r="P951" i="17"/>
  <c r="W950" i="17"/>
  <c r="V950" i="17"/>
  <c r="U950" i="17"/>
  <c r="T950" i="17"/>
  <c r="S950" i="17"/>
  <c r="R950" i="17"/>
  <c r="Q950" i="17"/>
  <c r="P950" i="17"/>
  <c r="W949" i="17"/>
  <c r="V949" i="17"/>
  <c r="U949" i="17"/>
  <c r="T949" i="17"/>
  <c r="S949" i="17"/>
  <c r="R949" i="17"/>
  <c r="Q949" i="17"/>
  <c r="P949" i="17"/>
  <c r="W948" i="17"/>
  <c r="V948" i="17"/>
  <c r="U948" i="17"/>
  <c r="T948" i="17"/>
  <c r="S948" i="17"/>
  <c r="R948" i="17"/>
  <c r="Q948" i="17"/>
  <c r="P948" i="17"/>
  <c r="W947" i="17"/>
  <c r="V947" i="17"/>
  <c r="U947" i="17"/>
  <c r="T947" i="17"/>
  <c r="S947" i="17"/>
  <c r="R947" i="17"/>
  <c r="Q947" i="17"/>
  <c r="P947" i="17"/>
  <c r="W946" i="17"/>
  <c r="V946" i="17"/>
  <c r="U946" i="17"/>
  <c r="T946" i="17"/>
  <c r="S946" i="17"/>
  <c r="R946" i="17"/>
  <c r="Q946" i="17"/>
  <c r="P946" i="17"/>
  <c r="W945" i="17"/>
  <c r="V945" i="17"/>
  <c r="U945" i="17"/>
  <c r="T945" i="17"/>
  <c r="S945" i="17"/>
  <c r="R945" i="17"/>
  <c r="Q945" i="17"/>
  <c r="P945" i="17"/>
  <c r="W944" i="17"/>
  <c r="V944" i="17"/>
  <c r="U944" i="17"/>
  <c r="T944" i="17"/>
  <c r="S944" i="17"/>
  <c r="R944" i="17"/>
  <c r="Q944" i="17"/>
  <c r="P944" i="17"/>
  <c r="W943" i="17"/>
  <c r="V943" i="17"/>
  <c r="U943" i="17"/>
  <c r="T943" i="17"/>
  <c r="S943" i="17"/>
  <c r="R943" i="17"/>
  <c r="Q943" i="17"/>
  <c r="P943" i="17"/>
  <c r="W942" i="17"/>
  <c r="V942" i="17"/>
  <c r="U942" i="17"/>
  <c r="T942" i="17"/>
  <c r="S942" i="17"/>
  <c r="R942" i="17"/>
  <c r="Q942" i="17"/>
  <c r="P942" i="17"/>
  <c r="W941" i="17"/>
  <c r="V941" i="17"/>
  <c r="U941" i="17"/>
  <c r="T941" i="17"/>
  <c r="S941" i="17"/>
  <c r="R941" i="17"/>
  <c r="Q941" i="17"/>
  <c r="P941" i="17"/>
  <c r="W940" i="17"/>
  <c r="V940" i="17"/>
  <c r="U940" i="17"/>
  <c r="T940" i="17"/>
  <c r="S940" i="17"/>
  <c r="R940" i="17"/>
  <c r="Q940" i="17"/>
  <c r="P940" i="17"/>
  <c r="W939" i="17"/>
  <c r="V939" i="17"/>
  <c r="U939" i="17"/>
  <c r="T939" i="17"/>
  <c r="S939" i="17"/>
  <c r="R939" i="17"/>
  <c r="Q939" i="17"/>
  <c r="P939" i="17"/>
  <c r="W938" i="17"/>
  <c r="V938" i="17"/>
  <c r="U938" i="17"/>
  <c r="T938" i="17"/>
  <c r="S938" i="17"/>
  <c r="R938" i="17"/>
  <c r="Q938" i="17"/>
  <c r="P938" i="17"/>
  <c r="W937" i="17"/>
  <c r="V937" i="17"/>
  <c r="U937" i="17"/>
  <c r="T937" i="17"/>
  <c r="S937" i="17"/>
  <c r="R937" i="17"/>
  <c r="Q937" i="17"/>
  <c r="P937" i="17"/>
  <c r="W936" i="17"/>
  <c r="V936" i="17"/>
  <c r="U936" i="17"/>
  <c r="T936" i="17"/>
  <c r="S936" i="17"/>
  <c r="R936" i="17"/>
  <c r="Q936" i="17"/>
  <c r="P936" i="17"/>
  <c r="W935" i="17"/>
  <c r="V935" i="17"/>
  <c r="U935" i="17"/>
  <c r="T935" i="17"/>
  <c r="S935" i="17"/>
  <c r="R935" i="17"/>
  <c r="Q935" i="17"/>
  <c r="P935" i="17"/>
  <c r="W934" i="17"/>
  <c r="V934" i="17"/>
  <c r="U934" i="17"/>
  <c r="T934" i="17"/>
  <c r="S934" i="17"/>
  <c r="R934" i="17"/>
  <c r="Q934" i="17"/>
  <c r="P934" i="17"/>
  <c r="W933" i="17"/>
  <c r="V933" i="17"/>
  <c r="U933" i="17"/>
  <c r="T933" i="17"/>
  <c r="S933" i="17"/>
  <c r="R933" i="17"/>
  <c r="Q933" i="17"/>
  <c r="P933" i="17"/>
  <c r="W932" i="17"/>
  <c r="V932" i="17"/>
  <c r="U932" i="17"/>
  <c r="T932" i="17"/>
  <c r="S932" i="17"/>
  <c r="R932" i="17"/>
  <c r="Q932" i="17"/>
  <c r="P932" i="17"/>
  <c r="W931" i="17"/>
  <c r="V931" i="17"/>
  <c r="U931" i="17"/>
  <c r="T931" i="17"/>
  <c r="S931" i="17"/>
  <c r="R931" i="17"/>
  <c r="Q931" i="17"/>
  <c r="P931" i="17"/>
  <c r="W930" i="17"/>
  <c r="V930" i="17"/>
  <c r="U930" i="17"/>
  <c r="T930" i="17"/>
  <c r="S930" i="17"/>
  <c r="R930" i="17"/>
  <c r="Q930" i="17"/>
  <c r="P930" i="17"/>
  <c r="W929" i="17"/>
  <c r="V929" i="17"/>
  <c r="U929" i="17"/>
  <c r="T929" i="17"/>
  <c r="S929" i="17"/>
  <c r="R929" i="17"/>
  <c r="Q929" i="17"/>
  <c r="P929" i="17"/>
  <c r="W928" i="17"/>
  <c r="V928" i="17"/>
  <c r="U928" i="17"/>
  <c r="T928" i="17"/>
  <c r="S928" i="17"/>
  <c r="R928" i="17"/>
  <c r="Q928" i="17"/>
  <c r="P928" i="17"/>
  <c r="W927" i="17"/>
  <c r="V927" i="17"/>
  <c r="U927" i="17"/>
  <c r="T927" i="17"/>
  <c r="S927" i="17"/>
  <c r="R927" i="17"/>
  <c r="Q927" i="17"/>
  <c r="P927" i="17"/>
  <c r="W926" i="17"/>
  <c r="V926" i="17"/>
  <c r="U926" i="17"/>
  <c r="T926" i="17"/>
  <c r="S926" i="17"/>
  <c r="R926" i="17"/>
  <c r="Q926" i="17"/>
  <c r="P926" i="17"/>
  <c r="W925" i="17"/>
  <c r="V925" i="17"/>
  <c r="U925" i="17"/>
  <c r="T925" i="17"/>
  <c r="S925" i="17"/>
  <c r="R925" i="17"/>
  <c r="Q925" i="17"/>
  <c r="P925" i="17"/>
  <c r="W924" i="17"/>
  <c r="V924" i="17"/>
  <c r="U924" i="17"/>
  <c r="T924" i="17"/>
  <c r="S924" i="17"/>
  <c r="R924" i="17"/>
  <c r="Q924" i="17"/>
  <c r="P924" i="17"/>
  <c r="W923" i="17"/>
  <c r="V923" i="17"/>
  <c r="U923" i="17"/>
  <c r="T923" i="17"/>
  <c r="S923" i="17"/>
  <c r="R923" i="17"/>
  <c r="Q923" i="17"/>
  <c r="P923" i="17"/>
  <c r="W922" i="17"/>
  <c r="V922" i="17"/>
  <c r="U922" i="17"/>
  <c r="T922" i="17"/>
  <c r="S922" i="17"/>
  <c r="R922" i="17"/>
  <c r="Q922" i="17"/>
  <c r="P922" i="17"/>
  <c r="W921" i="17"/>
  <c r="V921" i="17"/>
  <c r="U921" i="17"/>
  <c r="T921" i="17"/>
  <c r="S921" i="17"/>
  <c r="R921" i="17"/>
  <c r="Q921" i="17"/>
  <c r="P921" i="17"/>
  <c r="W920" i="17"/>
  <c r="V920" i="17"/>
  <c r="U920" i="17"/>
  <c r="T920" i="17"/>
  <c r="S920" i="17"/>
  <c r="R920" i="17"/>
  <c r="Q920" i="17"/>
  <c r="P920" i="17"/>
  <c r="W919" i="17"/>
  <c r="V919" i="17"/>
  <c r="U919" i="17"/>
  <c r="T919" i="17"/>
  <c r="S919" i="17"/>
  <c r="R919" i="17"/>
  <c r="Q919" i="17"/>
  <c r="P919" i="17"/>
  <c r="W918" i="17"/>
  <c r="V918" i="17"/>
  <c r="U918" i="17"/>
  <c r="T918" i="17"/>
  <c r="S918" i="17"/>
  <c r="R918" i="17"/>
  <c r="Q918" i="17"/>
  <c r="P918" i="17"/>
  <c r="W917" i="17"/>
  <c r="V917" i="17"/>
  <c r="U917" i="17"/>
  <c r="T917" i="17"/>
  <c r="S917" i="17"/>
  <c r="R917" i="17"/>
  <c r="Q917" i="17"/>
  <c r="P917" i="17"/>
  <c r="W916" i="17"/>
  <c r="V916" i="17"/>
  <c r="U916" i="17"/>
  <c r="T916" i="17"/>
  <c r="S916" i="17"/>
  <c r="R916" i="17"/>
  <c r="Q916" i="17"/>
  <c r="P916" i="17"/>
  <c r="W915" i="17"/>
  <c r="V915" i="17"/>
  <c r="U915" i="17"/>
  <c r="T915" i="17"/>
  <c r="S915" i="17"/>
  <c r="R915" i="17"/>
  <c r="Q915" i="17"/>
  <c r="P915" i="17"/>
  <c r="W914" i="17"/>
  <c r="V914" i="17"/>
  <c r="U914" i="17"/>
  <c r="T914" i="17"/>
  <c r="S914" i="17"/>
  <c r="R914" i="17"/>
  <c r="Q914" i="17"/>
  <c r="P914" i="17"/>
  <c r="W913" i="17"/>
  <c r="V913" i="17"/>
  <c r="U913" i="17"/>
  <c r="T913" i="17"/>
  <c r="S913" i="17"/>
  <c r="R913" i="17"/>
  <c r="Q913" i="17"/>
  <c r="P913" i="17"/>
  <c r="W912" i="17"/>
  <c r="V912" i="17"/>
  <c r="U912" i="17"/>
  <c r="T912" i="17"/>
  <c r="S912" i="17"/>
  <c r="R912" i="17"/>
  <c r="Q912" i="17"/>
  <c r="P912" i="17"/>
  <c r="W911" i="17"/>
  <c r="V911" i="17"/>
  <c r="U911" i="17"/>
  <c r="T911" i="17"/>
  <c r="S911" i="17"/>
  <c r="R911" i="17"/>
  <c r="Q911" i="17"/>
  <c r="P911" i="17"/>
  <c r="W910" i="17"/>
  <c r="V910" i="17"/>
  <c r="U910" i="17"/>
  <c r="T910" i="17"/>
  <c r="S910" i="17"/>
  <c r="R910" i="17"/>
  <c r="Q910" i="17"/>
  <c r="P910" i="17"/>
  <c r="W909" i="17"/>
  <c r="V909" i="17"/>
  <c r="U909" i="17"/>
  <c r="T909" i="17"/>
  <c r="S909" i="17"/>
  <c r="R909" i="17"/>
  <c r="Q909" i="17"/>
  <c r="P909" i="17"/>
  <c r="W908" i="17"/>
  <c r="V908" i="17"/>
  <c r="U908" i="17"/>
  <c r="T908" i="17"/>
  <c r="S908" i="17"/>
  <c r="R908" i="17"/>
  <c r="Q908" i="17"/>
  <c r="P908" i="17"/>
  <c r="W907" i="17"/>
  <c r="V907" i="17"/>
  <c r="U907" i="17"/>
  <c r="T907" i="17"/>
  <c r="S907" i="17"/>
  <c r="R907" i="17"/>
  <c r="Q907" i="17"/>
  <c r="P907" i="17"/>
  <c r="W906" i="17"/>
  <c r="V906" i="17"/>
  <c r="U906" i="17"/>
  <c r="T906" i="17"/>
  <c r="S906" i="17"/>
  <c r="R906" i="17"/>
  <c r="Q906" i="17"/>
  <c r="P906" i="17"/>
  <c r="W905" i="17"/>
  <c r="V905" i="17"/>
  <c r="U905" i="17"/>
  <c r="T905" i="17"/>
  <c r="S905" i="17"/>
  <c r="R905" i="17"/>
  <c r="Q905" i="17"/>
  <c r="P905" i="17"/>
  <c r="W904" i="17"/>
  <c r="V904" i="17"/>
  <c r="U904" i="17"/>
  <c r="T904" i="17"/>
  <c r="S904" i="17"/>
  <c r="R904" i="17"/>
  <c r="Q904" i="17"/>
  <c r="P904" i="17"/>
  <c r="W903" i="17"/>
  <c r="V903" i="17"/>
  <c r="U903" i="17"/>
  <c r="T903" i="17"/>
  <c r="S903" i="17"/>
  <c r="R903" i="17"/>
  <c r="Q903" i="17"/>
  <c r="P903" i="17"/>
  <c r="W902" i="17"/>
  <c r="V902" i="17"/>
  <c r="U902" i="17"/>
  <c r="T902" i="17"/>
  <c r="S902" i="17"/>
  <c r="R902" i="17"/>
  <c r="Q902" i="17"/>
  <c r="P902" i="17"/>
  <c r="W901" i="17"/>
  <c r="V901" i="17"/>
  <c r="U901" i="17"/>
  <c r="T901" i="17"/>
  <c r="S901" i="17"/>
  <c r="R901" i="17"/>
  <c r="Q901" i="17"/>
  <c r="P901" i="17"/>
  <c r="W900" i="17"/>
  <c r="V900" i="17"/>
  <c r="U900" i="17"/>
  <c r="T900" i="17"/>
  <c r="S900" i="17"/>
  <c r="R900" i="17"/>
  <c r="Q900" i="17"/>
  <c r="P900" i="17"/>
  <c r="W899" i="17"/>
  <c r="V899" i="17"/>
  <c r="U899" i="17"/>
  <c r="T899" i="17"/>
  <c r="S899" i="17"/>
  <c r="R899" i="17"/>
  <c r="Q899" i="17"/>
  <c r="P899" i="17"/>
  <c r="W898" i="17"/>
  <c r="V898" i="17"/>
  <c r="U898" i="17"/>
  <c r="T898" i="17"/>
  <c r="S898" i="17"/>
  <c r="R898" i="17"/>
  <c r="Q898" i="17"/>
  <c r="P898" i="17"/>
  <c r="W897" i="17"/>
  <c r="V897" i="17"/>
  <c r="U897" i="17"/>
  <c r="T897" i="17"/>
  <c r="S897" i="17"/>
  <c r="R897" i="17"/>
  <c r="Q897" i="17"/>
  <c r="P897" i="17"/>
  <c r="W896" i="17"/>
  <c r="V896" i="17"/>
  <c r="U896" i="17"/>
  <c r="T896" i="17"/>
  <c r="S896" i="17"/>
  <c r="R896" i="17"/>
  <c r="Q896" i="17"/>
  <c r="P896" i="17"/>
  <c r="W895" i="17"/>
  <c r="V895" i="17"/>
  <c r="U895" i="17"/>
  <c r="T895" i="17"/>
  <c r="S895" i="17"/>
  <c r="R895" i="17"/>
  <c r="Q895" i="17"/>
  <c r="P895" i="17"/>
  <c r="W894" i="17"/>
  <c r="V894" i="17"/>
  <c r="U894" i="17"/>
  <c r="T894" i="17"/>
  <c r="S894" i="17"/>
  <c r="R894" i="17"/>
  <c r="Q894" i="17"/>
  <c r="P894" i="17"/>
  <c r="W893" i="17"/>
  <c r="V893" i="17"/>
  <c r="U893" i="17"/>
  <c r="T893" i="17"/>
  <c r="S893" i="17"/>
  <c r="R893" i="17"/>
  <c r="Q893" i="17"/>
  <c r="P893" i="17"/>
  <c r="W892" i="17"/>
  <c r="V892" i="17"/>
  <c r="U892" i="17"/>
  <c r="T892" i="17"/>
  <c r="S892" i="17"/>
  <c r="R892" i="17"/>
  <c r="Q892" i="17"/>
  <c r="P892" i="17"/>
  <c r="W891" i="17"/>
  <c r="V891" i="17"/>
  <c r="U891" i="17"/>
  <c r="T891" i="17"/>
  <c r="S891" i="17"/>
  <c r="R891" i="17"/>
  <c r="Q891" i="17"/>
  <c r="P891" i="17"/>
  <c r="W890" i="17"/>
  <c r="V890" i="17"/>
  <c r="U890" i="17"/>
  <c r="T890" i="17"/>
  <c r="S890" i="17"/>
  <c r="R890" i="17"/>
  <c r="Q890" i="17"/>
  <c r="P890" i="17"/>
  <c r="W889" i="17"/>
  <c r="V889" i="17"/>
  <c r="U889" i="17"/>
  <c r="T889" i="17"/>
  <c r="S889" i="17"/>
  <c r="R889" i="17"/>
  <c r="Q889" i="17"/>
  <c r="P889" i="17"/>
  <c r="W888" i="17"/>
  <c r="V888" i="17"/>
  <c r="U888" i="17"/>
  <c r="T888" i="17"/>
  <c r="S888" i="17"/>
  <c r="R888" i="17"/>
  <c r="Q888" i="17"/>
  <c r="P888" i="17"/>
  <c r="W887" i="17"/>
  <c r="V887" i="17"/>
  <c r="U887" i="17"/>
  <c r="T887" i="17"/>
  <c r="S887" i="17"/>
  <c r="R887" i="17"/>
  <c r="Q887" i="17"/>
  <c r="P887" i="17"/>
  <c r="W886" i="17"/>
  <c r="V886" i="17"/>
  <c r="U886" i="17"/>
  <c r="T886" i="17"/>
  <c r="S886" i="17"/>
  <c r="R886" i="17"/>
  <c r="Q886" i="17"/>
  <c r="P886" i="17"/>
  <c r="W885" i="17"/>
  <c r="V885" i="17"/>
  <c r="U885" i="17"/>
  <c r="T885" i="17"/>
  <c r="S885" i="17"/>
  <c r="R885" i="17"/>
  <c r="Q885" i="17"/>
  <c r="P885" i="17"/>
  <c r="W884" i="17"/>
  <c r="V884" i="17"/>
  <c r="U884" i="17"/>
  <c r="T884" i="17"/>
  <c r="S884" i="17"/>
  <c r="R884" i="17"/>
  <c r="Q884" i="17"/>
  <c r="P884" i="17"/>
  <c r="W883" i="17"/>
  <c r="V883" i="17"/>
  <c r="U883" i="17"/>
  <c r="T883" i="17"/>
  <c r="S883" i="17"/>
  <c r="R883" i="17"/>
  <c r="Q883" i="17"/>
  <c r="P883" i="17"/>
  <c r="W882" i="17"/>
  <c r="V882" i="17"/>
  <c r="U882" i="17"/>
  <c r="T882" i="17"/>
  <c r="S882" i="17"/>
  <c r="R882" i="17"/>
  <c r="Q882" i="17"/>
  <c r="P882" i="17"/>
  <c r="W881" i="17"/>
  <c r="V881" i="17"/>
  <c r="U881" i="17"/>
  <c r="T881" i="17"/>
  <c r="S881" i="17"/>
  <c r="R881" i="17"/>
  <c r="Q881" i="17"/>
  <c r="P881" i="17"/>
  <c r="W880" i="17"/>
  <c r="V880" i="17"/>
  <c r="U880" i="17"/>
  <c r="T880" i="17"/>
  <c r="S880" i="17"/>
  <c r="R880" i="17"/>
  <c r="Q880" i="17"/>
  <c r="P880" i="17"/>
  <c r="W879" i="17"/>
  <c r="V879" i="17"/>
  <c r="U879" i="17"/>
  <c r="T879" i="17"/>
  <c r="S879" i="17"/>
  <c r="R879" i="17"/>
  <c r="Q879" i="17"/>
  <c r="P879" i="17"/>
  <c r="W878" i="17"/>
  <c r="V878" i="17"/>
  <c r="U878" i="17"/>
  <c r="T878" i="17"/>
  <c r="S878" i="17"/>
  <c r="R878" i="17"/>
  <c r="Q878" i="17"/>
  <c r="P878" i="17"/>
  <c r="W877" i="17"/>
  <c r="V877" i="17"/>
  <c r="U877" i="17"/>
  <c r="T877" i="17"/>
  <c r="S877" i="17"/>
  <c r="R877" i="17"/>
  <c r="Q877" i="17"/>
  <c r="P877" i="17"/>
  <c r="W876" i="17"/>
  <c r="V876" i="17"/>
  <c r="U876" i="17"/>
  <c r="T876" i="17"/>
  <c r="S876" i="17"/>
  <c r="R876" i="17"/>
  <c r="Q876" i="17"/>
  <c r="P876" i="17"/>
  <c r="W875" i="17"/>
  <c r="V875" i="17"/>
  <c r="U875" i="17"/>
  <c r="T875" i="17"/>
  <c r="S875" i="17"/>
  <c r="R875" i="17"/>
  <c r="Q875" i="17"/>
  <c r="P875" i="17"/>
  <c r="W874" i="17"/>
  <c r="V874" i="17"/>
  <c r="U874" i="17"/>
  <c r="T874" i="17"/>
  <c r="S874" i="17"/>
  <c r="R874" i="17"/>
  <c r="Q874" i="17"/>
  <c r="P874" i="17"/>
  <c r="W873" i="17"/>
  <c r="V873" i="17"/>
  <c r="U873" i="17"/>
  <c r="T873" i="17"/>
  <c r="S873" i="17"/>
  <c r="R873" i="17"/>
  <c r="Q873" i="17"/>
  <c r="P873" i="17"/>
  <c r="W872" i="17"/>
  <c r="V872" i="17"/>
  <c r="U872" i="17"/>
  <c r="T872" i="17"/>
  <c r="S872" i="17"/>
  <c r="R872" i="17"/>
  <c r="Q872" i="17"/>
  <c r="P872" i="17"/>
  <c r="W871" i="17"/>
  <c r="V871" i="17"/>
  <c r="U871" i="17"/>
  <c r="T871" i="17"/>
  <c r="S871" i="17"/>
  <c r="R871" i="17"/>
  <c r="Q871" i="17"/>
  <c r="P871" i="17"/>
  <c r="W870" i="17"/>
  <c r="V870" i="17"/>
  <c r="U870" i="17"/>
  <c r="T870" i="17"/>
  <c r="S870" i="17"/>
  <c r="R870" i="17"/>
  <c r="Q870" i="17"/>
  <c r="P870" i="17"/>
  <c r="W869" i="17"/>
  <c r="V869" i="17"/>
  <c r="U869" i="17"/>
  <c r="T869" i="17"/>
  <c r="S869" i="17"/>
  <c r="R869" i="17"/>
  <c r="Q869" i="17"/>
  <c r="P869" i="17"/>
  <c r="W868" i="17"/>
  <c r="V868" i="17"/>
  <c r="U868" i="17"/>
  <c r="T868" i="17"/>
  <c r="S868" i="17"/>
  <c r="R868" i="17"/>
  <c r="Q868" i="17"/>
  <c r="P868" i="17"/>
  <c r="W867" i="17"/>
  <c r="V867" i="17"/>
  <c r="U867" i="17"/>
  <c r="T867" i="17"/>
  <c r="S867" i="17"/>
  <c r="R867" i="17"/>
  <c r="Q867" i="17"/>
  <c r="P867" i="17"/>
  <c r="W866" i="17"/>
  <c r="V866" i="17"/>
  <c r="U866" i="17"/>
  <c r="T866" i="17"/>
  <c r="S866" i="17"/>
  <c r="R866" i="17"/>
  <c r="Q866" i="17"/>
  <c r="P866" i="17"/>
  <c r="W865" i="17"/>
  <c r="V865" i="17"/>
  <c r="U865" i="17"/>
  <c r="T865" i="17"/>
  <c r="S865" i="17"/>
  <c r="R865" i="17"/>
  <c r="Q865" i="17"/>
  <c r="P865" i="17"/>
  <c r="W864" i="17"/>
  <c r="V864" i="17"/>
  <c r="U864" i="17"/>
  <c r="T864" i="17"/>
  <c r="S864" i="17"/>
  <c r="R864" i="17"/>
  <c r="Q864" i="17"/>
  <c r="P864" i="17"/>
  <c r="W863" i="17"/>
  <c r="V863" i="17"/>
  <c r="U863" i="17"/>
  <c r="T863" i="17"/>
  <c r="S863" i="17"/>
  <c r="R863" i="17"/>
  <c r="Q863" i="17"/>
  <c r="P863" i="17"/>
  <c r="W862" i="17"/>
  <c r="V862" i="17"/>
  <c r="U862" i="17"/>
  <c r="T862" i="17"/>
  <c r="S862" i="17"/>
  <c r="R862" i="17"/>
  <c r="Q862" i="17"/>
  <c r="P862" i="17"/>
  <c r="W861" i="17"/>
  <c r="V861" i="17"/>
  <c r="U861" i="17"/>
  <c r="T861" i="17"/>
  <c r="S861" i="17"/>
  <c r="R861" i="17"/>
  <c r="Q861" i="17"/>
  <c r="P861" i="17"/>
  <c r="W860" i="17"/>
  <c r="V860" i="17"/>
  <c r="U860" i="17"/>
  <c r="T860" i="17"/>
  <c r="S860" i="17"/>
  <c r="R860" i="17"/>
  <c r="Q860" i="17"/>
  <c r="P860" i="17"/>
  <c r="W859" i="17"/>
  <c r="V859" i="17"/>
  <c r="U859" i="17"/>
  <c r="T859" i="17"/>
  <c r="S859" i="17"/>
  <c r="R859" i="17"/>
  <c r="Q859" i="17"/>
  <c r="P859" i="17"/>
  <c r="W858" i="17"/>
  <c r="V858" i="17"/>
  <c r="U858" i="17"/>
  <c r="T858" i="17"/>
  <c r="S858" i="17"/>
  <c r="R858" i="17"/>
  <c r="Q858" i="17"/>
  <c r="P858" i="17"/>
  <c r="W857" i="17"/>
  <c r="V857" i="17"/>
  <c r="U857" i="17"/>
  <c r="T857" i="17"/>
  <c r="S857" i="17"/>
  <c r="R857" i="17"/>
  <c r="Q857" i="17"/>
  <c r="P857" i="17"/>
  <c r="W856" i="17"/>
  <c r="V856" i="17"/>
  <c r="U856" i="17"/>
  <c r="T856" i="17"/>
  <c r="S856" i="17"/>
  <c r="R856" i="17"/>
  <c r="Q856" i="17"/>
  <c r="P856" i="17"/>
  <c r="W855" i="17"/>
  <c r="V855" i="17"/>
  <c r="U855" i="17"/>
  <c r="T855" i="17"/>
  <c r="S855" i="17"/>
  <c r="R855" i="17"/>
  <c r="Q855" i="17"/>
  <c r="P855" i="17"/>
  <c r="W854" i="17"/>
  <c r="V854" i="17"/>
  <c r="U854" i="17"/>
  <c r="T854" i="17"/>
  <c r="S854" i="17"/>
  <c r="R854" i="17"/>
  <c r="Q854" i="17"/>
  <c r="P854" i="17"/>
  <c r="W853" i="17"/>
  <c r="V853" i="17"/>
  <c r="U853" i="17"/>
  <c r="T853" i="17"/>
  <c r="S853" i="17"/>
  <c r="R853" i="17"/>
  <c r="Q853" i="17"/>
  <c r="P853" i="17"/>
  <c r="W852" i="17"/>
  <c r="V852" i="17"/>
  <c r="U852" i="17"/>
  <c r="T852" i="17"/>
  <c r="S852" i="17"/>
  <c r="R852" i="17"/>
  <c r="Q852" i="17"/>
  <c r="P852" i="17"/>
  <c r="W851" i="17"/>
  <c r="V851" i="17"/>
  <c r="U851" i="17"/>
  <c r="T851" i="17"/>
  <c r="S851" i="17"/>
  <c r="R851" i="17"/>
  <c r="Q851" i="17"/>
  <c r="P851" i="17"/>
  <c r="W850" i="17"/>
  <c r="V850" i="17"/>
  <c r="U850" i="17"/>
  <c r="T850" i="17"/>
  <c r="S850" i="17"/>
  <c r="R850" i="17"/>
  <c r="Q850" i="17"/>
  <c r="P850" i="17"/>
  <c r="W849" i="17"/>
  <c r="V849" i="17"/>
  <c r="U849" i="17"/>
  <c r="T849" i="17"/>
  <c r="S849" i="17"/>
  <c r="R849" i="17"/>
  <c r="Q849" i="17"/>
  <c r="P849" i="17"/>
  <c r="W848" i="17"/>
  <c r="V848" i="17"/>
  <c r="U848" i="17"/>
  <c r="T848" i="17"/>
  <c r="S848" i="17"/>
  <c r="R848" i="17"/>
  <c r="Q848" i="17"/>
  <c r="P848" i="17"/>
  <c r="W847" i="17"/>
  <c r="V847" i="17"/>
  <c r="U847" i="17"/>
  <c r="T847" i="17"/>
  <c r="S847" i="17"/>
  <c r="R847" i="17"/>
  <c r="Q847" i="17"/>
  <c r="P847" i="17"/>
  <c r="W846" i="17"/>
  <c r="V846" i="17"/>
  <c r="U846" i="17"/>
  <c r="T846" i="17"/>
  <c r="S846" i="17"/>
  <c r="R846" i="17"/>
  <c r="Q846" i="17"/>
  <c r="P846" i="17"/>
  <c r="W845" i="17"/>
  <c r="V845" i="17"/>
  <c r="U845" i="17"/>
  <c r="T845" i="17"/>
  <c r="S845" i="17"/>
  <c r="R845" i="17"/>
  <c r="Q845" i="17"/>
  <c r="P845" i="17"/>
  <c r="W844" i="17"/>
  <c r="V844" i="17"/>
  <c r="U844" i="17"/>
  <c r="T844" i="17"/>
  <c r="S844" i="17"/>
  <c r="R844" i="17"/>
  <c r="Q844" i="17"/>
  <c r="P844" i="17"/>
  <c r="W843" i="17"/>
  <c r="V843" i="17"/>
  <c r="U843" i="17"/>
  <c r="T843" i="17"/>
  <c r="S843" i="17"/>
  <c r="R843" i="17"/>
  <c r="Q843" i="17"/>
  <c r="P843" i="17"/>
  <c r="W842" i="17"/>
  <c r="V842" i="17"/>
  <c r="U842" i="17"/>
  <c r="T842" i="17"/>
  <c r="S842" i="17"/>
  <c r="R842" i="17"/>
  <c r="Q842" i="17"/>
  <c r="P842" i="17"/>
  <c r="W841" i="17"/>
  <c r="V841" i="17"/>
  <c r="U841" i="17"/>
  <c r="T841" i="17"/>
  <c r="S841" i="17"/>
  <c r="R841" i="17"/>
  <c r="Q841" i="17"/>
  <c r="P841" i="17"/>
  <c r="W840" i="17"/>
  <c r="V840" i="17"/>
  <c r="U840" i="17"/>
  <c r="T840" i="17"/>
  <c r="S840" i="17"/>
  <c r="R840" i="17"/>
  <c r="Q840" i="17"/>
  <c r="P840" i="17"/>
  <c r="W839" i="17"/>
  <c r="V839" i="17"/>
  <c r="U839" i="17"/>
  <c r="T839" i="17"/>
  <c r="S839" i="17"/>
  <c r="R839" i="17"/>
  <c r="Q839" i="17"/>
  <c r="P839" i="17"/>
  <c r="W838" i="17"/>
  <c r="V838" i="17"/>
  <c r="U838" i="17"/>
  <c r="T838" i="17"/>
  <c r="S838" i="17"/>
  <c r="R838" i="17"/>
  <c r="Q838" i="17"/>
  <c r="P838" i="17"/>
  <c r="W837" i="17"/>
  <c r="V837" i="17"/>
  <c r="U837" i="17"/>
  <c r="T837" i="17"/>
  <c r="S837" i="17"/>
  <c r="R837" i="17"/>
  <c r="Q837" i="17"/>
  <c r="P837" i="17"/>
  <c r="W836" i="17"/>
  <c r="V836" i="17"/>
  <c r="U836" i="17"/>
  <c r="T836" i="17"/>
  <c r="S836" i="17"/>
  <c r="R836" i="17"/>
  <c r="Q836" i="17"/>
  <c r="P836" i="17"/>
  <c r="W835" i="17"/>
  <c r="V835" i="17"/>
  <c r="U835" i="17"/>
  <c r="T835" i="17"/>
  <c r="S835" i="17"/>
  <c r="R835" i="17"/>
  <c r="Q835" i="17"/>
  <c r="P835" i="17"/>
  <c r="W834" i="17"/>
  <c r="V834" i="17"/>
  <c r="U834" i="17"/>
  <c r="T834" i="17"/>
  <c r="S834" i="17"/>
  <c r="R834" i="17"/>
  <c r="Q834" i="17"/>
  <c r="P834" i="17"/>
  <c r="W833" i="17"/>
  <c r="V833" i="17"/>
  <c r="U833" i="17"/>
  <c r="T833" i="17"/>
  <c r="S833" i="17"/>
  <c r="R833" i="17"/>
  <c r="Q833" i="17"/>
  <c r="P833" i="17"/>
  <c r="W832" i="17"/>
  <c r="V832" i="17"/>
  <c r="U832" i="17"/>
  <c r="T832" i="17"/>
  <c r="S832" i="17"/>
  <c r="R832" i="17"/>
  <c r="Q832" i="17"/>
  <c r="P832" i="17"/>
  <c r="W831" i="17"/>
  <c r="V831" i="17"/>
  <c r="U831" i="17"/>
  <c r="T831" i="17"/>
  <c r="S831" i="17"/>
  <c r="R831" i="17"/>
  <c r="Q831" i="17"/>
  <c r="P831" i="17"/>
  <c r="W830" i="17"/>
  <c r="V830" i="17"/>
  <c r="U830" i="17"/>
  <c r="T830" i="17"/>
  <c r="S830" i="17"/>
  <c r="R830" i="17"/>
  <c r="Q830" i="17"/>
  <c r="P830" i="17"/>
  <c r="W829" i="17"/>
  <c r="V829" i="17"/>
  <c r="U829" i="17"/>
  <c r="T829" i="17"/>
  <c r="S829" i="17"/>
  <c r="R829" i="17"/>
  <c r="Q829" i="17"/>
  <c r="P829" i="17"/>
  <c r="W828" i="17"/>
  <c r="V828" i="17"/>
  <c r="U828" i="17"/>
  <c r="T828" i="17"/>
  <c r="S828" i="17"/>
  <c r="R828" i="17"/>
  <c r="Q828" i="17"/>
  <c r="P828" i="17"/>
  <c r="W827" i="17"/>
  <c r="V827" i="17"/>
  <c r="U827" i="17"/>
  <c r="T827" i="17"/>
  <c r="S827" i="17"/>
  <c r="R827" i="17"/>
  <c r="Q827" i="17"/>
  <c r="P827" i="17"/>
  <c r="W826" i="17"/>
  <c r="V826" i="17"/>
  <c r="U826" i="17"/>
  <c r="T826" i="17"/>
  <c r="S826" i="17"/>
  <c r="R826" i="17"/>
  <c r="Q826" i="17"/>
  <c r="P826" i="17"/>
  <c r="W825" i="17"/>
  <c r="V825" i="17"/>
  <c r="U825" i="17"/>
  <c r="T825" i="17"/>
  <c r="S825" i="17"/>
  <c r="R825" i="17"/>
  <c r="Q825" i="17"/>
  <c r="P825" i="17"/>
  <c r="W824" i="17"/>
  <c r="V824" i="17"/>
  <c r="U824" i="17"/>
  <c r="T824" i="17"/>
  <c r="S824" i="17"/>
  <c r="R824" i="17"/>
  <c r="Q824" i="17"/>
  <c r="P824" i="17"/>
  <c r="W823" i="17"/>
  <c r="V823" i="17"/>
  <c r="U823" i="17"/>
  <c r="T823" i="17"/>
  <c r="S823" i="17"/>
  <c r="R823" i="17"/>
  <c r="Q823" i="17"/>
  <c r="P823" i="17"/>
  <c r="W822" i="17"/>
  <c r="V822" i="17"/>
  <c r="U822" i="17"/>
  <c r="T822" i="17"/>
  <c r="S822" i="17"/>
  <c r="R822" i="17"/>
  <c r="Q822" i="17"/>
  <c r="P822" i="17"/>
  <c r="W821" i="17"/>
  <c r="V821" i="17"/>
  <c r="U821" i="17"/>
  <c r="T821" i="17"/>
  <c r="S821" i="17"/>
  <c r="R821" i="17"/>
  <c r="Q821" i="17"/>
  <c r="P821" i="17"/>
  <c r="W820" i="17"/>
  <c r="V820" i="17"/>
  <c r="U820" i="17"/>
  <c r="T820" i="17"/>
  <c r="S820" i="17"/>
  <c r="R820" i="17"/>
  <c r="Q820" i="17"/>
  <c r="P820" i="17"/>
  <c r="W819" i="17"/>
  <c r="V819" i="17"/>
  <c r="U819" i="17"/>
  <c r="T819" i="17"/>
  <c r="S819" i="17"/>
  <c r="R819" i="17"/>
  <c r="Q819" i="17"/>
  <c r="P819" i="17"/>
  <c r="W818" i="17"/>
  <c r="V818" i="17"/>
  <c r="U818" i="17"/>
  <c r="T818" i="17"/>
  <c r="S818" i="17"/>
  <c r="R818" i="17"/>
  <c r="Q818" i="17"/>
  <c r="P818" i="17"/>
  <c r="W817" i="17"/>
  <c r="V817" i="17"/>
  <c r="U817" i="17"/>
  <c r="T817" i="17"/>
  <c r="S817" i="17"/>
  <c r="R817" i="17"/>
  <c r="Q817" i="17"/>
  <c r="P817" i="17"/>
  <c r="W816" i="17"/>
  <c r="V816" i="17"/>
  <c r="U816" i="17"/>
  <c r="T816" i="17"/>
  <c r="S816" i="17"/>
  <c r="R816" i="17"/>
  <c r="Q816" i="17"/>
  <c r="P816" i="17"/>
  <c r="W815" i="17"/>
  <c r="V815" i="17"/>
  <c r="U815" i="17"/>
  <c r="T815" i="17"/>
  <c r="S815" i="17"/>
  <c r="R815" i="17"/>
  <c r="Q815" i="17"/>
  <c r="P815" i="17"/>
  <c r="W814" i="17"/>
  <c r="V814" i="17"/>
  <c r="U814" i="17"/>
  <c r="T814" i="17"/>
  <c r="S814" i="17"/>
  <c r="R814" i="17"/>
  <c r="Q814" i="17"/>
  <c r="P814" i="17"/>
  <c r="W813" i="17"/>
  <c r="V813" i="17"/>
  <c r="U813" i="17"/>
  <c r="T813" i="17"/>
  <c r="S813" i="17"/>
  <c r="R813" i="17"/>
  <c r="Q813" i="17"/>
  <c r="P813" i="17"/>
  <c r="W812" i="17"/>
  <c r="V812" i="17"/>
  <c r="U812" i="17"/>
  <c r="T812" i="17"/>
  <c r="S812" i="17"/>
  <c r="R812" i="17"/>
  <c r="Q812" i="17"/>
  <c r="P812" i="17"/>
  <c r="W811" i="17"/>
  <c r="V811" i="17"/>
  <c r="U811" i="17"/>
  <c r="T811" i="17"/>
  <c r="S811" i="17"/>
  <c r="R811" i="17"/>
  <c r="Q811" i="17"/>
  <c r="P811" i="17"/>
  <c r="W810" i="17"/>
  <c r="V810" i="17"/>
  <c r="U810" i="17"/>
  <c r="T810" i="17"/>
  <c r="S810" i="17"/>
  <c r="R810" i="17"/>
  <c r="Q810" i="17"/>
  <c r="P810" i="17"/>
  <c r="W809" i="17"/>
  <c r="V809" i="17"/>
  <c r="U809" i="17"/>
  <c r="T809" i="17"/>
  <c r="S809" i="17"/>
  <c r="R809" i="17"/>
  <c r="Q809" i="17"/>
  <c r="P809" i="17"/>
  <c r="W808" i="17"/>
  <c r="V808" i="17"/>
  <c r="U808" i="17"/>
  <c r="T808" i="17"/>
  <c r="S808" i="17"/>
  <c r="R808" i="17"/>
  <c r="Q808" i="17"/>
  <c r="P808" i="17"/>
  <c r="W807" i="17"/>
  <c r="V807" i="17"/>
  <c r="U807" i="17"/>
  <c r="T807" i="17"/>
  <c r="S807" i="17"/>
  <c r="R807" i="17"/>
  <c r="Q807" i="17"/>
  <c r="P807" i="17"/>
  <c r="W806" i="17"/>
  <c r="V806" i="17"/>
  <c r="U806" i="17"/>
  <c r="T806" i="17"/>
  <c r="S806" i="17"/>
  <c r="R806" i="17"/>
  <c r="Q806" i="17"/>
  <c r="P806" i="17"/>
  <c r="W805" i="17"/>
  <c r="V805" i="17"/>
  <c r="U805" i="17"/>
  <c r="T805" i="17"/>
  <c r="S805" i="17"/>
  <c r="R805" i="17"/>
  <c r="Q805" i="17"/>
  <c r="P805" i="17"/>
  <c r="W804" i="17"/>
  <c r="V804" i="17"/>
  <c r="U804" i="17"/>
  <c r="T804" i="17"/>
  <c r="S804" i="17"/>
  <c r="R804" i="17"/>
  <c r="Q804" i="17"/>
  <c r="P804" i="17"/>
  <c r="W803" i="17"/>
  <c r="V803" i="17"/>
  <c r="U803" i="17"/>
  <c r="T803" i="17"/>
  <c r="S803" i="17"/>
  <c r="R803" i="17"/>
  <c r="Q803" i="17"/>
  <c r="P803" i="17"/>
  <c r="W802" i="17"/>
  <c r="V802" i="17"/>
  <c r="U802" i="17"/>
  <c r="T802" i="17"/>
  <c r="S802" i="17"/>
  <c r="R802" i="17"/>
  <c r="Q802" i="17"/>
  <c r="P802" i="17"/>
  <c r="W801" i="17"/>
  <c r="V801" i="17"/>
  <c r="U801" i="17"/>
  <c r="T801" i="17"/>
  <c r="S801" i="17"/>
  <c r="R801" i="17"/>
  <c r="Q801" i="17"/>
  <c r="P801" i="17"/>
  <c r="W800" i="17"/>
  <c r="V800" i="17"/>
  <c r="U800" i="17"/>
  <c r="T800" i="17"/>
  <c r="S800" i="17"/>
  <c r="R800" i="17"/>
  <c r="Q800" i="17"/>
  <c r="P800" i="17"/>
  <c r="W799" i="17"/>
  <c r="V799" i="17"/>
  <c r="U799" i="17"/>
  <c r="T799" i="17"/>
  <c r="S799" i="17"/>
  <c r="R799" i="17"/>
  <c r="Q799" i="17"/>
  <c r="P799" i="17"/>
  <c r="W798" i="17"/>
  <c r="V798" i="17"/>
  <c r="U798" i="17"/>
  <c r="T798" i="17"/>
  <c r="S798" i="17"/>
  <c r="R798" i="17"/>
  <c r="Q798" i="17"/>
  <c r="P798" i="17"/>
  <c r="W797" i="17"/>
  <c r="V797" i="17"/>
  <c r="U797" i="17"/>
  <c r="T797" i="17"/>
  <c r="S797" i="17"/>
  <c r="R797" i="17"/>
  <c r="Q797" i="17"/>
  <c r="P797" i="17"/>
  <c r="W796" i="17"/>
  <c r="V796" i="17"/>
  <c r="U796" i="17"/>
  <c r="T796" i="17"/>
  <c r="S796" i="17"/>
  <c r="R796" i="17"/>
  <c r="Q796" i="17"/>
  <c r="P796" i="17"/>
  <c r="W795" i="17"/>
  <c r="V795" i="17"/>
  <c r="U795" i="17"/>
  <c r="T795" i="17"/>
  <c r="S795" i="17"/>
  <c r="R795" i="17"/>
  <c r="Q795" i="17"/>
  <c r="P795" i="17"/>
  <c r="W794" i="17"/>
  <c r="V794" i="17"/>
  <c r="U794" i="17"/>
  <c r="T794" i="17"/>
  <c r="S794" i="17"/>
  <c r="R794" i="17"/>
  <c r="Q794" i="17"/>
  <c r="P794" i="17"/>
  <c r="W793" i="17"/>
  <c r="V793" i="17"/>
  <c r="U793" i="17"/>
  <c r="T793" i="17"/>
  <c r="S793" i="17"/>
  <c r="R793" i="17"/>
  <c r="Q793" i="17"/>
  <c r="P793" i="17"/>
  <c r="W792" i="17"/>
  <c r="V792" i="17"/>
  <c r="U792" i="17"/>
  <c r="T792" i="17"/>
  <c r="S792" i="17"/>
  <c r="R792" i="17"/>
  <c r="Q792" i="17"/>
  <c r="P792" i="17"/>
  <c r="W791" i="17"/>
  <c r="V791" i="17"/>
  <c r="U791" i="17"/>
  <c r="T791" i="17"/>
  <c r="S791" i="17"/>
  <c r="R791" i="17"/>
  <c r="Q791" i="17"/>
  <c r="P791" i="17"/>
  <c r="W790" i="17"/>
  <c r="V790" i="17"/>
  <c r="U790" i="17"/>
  <c r="T790" i="17"/>
  <c r="S790" i="17"/>
  <c r="R790" i="17"/>
  <c r="Q790" i="17"/>
  <c r="P790" i="17"/>
  <c r="W789" i="17"/>
  <c r="V789" i="17"/>
  <c r="U789" i="17"/>
  <c r="T789" i="17"/>
  <c r="S789" i="17"/>
  <c r="R789" i="17"/>
  <c r="Q789" i="17"/>
  <c r="P789" i="17"/>
  <c r="W788" i="17"/>
  <c r="V788" i="17"/>
  <c r="U788" i="17"/>
  <c r="T788" i="17"/>
  <c r="S788" i="17"/>
  <c r="R788" i="17"/>
  <c r="Q788" i="17"/>
  <c r="P788" i="17"/>
  <c r="W787" i="17"/>
  <c r="V787" i="17"/>
  <c r="U787" i="17"/>
  <c r="T787" i="17"/>
  <c r="S787" i="17"/>
  <c r="R787" i="17"/>
  <c r="Q787" i="17"/>
  <c r="P787" i="17"/>
  <c r="W786" i="17"/>
  <c r="V786" i="17"/>
  <c r="U786" i="17"/>
  <c r="T786" i="17"/>
  <c r="S786" i="17"/>
  <c r="R786" i="17"/>
  <c r="Q786" i="17"/>
  <c r="P786" i="17"/>
  <c r="W785" i="17"/>
  <c r="V785" i="17"/>
  <c r="U785" i="17"/>
  <c r="T785" i="17"/>
  <c r="S785" i="17"/>
  <c r="R785" i="17"/>
  <c r="Q785" i="17"/>
  <c r="P785" i="17"/>
  <c r="W784" i="17"/>
  <c r="V784" i="17"/>
  <c r="U784" i="17"/>
  <c r="T784" i="17"/>
  <c r="S784" i="17"/>
  <c r="R784" i="17"/>
  <c r="Q784" i="17"/>
  <c r="P784" i="17"/>
  <c r="W783" i="17"/>
  <c r="V783" i="17"/>
  <c r="U783" i="17"/>
  <c r="T783" i="17"/>
  <c r="S783" i="17"/>
  <c r="R783" i="17"/>
  <c r="Q783" i="17"/>
  <c r="P783" i="17"/>
  <c r="W782" i="17"/>
  <c r="V782" i="17"/>
  <c r="U782" i="17"/>
  <c r="T782" i="17"/>
  <c r="S782" i="17"/>
  <c r="R782" i="17"/>
  <c r="Q782" i="17"/>
  <c r="P782" i="17"/>
  <c r="W781" i="17"/>
  <c r="V781" i="17"/>
  <c r="U781" i="17"/>
  <c r="T781" i="17"/>
  <c r="S781" i="17"/>
  <c r="R781" i="17"/>
  <c r="Q781" i="17"/>
  <c r="P781" i="17"/>
  <c r="W780" i="17"/>
  <c r="V780" i="17"/>
  <c r="U780" i="17"/>
  <c r="T780" i="17"/>
  <c r="S780" i="17"/>
  <c r="R780" i="17"/>
  <c r="Q780" i="17"/>
  <c r="P780" i="17"/>
  <c r="W779" i="17"/>
  <c r="V779" i="17"/>
  <c r="U779" i="17"/>
  <c r="T779" i="17"/>
  <c r="S779" i="17"/>
  <c r="R779" i="17"/>
  <c r="Q779" i="17"/>
  <c r="P779" i="17"/>
  <c r="W778" i="17"/>
  <c r="V778" i="17"/>
  <c r="U778" i="17"/>
  <c r="T778" i="17"/>
  <c r="S778" i="17"/>
  <c r="R778" i="17"/>
  <c r="Q778" i="17"/>
  <c r="P778" i="17"/>
  <c r="W777" i="17"/>
  <c r="V777" i="17"/>
  <c r="U777" i="17"/>
  <c r="T777" i="17"/>
  <c r="S777" i="17"/>
  <c r="R777" i="17"/>
  <c r="Q777" i="17"/>
  <c r="P777" i="17"/>
  <c r="W776" i="17"/>
  <c r="V776" i="17"/>
  <c r="U776" i="17"/>
  <c r="T776" i="17"/>
  <c r="S776" i="17"/>
  <c r="R776" i="17"/>
  <c r="Q776" i="17"/>
  <c r="P776" i="17"/>
  <c r="W775" i="17"/>
  <c r="V775" i="17"/>
  <c r="U775" i="17"/>
  <c r="T775" i="17"/>
  <c r="S775" i="17"/>
  <c r="R775" i="17"/>
  <c r="Q775" i="17"/>
  <c r="P775" i="17"/>
  <c r="W774" i="17"/>
  <c r="V774" i="17"/>
  <c r="U774" i="17"/>
  <c r="T774" i="17"/>
  <c r="S774" i="17"/>
  <c r="R774" i="17"/>
  <c r="Q774" i="17"/>
  <c r="P774" i="17"/>
  <c r="W773" i="17"/>
  <c r="V773" i="17"/>
  <c r="U773" i="17"/>
  <c r="T773" i="17"/>
  <c r="S773" i="17"/>
  <c r="R773" i="17"/>
  <c r="Q773" i="17"/>
  <c r="P773" i="17"/>
  <c r="W772" i="17"/>
  <c r="V772" i="17"/>
  <c r="U772" i="17"/>
  <c r="T772" i="17"/>
  <c r="S772" i="17"/>
  <c r="R772" i="17"/>
  <c r="Q772" i="17"/>
  <c r="P772" i="17"/>
  <c r="W771" i="17"/>
  <c r="V771" i="17"/>
  <c r="U771" i="17"/>
  <c r="T771" i="17"/>
  <c r="S771" i="17"/>
  <c r="R771" i="17"/>
  <c r="Q771" i="17"/>
  <c r="P771" i="17"/>
  <c r="W770" i="17"/>
  <c r="V770" i="17"/>
  <c r="U770" i="17"/>
  <c r="T770" i="17"/>
  <c r="S770" i="17"/>
  <c r="R770" i="17"/>
  <c r="Q770" i="17"/>
  <c r="P770" i="17"/>
  <c r="W769" i="17"/>
  <c r="V769" i="17"/>
  <c r="U769" i="17"/>
  <c r="T769" i="17"/>
  <c r="S769" i="17"/>
  <c r="R769" i="17"/>
  <c r="Q769" i="17"/>
  <c r="P769" i="17"/>
  <c r="W768" i="17"/>
  <c r="V768" i="17"/>
  <c r="U768" i="17"/>
  <c r="T768" i="17"/>
  <c r="S768" i="17"/>
  <c r="R768" i="17"/>
  <c r="Q768" i="17"/>
  <c r="P768" i="17"/>
  <c r="W767" i="17"/>
  <c r="V767" i="17"/>
  <c r="U767" i="17"/>
  <c r="T767" i="17"/>
  <c r="S767" i="17"/>
  <c r="R767" i="17"/>
  <c r="Q767" i="17"/>
  <c r="P767" i="17"/>
  <c r="W766" i="17"/>
  <c r="V766" i="17"/>
  <c r="U766" i="17"/>
  <c r="T766" i="17"/>
  <c r="S766" i="17"/>
  <c r="R766" i="17"/>
  <c r="Q766" i="17"/>
  <c r="P766" i="17"/>
  <c r="W765" i="17"/>
  <c r="V765" i="17"/>
  <c r="U765" i="17"/>
  <c r="T765" i="17"/>
  <c r="S765" i="17"/>
  <c r="R765" i="17"/>
  <c r="Q765" i="17"/>
  <c r="P765" i="17"/>
  <c r="W764" i="17"/>
  <c r="V764" i="17"/>
  <c r="U764" i="17"/>
  <c r="T764" i="17"/>
  <c r="S764" i="17"/>
  <c r="R764" i="17"/>
  <c r="Q764" i="17"/>
  <c r="P764" i="17"/>
  <c r="W763" i="17"/>
  <c r="V763" i="17"/>
  <c r="U763" i="17"/>
  <c r="T763" i="17"/>
  <c r="S763" i="17"/>
  <c r="R763" i="17"/>
  <c r="Q763" i="17"/>
  <c r="P763" i="17"/>
  <c r="W762" i="17"/>
  <c r="V762" i="17"/>
  <c r="U762" i="17"/>
  <c r="T762" i="17"/>
  <c r="S762" i="17"/>
  <c r="R762" i="17"/>
  <c r="Q762" i="17"/>
  <c r="P762" i="17"/>
  <c r="W761" i="17"/>
  <c r="V761" i="17"/>
  <c r="U761" i="17"/>
  <c r="T761" i="17"/>
  <c r="S761" i="17"/>
  <c r="R761" i="17"/>
  <c r="Q761" i="17"/>
  <c r="P761" i="17"/>
  <c r="W760" i="17"/>
  <c r="V760" i="17"/>
  <c r="U760" i="17"/>
  <c r="T760" i="17"/>
  <c r="S760" i="17"/>
  <c r="R760" i="17"/>
  <c r="Q760" i="17"/>
  <c r="P760" i="17"/>
  <c r="W759" i="17"/>
  <c r="V759" i="17"/>
  <c r="U759" i="17"/>
  <c r="T759" i="17"/>
  <c r="S759" i="17"/>
  <c r="R759" i="17"/>
  <c r="Q759" i="17"/>
  <c r="P759" i="17"/>
  <c r="W758" i="17"/>
  <c r="V758" i="17"/>
  <c r="U758" i="17"/>
  <c r="T758" i="17"/>
  <c r="S758" i="17"/>
  <c r="R758" i="17"/>
  <c r="Q758" i="17"/>
  <c r="P758" i="17"/>
  <c r="W757" i="17"/>
  <c r="V757" i="17"/>
  <c r="U757" i="17"/>
  <c r="T757" i="17"/>
  <c r="S757" i="17"/>
  <c r="R757" i="17"/>
  <c r="Q757" i="17"/>
  <c r="P757" i="17"/>
  <c r="W756" i="17"/>
  <c r="V756" i="17"/>
  <c r="U756" i="17"/>
  <c r="T756" i="17"/>
  <c r="S756" i="17"/>
  <c r="R756" i="17"/>
  <c r="Q756" i="17"/>
  <c r="P756" i="17"/>
  <c r="W755" i="17"/>
  <c r="V755" i="17"/>
  <c r="U755" i="17"/>
  <c r="T755" i="17"/>
  <c r="S755" i="17"/>
  <c r="R755" i="17"/>
  <c r="Q755" i="17"/>
  <c r="P755" i="17"/>
  <c r="W754" i="17"/>
  <c r="V754" i="17"/>
  <c r="U754" i="17"/>
  <c r="T754" i="17"/>
  <c r="S754" i="17"/>
  <c r="R754" i="17"/>
  <c r="Q754" i="17"/>
  <c r="P754" i="17"/>
  <c r="W753" i="17"/>
  <c r="V753" i="17"/>
  <c r="U753" i="17"/>
  <c r="T753" i="17"/>
  <c r="S753" i="17"/>
  <c r="R753" i="17"/>
  <c r="Q753" i="17"/>
  <c r="P753" i="17"/>
  <c r="W752" i="17"/>
  <c r="V752" i="17"/>
  <c r="U752" i="17"/>
  <c r="T752" i="17"/>
  <c r="S752" i="17"/>
  <c r="R752" i="17"/>
  <c r="Q752" i="17"/>
  <c r="P752" i="17"/>
  <c r="W751" i="17"/>
  <c r="V751" i="17"/>
  <c r="U751" i="17"/>
  <c r="T751" i="17"/>
  <c r="S751" i="17"/>
  <c r="R751" i="17"/>
  <c r="Q751" i="17"/>
  <c r="P751" i="17"/>
  <c r="W750" i="17"/>
  <c r="V750" i="17"/>
  <c r="U750" i="17"/>
  <c r="T750" i="17"/>
  <c r="S750" i="17"/>
  <c r="R750" i="17"/>
  <c r="Q750" i="17"/>
  <c r="P750" i="17"/>
  <c r="W749" i="17"/>
  <c r="V749" i="17"/>
  <c r="U749" i="17"/>
  <c r="T749" i="17"/>
  <c r="S749" i="17"/>
  <c r="R749" i="17"/>
  <c r="Q749" i="17"/>
  <c r="P749" i="17"/>
  <c r="W748" i="17"/>
  <c r="V748" i="17"/>
  <c r="U748" i="17"/>
  <c r="T748" i="17"/>
  <c r="S748" i="17"/>
  <c r="R748" i="17"/>
  <c r="Q748" i="17"/>
  <c r="P748" i="17"/>
  <c r="W747" i="17"/>
  <c r="V747" i="17"/>
  <c r="U747" i="17"/>
  <c r="T747" i="17"/>
  <c r="S747" i="17"/>
  <c r="R747" i="17"/>
  <c r="Q747" i="17"/>
  <c r="P747" i="17"/>
  <c r="W746" i="17"/>
  <c r="V746" i="17"/>
  <c r="U746" i="17"/>
  <c r="T746" i="17"/>
  <c r="S746" i="17"/>
  <c r="R746" i="17"/>
  <c r="Q746" i="17"/>
  <c r="P746" i="17"/>
  <c r="W745" i="17"/>
  <c r="V745" i="17"/>
  <c r="U745" i="17"/>
  <c r="T745" i="17"/>
  <c r="S745" i="17"/>
  <c r="R745" i="17"/>
  <c r="Q745" i="17"/>
  <c r="P745" i="17"/>
  <c r="W744" i="17"/>
  <c r="V744" i="17"/>
  <c r="U744" i="17"/>
  <c r="T744" i="17"/>
  <c r="S744" i="17"/>
  <c r="R744" i="17"/>
  <c r="Q744" i="17"/>
  <c r="P744" i="17"/>
  <c r="W743" i="17"/>
  <c r="V743" i="17"/>
  <c r="U743" i="17"/>
  <c r="T743" i="17"/>
  <c r="S743" i="17"/>
  <c r="R743" i="17"/>
  <c r="Q743" i="17"/>
  <c r="P743" i="17"/>
  <c r="W742" i="17"/>
  <c r="V742" i="17"/>
  <c r="U742" i="17"/>
  <c r="T742" i="17"/>
  <c r="S742" i="17"/>
  <c r="R742" i="17"/>
  <c r="Q742" i="17"/>
  <c r="P742" i="17"/>
  <c r="W741" i="17"/>
  <c r="V741" i="17"/>
  <c r="U741" i="17"/>
  <c r="T741" i="17"/>
  <c r="S741" i="17"/>
  <c r="R741" i="17"/>
  <c r="Q741" i="17"/>
  <c r="P741" i="17"/>
  <c r="W740" i="17"/>
  <c r="V740" i="17"/>
  <c r="U740" i="17"/>
  <c r="T740" i="17"/>
  <c r="S740" i="17"/>
  <c r="R740" i="17"/>
  <c r="Q740" i="17"/>
  <c r="P740" i="17"/>
  <c r="W739" i="17"/>
  <c r="V739" i="17"/>
  <c r="U739" i="17"/>
  <c r="T739" i="17"/>
  <c r="S739" i="17"/>
  <c r="R739" i="17"/>
  <c r="Q739" i="17"/>
  <c r="P739" i="17"/>
  <c r="W738" i="17"/>
  <c r="V738" i="17"/>
  <c r="U738" i="17"/>
  <c r="T738" i="17"/>
  <c r="S738" i="17"/>
  <c r="R738" i="17"/>
  <c r="Q738" i="17"/>
  <c r="P738" i="17"/>
  <c r="W737" i="17"/>
  <c r="V737" i="17"/>
  <c r="U737" i="17"/>
  <c r="T737" i="17"/>
  <c r="S737" i="17"/>
  <c r="R737" i="17"/>
  <c r="Q737" i="17"/>
  <c r="P737" i="17"/>
  <c r="W736" i="17"/>
  <c r="V736" i="17"/>
  <c r="U736" i="17"/>
  <c r="T736" i="17"/>
  <c r="S736" i="17"/>
  <c r="R736" i="17"/>
  <c r="Q736" i="17"/>
  <c r="P736" i="17"/>
  <c r="W735" i="17"/>
  <c r="V735" i="17"/>
  <c r="U735" i="17"/>
  <c r="T735" i="17"/>
  <c r="S735" i="17"/>
  <c r="R735" i="17"/>
  <c r="Q735" i="17"/>
  <c r="P735" i="17"/>
  <c r="W734" i="17"/>
  <c r="V734" i="17"/>
  <c r="U734" i="17"/>
  <c r="T734" i="17"/>
  <c r="S734" i="17"/>
  <c r="R734" i="17"/>
  <c r="Q734" i="17"/>
  <c r="P734" i="17"/>
  <c r="W733" i="17"/>
  <c r="V733" i="17"/>
  <c r="U733" i="17"/>
  <c r="T733" i="17"/>
  <c r="S733" i="17"/>
  <c r="R733" i="17"/>
  <c r="Q733" i="17"/>
  <c r="P733" i="17"/>
  <c r="W732" i="17"/>
  <c r="V732" i="17"/>
  <c r="U732" i="17"/>
  <c r="T732" i="17"/>
  <c r="S732" i="17"/>
  <c r="R732" i="17"/>
  <c r="Q732" i="17"/>
  <c r="P732" i="17"/>
  <c r="W731" i="17"/>
  <c r="V731" i="17"/>
  <c r="U731" i="17"/>
  <c r="T731" i="17"/>
  <c r="S731" i="17"/>
  <c r="R731" i="17"/>
  <c r="Q731" i="17"/>
  <c r="P731" i="17"/>
  <c r="W730" i="17"/>
  <c r="V730" i="17"/>
  <c r="U730" i="17"/>
  <c r="T730" i="17"/>
  <c r="S730" i="17"/>
  <c r="R730" i="17"/>
  <c r="Q730" i="17"/>
  <c r="P730" i="17"/>
  <c r="W729" i="17"/>
  <c r="V729" i="17"/>
  <c r="U729" i="17"/>
  <c r="T729" i="17"/>
  <c r="S729" i="17"/>
  <c r="R729" i="17"/>
  <c r="Q729" i="17"/>
  <c r="P729" i="17"/>
  <c r="W728" i="17"/>
  <c r="V728" i="17"/>
  <c r="U728" i="17"/>
  <c r="T728" i="17"/>
  <c r="S728" i="17"/>
  <c r="R728" i="17"/>
  <c r="Q728" i="17"/>
  <c r="P728" i="17"/>
  <c r="W727" i="17"/>
  <c r="V727" i="17"/>
  <c r="U727" i="17"/>
  <c r="T727" i="17"/>
  <c r="S727" i="17"/>
  <c r="R727" i="17"/>
  <c r="Q727" i="17"/>
  <c r="P727" i="17"/>
  <c r="W726" i="17"/>
  <c r="V726" i="17"/>
  <c r="U726" i="17"/>
  <c r="T726" i="17"/>
  <c r="S726" i="17"/>
  <c r="R726" i="17"/>
  <c r="Q726" i="17"/>
  <c r="P726" i="17"/>
  <c r="W725" i="17"/>
  <c r="V725" i="17"/>
  <c r="U725" i="17"/>
  <c r="T725" i="17"/>
  <c r="S725" i="17"/>
  <c r="R725" i="17"/>
  <c r="Q725" i="17"/>
  <c r="P725" i="17"/>
  <c r="W724" i="17"/>
  <c r="V724" i="17"/>
  <c r="U724" i="17"/>
  <c r="T724" i="17"/>
  <c r="S724" i="17"/>
  <c r="R724" i="17"/>
  <c r="Q724" i="17"/>
  <c r="P724" i="17"/>
  <c r="W723" i="17"/>
  <c r="V723" i="17"/>
  <c r="U723" i="17"/>
  <c r="T723" i="17"/>
  <c r="S723" i="17"/>
  <c r="R723" i="17"/>
  <c r="Q723" i="17"/>
  <c r="P723" i="17"/>
  <c r="W722" i="17"/>
  <c r="V722" i="17"/>
  <c r="U722" i="17"/>
  <c r="T722" i="17"/>
  <c r="S722" i="17"/>
  <c r="R722" i="17"/>
  <c r="Q722" i="17"/>
  <c r="P722" i="17"/>
  <c r="W721" i="17"/>
  <c r="V721" i="17"/>
  <c r="U721" i="17"/>
  <c r="T721" i="17"/>
  <c r="S721" i="17"/>
  <c r="R721" i="17"/>
  <c r="Q721" i="17"/>
  <c r="P721" i="17"/>
  <c r="W720" i="17"/>
  <c r="V720" i="17"/>
  <c r="U720" i="17"/>
  <c r="T720" i="17"/>
  <c r="S720" i="17"/>
  <c r="R720" i="17"/>
  <c r="Q720" i="17"/>
  <c r="P720" i="17"/>
  <c r="W719" i="17"/>
  <c r="V719" i="17"/>
  <c r="U719" i="17"/>
  <c r="T719" i="17"/>
  <c r="S719" i="17"/>
  <c r="R719" i="17"/>
  <c r="Q719" i="17"/>
  <c r="P719" i="17"/>
  <c r="W718" i="17"/>
  <c r="V718" i="17"/>
  <c r="U718" i="17"/>
  <c r="T718" i="17"/>
  <c r="S718" i="17"/>
  <c r="R718" i="17"/>
  <c r="Q718" i="17"/>
  <c r="P718" i="17"/>
  <c r="W717" i="17"/>
  <c r="V717" i="17"/>
  <c r="U717" i="17"/>
  <c r="T717" i="17"/>
  <c r="S717" i="17"/>
  <c r="R717" i="17"/>
  <c r="Q717" i="17"/>
  <c r="P717" i="17"/>
  <c r="W716" i="17"/>
  <c r="V716" i="17"/>
  <c r="U716" i="17"/>
  <c r="T716" i="17"/>
  <c r="S716" i="17"/>
  <c r="R716" i="17"/>
  <c r="Q716" i="17"/>
  <c r="P716" i="17"/>
  <c r="W715" i="17"/>
  <c r="V715" i="17"/>
  <c r="U715" i="17"/>
  <c r="T715" i="17"/>
  <c r="S715" i="17"/>
  <c r="R715" i="17"/>
  <c r="Q715" i="17"/>
  <c r="P715" i="17"/>
  <c r="W714" i="17"/>
  <c r="V714" i="17"/>
  <c r="U714" i="17"/>
  <c r="T714" i="17"/>
  <c r="S714" i="17"/>
  <c r="R714" i="17"/>
  <c r="Q714" i="17"/>
  <c r="P714" i="17"/>
  <c r="W713" i="17"/>
  <c r="V713" i="17"/>
  <c r="U713" i="17"/>
  <c r="T713" i="17"/>
  <c r="S713" i="17"/>
  <c r="R713" i="17"/>
  <c r="Q713" i="17"/>
  <c r="P713" i="17"/>
  <c r="W712" i="17"/>
  <c r="V712" i="17"/>
  <c r="U712" i="17"/>
  <c r="T712" i="17"/>
  <c r="S712" i="17"/>
  <c r="R712" i="17"/>
  <c r="Q712" i="17"/>
  <c r="P712" i="17"/>
  <c r="W711" i="17"/>
  <c r="V711" i="17"/>
  <c r="U711" i="17"/>
  <c r="T711" i="17"/>
  <c r="S711" i="17"/>
  <c r="R711" i="17"/>
  <c r="Q711" i="17"/>
  <c r="P711" i="17"/>
  <c r="W710" i="17"/>
  <c r="V710" i="17"/>
  <c r="U710" i="17"/>
  <c r="T710" i="17"/>
  <c r="S710" i="17"/>
  <c r="R710" i="17"/>
  <c r="Q710" i="17"/>
  <c r="P710" i="17"/>
  <c r="W709" i="17"/>
  <c r="V709" i="17"/>
  <c r="U709" i="17"/>
  <c r="T709" i="17"/>
  <c r="S709" i="17"/>
  <c r="R709" i="17"/>
  <c r="Q709" i="17"/>
  <c r="P709" i="17"/>
  <c r="W708" i="17"/>
  <c r="V708" i="17"/>
  <c r="U708" i="17"/>
  <c r="T708" i="17"/>
  <c r="S708" i="17"/>
  <c r="R708" i="17"/>
  <c r="Q708" i="17"/>
  <c r="P708" i="17"/>
  <c r="W707" i="17"/>
  <c r="V707" i="17"/>
  <c r="U707" i="17"/>
  <c r="T707" i="17"/>
  <c r="S707" i="17"/>
  <c r="R707" i="17"/>
  <c r="Q707" i="17"/>
  <c r="P707" i="17"/>
  <c r="W706" i="17"/>
  <c r="V706" i="17"/>
  <c r="U706" i="17"/>
  <c r="T706" i="17"/>
  <c r="S706" i="17"/>
  <c r="R706" i="17"/>
  <c r="Q706" i="17"/>
  <c r="P706" i="17"/>
  <c r="W705" i="17"/>
  <c r="V705" i="17"/>
  <c r="U705" i="17"/>
  <c r="T705" i="17"/>
  <c r="S705" i="17"/>
  <c r="R705" i="17"/>
  <c r="Q705" i="17"/>
  <c r="P705" i="17"/>
  <c r="W704" i="17"/>
  <c r="V704" i="17"/>
  <c r="U704" i="17"/>
  <c r="T704" i="17"/>
  <c r="S704" i="17"/>
  <c r="R704" i="17"/>
  <c r="Q704" i="17"/>
  <c r="P704" i="17"/>
  <c r="W703" i="17"/>
  <c r="V703" i="17"/>
  <c r="U703" i="17"/>
  <c r="T703" i="17"/>
  <c r="S703" i="17"/>
  <c r="R703" i="17"/>
  <c r="Q703" i="17"/>
  <c r="P703" i="17"/>
  <c r="W702" i="17"/>
  <c r="V702" i="17"/>
  <c r="U702" i="17"/>
  <c r="T702" i="17"/>
  <c r="S702" i="17"/>
  <c r="R702" i="17"/>
  <c r="Q702" i="17"/>
  <c r="P702" i="17"/>
  <c r="W701" i="17"/>
  <c r="V701" i="17"/>
  <c r="U701" i="17"/>
  <c r="T701" i="17"/>
  <c r="S701" i="17"/>
  <c r="R701" i="17"/>
  <c r="Q701" i="17"/>
  <c r="P701" i="17"/>
  <c r="W700" i="17"/>
  <c r="V700" i="17"/>
  <c r="U700" i="17"/>
  <c r="T700" i="17"/>
  <c r="S700" i="17"/>
  <c r="R700" i="17"/>
  <c r="Q700" i="17"/>
  <c r="P700" i="17"/>
  <c r="W699" i="17"/>
  <c r="V699" i="17"/>
  <c r="U699" i="17"/>
  <c r="T699" i="17"/>
  <c r="S699" i="17"/>
  <c r="R699" i="17"/>
  <c r="Q699" i="17"/>
  <c r="P699" i="17"/>
  <c r="W698" i="17"/>
  <c r="V698" i="17"/>
  <c r="U698" i="17"/>
  <c r="T698" i="17"/>
  <c r="S698" i="17"/>
  <c r="R698" i="17"/>
  <c r="Q698" i="17"/>
  <c r="P698" i="17"/>
  <c r="W697" i="17"/>
  <c r="V697" i="17"/>
  <c r="U697" i="17"/>
  <c r="T697" i="17"/>
  <c r="S697" i="17"/>
  <c r="R697" i="17"/>
  <c r="Q697" i="17"/>
  <c r="P697" i="17"/>
  <c r="W696" i="17"/>
  <c r="V696" i="17"/>
  <c r="U696" i="17"/>
  <c r="T696" i="17"/>
  <c r="S696" i="17"/>
  <c r="R696" i="17"/>
  <c r="Q696" i="17"/>
  <c r="P696" i="17"/>
  <c r="W695" i="17"/>
  <c r="V695" i="17"/>
  <c r="U695" i="17"/>
  <c r="T695" i="17"/>
  <c r="S695" i="17"/>
  <c r="R695" i="17"/>
  <c r="Q695" i="17"/>
  <c r="P695" i="17"/>
  <c r="W694" i="17"/>
  <c r="V694" i="17"/>
  <c r="U694" i="17"/>
  <c r="T694" i="17"/>
  <c r="S694" i="17"/>
  <c r="R694" i="17"/>
  <c r="Q694" i="17"/>
  <c r="P694" i="17"/>
  <c r="W693" i="17"/>
  <c r="V693" i="17"/>
  <c r="U693" i="17"/>
  <c r="T693" i="17"/>
  <c r="S693" i="17"/>
  <c r="R693" i="17"/>
  <c r="Q693" i="17"/>
  <c r="P693" i="17"/>
  <c r="W692" i="17"/>
  <c r="V692" i="17"/>
  <c r="U692" i="17"/>
  <c r="T692" i="17"/>
  <c r="S692" i="17"/>
  <c r="R692" i="17"/>
  <c r="Q692" i="17"/>
  <c r="P692" i="17"/>
  <c r="W691" i="17"/>
  <c r="V691" i="17"/>
  <c r="U691" i="17"/>
  <c r="T691" i="17"/>
  <c r="S691" i="17"/>
  <c r="R691" i="17"/>
  <c r="Q691" i="17"/>
  <c r="P691" i="17"/>
  <c r="W690" i="17"/>
  <c r="V690" i="17"/>
  <c r="U690" i="17"/>
  <c r="T690" i="17"/>
  <c r="S690" i="17"/>
  <c r="R690" i="17"/>
  <c r="Q690" i="17"/>
  <c r="P690" i="17"/>
  <c r="W689" i="17"/>
  <c r="V689" i="17"/>
  <c r="U689" i="17"/>
  <c r="T689" i="17"/>
  <c r="S689" i="17"/>
  <c r="R689" i="17"/>
  <c r="Q689" i="17"/>
  <c r="P689" i="17"/>
  <c r="W688" i="17"/>
  <c r="V688" i="17"/>
  <c r="U688" i="17"/>
  <c r="T688" i="17"/>
  <c r="S688" i="17"/>
  <c r="R688" i="17"/>
  <c r="Q688" i="17"/>
  <c r="P688" i="17"/>
  <c r="W687" i="17"/>
  <c r="V687" i="17"/>
  <c r="U687" i="17"/>
  <c r="T687" i="17"/>
  <c r="S687" i="17"/>
  <c r="R687" i="17"/>
  <c r="Q687" i="17"/>
  <c r="P687" i="17"/>
  <c r="W686" i="17"/>
  <c r="V686" i="17"/>
  <c r="U686" i="17"/>
  <c r="T686" i="17"/>
  <c r="S686" i="17"/>
  <c r="R686" i="17"/>
  <c r="Q686" i="17"/>
  <c r="P686" i="17"/>
  <c r="W685" i="17"/>
  <c r="V685" i="17"/>
  <c r="U685" i="17"/>
  <c r="T685" i="17"/>
  <c r="S685" i="17"/>
  <c r="R685" i="17"/>
  <c r="Q685" i="17"/>
  <c r="P685" i="17"/>
  <c r="W684" i="17"/>
  <c r="V684" i="17"/>
  <c r="U684" i="17"/>
  <c r="T684" i="17"/>
  <c r="S684" i="17"/>
  <c r="R684" i="17"/>
  <c r="Q684" i="17"/>
  <c r="P684" i="17"/>
  <c r="W683" i="17"/>
  <c r="V683" i="17"/>
  <c r="U683" i="17"/>
  <c r="T683" i="17"/>
  <c r="S683" i="17"/>
  <c r="R683" i="17"/>
  <c r="Q683" i="17"/>
  <c r="P683" i="17"/>
  <c r="W682" i="17"/>
  <c r="V682" i="17"/>
  <c r="U682" i="17"/>
  <c r="T682" i="17"/>
  <c r="S682" i="17"/>
  <c r="R682" i="17"/>
  <c r="Q682" i="17"/>
  <c r="P682" i="17"/>
  <c r="W681" i="17"/>
  <c r="V681" i="17"/>
  <c r="U681" i="17"/>
  <c r="T681" i="17"/>
  <c r="S681" i="17"/>
  <c r="R681" i="17"/>
  <c r="Q681" i="17"/>
  <c r="P681" i="17"/>
  <c r="W680" i="17"/>
  <c r="V680" i="17"/>
  <c r="U680" i="17"/>
  <c r="T680" i="17"/>
  <c r="S680" i="17"/>
  <c r="R680" i="17"/>
  <c r="Q680" i="17"/>
  <c r="P680" i="17"/>
  <c r="W679" i="17"/>
  <c r="V679" i="17"/>
  <c r="U679" i="17"/>
  <c r="T679" i="17"/>
  <c r="S679" i="17"/>
  <c r="R679" i="17"/>
  <c r="Q679" i="17"/>
  <c r="P679" i="17"/>
  <c r="W678" i="17"/>
  <c r="V678" i="17"/>
  <c r="U678" i="17"/>
  <c r="T678" i="17"/>
  <c r="S678" i="17"/>
  <c r="R678" i="17"/>
  <c r="Q678" i="17"/>
  <c r="P678" i="17"/>
  <c r="W677" i="17"/>
  <c r="V677" i="17"/>
  <c r="U677" i="17"/>
  <c r="T677" i="17"/>
  <c r="S677" i="17"/>
  <c r="R677" i="17"/>
  <c r="Q677" i="17"/>
  <c r="P677" i="17"/>
  <c r="W676" i="17"/>
  <c r="V676" i="17"/>
  <c r="U676" i="17"/>
  <c r="T676" i="17"/>
  <c r="S676" i="17"/>
  <c r="R676" i="17"/>
  <c r="Q676" i="17"/>
  <c r="P676" i="17"/>
  <c r="W675" i="17"/>
  <c r="V675" i="17"/>
  <c r="U675" i="17"/>
  <c r="T675" i="17"/>
  <c r="S675" i="17"/>
  <c r="R675" i="17"/>
  <c r="Q675" i="17"/>
  <c r="P675" i="17"/>
  <c r="W674" i="17"/>
  <c r="V674" i="17"/>
  <c r="U674" i="17"/>
  <c r="T674" i="17"/>
  <c r="S674" i="17"/>
  <c r="R674" i="17"/>
  <c r="Q674" i="17"/>
  <c r="P674" i="17"/>
  <c r="W673" i="17"/>
  <c r="V673" i="17"/>
  <c r="U673" i="17"/>
  <c r="T673" i="17"/>
  <c r="S673" i="17"/>
  <c r="R673" i="17"/>
  <c r="Q673" i="17"/>
  <c r="P673" i="17"/>
  <c r="W672" i="17"/>
  <c r="V672" i="17"/>
  <c r="U672" i="17"/>
  <c r="T672" i="17"/>
  <c r="S672" i="17"/>
  <c r="R672" i="17"/>
  <c r="Q672" i="17"/>
  <c r="P672" i="17"/>
  <c r="W671" i="17"/>
  <c r="V671" i="17"/>
  <c r="U671" i="17"/>
  <c r="T671" i="17"/>
  <c r="S671" i="17"/>
  <c r="R671" i="17"/>
  <c r="Q671" i="17"/>
  <c r="P671" i="17"/>
  <c r="W670" i="17"/>
  <c r="V670" i="17"/>
  <c r="U670" i="17"/>
  <c r="T670" i="17"/>
  <c r="S670" i="17"/>
  <c r="R670" i="17"/>
  <c r="Q670" i="17"/>
  <c r="P670" i="17"/>
  <c r="W669" i="17"/>
  <c r="V669" i="17"/>
  <c r="U669" i="17"/>
  <c r="T669" i="17"/>
  <c r="S669" i="17"/>
  <c r="R669" i="17"/>
  <c r="Q669" i="17"/>
  <c r="P669" i="17"/>
  <c r="W668" i="17"/>
  <c r="V668" i="17"/>
  <c r="U668" i="17"/>
  <c r="T668" i="17"/>
  <c r="S668" i="17"/>
  <c r="R668" i="17"/>
  <c r="Q668" i="17"/>
  <c r="P668" i="17"/>
  <c r="W667" i="17"/>
  <c r="V667" i="17"/>
  <c r="U667" i="17"/>
  <c r="T667" i="17"/>
  <c r="S667" i="17"/>
  <c r="R667" i="17"/>
  <c r="Q667" i="17"/>
  <c r="P667" i="17"/>
  <c r="W666" i="17"/>
  <c r="V666" i="17"/>
  <c r="U666" i="17"/>
  <c r="T666" i="17"/>
  <c r="S666" i="17"/>
  <c r="R666" i="17"/>
  <c r="Q666" i="17"/>
  <c r="P666" i="17"/>
  <c r="W665" i="17"/>
  <c r="V665" i="17"/>
  <c r="U665" i="17"/>
  <c r="T665" i="17"/>
  <c r="S665" i="17"/>
  <c r="R665" i="17"/>
  <c r="Q665" i="17"/>
  <c r="P665" i="17"/>
  <c r="W664" i="17"/>
  <c r="V664" i="17"/>
  <c r="U664" i="17"/>
  <c r="T664" i="17"/>
  <c r="S664" i="17"/>
  <c r="R664" i="17"/>
  <c r="Q664" i="17"/>
  <c r="P664" i="17"/>
  <c r="W663" i="17"/>
  <c r="V663" i="17"/>
  <c r="U663" i="17"/>
  <c r="T663" i="17"/>
  <c r="S663" i="17"/>
  <c r="R663" i="17"/>
  <c r="Q663" i="17"/>
  <c r="P663" i="17"/>
  <c r="W662" i="17"/>
  <c r="V662" i="17"/>
  <c r="U662" i="17"/>
  <c r="T662" i="17"/>
  <c r="S662" i="17"/>
  <c r="R662" i="17"/>
  <c r="Q662" i="17"/>
  <c r="P662" i="17"/>
  <c r="W661" i="17"/>
  <c r="V661" i="17"/>
  <c r="U661" i="17"/>
  <c r="T661" i="17"/>
  <c r="S661" i="17"/>
  <c r="R661" i="17"/>
  <c r="Q661" i="17"/>
  <c r="P661" i="17"/>
  <c r="W660" i="17"/>
  <c r="V660" i="17"/>
  <c r="U660" i="17"/>
  <c r="T660" i="17"/>
  <c r="S660" i="17"/>
  <c r="R660" i="17"/>
  <c r="Q660" i="17"/>
  <c r="P660" i="17"/>
  <c r="W659" i="17"/>
  <c r="V659" i="17"/>
  <c r="U659" i="17"/>
  <c r="T659" i="17"/>
  <c r="S659" i="17"/>
  <c r="R659" i="17"/>
  <c r="Q659" i="17"/>
  <c r="P659" i="17"/>
  <c r="W658" i="17"/>
  <c r="V658" i="17"/>
  <c r="U658" i="17"/>
  <c r="T658" i="17"/>
  <c r="S658" i="17"/>
  <c r="R658" i="17"/>
  <c r="Q658" i="17"/>
  <c r="P658" i="17"/>
  <c r="W657" i="17"/>
  <c r="V657" i="17"/>
  <c r="U657" i="17"/>
  <c r="T657" i="17"/>
  <c r="S657" i="17"/>
  <c r="R657" i="17"/>
  <c r="Q657" i="17"/>
  <c r="P657" i="17"/>
  <c r="W656" i="17"/>
  <c r="V656" i="17"/>
  <c r="U656" i="17"/>
  <c r="T656" i="17"/>
  <c r="S656" i="17"/>
  <c r="R656" i="17"/>
  <c r="Q656" i="17"/>
  <c r="P656" i="17"/>
  <c r="W655" i="17"/>
  <c r="V655" i="17"/>
  <c r="U655" i="17"/>
  <c r="T655" i="17"/>
  <c r="S655" i="17"/>
  <c r="R655" i="17"/>
  <c r="Q655" i="17"/>
  <c r="P655" i="17"/>
  <c r="W654" i="17"/>
  <c r="V654" i="17"/>
  <c r="U654" i="17"/>
  <c r="T654" i="17"/>
  <c r="S654" i="17"/>
  <c r="R654" i="17"/>
  <c r="Q654" i="17"/>
  <c r="P654" i="17"/>
  <c r="W653" i="17"/>
  <c r="V653" i="17"/>
  <c r="U653" i="17"/>
  <c r="T653" i="17"/>
  <c r="S653" i="17"/>
  <c r="R653" i="17"/>
  <c r="Q653" i="17"/>
  <c r="P653" i="17"/>
  <c r="W652" i="17"/>
  <c r="V652" i="17"/>
  <c r="U652" i="17"/>
  <c r="T652" i="17"/>
  <c r="S652" i="17"/>
  <c r="R652" i="17"/>
  <c r="Q652" i="17"/>
  <c r="P652" i="17"/>
  <c r="W651" i="17"/>
  <c r="V651" i="17"/>
  <c r="U651" i="17"/>
  <c r="T651" i="17"/>
  <c r="S651" i="17"/>
  <c r="R651" i="17"/>
  <c r="Q651" i="17"/>
  <c r="P651" i="17"/>
  <c r="W650" i="17"/>
  <c r="V650" i="17"/>
  <c r="U650" i="17"/>
  <c r="T650" i="17"/>
  <c r="S650" i="17"/>
  <c r="R650" i="17"/>
  <c r="Q650" i="17"/>
  <c r="P650" i="17"/>
  <c r="W649" i="17"/>
  <c r="V649" i="17"/>
  <c r="U649" i="17"/>
  <c r="T649" i="17"/>
  <c r="S649" i="17"/>
  <c r="R649" i="17"/>
  <c r="Q649" i="17"/>
  <c r="P649" i="17"/>
  <c r="W648" i="17"/>
  <c r="V648" i="17"/>
  <c r="U648" i="17"/>
  <c r="T648" i="17"/>
  <c r="S648" i="17"/>
  <c r="R648" i="17"/>
  <c r="Q648" i="17"/>
  <c r="P648" i="17"/>
  <c r="W647" i="17"/>
  <c r="V647" i="17"/>
  <c r="U647" i="17"/>
  <c r="T647" i="17"/>
  <c r="S647" i="17"/>
  <c r="R647" i="17"/>
  <c r="Q647" i="17"/>
  <c r="P647" i="17"/>
  <c r="W646" i="17"/>
  <c r="V646" i="17"/>
  <c r="U646" i="17"/>
  <c r="T646" i="17"/>
  <c r="S646" i="17"/>
  <c r="R646" i="17"/>
  <c r="Q646" i="17"/>
  <c r="P646" i="17"/>
  <c r="W645" i="17"/>
  <c r="V645" i="17"/>
  <c r="U645" i="17"/>
  <c r="T645" i="17"/>
  <c r="S645" i="17"/>
  <c r="R645" i="17"/>
  <c r="Q645" i="17"/>
  <c r="P645" i="17"/>
  <c r="W644" i="17"/>
  <c r="V644" i="17"/>
  <c r="U644" i="17"/>
  <c r="T644" i="17"/>
  <c r="S644" i="17"/>
  <c r="R644" i="17"/>
  <c r="Q644" i="17"/>
  <c r="P644" i="17"/>
  <c r="W643" i="17"/>
  <c r="V643" i="17"/>
  <c r="U643" i="17"/>
  <c r="T643" i="17"/>
  <c r="S643" i="17"/>
  <c r="R643" i="17"/>
  <c r="Q643" i="17"/>
  <c r="P643" i="17"/>
  <c r="W642" i="17"/>
  <c r="V642" i="17"/>
  <c r="U642" i="17"/>
  <c r="T642" i="17"/>
  <c r="S642" i="17"/>
  <c r="R642" i="17"/>
  <c r="Q642" i="17"/>
  <c r="P642" i="17"/>
  <c r="W641" i="17"/>
  <c r="V641" i="17"/>
  <c r="U641" i="17"/>
  <c r="T641" i="17"/>
  <c r="S641" i="17"/>
  <c r="R641" i="17"/>
  <c r="Q641" i="17"/>
  <c r="P641" i="17"/>
  <c r="W640" i="17"/>
  <c r="V640" i="17"/>
  <c r="U640" i="17"/>
  <c r="T640" i="17"/>
  <c r="S640" i="17"/>
  <c r="R640" i="17"/>
  <c r="Q640" i="17"/>
  <c r="P640" i="17"/>
  <c r="W639" i="17"/>
  <c r="V639" i="17"/>
  <c r="U639" i="17"/>
  <c r="T639" i="17"/>
  <c r="S639" i="17"/>
  <c r="R639" i="17"/>
  <c r="Q639" i="17"/>
  <c r="P639" i="17"/>
  <c r="W638" i="17"/>
  <c r="V638" i="17"/>
  <c r="U638" i="17"/>
  <c r="T638" i="17"/>
  <c r="S638" i="17"/>
  <c r="R638" i="17"/>
  <c r="Q638" i="17"/>
  <c r="P638" i="17"/>
  <c r="W637" i="17"/>
  <c r="V637" i="17"/>
  <c r="U637" i="17"/>
  <c r="T637" i="17"/>
  <c r="S637" i="17"/>
  <c r="R637" i="17"/>
  <c r="Q637" i="17"/>
  <c r="P637" i="17"/>
  <c r="W636" i="17"/>
  <c r="V636" i="17"/>
  <c r="U636" i="17"/>
  <c r="T636" i="17"/>
  <c r="S636" i="17"/>
  <c r="R636" i="17"/>
  <c r="Q636" i="17"/>
  <c r="P636" i="17"/>
  <c r="W635" i="17"/>
  <c r="V635" i="17"/>
  <c r="U635" i="17"/>
  <c r="T635" i="17"/>
  <c r="S635" i="17"/>
  <c r="R635" i="17"/>
  <c r="Q635" i="17"/>
  <c r="P635" i="17"/>
  <c r="W634" i="17"/>
  <c r="V634" i="17"/>
  <c r="U634" i="17"/>
  <c r="T634" i="17"/>
  <c r="S634" i="17"/>
  <c r="R634" i="17"/>
  <c r="Q634" i="17"/>
  <c r="P634" i="17"/>
  <c r="W633" i="17"/>
  <c r="V633" i="17"/>
  <c r="U633" i="17"/>
  <c r="T633" i="17"/>
  <c r="S633" i="17"/>
  <c r="R633" i="17"/>
  <c r="Q633" i="17"/>
  <c r="P633" i="17"/>
  <c r="W632" i="17"/>
  <c r="V632" i="17"/>
  <c r="U632" i="17"/>
  <c r="T632" i="17"/>
  <c r="S632" i="17"/>
  <c r="R632" i="17"/>
  <c r="Q632" i="17"/>
  <c r="P632" i="17"/>
  <c r="W631" i="17"/>
  <c r="V631" i="17"/>
  <c r="U631" i="17"/>
  <c r="T631" i="17"/>
  <c r="S631" i="17"/>
  <c r="R631" i="17"/>
  <c r="Q631" i="17"/>
  <c r="P631" i="17"/>
  <c r="W630" i="17"/>
  <c r="V630" i="17"/>
  <c r="U630" i="17"/>
  <c r="T630" i="17"/>
  <c r="S630" i="17"/>
  <c r="R630" i="17"/>
  <c r="Q630" i="17"/>
  <c r="P630" i="17"/>
  <c r="W629" i="17"/>
  <c r="V629" i="17"/>
  <c r="U629" i="17"/>
  <c r="T629" i="17"/>
  <c r="S629" i="17"/>
  <c r="R629" i="17"/>
  <c r="Q629" i="17"/>
  <c r="P629" i="17"/>
  <c r="W628" i="17"/>
  <c r="V628" i="17"/>
  <c r="U628" i="17"/>
  <c r="T628" i="17"/>
  <c r="S628" i="17"/>
  <c r="R628" i="17"/>
  <c r="Q628" i="17"/>
  <c r="P628" i="17"/>
  <c r="W627" i="17"/>
  <c r="V627" i="17"/>
  <c r="U627" i="17"/>
  <c r="T627" i="17"/>
  <c r="S627" i="17"/>
  <c r="R627" i="17"/>
  <c r="Q627" i="17"/>
  <c r="P627" i="17"/>
  <c r="W626" i="17"/>
  <c r="V626" i="17"/>
  <c r="U626" i="17"/>
  <c r="T626" i="17"/>
  <c r="S626" i="17"/>
  <c r="R626" i="17"/>
  <c r="Q626" i="17"/>
  <c r="P626" i="17"/>
  <c r="W625" i="17"/>
  <c r="V625" i="17"/>
  <c r="U625" i="17"/>
  <c r="T625" i="17"/>
  <c r="S625" i="17"/>
  <c r="R625" i="17"/>
  <c r="Q625" i="17"/>
  <c r="P625" i="17"/>
  <c r="W624" i="17"/>
  <c r="V624" i="17"/>
  <c r="U624" i="17"/>
  <c r="T624" i="17"/>
  <c r="S624" i="17"/>
  <c r="R624" i="17"/>
  <c r="Q624" i="17"/>
  <c r="P624" i="17"/>
  <c r="W623" i="17"/>
  <c r="V623" i="17"/>
  <c r="U623" i="17"/>
  <c r="T623" i="17"/>
  <c r="S623" i="17"/>
  <c r="R623" i="17"/>
  <c r="Q623" i="17"/>
  <c r="P623" i="17"/>
  <c r="W622" i="17"/>
  <c r="V622" i="17"/>
  <c r="U622" i="17"/>
  <c r="T622" i="17"/>
  <c r="S622" i="17"/>
  <c r="R622" i="17"/>
  <c r="Q622" i="17"/>
  <c r="P622" i="17"/>
  <c r="W621" i="17"/>
  <c r="V621" i="17"/>
  <c r="U621" i="17"/>
  <c r="T621" i="17"/>
  <c r="S621" i="17"/>
  <c r="R621" i="17"/>
  <c r="Q621" i="17"/>
  <c r="P621" i="17"/>
  <c r="W620" i="17"/>
  <c r="V620" i="17"/>
  <c r="U620" i="17"/>
  <c r="T620" i="17"/>
  <c r="S620" i="17"/>
  <c r="R620" i="17"/>
  <c r="Q620" i="17"/>
  <c r="P620" i="17"/>
  <c r="W619" i="17"/>
  <c r="V619" i="17"/>
  <c r="U619" i="17"/>
  <c r="T619" i="17"/>
  <c r="S619" i="17"/>
  <c r="R619" i="17"/>
  <c r="Q619" i="17"/>
  <c r="P619" i="17"/>
  <c r="W618" i="17"/>
  <c r="V618" i="17"/>
  <c r="U618" i="17"/>
  <c r="T618" i="17"/>
  <c r="S618" i="17"/>
  <c r="R618" i="17"/>
  <c r="Q618" i="17"/>
  <c r="P618" i="17"/>
  <c r="W617" i="17"/>
  <c r="V617" i="17"/>
  <c r="U617" i="17"/>
  <c r="T617" i="17"/>
  <c r="S617" i="17"/>
  <c r="R617" i="17"/>
  <c r="Q617" i="17"/>
  <c r="P617" i="17"/>
  <c r="W616" i="17"/>
  <c r="V616" i="17"/>
  <c r="U616" i="17"/>
  <c r="T616" i="17"/>
  <c r="S616" i="17"/>
  <c r="R616" i="17"/>
  <c r="Q616" i="17"/>
  <c r="P616" i="17"/>
  <c r="W615" i="17"/>
  <c r="V615" i="17"/>
  <c r="U615" i="17"/>
  <c r="T615" i="17"/>
  <c r="S615" i="17"/>
  <c r="R615" i="17"/>
  <c r="Q615" i="17"/>
  <c r="P615" i="17"/>
  <c r="W614" i="17"/>
  <c r="V614" i="17"/>
  <c r="U614" i="17"/>
  <c r="T614" i="17"/>
  <c r="S614" i="17"/>
  <c r="R614" i="17"/>
  <c r="Q614" i="17"/>
  <c r="P614" i="17"/>
  <c r="W613" i="17"/>
  <c r="V613" i="17"/>
  <c r="U613" i="17"/>
  <c r="T613" i="17"/>
  <c r="S613" i="17"/>
  <c r="R613" i="17"/>
  <c r="Q613" i="17"/>
  <c r="P613" i="17"/>
  <c r="W612" i="17"/>
  <c r="V612" i="17"/>
  <c r="U612" i="17"/>
  <c r="T612" i="17"/>
  <c r="S612" i="17"/>
  <c r="R612" i="17"/>
  <c r="Q612" i="17"/>
  <c r="P612" i="17"/>
  <c r="W611" i="17"/>
  <c r="V611" i="17"/>
  <c r="U611" i="17"/>
  <c r="T611" i="17"/>
  <c r="S611" i="17"/>
  <c r="R611" i="17"/>
  <c r="Q611" i="17"/>
  <c r="P611" i="17"/>
  <c r="W610" i="17"/>
  <c r="V610" i="17"/>
  <c r="U610" i="17"/>
  <c r="T610" i="17"/>
  <c r="S610" i="17"/>
  <c r="R610" i="17"/>
  <c r="Q610" i="17"/>
  <c r="P610" i="17"/>
  <c r="W609" i="17"/>
  <c r="V609" i="17"/>
  <c r="U609" i="17"/>
  <c r="T609" i="17"/>
  <c r="S609" i="17"/>
  <c r="R609" i="17"/>
  <c r="Q609" i="17"/>
  <c r="P609" i="17"/>
  <c r="W608" i="17"/>
  <c r="V608" i="17"/>
  <c r="U608" i="17"/>
  <c r="T608" i="17"/>
  <c r="S608" i="17"/>
  <c r="R608" i="17"/>
  <c r="Q608" i="17"/>
  <c r="P608" i="17"/>
  <c r="W607" i="17"/>
  <c r="V607" i="17"/>
  <c r="U607" i="17"/>
  <c r="T607" i="17"/>
  <c r="S607" i="17"/>
  <c r="R607" i="17"/>
  <c r="Q607" i="17"/>
  <c r="P607" i="17"/>
  <c r="W606" i="17"/>
  <c r="V606" i="17"/>
  <c r="U606" i="17"/>
  <c r="T606" i="17"/>
  <c r="S606" i="17"/>
  <c r="R606" i="17"/>
  <c r="Q606" i="17"/>
  <c r="P606" i="17"/>
  <c r="W605" i="17"/>
  <c r="V605" i="17"/>
  <c r="U605" i="17"/>
  <c r="T605" i="17"/>
  <c r="S605" i="17"/>
  <c r="R605" i="17"/>
  <c r="Q605" i="17"/>
  <c r="P605" i="17"/>
  <c r="W604" i="17"/>
  <c r="V604" i="17"/>
  <c r="U604" i="17"/>
  <c r="T604" i="17"/>
  <c r="S604" i="17"/>
  <c r="R604" i="17"/>
  <c r="Q604" i="17"/>
  <c r="P604" i="17"/>
  <c r="W603" i="17"/>
  <c r="V603" i="17"/>
  <c r="U603" i="17"/>
  <c r="T603" i="17"/>
  <c r="S603" i="17"/>
  <c r="R603" i="17"/>
  <c r="Q603" i="17"/>
  <c r="P603" i="17"/>
  <c r="W602" i="17"/>
  <c r="V602" i="17"/>
  <c r="U602" i="17"/>
  <c r="T602" i="17"/>
  <c r="S602" i="17"/>
  <c r="R602" i="17"/>
  <c r="Q602" i="17"/>
  <c r="P602" i="17"/>
  <c r="W601" i="17"/>
  <c r="V601" i="17"/>
  <c r="U601" i="17"/>
  <c r="T601" i="17"/>
  <c r="S601" i="17"/>
  <c r="R601" i="17"/>
  <c r="Q601" i="17"/>
  <c r="P601" i="17"/>
  <c r="W600" i="17"/>
  <c r="V600" i="17"/>
  <c r="U600" i="17"/>
  <c r="T600" i="17"/>
  <c r="S600" i="17"/>
  <c r="R600" i="17"/>
  <c r="Q600" i="17"/>
  <c r="P600" i="17"/>
  <c r="W599" i="17"/>
  <c r="V599" i="17"/>
  <c r="U599" i="17"/>
  <c r="T599" i="17"/>
  <c r="S599" i="17"/>
  <c r="R599" i="17"/>
  <c r="Q599" i="17"/>
  <c r="P599" i="17"/>
  <c r="W598" i="17"/>
  <c r="V598" i="17"/>
  <c r="U598" i="17"/>
  <c r="T598" i="17"/>
  <c r="S598" i="17"/>
  <c r="R598" i="17"/>
  <c r="Q598" i="17"/>
  <c r="P598" i="17"/>
  <c r="W597" i="17"/>
  <c r="V597" i="17"/>
  <c r="U597" i="17"/>
  <c r="T597" i="17"/>
  <c r="S597" i="17"/>
  <c r="R597" i="17"/>
  <c r="Q597" i="17"/>
  <c r="P597" i="17"/>
  <c r="W596" i="17"/>
  <c r="V596" i="17"/>
  <c r="U596" i="17"/>
  <c r="T596" i="17"/>
  <c r="S596" i="17"/>
  <c r="R596" i="17"/>
  <c r="Q596" i="17"/>
  <c r="P596" i="17"/>
  <c r="W595" i="17"/>
  <c r="V595" i="17"/>
  <c r="U595" i="17"/>
  <c r="T595" i="17"/>
  <c r="S595" i="17"/>
  <c r="R595" i="17"/>
  <c r="Q595" i="17"/>
  <c r="P595" i="17"/>
  <c r="W594" i="17"/>
  <c r="V594" i="17"/>
  <c r="U594" i="17"/>
  <c r="T594" i="17"/>
  <c r="S594" i="17"/>
  <c r="R594" i="17"/>
  <c r="Q594" i="17"/>
  <c r="P594" i="17"/>
  <c r="W593" i="17"/>
  <c r="V593" i="17"/>
  <c r="U593" i="17"/>
  <c r="T593" i="17"/>
  <c r="S593" i="17"/>
  <c r="R593" i="17"/>
  <c r="Q593" i="17"/>
  <c r="P593" i="17"/>
  <c r="W592" i="17"/>
  <c r="V592" i="17"/>
  <c r="U592" i="17"/>
  <c r="T592" i="17"/>
  <c r="S592" i="17"/>
  <c r="R592" i="17"/>
  <c r="Q592" i="17"/>
  <c r="P592" i="17"/>
  <c r="W591" i="17"/>
  <c r="V591" i="17"/>
  <c r="U591" i="17"/>
  <c r="T591" i="17"/>
  <c r="S591" i="17"/>
  <c r="R591" i="17"/>
  <c r="Q591" i="17"/>
  <c r="P591" i="17"/>
  <c r="W590" i="17"/>
  <c r="V590" i="17"/>
  <c r="U590" i="17"/>
  <c r="T590" i="17"/>
  <c r="S590" i="17"/>
  <c r="R590" i="17"/>
  <c r="Q590" i="17"/>
  <c r="P590" i="17"/>
  <c r="W589" i="17"/>
  <c r="V589" i="17"/>
  <c r="U589" i="17"/>
  <c r="T589" i="17"/>
  <c r="S589" i="17"/>
  <c r="R589" i="17"/>
  <c r="Q589" i="17"/>
  <c r="P589" i="17"/>
  <c r="W588" i="17"/>
  <c r="V588" i="17"/>
  <c r="U588" i="17"/>
  <c r="T588" i="17"/>
  <c r="S588" i="17"/>
  <c r="R588" i="17"/>
  <c r="Q588" i="17"/>
  <c r="P588" i="17"/>
  <c r="W587" i="17"/>
  <c r="V587" i="17"/>
  <c r="U587" i="17"/>
  <c r="T587" i="17"/>
  <c r="S587" i="17"/>
  <c r="R587" i="17"/>
  <c r="Q587" i="17"/>
  <c r="P587" i="17"/>
  <c r="W586" i="17"/>
  <c r="V586" i="17"/>
  <c r="U586" i="17"/>
  <c r="T586" i="17"/>
  <c r="S586" i="17"/>
  <c r="R586" i="17"/>
  <c r="Q586" i="17"/>
  <c r="P586" i="17"/>
  <c r="W585" i="17"/>
  <c r="V585" i="17"/>
  <c r="U585" i="17"/>
  <c r="T585" i="17"/>
  <c r="S585" i="17"/>
  <c r="R585" i="17"/>
  <c r="Q585" i="17"/>
  <c r="P585" i="17"/>
  <c r="W584" i="17"/>
  <c r="V584" i="17"/>
  <c r="U584" i="17"/>
  <c r="T584" i="17"/>
  <c r="S584" i="17"/>
  <c r="R584" i="17"/>
  <c r="Q584" i="17"/>
  <c r="P584" i="17"/>
  <c r="W583" i="17"/>
  <c r="V583" i="17"/>
  <c r="U583" i="17"/>
  <c r="T583" i="17"/>
  <c r="S583" i="17"/>
  <c r="R583" i="17"/>
  <c r="Q583" i="17"/>
  <c r="P583" i="17"/>
  <c r="W582" i="17"/>
  <c r="V582" i="17"/>
  <c r="U582" i="17"/>
  <c r="T582" i="17"/>
  <c r="S582" i="17"/>
  <c r="R582" i="17"/>
  <c r="Q582" i="17"/>
  <c r="P582" i="17"/>
  <c r="W581" i="17"/>
  <c r="V581" i="17"/>
  <c r="U581" i="17"/>
  <c r="T581" i="17"/>
  <c r="S581" i="17"/>
  <c r="R581" i="17"/>
  <c r="Q581" i="17"/>
  <c r="P581" i="17"/>
  <c r="W580" i="17"/>
  <c r="V580" i="17"/>
  <c r="U580" i="17"/>
  <c r="T580" i="17"/>
  <c r="S580" i="17"/>
  <c r="R580" i="17"/>
  <c r="Q580" i="17"/>
  <c r="P580" i="17"/>
  <c r="W579" i="17"/>
  <c r="V579" i="17"/>
  <c r="U579" i="17"/>
  <c r="T579" i="17"/>
  <c r="S579" i="17"/>
  <c r="R579" i="17"/>
  <c r="Q579" i="17"/>
  <c r="P579" i="17"/>
  <c r="W578" i="17"/>
  <c r="V578" i="17"/>
  <c r="U578" i="17"/>
  <c r="T578" i="17"/>
  <c r="S578" i="17"/>
  <c r="R578" i="17"/>
  <c r="Q578" i="17"/>
  <c r="P578" i="17"/>
  <c r="W577" i="17"/>
  <c r="V577" i="17"/>
  <c r="U577" i="17"/>
  <c r="T577" i="17"/>
  <c r="S577" i="17"/>
  <c r="R577" i="17"/>
  <c r="Q577" i="17"/>
  <c r="P577" i="17"/>
  <c r="W576" i="17"/>
  <c r="V576" i="17"/>
  <c r="U576" i="17"/>
  <c r="T576" i="17"/>
  <c r="S576" i="17"/>
  <c r="R576" i="17"/>
  <c r="Q576" i="17"/>
  <c r="P576" i="17"/>
  <c r="W575" i="17"/>
  <c r="V575" i="17"/>
  <c r="U575" i="17"/>
  <c r="T575" i="17"/>
  <c r="S575" i="17"/>
  <c r="R575" i="17"/>
  <c r="Q575" i="17"/>
  <c r="P575" i="17"/>
  <c r="W574" i="17"/>
  <c r="V574" i="17"/>
  <c r="U574" i="17"/>
  <c r="T574" i="17"/>
  <c r="S574" i="17"/>
  <c r="R574" i="17"/>
  <c r="Q574" i="17"/>
  <c r="P574" i="17"/>
  <c r="W573" i="17"/>
  <c r="V573" i="17"/>
  <c r="U573" i="17"/>
  <c r="T573" i="17"/>
  <c r="S573" i="17"/>
  <c r="R573" i="17"/>
  <c r="Q573" i="17"/>
  <c r="P573" i="17"/>
  <c r="W572" i="17"/>
  <c r="V572" i="17"/>
  <c r="U572" i="17"/>
  <c r="T572" i="17"/>
  <c r="S572" i="17"/>
  <c r="R572" i="17"/>
  <c r="Q572" i="17"/>
  <c r="P572" i="17"/>
  <c r="W571" i="17"/>
  <c r="V571" i="17"/>
  <c r="U571" i="17"/>
  <c r="T571" i="17"/>
  <c r="S571" i="17"/>
  <c r="R571" i="17"/>
  <c r="Q571" i="17"/>
  <c r="P571" i="17"/>
  <c r="W570" i="17"/>
  <c r="V570" i="17"/>
  <c r="U570" i="17"/>
  <c r="T570" i="17"/>
  <c r="S570" i="17"/>
  <c r="R570" i="17"/>
  <c r="Q570" i="17"/>
  <c r="P570" i="17"/>
  <c r="W569" i="17"/>
  <c r="V569" i="17"/>
  <c r="U569" i="17"/>
  <c r="T569" i="17"/>
  <c r="S569" i="17"/>
  <c r="R569" i="17"/>
  <c r="Q569" i="17"/>
  <c r="P569" i="17"/>
  <c r="W568" i="17"/>
  <c r="V568" i="17"/>
  <c r="U568" i="17"/>
  <c r="T568" i="17"/>
  <c r="S568" i="17"/>
  <c r="R568" i="17"/>
  <c r="Q568" i="17"/>
  <c r="P568" i="17"/>
  <c r="W567" i="17"/>
  <c r="V567" i="17"/>
  <c r="U567" i="17"/>
  <c r="T567" i="17"/>
  <c r="S567" i="17"/>
  <c r="R567" i="17"/>
  <c r="Q567" i="17"/>
  <c r="P567" i="17"/>
  <c r="W566" i="17"/>
  <c r="V566" i="17"/>
  <c r="U566" i="17"/>
  <c r="T566" i="17"/>
  <c r="S566" i="17"/>
  <c r="R566" i="17"/>
  <c r="Q566" i="17"/>
  <c r="P566" i="17"/>
  <c r="W565" i="17"/>
  <c r="V565" i="17"/>
  <c r="U565" i="17"/>
  <c r="T565" i="17"/>
  <c r="S565" i="17"/>
  <c r="R565" i="17"/>
  <c r="Q565" i="17"/>
  <c r="P565" i="17"/>
  <c r="W564" i="17"/>
  <c r="V564" i="17"/>
  <c r="U564" i="17"/>
  <c r="T564" i="17"/>
  <c r="S564" i="17"/>
  <c r="R564" i="17"/>
  <c r="Q564" i="17"/>
  <c r="P564" i="17"/>
  <c r="W563" i="17"/>
  <c r="V563" i="17"/>
  <c r="U563" i="17"/>
  <c r="T563" i="17"/>
  <c r="S563" i="17"/>
  <c r="R563" i="17"/>
  <c r="Q563" i="17"/>
  <c r="P563" i="17"/>
  <c r="W562" i="17"/>
  <c r="V562" i="17"/>
  <c r="U562" i="17"/>
  <c r="T562" i="17"/>
  <c r="S562" i="17"/>
  <c r="R562" i="17"/>
  <c r="Q562" i="17"/>
  <c r="P562" i="17"/>
  <c r="W561" i="17"/>
  <c r="V561" i="17"/>
  <c r="U561" i="17"/>
  <c r="T561" i="17"/>
  <c r="S561" i="17"/>
  <c r="R561" i="17"/>
  <c r="Q561" i="17"/>
  <c r="P561" i="17"/>
  <c r="W560" i="17"/>
  <c r="V560" i="17"/>
  <c r="U560" i="17"/>
  <c r="T560" i="17"/>
  <c r="S560" i="17"/>
  <c r="R560" i="17"/>
  <c r="Q560" i="17"/>
  <c r="P560" i="17"/>
  <c r="W559" i="17"/>
  <c r="V559" i="17"/>
  <c r="U559" i="17"/>
  <c r="T559" i="17"/>
  <c r="S559" i="17"/>
  <c r="R559" i="17"/>
  <c r="Q559" i="17"/>
  <c r="P559" i="17"/>
  <c r="W558" i="17"/>
  <c r="V558" i="17"/>
  <c r="U558" i="17"/>
  <c r="T558" i="17"/>
  <c r="S558" i="17"/>
  <c r="R558" i="17"/>
  <c r="Q558" i="17"/>
  <c r="P558" i="17"/>
  <c r="W557" i="17"/>
  <c r="V557" i="17"/>
  <c r="U557" i="17"/>
  <c r="T557" i="17"/>
  <c r="S557" i="17"/>
  <c r="R557" i="17"/>
  <c r="Q557" i="17"/>
  <c r="P557" i="17"/>
  <c r="W556" i="17"/>
  <c r="V556" i="17"/>
  <c r="U556" i="17"/>
  <c r="T556" i="17"/>
  <c r="S556" i="17"/>
  <c r="R556" i="17"/>
  <c r="Q556" i="17"/>
  <c r="P556" i="17"/>
  <c r="W555" i="17"/>
  <c r="V555" i="17"/>
  <c r="U555" i="17"/>
  <c r="T555" i="17"/>
  <c r="S555" i="17"/>
  <c r="R555" i="17"/>
  <c r="Q555" i="17"/>
  <c r="P555" i="17"/>
  <c r="W554" i="17"/>
  <c r="V554" i="17"/>
  <c r="U554" i="17"/>
  <c r="T554" i="17"/>
  <c r="S554" i="17"/>
  <c r="R554" i="17"/>
  <c r="Q554" i="17"/>
  <c r="P554" i="17"/>
  <c r="W553" i="17"/>
  <c r="V553" i="17"/>
  <c r="U553" i="17"/>
  <c r="T553" i="17"/>
  <c r="S553" i="17"/>
  <c r="R553" i="17"/>
  <c r="Q553" i="17"/>
  <c r="P553" i="17"/>
  <c r="W552" i="17"/>
  <c r="V552" i="17"/>
  <c r="U552" i="17"/>
  <c r="T552" i="17"/>
  <c r="S552" i="17"/>
  <c r="R552" i="17"/>
  <c r="Q552" i="17"/>
  <c r="P552" i="17"/>
  <c r="W551" i="17"/>
  <c r="V551" i="17"/>
  <c r="U551" i="17"/>
  <c r="T551" i="17"/>
  <c r="S551" i="17"/>
  <c r="R551" i="17"/>
  <c r="Q551" i="17"/>
  <c r="P551" i="17"/>
  <c r="W550" i="17"/>
  <c r="V550" i="17"/>
  <c r="U550" i="17"/>
  <c r="T550" i="17"/>
  <c r="S550" i="17"/>
  <c r="R550" i="17"/>
  <c r="Q550" i="17"/>
  <c r="P550" i="17"/>
  <c r="W549" i="17"/>
  <c r="V549" i="17"/>
  <c r="U549" i="17"/>
  <c r="T549" i="17"/>
  <c r="S549" i="17"/>
  <c r="R549" i="17"/>
  <c r="Q549" i="17"/>
  <c r="P549" i="17"/>
  <c r="W548" i="17"/>
  <c r="V548" i="17"/>
  <c r="U548" i="17"/>
  <c r="T548" i="17"/>
  <c r="S548" i="17"/>
  <c r="R548" i="17"/>
  <c r="Q548" i="17"/>
  <c r="P548" i="17"/>
  <c r="W547" i="17"/>
  <c r="V547" i="17"/>
  <c r="U547" i="17"/>
  <c r="T547" i="17"/>
  <c r="S547" i="17"/>
  <c r="R547" i="17"/>
  <c r="Q547" i="17"/>
  <c r="P547" i="17"/>
  <c r="W546" i="17"/>
  <c r="V546" i="17"/>
  <c r="U546" i="17"/>
  <c r="T546" i="17"/>
  <c r="S546" i="17"/>
  <c r="R546" i="17"/>
  <c r="Q546" i="17"/>
  <c r="P546" i="17"/>
  <c r="W545" i="17"/>
  <c r="V545" i="17"/>
  <c r="U545" i="17"/>
  <c r="T545" i="17"/>
  <c r="S545" i="17"/>
  <c r="R545" i="17"/>
  <c r="Q545" i="17"/>
  <c r="P545" i="17"/>
  <c r="W544" i="17"/>
  <c r="V544" i="17"/>
  <c r="U544" i="17"/>
  <c r="T544" i="17"/>
  <c r="S544" i="17"/>
  <c r="R544" i="17"/>
  <c r="Q544" i="17"/>
  <c r="P544" i="17"/>
  <c r="W543" i="17"/>
  <c r="V543" i="17"/>
  <c r="U543" i="17"/>
  <c r="T543" i="17"/>
  <c r="S543" i="17"/>
  <c r="R543" i="17"/>
  <c r="Q543" i="17"/>
  <c r="P543" i="17"/>
  <c r="W542" i="17"/>
  <c r="V542" i="17"/>
  <c r="U542" i="17"/>
  <c r="T542" i="17"/>
  <c r="S542" i="17"/>
  <c r="R542" i="17"/>
  <c r="Q542" i="17"/>
  <c r="P542" i="17"/>
  <c r="W541" i="17"/>
  <c r="V541" i="17"/>
  <c r="U541" i="17"/>
  <c r="T541" i="17"/>
  <c r="S541" i="17"/>
  <c r="R541" i="17"/>
  <c r="Q541" i="17"/>
  <c r="P541" i="17"/>
  <c r="W540" i="17"/>
  <c r="V540" i="17"/>
  <c r="U540" i="17"/>
  <c r="T540" i="17"/>
  <c r="S540" i="17"/>
  <c r="R540" i="17"/>
  <c r="Q540" i="17"/>
  <c r="P540" i="17"/>
  <c r="W539" i="17"/>
  <c r="V539" i="17"/>
  <c r="U539" i="17"/>
  <c r="T539" i="17"/>
  <c r="S539" i="17"/>
  <c r="R539" i="17"/>
  <c r="Q539" i="17"/>
  <c r="P539" i="17"/>
  <c r="W538" i="17"/>
  <c r="V538" i="17"/>
  <c r="U538" i="17"/>
  <c r="T538" i="17"/>
  <c r="S538" i="17"/>
  <c r="R538" i="17"/>
  <c r="Q538" i="17"/>
  <c r="P538" i="17"/>
  <c r="W537" i="17"/>
  <c r="V537" i="17"/>
  <c r="U537" i="17"/>
  <c r="T537" i="17"/>
  <c r="S537" i="17"/>
  <c r="R537" i="17"/>
  <c r="Q537" i="17"/>
  <c r="P537" i="17"/>
  <c r="W536" i="17"/>
  <c r="V536" i="17"/>
  <c r="U536" i="17"/>
  <c r="T536" i="17"/>
  <c r="S536" i="17"/>
  <c r="R536" i="17"/>
  <c r="Q536" i="17"/>
  <c r="P536" i="17"/>
  <c r="W535" i="17"/>
  <c r="V535" i="17"/>
  <c r="U535" i="17"/>
  <c r="T535" i="17"/>
  <c r="S535" i="17"/>
  <c r="R535" i="17"/>
  <c r="Q535" i="17"/>
  <c r="P535" i="17"/>
  <c r="W534" i="17"/>
  <c r="V534" i="17"/>
  <c r="U534" i="17"/>
  <c r="T534" i="17"/>
  <c r="S534" i="17"/>
  <c r="R534" i="17"/>
  <c r="Q534" i="17"/>
  <c r="P534" i="17"/>
  <c r="W533" i="17"/>
  <c r="V533" i="17"/>
  <c r="U533" i="17"/>
  <c r="T533" i="17"/>
  <c r="S533" i="17"/>
  <c r="R533" i="17"/>
  <c r="Q533" i="17"/>
  <c r="P533" i="17"/>
  <c r="W532" i="17"/>
  <c r="V532" i="17"/>
  <c r="U532" i="17"/>
  <c r="T532" i="17"/>
  <c r="S532" i="17"/>
  <c r="R532" i="17"/>
  <c r="Q532" i="17"/>
  <c r="P532" i="17"/>
  <c r="W531" i="17"/>
  <c r="V531" i="17"/>
  <c r="U531" i="17"/>
  <c r="T531" i="17"/>
  <c r="S531" i="17"/>
  <c r="R531" i="17"/>
  <c r="Q531" i="17"/>
  <c r="P531" i="17"/>
  <c r="W530" i="17"/>
  <c r="V530" i="17"/>
  <c r="U530" i="17"/>
  <c r="T530" i="17"/>
  <c r="S530" i="17"/>
  <c r="R530" i="17"/>
  <c r="Q530" i="17"/>
  <c r="P530" i="17"/>
  <c r="W529" i="17"/>
  <c r="V529" i="17"/>
  <c r="U529" i="17"/>
  <c r="T529" i="17"/>
  <c r="S529" i="17"/>
  <c r="R529" i="17"/>
  <c r="Q529" i="17"/>
  <c r="P529" i="17"/>
  <c r="W528" i="17"/>
  <c r="V528" i="17"/>
  <c r="U528" i="17"/>
  <c r="T528" i="17"/>
  <c r="S528" i="17"/>
  <c r="R528" i="17"/>
  <c r="Q528" i="17"/>
  <c r="P528" i="17"/>
  <c r="W527" i="17"/>
  <c r="V527" i="17"/>
  <c r="U527" i="17"/>
  <c r="T527" i="17"/>
  <c r="S527" i="17"/>
  <c r="R527" i="17"/>
  <c r="Q527" i="17"/>
  <c r="P527" i="17"/>
  <c r="W526" i="17"/>
  <c r="V526" i="17"/>
  <c r="U526" i="17"/>
  <c r="T526" i="17"/>
  <c r="S526" i="17"/>
  <c r="R526" i="17"/>
  <c r="Q526" i="17"/>
  <c r="P526" i="17"/>
  <c r="W525" i="17"/>
  <c r="V525" i="17"/>
  <c r="U525" i="17"/>
  <c r="T525" i="17"/>
  <c r="S525" i="17"/>
  <c r="R525" i="17"/>
  <c r="Q525" i="17"/>
  <c r="P525" i="17"/>
  <c r="W524" i="17"/>
  <c r="V524" i="17"/>
  <c r="U524" i="17"/>
  <c r="T524" i="17"/>
  <c r="S524" i="17"/>
  <c r="R524" i="17"/>
  <c r="Q524" i="17"/>
  <c r="P524" i="17"/>
  <c r="W523" i="17"/>
  <c r="V523" i="17"/>
  <c r="U523" i="17"/>
  <c r="T523" i="17"/>
  <c r="S523" i="17"/>
  <c r="R523" i="17"/>
  <c r="Q523" i="17"/>
  <c r="P523" i="17"/>
  <c r="W522" i="17"/>
  <c r="V522" i="17"/>
  <c r="U522" i="17"/>
  <c r="T522" i="17"/>
  <c r="S522" i="17"/>
  <c r="R522" i="17"/>
  <c r="Q522" i="17"/>
  <c r="P522" i="17"/>
  <c r="W521" i="17"/>
  <c r="V521" i="17"/>
  <c r="U521" i="17"/>
  <c r="T521" i="17"/>
  <c r="S521" i="17"/>
  <c r="R521" i="17"/>
  <c r="Q521" i="17"/>
  <c r="P521" i="17"/>
  <c r="W520" i="17"/>
  <c r="V520" i="17"/>
  <c r="U520" i="17"/>
  <c r="T520" i="17"/>
  <c r="S520" i="17"/>
  <c r="R520" i="17"/>
  <c r="Q520" i="17"/>
  <c r="P520" i="17"/>
  <c r="W519" i="17"/>
  <c r="V519" i="17"/>
  <c r="U519" i="17"/>
  <c r="T519" i="17"/>
  <c r="S519" i="17"/>
  <c r="R519" i="17"/>
  <c r="Q519" i="17"/>
  <c r="P519" i="17"/>
  <c r="W518" i="17"/>
  <c r="V518" i="17"/>
  <c r="U518" i="17"/>
  <c r="T518" i="17"/>
  <c r="S518" i="17"/>
  <c r="R518" i="17"/>
  <c r="Q518" i="17"/>
  <c r="P518" i="17"/>
  <c r="W517" i="17"/>
  <c r="V517" i="17"/>
  <c r="U517" i="17"/>
  <c r="T517" i="17"/>
  <c r="S517" i="17"/>
  <c r="R517" i="17"/>
  <c r="Q517" i="17"/>
  <c r="P517" i="17"/>
  <c r="W516" i="17"/>
  <c r="V516" i="17"/>
  <c r="U516" i="17"/>
  <c r="T516" i="17"/>
  <c r="S516" i="17"/>
  <c r="R516" i="17"/>
  <c r="Q516" i="17"/>
  <c r="P516" i="17"/>
  <c r="W515" i="17"/>
  <c r="V515" i="17"/>
  <c r="U515" i="17"/>
  <c r="T515" i="17"/>
  <c r="S515" i="17"/>
  <c r="R515" i="17"/>
  <c r="Q515" i="17"/>
  <c r="P515" i="17"/>
  <c r="W514" i="17"/>
  <c r="V514" i="17"/>
  <c r="U514" i="17"/>
  <c r="T514" i="17"/>
  <c r="S514" i="17"/>
  <c r="R514" i="17"/>
  <c r="Q514" i="17"/>
  <c r="P514" i="17"/>
  <c r="W513" i="17"/>
  <c r="V513" i="17"/>
  <c r="U513" i="17"/>
  <c r="T513" i="17"/>
  <c r="S513" i="17"/>
  <c r="R513" i="17"/>
  <c r="Q513" i="17"/>
  <c r="P513" i="17"/>
  <c r="W512" i="17"/>
  <c r="V512" i="17"/>
  <c r="U512" i="17"/>
  <c r="T512" i="17"/>
  <c r="S512" i="17"/>
  <c r="R512" i="17"/>
  <c r="Q512" i="17"/>
  <c r="P512" i="17"/>
  <c r="W511" i="17"/>
  <c r="V511" i="17"/>
  <c r="U511" i="17"/>
  <c r="T511" i="17"/>
  <c r="S511" i="17"/>
  <c r="R511" i="17"/>
  <c r="Q511" i="17"/>
  <c r="P511" i="17"/>
  <c r="W510" i="17"/>
  <c r="V510" i="17"/>
  <c r="U510" i="17"/>
  <c r="T510" i="17"/>
  <c r="S510" i="17"/>
  <c r="R510" i="17"/>
  <c r="Q510" i="17"/>
  <c r="P510" i="17"/>
  <c r="W509" i="17"/>
  <c r="V509" i="17"/>
  <c r="U509" i="17"/>
  <c r="T509" i="17"/>
  <c r="S509" i="17"/>
  <c r="R509" i="17"/>
  <c r="Q509" i="17"/>
  <c r="P509" i="17"/>
  <c r="W508" i="17"/>
  <c r="V508" i="17"/>
  <c r="U508" i="17"/>
  <c r="T508" i="17"/>
  <c r="S508" i="17"/>
  <c r="R508" i="17"/>
  <c r="Q508" i="17"/>
  <c r="P508" i="17"/>
  <c r="W507" i="17"/>
  <c r="V507" i="17"/>
  <c r="U507" i="17"/>
  <c r="T507" i="17"/>
  <c r="S507" i="17"/>
  <c r="R507" i="17"/>
  <c r="Q507" i="17"/>
  <c r="P507" i="17"/>
  <c r="W506" i="17"/>
  <c r="V506" i="17"/>
  <c r="U506" i="17"/>
  <c r="T506" i="17"/>
  <c r="S506" i="17"/>
  <c r="R506" i="17"/>
  <c r="Q506" i="17"/>
  <c r="P506" i="17"/>
  <c r="W505" i="17"/>
  <c r="V505" i="17"/>
  <c r="U505" i="17"/>
  <c r="T505" i="17"/>
  <c r="S505" i="17"/>
  <c r="R505" i="17"/>
  <c r="Q505" i="17"/>
  <c r="P505" i="17"/>
  <c r="W504" i="17"/>
  <c r="V504" i="17"/>
  <c r="U504" i="17"/>
  <c r="T504" i="17"/>
  <c r="S504" i="17"/>
  <c r="R504" i="17"/>
  <c r="Q504" i="17"/>
  <c r="P504" i="17"/>
  <c r="W503" i="17"/>
  <c r="V503" i="17"/>
  <c r="U503" i="17"/>
  <c r="T503" i="17"/>
  <c r="S503" i="17"/>
  <c r="R503" i="17"/>
  <c r="Q503" i="17"/>
  <c r="P503" i="17"/>
  <c r="W502" i="17"/>
  <c r="V502" i="17"/>
  <c r="U502" i="17"/>
  <c r="T502" i="17"/>
  <c r="S502" i="17"/>
  <c r="R502" i="17"/>
  <c r="Q502" i="17"/>
  <c r="P502" i="17"/>
  <c r="W501" i="17"/>
  <c r="V501" i="17"/>
  <c r="U501" i="17"/>
  <c r="T501" i="17"/>
  <c r="S501" i="17"/>
  <c r="R501" i="17"/>
  <c r="Q501" i="17"/>
  <c r="P501" i="17"/>
  <c r="W500" i="17"/>
  <c r="V500" i="17"/>
  <c r="U500" i="17"/>
  <c r="T500" i="17"/>
  <c r="S500" i="17"/>
  <c r="R500" i="17"/>
  <c r="Q500" i="17"/>
  <c r="P500" i="17"/>
  <c r="W499" i="17"/>
  <c r="V499" i="17"/>
  <c r="U499" i="17"/>
  <c r="T499" i="17"/>
  <c r="S499" i="17"/>
  <c r="R499" i="17"/>
  <c r="Q499" i="17"/>
  <c r="P499" i="17"/>
  <c r="W498" i="17"/>
  <c r="V498" i="17"/>
  <c r="U498" i="17"/>
  <c r="T498" i="17"/>
  <c r="S498" i="17"/>
  <c r="R498" i="17"/>
  <c r="Q498" i="17"/>
  <c r="P498" i="17"/>
  <c r="W497" i="17"/>
  <c r="V497" i="17"/>
  <c r="U497" i="17"/>
  <c r="T497" i="17"/>
  <c r="S497" i="17"/>
  <c r="R497" i="17"/>
  <c r="Q497" i="17"/>
  <c r="P497" i="17"/>
  <c r="W496" i="17"/>
  <c r="V496" i="17"/>
  <c r="U496" i="17"/>
  <c r="T496" i="17"/>
  <c r="S496" i="17"/>
  <c r="R496" i="17"/>
  <c r="Q496" i="17"/>
  <c r="P496" i="17"/>
  <c r="W495" i="17"/>
  <c r="V495" i="17"/>
  <c r="U495" i="17"/>
  <c r="T495" i="17"/>
  <c r="S495" i="17"/>
  <c r="R495" i="17"/>
  <c r="Q495" i="17"/>
  <c r="P495" i="17"/>
  <c r="W494" i="17"/>
  <c r="V494" i="17"/>
  <c r="U494" i="17"/>
  <c r="T494" i="17"/>
  <c r="S494" i="17"/>
  <c r="R494" i="17"/>
  <c r="Q494" i="17"/>
  <c r="P494" i="17"/>
  <c r="W493" i="17"/>
  <c r="V493" i="17"/>
  <c r="U493" i="17"/>
  <c r="T493" i="17"/>
  <c r="S493" i="17"/>
  <c r="R493" i="17"/>
  <c r="Q493" i="17"/>
  <c r="P493" i="17"/>
  <c r="W492" i="17"/>
  <c r="V492" i="17"/>
  <c r="U492" i="17"/>
  <c r="T492" i="17"/>
  <c r="S492" i="17"/>
  <c r="R492" i="17"/>
  <c r="Q492" i="17"/>
  <c r="P492" i="17"/>
  <c r="W491" i="17"/>
  <c r="V491" i="17"/>
  <c r="U491" i="17"/>
  <c r="T491" i="17"/>
  <c r="S491" i="17"/>
  <c r="R491" i="17"/>
  <c r="Q491" i="17"/>
  <c r="P491" i="17"/>
  <c r="W490" i="17"/>
  <c r="V490" i="17"/>
  <c r="U490" i="17"/>
  <c r="T490" i="17"/>
  <c r="S490" i="17"/>
  <c r="R490" i="17"/>
  <c r="Q490" i="17"/>
  <c r="P490" i="17"/>
  <c r="W489" i="17"/>
  <c r="V489" i="17"/>
  <c r="U489" i="17"/>
  <c r="T489" i="17"/>
  <c r="S489" i="17"/>
  <c r="R489" i="17"/>
  <c r="Q489" i="17"/>
  <c r="P489" i="17"/>
  <c r="W488" i="17"/>
  <c r="V488" i="17"/>
  <c r="U488" i="17"/>
  <c r="T488" i="17"/>
  <c r="S488" i="17"/>
  <c r="R488" i="17"/>
  <c r="Q488" i="17"/>
  <c r="P488" i="17"/>
  <c r="W487" i="17"/>
  <c r="V487" i="17"/>
  <c r="U487" i="17"/>
  <c r="T487" i="17"/>
  <c r="S487" i="17"/>
  <c r="R487" i="17"/>
  <c r="Q487" i="17"/>
  <c r="P487" i="17"/>
  <c r="W486" i="17"/>
  <c r="V486" i="17"/>
  <c r="U486" i="17"/>
  <c r="T486" i="17"/>
  <c r="S486" i="17"/>
  <c r="R486" i="17"/>
  <c r="Q486" i="17"/>
  <c r="P486" i="17"/>
  <c r="W485" i="17"/>
  <c r="V485" i="17"/>
  <c r="U485" i="17"/>
  <c r="T485" i="17"/>
  <c r="S485" i="17"/>
  <c r="R485" i="17"/>
  <c r="Q485" i="17"/>
  <c r="P485" i="17"/>
  <c r="W484" i="17"/>
  <c r="V484" i="17"/>
  <c r="U484" i="17"/>
  <c r="T484" i="17"/>
  <c r="S484" i="17"/>
  <c r="R484" i="17"/>
  <c r="Q484" i="17"/>
  <c r="P484" i="17"/>
  <c r="W483" i="17"/>
  <c r="V483" i="17"/>
  <c r="U483" i="17"/>
  <c r="T483" i="17"/>
  <c r="S483" i="17"/>
  <c r="R483" i="17"/>
  <c r="Q483" i="17"/>
  <c r="P483" i="17"/>
  <c r="W482" i="17"/>
  <c r="V482" i="17"/>
  <c r="U482" i="17"/>
  <c r="T482" i="17"/>
  <c r="S482" i="17"/>
  <c r="R482" i="17"/>
  <c r="Q482" i="17"/>
  <c r="P482" i="17"/>
  <c r="W481" i="17"/>
  <c r="V481" i="17"/>
  <c r="U481" i="17"/>
  <c r="T481" i="17"/>
  <c r="S481" i="17"/>
  <c r="R481" i="17"/>
  <c r="Q481" i="17"/>
  <c r="P481" i="17"/>
  <c r="W480" i="17"/>
  <c r="V480" i="17"/>
  <c r="U480" i="17"/>
  <c r="T480" i="17"/>
  <c r="S480" i="17"/>
  <c r="R480" i="17"/>
  <c r="Q480" i="17"/>
  <c r="P480" i="17"/>
  <c r="W479" i="17"/>
  <c r="V479" i="17"/>
  <c r="U479" i="17"/>
  <c r="T479" i="17"/>
  <c r="S479" i="17"/>
  <c r="R479" i="17"/>
  <c r="Q479" i="17"/>
  <c r="P479" i="17"/>
  <c r="W478" i="17"/>
  <c r="V478" i="17"/>
  <c r="U478" i="17"/>
  <c r="T478" i="17"/>
  <c r="S478" i="17"/>
  <c r="R478" i="17"/>
  <c r="Q478" i="17"/>
  <c r="P478" i="17"/>
  <c r="W477" i="17"/>
  <c r="V477" i="17"/>
  <c r="U477" i="17"/>
  <c r="T477" i="17"/>
  <c r="S477" i="17"/>
  <c r="R477" i="17"/>
  <c r="Q477" i="17"/>
  <c r="P477" i="17"/>
  <c r="W476" i="17"/>
  <c r="V476" i="17"/>
  <c r="U476" i="17"/>
  <c r="T476" i="17"/>
  <c r="S476" i="17"/>
  <c r="R476" i="17"/>
  <c r="Q476" i="17"/>
  <c r="P476" i="17"/>
  <c r="W475" i="17"/>
  <c r="V475" i="17"/>
  <c r="U475" i="17"/>
  <c r="T475" i="17"/>
  <c r="S475" i="17"/>
  <c r="R475" i="17"/>
  <c r="Q475" i="17"/>
  <c r="P475" i="17"/>
  <c r="W474" i="17"/>
  <c r="V474" i="17"/>
  <c r="U474" i="17"/>
  <c r="T474" i="17"/>
  <c r="S474" i="17"/>
  <c r="R474" i="17"/>
  <c r="Q474" i="17"/>
  <c r="P474" i="17"/>
  <c r="W473" i="17"/>
  <c r="V473" i="17"/>
  <c r="U473" i="17"/>
  <c r="T473" i="17"/>
  <c r="S473" i="17"/>
  <c r="R473" i="17"/>
  <c r="Q473" i="17"/>
  <c r="P473" i="17"/>
  <c r="W472" i="17"/>
  <c r="V472" i="17"/>
  <c r="U472" i="17"/>
  <c r="T472" i="17"/>
  <c r="S472" i="17"/>
  <c r="R472" i="17"/>
  <c r="Q472" i="17"/>
  <c r="P472" i="17"/>
  <c r="W471" i="17"/>
  <c r="V471" i="17"/>
  <c r="U471" i="17"/>
  <c r="T471" i="17"/>
  <c r="S471" i="17"/>
  <c r="R471" i="17"/>
  <c r="Q471" i="17"/>
  <c r="P471" i="17"/>
  <c r="W470" i="17"/>
  <c r="V470" i="17"/>
  <c r="U470" i="17"/>
  <c r="T470" i="17"/>
  <c r="S470" i="17"/>
  <c r="R470" i="17"/>
  <c r="Q470" i="17"/>
  <c r="P470" i="17"/>
  <c r="W469" i="17"/>
  <c r="V469" i="17"/>
  <c r="U469" i="17"/>
  <c r="T469" i="17"/>
  <c r="S469" i="17"/>
  <c r="R469" i="17"/>
  <c r="Q469" i="17"/>
  <c r="P469" i="17"/>
  <c r="W468" i="17"/>
  <c r="V468" i="17"/>
  <c r="U468" i="17"/>
  <c r="T468" i="17"/>
  <c r="S468" i="17"/>
  <c r="R468" i="17"/>
  <c r="Q468" i="17"/>
  <c r="P468" i="17"/>
  <c r="W467" i="17"/>
  <c r="V467" i="17"/>
  <c r="U467" i="17"/>
  <c r="T467" i="17"/>
  <c r="S467" i="17"/>
  <c r="R467" i="17"/>
  <c r="Q467" i="17"/>
  <c r="P467" i="17"/>
  <c r="W466" i="17"/>
  <c r="V466" i="17"/>
  <c r="U466" i="17"/>
  <c r="T466" i="17"/>
  <c r="S466" i="17"/>
  <c r="R466" i="17"/>
  <c r="Q466" i="17"/>
  <c r="P466" i="17"/>
  <c r="W465" i="17"/>
  <c r="V465" i="17"/>
  <c r="U465" i="17"/>
  <c r="T465" i="17"/>
  <c r="S465" i="17"/>
  <c r="R465" i="17"/>
  <c r="Q465" i="17"/>
  <c r="P465" i="17"/>
  <c r="W464" i="17"/>
  <c r="V464" i="17"/>
  <c r="U464" i="17"/>
  <c r="T464" i="17"/>
  <c r="S464" i="17"/>
  <c r="R464" i="17"/>
  <c r="Q464" i="17"/>
  <c r="P464" i="17"/>
  <c r="W463" i="17"/>
  <c r="V463" i="17"/>
  <c r="U463" i="17"/>
  <c r="T463" i="17"/>
  <c r="S463" i="17"/>
  <c r="R463" i="17"/>
  <c r="Q463" i="17"/>
  <c r="P463" i="17"/>
  <c r="W462" i="17"/>
  <c r="V462" i="17"/>
  <c r="U462" i="17"/>
  <c r="T462" i="17"/>
  <c r="S462" i="17"/>
  <c r="R462" i="17"/>
  <c r="Q462" i="17"/>
  <c r="P462" i="17"/>
  <c r="W461" i="17"/>
  <c r="V461" i="17"/>
  <c r="U461" i="17"/>
  <c r="T461" i="17"/>
  <c r="S461" i="17"/>
  <c r="R461" i="17"/>
  <c r="Q461" i="17"/>
  <c r="P461" i="17"/>
  <c r="W460" i="17"/>
  <c r="V460" i="17"/>
  <c r="U460" i="17"/>
  <c r="T460" i="17"/>
  <c r="S460" i="17"/>
  <c r="R460" i="17"/>
  <c r="Q460" i="17"/>
  <c r="P460" i="17"/>
  <c r="W459" i="17"/>
  <c r="V459" i="17"/>
  <c r="U459" i="17"/>
  <c r="T459" i="17"/>
  <c r="S459" i="17"/>
  <c r="R459" i="17"/>
  <c r="Q459" i="17"/>
  <c r="P459" i="17"/>
  <c r="W458" i="17"/>
  <c r="V458" i="17"/>
  <c r="U458" i="17"/>
  <c r="T458" i="17"/>
  <c r="S458" i="17"/>
  <c r="R458" i="17"/>
  <c r="Q458" i="17"/>
  <c r="P458" i="17"/>
  <c r="W457" i="17"/>
  <c r="V457" i="17"/>
  <c r="U457" i="17"/>
  <c r="T457" i="17"/>
  <c r="S457" i="17"/>
  <c r="R457" i="17"/>
  <c r="Q457" i="17"/>
  <c r="P457" i="17"/>
  <c r="W456" i="17"/>
  <c r="V456" i="17"/>
  <c r="U456" i="17"/>
  <c r="T456" i="17"/>
  <c r="S456" i="17"/>
  <c r="R456" i="17"/>
  <c r="Q456" i="17"/>
  <c r="P456" i="17"/>
  <c r="W455" i="17"/>
  <c r="V455" i="17"/>
  <c r="U455" i="17"/>
  <c r="T455" i="17"/>
  <c r="S455" i="17"/>
  <c r="R455" i="17"/>
  <c r="Q455" i="17"/>
  <c r="P455" i="17"/>
  <c r="W454" i="17"/>
  <c r="V454" i="17"/>
  <c r="U454" i="17"/>
  <c r="T454" i="17"/>
  <c r="S454" i="17"/>
  <c r="R454" i="17"/>
  <c r="Q454" i="17"/>
  <c r="P454" i="17"/>
  <c r="W453" i="17"/>
  <c r="V453" i="17"/>
  <c r="U453" i="17"/>
  <c r="T453" i="17"/>
  <c r="S453" i="17"/>
  <c r="R453" i="17"/>
  <c r="Q453" i="17"/>
  <c r="P453" i="17"/>
  <c r="W452" i="17"/>
  <c r="V452" i="17"/>
  <c r="U452" i="17"/>
  <c r="T452" i="17"/>
  <c r="S452" i="17"/>
  <c r="R452" i="17"/>
  <c r="Q452" i="17"/>
  <c r="P452" i="17"/>
  <c r="W451" i="17"/>
  <c r="V451" i="17"/>
  <c r="U451" i="17"/>
  <c r="T451" i="17"/>
  <c r="S451" i="17"/>
  <c r="R451" i="17"/>
  <c r="Q451" i="17"/>
  <c r="P451" i="17"/>
  <c r="W450" i="17"/>
  <c r="V450" i="17"/>
  <c r="U450" i="17"/>
  <c r="T450" i="17"/>
  <c r="S450" i="17"/>
  <c r="R450" i="17"/>
  <c r="Q450" i="17"/>
  <c r="P450" i="17"/>
  <c r="W449" i="17"/>
  <c r="V449" i="17"/>
  <c r="U449" i="17"/>
  <c r="T449" i="17"/>
  <c r="S449" i="17"/>
  <c r="R449" i="17"/>
  <c r="Q449" i="17"/>
  <c r="P449" i="17"/>
  <c r="W448" i="17"/>
  <c r="V448" i="17"/>
  <c r="U448" i="17"/>
  <c r="T448" i="17"/>
  <c r="S448" i="17"/>
  <c r="R448" i="17"/>
  <c r="Q448" i="17"/>
  <c r="P448" i="17"/>
  <c r="W447" i="17"/>
  <c r="V447" i="17"/>
  <c r="U447" i="17"/>
  <c r="T447" i="17"/>
  <c r="S447" i="17"/>
  <c r="R447" i="17"/>
  <c r="Q447" i="17"/>
  <c r="P447" i="17"/>
  <c r="W446" i="17"/>
  <c r="V446" i="17"/>
  <c r="U446" i="17"/>
  <c r="T446" i="17"/>
  <c r="S446" i="17"/>
  <c r="R446" i="17"/>
  <c r="Q446" i="17"/>
  <c r="P446" i="17"/>
  <c r="W445" i="17"/>
  <c r="V445" i="17"/>
  <c r="U445" i="17"/>
  <c r="T445" i="17"/>
  <c r="S445" i="17"/>
  <c r="R445" i="17"/>
  <c r="Q445" i="17"/>
  <c r="P445" i="17"/>
  <c r="W444" i="17"/>
  <c r="V444" i="17"/>
  <c r="U444" i="17"/>
  <c r="T444" i="17"/>
  <c r="S444" i="17"/>
  <c r="R444" i="17"/>
  <c r="Q444" i="17"/>
  <c r="P444" i="17"/>
  <c r="W443" i="17"/>
  <c r="V443" i="17"/>
  <c r="U443" i="17"/>
  <c r="T443" i="17"/>
  <c r="S443" i="17"/>
  <c r="R443" i="17"/>
  <c r="Q443" i="17"/>
  <c r="P443" i="17"/>
  <c r="W442" i="17"/>
  <c r="V442" i="17"/>
  <c r="U442" i="17"/>
  <c r="T442" i="17"/>
  <c r="S442" i="17"/>
  <c r="R442" i="17"/>
  <c r="Q442" i="17"/>
  <c r="P442" i="17"/>
  <c r="W441" i="17"/>
  <c r="V441" i="17"/>
  <c r="U441" i="17"/>
  <c r="T441" i="17"/>
  <c r="S441" i="17"/>
  <c r="R441" i="17"/>
  <c r="Q441" i="17"/>
  <c r="P441" i="17"/>
  <c r="W440" i="17"/>
  <c r="V440" i="17"/>
  <c r="U440" i="17"/>
  <c r="T440" i="17"/>
  <c r="S440" i="17"/>
  <c r="R440" i="17"/>
  <c r="Q440" i="17"/>
  <c r="P440" i="17"/>
  <c r="W439" i="17"/>
  <c r="V439" i="17"/>
  <c r="U439" i="17"/>
  <c r="T439" i="17"/>
  <c r="S439" i="17"/>
  <c r="R439" i="17"/>
  <c r="Q439" i="17"/>
  <c r="P439" i="17"/>
  <c r="W438" i="17"/>
  <c r="V438" i="17"/>
  <c r="U438" i="17"/>
  <c r="T438" i="17"/>
  <c r="S438" i="17"/>
  <c r="R438" i="17"/>
  <c r="Q438" i="17"/>
  <c r="P438" i="17"/>
  <c r="W437" i="17"/>
  <c r="V437" i="17"/>
  <c r="U437" i="17"/>
  <c r="T437" i="17"/>
  <c r="S437" i="17"/>
  <c r="R437" i="17"/>
  <c r="Q437" i="17"/>
  <c r="P437" i="17"/>
  <c r="W436" i="17"/>
  <c r="V436" i="17"/>
  <c r="U436" i="17"/>
  <c r="T436" i="17"/>
  <c r="S436" i="17"/>
  <c r="R436" i="17"/>
  <c r="Q436" i="17"/>
  <c r="P436" i="17"/>
  <c r="W435" i="17"/>
  <c r="V435" i="17"/>
  <c r="U435" i="17"/>
  <c r="T435" i="17"/>
  <c r="S435" i="17"/>
  <c r="R435" i="17"/>
  <c r="Q435" i="17"/>
  <c r="P435" i="17"/>
  <c r="W434" i="17"/>
  <c r="V434" i="17"/>
  <c r="U434" i="17"/>
  <c r="T434" i="17"/>
  <c r="S434" i="17"/>
  <c r="R434" i="17"/>
  <c r="Q434" i="17"/>
  <c r="P434" i="17"/>
  <c r="W433" i="17"/>
  <c r="V433" i="17"/>
  <c r="U433" i="17"/>
  <c r="T433" i="17"/>
  <c r="S433" i="17"/>
  <c r="R433" i="17"/>
  <c r="Q433" i="17"/>
  <c r="P433" i="17"/>
  <c r="W432" i="17"/>
  <c r="V432" i="17"/>
  <c r="U432" i="17"/>
  <c r="T432" i="17"/>
  <c r="S432" i="17"/>
  <c r="R432" i="17"/>
  <c r="Q432" i="17"/>
  <c r="P432" i="17"/>
  <c r="W431" i="17"/>
  <c r="V431" i="17"/>
  <c r="U431" i="17"/>
  <c r="T431" i="17"/>
  <c r="S431" i="17"/>
  <c r="R431" i="17"/>
  <c r="Q431" i="17"/>
  <c r="P431" i="17"/>
  <c r="W430" i="17"/>
  <c r="V430" i="17"/>
  <c r="U430" i="17"/>
  <c r="T430" i="17"/>
  <c r="S430" i="17"/>
  <c r="R430" i="17"/>
  <c r="Q430" i="17"/>
  <c r="P430" i="17"/>
  <c r="W429" i="17"/>
  <c r="V429" i="17"/>
  <c r="U429" i="17"/>
  <c r="T429" i="17"/>
  <c r="S429" i="17"/>
  <c r="R429" i="17"/>
  <c r="Q429" i="17"/>
  <c r="P429" i="17"/>
  <c r="W428" i="17"/>
  <c r="V428" i="17"/>
  <c r="U428" i="17"/>
  <c r="T428" i="17"/>
  <c r="S428" i="17"/>
  <c r="R428" i="17"/>
  <c r="Q428" i="17"/>
  <c r="P428" i="17"/>
  <c r="W427" i="17"/>
  <c r="V427" i="17"/>
  <c r="U427" i="17"/>
  <c r="T427" i="17"/>
  <c r="S427" i="17"/>
  <c r="R427" i="17"/>
  <c r="Q427" i="17"/>
  <c r="P427" i="17"/>
  <c r="W426" i="17"/>
  <c r="V426" i="17"/>
  <c r="U426" i="17"/>
  <c r="T426" i="17"/>
  <c r="S426" i="17"/>
  <c r="R426" i="17"/>
  <c r="Q426" i="17"/>
  <c r="P426" i="17"/>
  <c r="W425" i="17"/>
  <c r="V425" i="17"/>
  <c r="U425" i="17"/>
  <c r="T425" i="17"/>
  <c r="S425" i="17"/>
  <c r="R425" i="17"/>
  <c r="Q425" i="17"/>
  <c r="P425" i="17"/>
  <c r="W424" i="17"/>
  <c r="V424" i="17"/>
  <c r="U424" i="17"/>
  <c r="T424" i="17"/>
  <c r="S424" i="17"/>
  <c r="R424" i="17"/>
  <c r="Q424" i="17"/>
  <c r="P424" i="17"/>
  <c r="W423" i="17"/>
  <c r="V423" i="17"/>
  <c r="U423" i="17"/>
  <c r="T423" i="17"/>
  <c r="S423" i="17"/>
  <c r="R423" i="17"/>
  <c r="Q423" i="17"/>
  <c r="P423" i="17"/>
  <c r="W422" i="17"/>
  <c r="V422" i="17"/>
  <c r="U422" i="17"/>
  <c r="T422" i="17"/>
  <c r="S422" i="17"/>
  <c r="R422" i="17"/>
  <c r="Q422" i="17"/>
  <c r="P422" i="17"/>
  <c r="W421" i="17"/>
  <c r="V421" i="17"/>
  <c r="U421" i="17"/>
  <c r="T421" i="17"/>
  <c r="S421" i="17"/>
  <c r="R421" i="17"/>
  <c r="Q421" i="17"/>
  <c r="P421" i="17"/>
  <c r="W420" i="17"/>
  <c r="V420" i="17"/>
  <c r="U420" i="17"/>
  <c r="T420" i="17"/>
  <c r="S420" i="17"/>
  <c r="R420" i="17"/>
  <c r="Q420" i="17"/>
  <c r="P420" i="17"/>
  <c r="W419" i="17"/>
  <c r="V419" i="17"/>
  <c r="U419" i="17"/>
  <c r="T419" i="17"/>
  <c r="S419" i="17"/>
  <c r="R419" i="17"/>
  <c r="Q419" i="17"/>
  <c r="P419" i="17"/>
  <c r="W418" i="17"/>
  <c r="V418" i="17"/>
  <c r="U418" i="17"/>
  <c r="T418" i="17"/>
  <c r="S418" i="17"/>
  <c r="R418" i="17"/>
  <c r="Q418" i="17"/>
  <c r="P418" i="17"/>
  <c r="W417" i="17"/>
  <c r="V417" i="17"/>
  <c r="U417" i="17"/>
  <c r="T417" i="17"/>
  <c r="S417" i="17"/>
  <c r="R417" i="17"/>
  <c r="Q417" i="17"/>
  <c r="P417" i="17"/>
  <c r="W416" i="17"/>
  <c r="V416" i="17"/>
  <c r="U416" i="17"/>
  <c r="T416" i="17"/>
  <c r="S416" i="17"/>
  <c r="R416" i="17"/>
  <c r="Q416" i="17"/>
  <c r="P416" i="17"/>
  <c r="W415" i="17"/>
  <c r="V415" i="17"/>
  <c r="U415" i="17"/>
  <c r="T415" i="17"/>
  <c r="S415" i="17"/>
  <c r="R415" i="17"/>
  <c r="Q415" i="17"/>
  <c r="P415" i="17"/>
  <c r="W414" i="17"/>
  <c r="V414" i="17"/>
  <c r="U414" i="17"/>
  <c r="T414" i="17"/>
  <c r="S414" i="17"/>
  <c r="R414" i="17"/>
  <c r="Q414" i="17"/>
  <c r="P414" i="17"/>
  <c r="W413" i="17"/>
  <c r="V413" i="17"/>
  <c r="U413" i="17"/>
  <c r="T413" i="17"/>
  <c r="S413" i="17"/>
  <c r="R413" i="17"/>
  <c r="Q413" i="17"/>
  <c r="P413" i="17"/>
  <c r="W412" i="17"/>
  <c r="V412" i="17"/>
  <c r="U412" i="17"/>
  <c r="T412" i="17"/>
  <c r="S412" i="17"/>
  <c r="R412" i="17"/>
  <c r="Q412" i="17"/>
  <c r="P412" i="17"/>
  <c r="W411" i="17"/>
  <c r="V411" i="17"/>
  <c r="U411" i="17"/>
  <c r="T411" i="17"/>
  <c r="S411" i="17"/>
  <c r="R411" i="17"/>
  <c r="Q411" i="17"/>
  <c r="P411" i="17"/>
  <c r="W410" i="17"/>
  <c r="V410" i="17"/>
  <c r="U410" i="17"/>
  <c r="T410" i="17"/>
  <c r="S410" i="17"/>
  <c r="R410" i="17"/>
  <c r="Q410" i="17"/>
  <c r="P410" i="17"/>
  <c r="W409" i="17"/>
  <c r="V409" i="17"/>
  <c r="U409" i="17"/>
  <c r="T409" i="17"/>
  <c r="S409" i="17"/>
  <c r="R409" i="17"/>
  <c r="Q409" i="17"/>
  <c r="P409" i="17"/>
  <c r="W408" i="17"/>
  <c r="V408" i="17"/>
  <c r="U408" i="17"/>
  <c r="T408" i="17"/>
  <c r="S408" i="17"/>
  <c r="R408" i="17"/>
  <c r="Q408" i="17"/>
  <c r="P408" i="17"/>
  <c r="W407" i="17"/>
  <c r="V407" i="17"/>
  <c r="U407" i="17"/>
  <c r="T407" i="17"/>
  <c r="S407" i="17"/>
  <c r="R407" i="17"/>
  <c r="Q407" i="17"/>
  <c r="P407" i="17"/>
  <c r="W406" i="17"/>
  <c r="V406" i="17"/>
  <c r="U406" i="17"/>
  <c r="T406" i="17"/>
  <c r="S406" i="17"/>
  <c r="R406" i="17"/>
  <c r="Q406" i="17"/>
  <c r="P406" i="17"/>
  <c r="W405" i="17"/>
  <c r="V405" i="17"/>
  <c r="U405" i="17"/>
  <c r="T405" i="17"/>
  <c r="S405" i="17"/>
  <c r="R405" i="17"/>
  <c r="Q405" i="17"/>
  <c r="P405" i="17"/>
  <c r="W404" i="17"/>
  <c r="V404" i="17"/>
  <c r="U404" i="17"/>
  <c r="T404" i="17"/>
  <c r="S404" i="17"/>
  <c r="R404" i="17"/>
  <c r="Q404" i="17"/>
  <c r="P404" i="17"/>
  <c r="W403" i="17"/>
  <c r="V403" i="17"/>
  <c r="U403" i="17"/>
  <c r="T403" i="17"/>
  <c r="S403" i="17"/>
  <c r="R403" i="17"/>
  <c r="Q403" i="17"/>
  <c r="P403" i="17"/>
  <c r="W402" i="17"/>
  <c r="V402" i="17"/>
  <c r="U402" i="17"/>
  <c r="T402" i="17"/>
  <c r="S402" i="17"/>
  <c r="R402" i="17"/>
  <c r="Q402" i="17"/>
  <c r="P402" i="17"/>
  <c r="W401" i="17"/>
  <c r="V401" i="17"/>
  <c r="U401" i="17"/>
  <c r="T401" i="17"/>
  <c r="S401" i="17"/>
  <c r="R401" i="17"/>
  <c r="Q401" i="17"/>
  <c r="P401" i="17"/>
  <c r="W400" i="17"/>
  <c r="V400" i="17"/>
  <c r="U400" i="17"/>
  <c r="T400" i="17"/>
  <c r="S400" i="17"/>
  <c r="R400" i="17"/>
  <c r="Q400" i="17"/>
  <c r="P400" i="17"/>
  <c r="W399" i="17"/>
  <c r="V399" i="17"/>
  <c r="U399" i="17"/>
  <c r="T399" i="17"/>
  <c r="S399" i="17"/>
  <c r="R399" i="17"/>
  <c r="Q399" i="17"/>
  <c r="P399" i="17"/>
  <c r="W398" i="17"/>
  <c r="V398" i="17"/>
  <c r="U398" i="17"/>
  <c r="T398" i="17"/>
  <c r="S398" i="17"/>
  <c r="R398" i="17"/>
  <c r="Q398" i="17"/>
  <c r="P398" i="17"/>
  <c r="W397" i="17"/>
  <c r="V397" i="17"/>
  <c r="U397" i="17"/>
  <c r="T397" i="17"/>
  <c r="S397" i="17"/>
  <c r="R397" i="17"/>
  <c r="Q397" i="17"/>
  <c r="P397" i="17"/>
  <c r="W396" i="17"/>
  <c r="V396" i="17"/>
  <c r="U396" i="17"/>
  <c r="T396" i="17"/>
  <c r="S396" i="17"/>
  <c r="R396" i="17"/>
  <c r="Q396" i="17"/>
  <c r="P396" i="17"/>
  <c r="W395" i="17"/>
  <c r="V395" i="17"/>
  <c r="U395" i="17"/>
  <c r="T395" i="17"/>
  <c r="S395" i="17"/>
  <c r="R395" i="17"/>
  <c r="Q395" i="17"/>
  <c r="P395" i="17"/>
  <c r="W394" i="17"/>
  <c r="V394" i="17"/>
  <c r="U394" i="17"/>
  <c r="T394" i="17"/>
  <c r="S394" i="17"/>
  <c r="R394" i="17"/>
  <c r="Q394" i="17"/>
  <c r="P394" i="17"/>
  <c r="W393" i="17"/>
  <c r="V393" i="17"/>
  <c r="U393" i="17"/>
  <c r="T393" i="17"/>
  <c r="S393" i="17"/>
  <c r="R393" i="17"/>
  <c r="Q393" i="17"/>
  <c r="P393" i="17"/>
  <c r="W392" i="17"/>
  <c r="V392" i="17"/>
  <c r="U392" i="17"/>
  <c r="T392" i="17"/>
  <c r="S392" i="17"/>
  <c r="R392" i="17"/>
  <c r="Q392" i="17"/>
  <c r="P392" i="17"/>
  <c r="W391" i="17"/>
  <c r="V391" i="17"/>
  <c r="U391" i="17"/>
  <c r="T391" i="17"/>
  <c r="S391" i="17"/>
  <c r="R391" i="17"/>
  <c r="Q391" i="17"/>
  <c r="P391" i="17"/>
  <c r="W390" i="17"/>
  <c r="V390" i="17"/>
  <c r="U390" i="17"/>
  <c r="T390" i="17"/>
  <c r="S390" i="17"/>
  <c r="R390" i="17"/>
  <c r="Q390" i="17"/>
  <c r="P390" i="17"/>
  <c r="W389" i="17"/>
  <c r="V389" i="17"/>
  <c r="U389" i="17"/>
  <c r="T389" i="17"/>
  <c r="S389" i="17"/>
  <c r="R389" i="17"/>
  <c r="Q389" i="17"/>
  <c r="P389" i="17"/>
  <c r="W388" i="17"/>
  <c r="V388" i="17"/>
  <c r="U388" i="17"/>
  <c r="T388" i="17"/>
  <c r="S388" i="17"/>
  <c r="R388" i="17"/>
  <c r="Q388" i="17"/>
  <c r="P388" i="17"/>
  <c r="W387" i="17"/>
  <c r="V387" i="17"/>
  <c r="U387" i="17"/>
  <c r="T387" i="17"/>
  <c r="S387" i="17"/>
  <c r="R387" i="17"/>
  <c r="Q387" i="17"/>
  <c r="P387" i="17"/>
  <c r="W386" i="17"/>
  <c r="V386" i="17"/>
  <c r="U386" i="17"/>
  <c r="T386" i="17"/>
  <c r="S386" i="17"/>
  <c r="R386" i="17"/>
  <c r="Q386" i="17"/>
  <c r="P386" i="17"/>
  <c r="W385" i="17"/>
  <c r="V385" i="17"/>
  <c r="U385" i="17"/>
  <c r="T385" i="17"/>
  <c r="S385" i="17"/>
  <c r="R385" i="17"/>
  <c r="Q385" i="17"/>
  <c r="P385" i="17"/>
  <c r="W384" i="17"/>
  <c r="V384" i="17"/>
  <c r="U384" i="17"/>
  <c r="T384" i="17"/>
  <c r="S384" i="17"/>
  <c r="R384" i="17"/>
  <c r="Q384" i="17"/>
  <c r="P384" i="17"/>
  <c r="W383" i="17"/>
  <c r="V383" i="17"/>
  <c r="U383" i="17"/>
  <c r="T383" i="17"/>
  <c r="S383" i="17"/>
  <c r="R383" i="17"/>
  <c r="Q383" i="17"/>
  <c r="P383" i="17"/>
  <c r="W382" i="17"/>
  <c r="V382" i="17"/>
  <c r="U382" i="17"/>
  <c r="T382" i="17"/>
  <c r="S382" i="17"/>
  <c r="R382" i="17"/>
  <c r="Q382" i="17"/>
  <c r="P382" i="17"/>
  <c r="W381" i="17"/>
  <c r="V381" i="17"/>
  <c r="U381" i="17"/>
  <c r="T381" i="17"/>
  <c r="S381" i="17"/>
  <c r="R381" i="17"/>
  <c r="Q381" i="17"/>
  <c r="P381" i="17"/>
  <c r="W380" i="17"/>
  <c r="V380" i="17"/>
  <c r="U380" i="17"/>
  <c r="T380" i="17"/>
  <c r="S380" i="17"/>
  <c r="R380" i="17"/>
  <c r="Q380" i="17"/>
  <c r="P380" i="17"/>
  <c r="W379" i="17"/>
  <c r="V379" i="17"/>
  <c r="U379" i="17"/>
  <c r="T379" i="17"/>
  <c r="S379" i="17"/>
  <c r="R379" i="17"/>
  <c r="Q379" i="17"/>
  <c r="P379" i="17"/>
  <c r="W378" i="17"/>
  <c r="V378" i="17"/>
  <c r="U378" i="17"/>
  <c r="T378" i="17"/>
  <c r="S378" i="17"/>
  <c r="R378" i="17"/>
  <c r="Q378" i="17"/>
  <c r="P378" i="17"/>
  <c r="W377" i="17"/>
  <c r="V377" i="17"/>
  <c r="U377" i="17"/>
  <c r="T377" i="17"/>
  <c r="S377" i="17"/>
  <c r="R377" i="17"/>
  <c r="Q377" i="17"/>
  <c r="P377" i="17"/>
  <c r="W376" i="17"/>
  <c r="V376" i="17"/>
  <c r="U376" i="17"/>
  <c r="T376" i="17"/>
  <c r="S376" i="17"/>
  <c r="R376" i="17"/>
  <c r="Q376" i="17"/>
  <c r="P376" i="17"/>
  <c r="W375" i="17"/>
  <c r="V375" i="17"/>
  <c r="U375" i="17"/>
  <c r="T375" i="17"/>
  <c r="S375" i="17"/>
  <c r="R375" i="17"/>
  <c r="Q375" i="17"/>
  <c r="P375" i="17"/>
  <c r="W374" i="17"/>
  <c r="V374" i="17"/>
  <c r="U374" i="17"/>
  <c r="T374" i="17"/>
  <c r="S374" i="17"/>
  <c r="R374" i="17"/>
  <c r="Q374" i="17"/>
  <c r="P374" i="17"/>
  <c r="W373" i="17"/>
  <c r="V373" i="17"/>
  <c r="U373" i="17"/>
  <c r="T373" i="17"/>
  <c r="S373" i="17"/>
  <c r="R373" i="17"/>
  <c r="Q373" i="17"/>
  <c r="P373" i="17"/>
  <c r="W372" i="17"/>
  <c r="V372" i="17"/>
  <c r="U372" i="17"/>
  <c r="T372" i="17"/>
  <c r="S372" i="17"/>
  <c r="R372" i="17"/>
  <c r="Q372" i="17"/>
  <c r="P372" i="17"/>
  <c r="W371" i="17"/>
  <c r="V371" i="17"/>
  <c r="U371" i="17"/>
  <c r="T371" i="17"/>
  <c r="S371" i="17"/>
  <c r="R371" i="17"/>
  <c r="Q371" i="17"/>
  <c r="P371" i="17"/>
  <c r="W370" i="17"/>
  <c r="V370" i="17"/>
  <c r="U370" i="17"/>
  <c r="T370" i="17"/>
  <c r="S370" i="17"/>
  <c r="R370" i="17"/>
  <c r="Q370" i="17"/>
  <c r="P370" i="17"/>
  <c r="W369" i="17"/>
  <c r="V369" i="17"/>
  <c r="U369" i="17"/>
  <c r="T369" i="17"/>
  <c r="S369" i="17"/>
  <c r="R369" i="17"/>
  <c r="Q369" i="17"/>
  <c r="P369" i="17"/>
  <c r="W368" i="17"/>
  <c r="V368" i="17"/>
  <c r="U368" i="17"/>
  <c r="T368" i="17"/>
  <c r="S368" i="17"/>
  <c r="R368" i="17"/>
  <c r="Q368" i="17"/>
  <c r="P368" i="17"/>
  <c r="W367" i="17"/>
  <c r="V367" i="17"/>
  <c r="U367" i="17"/>
  <c r="T367" i="17"/>
  <c r="S367" i="17"/>
  <c r="R367" i="17"/>
  <c r="Q367" i="17"/>
  <c r="P367" i="17"/>
  <c r="W366" i="17"/>
  <c r="V366" i="17"/>
  <c r="U366" i="17"/>
  <c r="T366" i="17"/>
  <c r="S366" i="17"/>
  <c r="R366" i="17"/>
  <c r="Q366" i="17"/>
  <c r="P366" i="17"/>
  <c r="W365" i="17"/>
  <c r="V365" i="17"/>
  <c r="U365" i="17"/>
  <c r="T365" i="17"/>
  <c r="S365" i="17"/>
  <c r="R365" i="17"/>
  <c r="Q365" i="17"/>
  <c r="P365" i="17"/>
  <c r="W364" i="17"/>
  <c r="V364" i="17"/>
  <c r="U364" i="17"/>
  <c r="T364" i="17"/>
  <c r="S364" i="17"/>
  <c r="R364" i="17"/>
  <c r="Q364" i="17"/>
  <c r="P364" i="17"/>
  <c r="W363" i="17"/>
  <c r="V363" i="17"/>
  <c r="U363" i="17"/>
  <c r="T363" i="17"/>
  <c r="S363" i="17"/>
  <c r="R363" i="17"/>
  <c r="Q363" i="17"/>
  <c r="P363" i="17"/>
  <c r="W362" i="17"/>
  <c r="V362" i="17"/>
  <c r="U362" i="17"/>
  <c r="T362" i="17"/>
  <c r="S362" i="17"/>
  <c r="R362" i="17"/>
  <c r="Q362" i="17"/>
  <c r="P362" i="17"/>
  <c r="W361" i="17"/>
  <c r="V361" i="17"/>
  <c r="U361" i="17"/>
  <c r="T361" i="17"/>
  <c r="S361" i="17"/>
  <c r="R361" i="17"/>
  <c r="Q361" i="17"/>
  <c r="P361" i="17"/>
  <c r="W360" i="17"/>
  <c r="V360" i="17"/>
  <c r="U360" i="17"/>
  <c r="T360" i="17"/>
  <c r="S360" i="17"/>
  <c r="R360" i="17"/>
  <c r="Q360" i="17"/>
  <c r="P360" i="17"/>
  <c r="W359" i="17"/>
  <c r="V359" i="17"/>
  <c r="U359" i="17"/>
  <c r="T359" i="17"/>
  <c r="S359" i="17"/>
  <c r="R359" i="17"/>
  <c r="Q359" i="17"/>
  <c r="P359" i="17"/>
  <c r="W358" i="17"/>
  <c r="V358" i="17"/>
  <c r="U358" i="17"/>
  <c r="T358" i="17"/>
  <c r="S358" i="17"/>
  <c r="R358" i="17"/>
  <c r="Q358" i="17"/>
  <c r="P358" i="17"/>
  <c r="W357" i="17"/>
  <c r="V357" i="17"/>
  <c r="U357" i="17"/>
  <c r="T357" i="17"/>
  <c r="S357" i="17"/>
  <c r="R357" i="17"/>
  <c r="Q357" i="17"/>
  <c r="P357" i="17"/>
  <c r="W356" i="17"/>
  <c r="V356" i="17"/>
  <c r="U356" i="17"/>
  <c r="T356" i="17"/>
  <c r="S356" i="17"/>
  <c r="R356" i="17"/>
  <c r="Q356" i="17"/>
  <c r="P356" i="17"/>
  <c r="W355" i="17"/>
  <c r="V355" i="17"/>
  <c r="U355" i="17"/>
  <c r="T355" i="17"/>
  <c r="S355" i="17"/>
  <c r="R355" i="17"/>
  <c r="Q355" i="17"/>
  <c r="P355" i="17"/>
  <c r="W354" i="17"/>
  <c r="V354" i="17"/>
  <c r="U354" i="17"/>
  <c r="T354" i="17"/>
  <c r="S354" i="17"/>
  <c r="R354" i="17"/>
  <c r="Q354" i="17"/>
  <c r="P354" i="17"/>
  <c r="W353" i="17"/>
  <c r="V353" i="17"/>
  <c r="U353" i="17"/>
  <c r="T353" i="17"/>
  <c r="S353" i="17"/>
  <c r="R353" i="17"/>
  <c r="Q353" i="17"/>
  <c r="P353" i="17"/>
  <c r="W352" i="17"/>
  <c r="V352" i="17"/>
  <c r="U352" i="17"/>
  <c r="T352" i="17"/>
  <c r="S352" i="17"/>
  <c r="R352" i="17"/>
  <c r="Q352" i="17"/>
  <c r="P352" i="17"/>
  <c r="W351" i="17"/>
  <c r="V351" i="17"/>
  <c r="U351" i="17"/>
  <c r="T351" i="17"/>
  <c r="S351" i="17"/>
  <c r="R351" i="17"/>
  <c r="Q351" i="17"/>
  <c r="P351" i="17"/>
  <c r="W350" i="17"/>
  <c r="V350" i="17"/>
  <c r="U350" i="17"/>
  <c r="T350" i="17"/>
  <c r="S350" i="17"/>
  <c r="R350" i="17"/>
  <c r="Q350" i="17"/>
  <c r="P350" i="17"/>
  <c r="W349" i="17"/>
  <c r="V349" i="17"/>
  <c r="U349" i="17"/>
  <c r="T349" i="17"/>
  <c r="S349" i="17"/>
  <c r="R349" i="17"/>
  <c r="Q349" i="17"/>
  <c r="P349" i="17"/>
  <c r="W348" i="17"/>
  <c r="V348" i="17"/>
  <c r="U348" i="17"/>
  <c r="T348" i="17"/>
  <c r="S348" i="17"/>
  <c r="R348" i="17"/>
  <c r="Q348" i="17"/>
  <c r="P348" i="17"/>
  <c r="W347" i="17"/>
  <c r="V347" i="17"/>
  <c r="U347" i="17"/>
  <c r="T347" i="17"/>
  <c r="S347" i="17"/>
  <c r="R347" i="17"/>
  <c r="Q347" i="17"/>
  <c r="P347" i="17"/>
  <c r="W346" i="17"/>
  <c r="V346" i="17"/>
  <c r="U346" i="17"/>
  <c r="T346" i="17"/>
  <c r="S346" i="17"/>
  <c r="R346" i="17"/>
  <c r="Q346" i="17"/>
  <c r="P346" i="17"/>
  <c r="W345" i="17"/>
  <c r="V345" i="17"/>
  <c r="U345" i="17"/>
  <c r="T345" i="17"/>
  <c r="S345" i="17"/>
  <c r="R345" i="17"/>
  <c r="Q345" i="17"/>
  <c r="P345" i="17"/>
  <c r="W344" i="17"/>
  <c r="V344" i="17"/>
  <c r="U344" i="17"/>
  <c r="T344" i="17"/>
  <c r="S344" i="17"/>
  <c r="R344" i="17"/>
  <c r="Q344" i="17"/>
  <c r="P344" i="17"/>
  <c r="W343" i="17"/>
  <c r="V343" i="17"/>
  <c r="U343" i="17"/>
  <c r="T343" i="17"/>
  <c r="S343" i="17"/>
  <c r="R343" i="17"/>
  <c r="Q343" i="17"/>
  <c r="P343" i="17"/>
  <c r="W342" i="17"/>
  <c r="V342" i="17"/>
  <c r="U342" i="17"/>
  <c r="T342" i="17"/>
  <c r="S342" i="17"/>
  <c r="R342" i="17"/>
  <c r="Q342" i="17"/>
  <c r="P342" i="17"/>
  <c r="W341" i="17"/>
  <c r="V341" i="17"/>
  <c r="U341" i="17"/>
  <c r="T341" i="17"/>
  <c r="S341" i="17"/>
  <c r="R341" i="17"/>
  <c r="Q341" i="17"/>
  <c r="P341" i="17"/>
  <c r="W340" i="17"/>
  <c r="V340" i="17"/>
  <c r="U340" i="17"/>
  <c r="T340" i="17"/>
  <c r="S340" i="17"/>
  <c r="R340" i="17"/>
  <c r="Q340" i="17"/>
  <c r="P340" i="17"/>
  <c r="W339" i="17"/>
  <c r="V339" i="17"/>
  <c r="U339" i="17"/>
  <c r="T339" i="17"/>
  <c r="S339" i="17"/>
  <c r="R339" i="17"/>
  <c r="Q339" i="17"/>
  <c r="P339" i="17"/>
  <c r="W338" i="17"/>
  <c r="V338" i="17"/>
  <c r="U338" i="17"/>
  <c r="T338" i="17"/>
  <c r="S338" i="17"/>
  <c r="R338" i="17"/>
  <c r="Q338" i="17"/>
  <c r="P338" i="17"/>
  <c r="W337" i="17"/>
  <c r="V337" i="17"/>
  <c r="U337" i="17"/>
  <c r="T337" i="17"/>
  <c r="S337" i="17"/>
  <c r="R337" i="17"/>
  <c r="Q337" i="17"/>
  <c r="P337" i="17"/>
  <c r="W336" i="17"/>
  <c r="V336" i="17"/>
  <c r="U336" i="17"/>
  <c r="T336" i="17"/>
  <c r="S336" i="17"/>
  <c r="R336" i="17"/>
  <c r="Q336" i="17"/>
  <c r="P336" i="17"/>
  <c r="W335" i="17"/>
  <c r="V335" i="17"/>
  <c r="U335" i="17"/>
  <c r="T335" i="17"/>
  <c r="S335" i="17"/>
  <c r="R335" i="17"/>
  <c r="Q335" i="17"/>
  <c r="P335" i="17"/>
  <c r="W334" i="17"/>
  <c r="V334" i="17"/>
  <c r="U334" i="17"/>
  <c r="T334" i="17"/>
  <c r="S334" i="17"/>
  <c r="R334" i="17"/>
  <c r="Q334" i="17"/>
  <c r="P334" i="17"/>
  <c r="W333" i="17"/>
  <c r="V333" i="17"/>
  <c r="U333" i="17"/>
  <c r="T333" i="17"/>
  <c r="S333" i="17"/>
  <c r="R333" i="17"/>
  <c r="Q333" i="17"/>
  <c r="P333" i="17"/>
  <c r="W332" i="17"/>
  <c r="V332" i="17"/>
  <c r="U332" i="17"/>
  <c r="T332" i="17"/>
  <c r="S332" i="17"/>
  <c r="R332" i="17"/>
  <c r="Q332" i="17"/>
  <c r="P332" i="17"/>
  <c r="W331" i="17"/>
  <c r="V331" i="17"/>
  <c r="U331" i="17"/>
  <c r="T331" i="17"/>
  <c r="S331" i="17"/>
  <c r="R331" i="17"/>
  <c r="Q331" i="17"/>
  <c r="P331" i="17"/>
  <c r="W330" i="17"/>
  <c r="V330" i="17"/>
  <c r="U330" i="17"/>
  <c r="T330" i="17"/>
  <c r="S330" i="17"/>
  <c r="R330" i="17"/>
  <c r="Q330" i="17"/>
  <c r="P330" i="17"/>
  <c r="W329" i="17"/>
  <c r="V329" i="17"/>
  <c r="U329" i="17"/>
  <c r="T329" i="17"/>
  <c r="S329" i="17"/>
  <c r="R329" i="17"/>
  <c r="Q329" i="17"/>
  <c r="P329" i="17"/>
  <c r="W328" i="17"/>
  <c r="V328" i="17"/>
  <c r="U328" i="17"/>
  <c r="T328" i="17"/>
  <c r="S328" i="17"/>
  <c r="R328" i="17"/>
  <c r="Q328" i="17"/>
  <c r="P328" i="17"/>
  <c r="W327" i="17"/>
  <c r="V327" i="17"/>
  <c r="U327" i="17"/>
  <c r="T327" i="17"/>
  <c r="S327" i="17"/>
  <c r="R327" i="17"/>
  <c r="Q327" i="17"/>
  <c r="P327" i="17"/>
  <c r="W326" i="17"/>
  <c r="V326" i="17"/>
  <c r="U326" i="17"/>
  <c r="T326" i="17"/>
  <c r="S326" i="17"/>
  <c r="R326" i="17"/>
  <c r="Q326" i="17"/>
  <c r="P326" i="17"/>
  <c r="W325" i="17"/>
  <c r="V325" i="17"/>
  <c r="U325" i="17"/>
  <c r="T325" i="17"/>
  <c r="S325" i="17"/>
  <c r="R325" i="17"/>
  <c r="Q325" i="17"/>
  <c r="P325" i="17"/>
  <c r="W324" i="17"/>
  <c r="V324" i="17"/>
  <c r="U324" i="17"/>
  <c r="T324" i="17"/>
  <c r="S324" i="17"/>
  <c r="R324" i="17"/>
  <c r="Q324" i="17"/>
  <c r="P324" i="17"/>
  <c r="W323" i="17"/>
  <c r="V323" i="17"/>
  <c r="U323" i="17"/>
  <c r="T323" i="17"/>
  <c r="S323" i="17"/>
  <c r="R323" i="17"/>
  <c r="Q323" i="17"/>
  <c r="P323" i="17"/>
  <c r="W322" i="17"/>
  <c r="V322" i="17"/>
  <c r="U322" i="17"/>
  <c r="T322" i="17"/>
  <c r="S322" i="17"/>
  <c r="R322" i="17"/>
  <c r="Q322" i="17"/>
  <c r="P322" i="17"/>
  <c r="W321" i="17"/>
  <c r="V321" i="17"/>
  <c r="U321" i="17"/>
  <c r="T321" i="17"/>
  <c r="S321" i="17"/>
  <c r="R321" i="17"/>
  <c r="Q321" i="17"/>
  <c r="P321" i="17"/>
  <c r="W320" i="17"/>
  <c r="V320" i="17"/>
  <c r="U320" i="17"/>
  <c r="T320" i="17"/>
  <c r="S320" i="17"/>
  <c r="R320" i="17"/>
  <c r="Q320" i="17"/>
  <c r="P320" i="17"/>
  <c r="W319" i="17"/>
  <c r="V319" i="17"/>
  <c r="U319" i="17"/>
  <c r="T319" i="17"/>
  <c r="S319" i="17"/>
  <c r="R319" i="17"/>
  <c r="Q319" i="17"/>
  <c r="P319" i="17"/>
  <c r="W318" i="17"/>
  <c r="V318" i="17"/>
  <c r="U318" i="17"/>
  <c r="T318" i="17"/>
  <c r="S318" i="17"/>
  <c r="R318" i="17"/>
  <c r="Q318" i="17"/>
  <c r="P318" i="17"/>
  <c r="W317" i="17"/>
  <c r="V317" i="17"/>
  <c r="U317" i="17"/>
  <c r="T317" i="17"/>
  <c r="S317" i="17"/>
  <c r="R317" i="17"/>
  <c r="Q317" i="17"/>
  <c r="P317" i="17"/>
  <c r="W316" i="17"/>
  <c r="V316" i="17"/>
  <c r="U316" i="17"/>
  <c r="T316" i="17"/>
  <c r="S316" i="17"/>
  <c r="R316" i="17"/>
  <c r="Q316" i="17"/>
  <c r="P316" i="17"/>
  <c r="W315" i="17"/>
  <c r="V315" i="17"/>
  <c r="U315" i="17"/>
  <c r="T315" i="17"/>
  <c r="S315" i="17"/>
  <c r="R315" i="17"/>
  <c r="Q315" i="17"/>
  <c r="P315" i="17"/>
  <c r="W314" i="17"/>
  <c r="V314" i="17"/>
  <c r="U314" i="17"/>
  <c r="T314" i="17"/>
  <c r="S314" i="17"/>
  <c r="R314" i="17"/>
  <c r="Q314" i="17"/>
  <c r="P314" i="17"/>
  <c r="W313" i="17"/>
  <c r="V313" i="17"/>
  <c r="U313" i="17"/>
  <c r="T313" i="17"/>
  <c r="S313" i="17"/>
  <c r="R313" i="17"/>
  <c r="Q313" i="17"/>
  <c r="P313" i="17"/>
  <c r="W312" i="17"/>
  <c r="V312" i="17"/>
  <c r="U312" i="17"/>
  <c r="T312" i="17"/>
  <c r="S312" i="17"/>
  <c r="R312" i="17"/>
  <c r="Q312" i="17"/>
  <c r="P312" i="17"/>
  <c r="W311" i="17"/>
  <c r="V311" i="17"/>
  <c r="U311" i="17"/>
  <c r="T311" i="17"/>
  <c r="S311" i="17"/>
  <c r="R311" i="17"/>
  <c r="Q311" i="17"/>
  <c r="P311" i="17"/>
  <c r="W310" i="17"/>
  <c r="V310" i="17"/>
  <c r="U310" i="17"/>
  <c r="T310" i="17"/>
  <c r="S310" i="17"/>
  <c r="R310" i="17"/>
  <c r="Q310" i="17"/>
  <c r="P310" i="17"/>
  <c r="W309" i="17"/>
  <c r="V309" i="17"/>
  <c r="U309" i="17"/>
  <c r="T309" i="17"/>
  <c r="S309" i="17"/>
  <c r="R309" i="17"/>
  <c r="Q309" i="17"/>
  <c r="P309" i="17"/>
  <c r="W308" i="17"/>
  <c r="V308" i="17"/>
  <c r="U308" i="17"/>
  <c r="T308" i="17"/>
  <c r="S308" i="17"/>
  <c r="R308" i="17"/>
  <c r="Q308" i="17"/>
  <c r="P308" i="17"/>
  <c r="W307" i="17"/>
  <c r="V307" i="17"/>
  <c r="U307" i="17"/>
  <c r="T307" i="17"/>
  <c r="S307" i="17"/>
  <c r="R307" i="17"/>
  <c r="Q307" i="17"/>
  <c r="P307" i="17"/>
  <c r="W306" i="17"/>
  <c r="V306" i="17"/>
  <c r="U306" i="17"/>
  <c r="T306" i="17"/>
  <c r="S306" i="17"/>
  <c r="R306" i="17"/>
  <c r="Q306" i="17"/>
  <c r="P306" i="17"/>
  <c r="W305" i="17"/>
  <c r="V305" i="17"/>
  <c r="U305" i="17"/>
  <c r="T305" i="17"/>
  <c r="S305" i="17"/>
  <c r="R305" i="17"/>
  <c r="Q305" i="17"/>
  <c r="P305" i="17"/>
  <c r="W304" i="17"/>
  <c r="V304" i="17"/>
  <c r="U304" i="17"/>
  <c r="T304" i="17"/>
  <c r="S304" i="17"/>
  <c r="R304" i="17"/>
  <c r="Q304" i="17"/>
  <c r="P304" i="17"/>
  <c r="W303" i="17"/>
  <c r="V303" i="17"/>
  <c r="U303" i="17"/>
  <c r="T303" i="17"/>
  <c r="S303" i="17"/>
  <c r="R303" i="17"/>
  <c r="Q303" i="17"/>
  <c r="P303" i="17"/>
  <c r="W302" i="17"/>
  <c r="V302" i="17"/>
  <c r="U302" i="17"/>
  <c r="T302" i="17"/>
  <c r="S302" i="17"/>
  <c r="R302" i="17"/>
  <c r="Q302" i="17"/>
  <c r="P302" i="17"/>
  <c r="W301" i="17"/>
  <c r="V301" i="17"/>
  <c r="U301" i="17"/>
  <c r="T301" i="17"/>
  <c r="S301" i="17"/>
  <c r="R301" i="17"/>
  <c r="Q301" i="17"/>
  <c r="P301" i="17"/>
  <c r="W300" i="17"/>
  <c r="V300" i="17"/>
  <c r="U300" i="17"/>
  <c r="T300" i="17"/>
  <c r="S300" i="17"/>
  <c r="R300" i="17"/>
  <c r="Q300" i="17"/>
  <c r="P300" i="17"/>
  <c r="W299" i="17"/>
  <c r="V299" i="17"/>
  <c r="U299" i="17"/>
  <c r="T299" i="17"/>
  <c r="S299" i="17"/>
  <c r="R299" i="17"/>
  <c r="Q299" i="17"/>
  <c r="P299" i="17"/>
  <c r="W298" i="17"/>
  <c r="V298" i="17"/>
  <c r="U298" i="17"/>
  <c r="T298" i="17"/>
  <c r="S298" i="17"/>
  <c r="R298" i="17"/>
  <c r="Q298" i="17"/>
  <c r="P298" i="17"/>
  <c r="W297" i="17"/>
  <c r="V297" i="17"/>
  <c r="U297" i="17"/>
  <c r="T297" i="17"/>
  <c r="S297" i="17"/>
  <c r="R297" i="17"/>
  <c r="Q297" i="17"/>
  <c r="P297" i="17"/>
  <c r="W296" i="17"/>
  <c r="V296" i="17"/>
  <c r="U296" i="17"/>
  <c r="T296" i="17"/>
  <c r="S296" i="17"/>
  <c r="R296" i="17"/>
  <c r="Q296" i="17"/>
  <c r="P296" i="17"/>
  <c r="W295" i="17"/>
  <c r="V295" i="17"/>
  <c r="U295" i="17"/>
  <c r="T295" i="17"/>
  <c r="S295" i="17"/>
  <c r="R295" i="17"/>
  <c r="Q295" i="17"/>
  <c r="P295" i="17"/>
  <c r="W294" i="17"/>
  <c r="V294" i="17"/>
  <c r="U294" i="17"/>
  <c r="T294" i="17"/>
  <c r="S294" i="17"/>
  <c r="R294" i="17"/>
  <c r="Q294" i="17"/>
  <c r="P294" i="17"/>
  <c r="W293" i="17"/>
  <c r="V293" i="17"/>
  <c r="U293" i="17"/>
  <c r="T293" i="17"/>
  <c r="S293" i="17"/>
  <c r="R293" i="17"/>
  <c r="Q293" i="17"/>
  <c r="P293" i="17"/>
  <c r="W292" i="17"/>
  <c r="V292" i="17"/>
  <c r="U292" i="17"/>
  <c r="T292" i="17"/>
  <c r="S292" i="17"/>
  <c r="R292" i="17"/>
  <c r="Q292" i="17"/>
  <c r="P292" i="17"/>
  <c r="W291" i="17"/>
  <c r="V291" i="17"/>
  <c r="U291" i="17"/>
  <c r="T291" i="17"/>
  <c r="S291" i="17"/>
  <c r="R291" i="17"/>
  <c r="Q291" i="17"/>
  <c r="P291" i="17"/>
  <c r="W290" i="17"/>
  <c r="V290" i="17"/>
  <c r="U290" i="17"/>
  <c r="T290" i="17"/>
  <c r="S290" i="17"/>
  <c r="R290" i="17"/>
  <c r="Q290" i="17"/>
  <c r="P290" i="17"/>
  <c r="W289" i="17"/>
  <c r="V289" i="17"/>
  <c r="U289" i="17"/>
  <c r="T289" i="17"/>
  <c r="S289" i="17"/>
  <c r="R289" i="17"/>
  <c r="Q289" i="17"/>
  <c r="P289" i="17"/>
  <c r="W288" i="17"/>
  <c r="V288" i="17"/>
  <c r="U288" i="17"/>
  <c r="T288" i="17"/>
  <c r="S288" i="17"/>
  <c r="R288" i="17"/>
  <c r="Q288" i="17"/>
  <c r="P288" i="17"/>
  <c r="W287" i="17"/>
  <c r="V287" i="17"/>
  <c r="U287" i="17"/>
  <c r="T287" i="17"/>
  <c r="S287" i="17"/>
  <c r="R287" i="17"/>
  <c r="Q287" i="17"/>
  <c r="P287" i="17"/>
  <c r="W286" i="17"/>
  <c r="V286" i="17"/>
  <c r="U286" i="17"/>
  <c r="T286" i="17"/>
  <c r="S286" i="17"/>
  <c r="R286" i="17"/>
  <c r="Q286" i="17"/>
  <c r="P286" i="17"/>
  <c r="W285" i="17"/>
  <c r="V285" i="17"/>
  <c r="U285" i="17"/>
  <c r="T285" i="17"/>
  <c r="S285" i="17"/>
  <c r="R285" i="17"/>
  <c r="Q285" i="17"/>
  <c r="P285" i="17"/>
  <c r="W284" i="17"/>
  <c r="V284" i="17"/>
  <c r="U284" i="17"/>
  <c r="T284" i="17"/>
  <c r="S284" i="17"/>
  <c r="R284" i="17"/>
  <c r="Q284" i="17"/>
  <c r="P284" i="17"/>
  <c r="W283" i="17"/>
  <c r="V283" i="17"/>
  <c r="U283" i="17"/>
  <c r="T283" i="17"/>
  <c r="S283" i="17"/>
  <c r="R283" i="17"/>
  <c r="Q283" i="17"/>
  <c r="P283" i="17"/>
  <c r="U282" i="17"/>
  <c r="T282" i="17"/>
  <c r="S282" i="17"/>
  <c r="K175" i="18" s="1"/>
  <c r="L175" i="18" s="1"/>
  <c r="R282" i="17"/>
  <c r="P282" i="17"/>
  <c r="Q282" i="17" s="1"/>
  <c r="U281" i="17"/>
  <c r="T281" i="17"/>
  <c r="S281" i="17"/>
  <c r="V281" i="17" s="1"/>
  <c r="R281" i="17"/>
  <c r="P281" i="17"/>
  <c r="Q281" i="17" s="1"/>
  <c r="U280" i="17"/>
  <c r="T280" i="17"/>
  <c r="S280" i="17"/>
  <c r="V280" i="17" s="1"/>
  <c r="R280" i="17"/>
  <c r="P280" i="17"/>
  <c r="Q280" i="17" s="1"/>
  <c r="U279" i="17"/>
  <c r="T279" i="17"/>
  <c r="S279" i="17"/>
  <c r="V279" i="17" s="1"/>
  <c r="R279" i="17"/>
  <c r="P279" i="17"/>
  <c r="Q279" i="17" s="1"/>
  <c r="U278" i="17"/>
  <c r="T278" i="17"/>
  <c r="S278" i="17"/>
  <c r="V278" i="17" s="1"/>
  <c r="R278" i="17"/>
  <c r="P278" i="17"/>
  <c r="Q278" i="17" s="1"/>
  <c r="U277" i="17"/>
  <c r="T277" i="17"/>
  <c r="S277" i="17"/>
  <c r="K174" i="18" s="1"/>
  <c r="L174" i="18" s="1"/>
  <c r="P174" i="18" s="1"/>
  <c r="R277" i="17"/>
  <c r="P277" i="17"/>
  <c r="Q277" i="17" s="1"/>
  <c r="U276" i="17"/>
  <c r="T276" i="17"/>
  <c r="S276" i="17"/>
  <c r="K173" i="18" s="1"/>
  <c r="L173" i="18" s="1"/>
  <c r="N173" i="18" s="1"/>
  <c r="R276" i="17"/>
  <c r="P276" i="17"/>
  <c r="Q276" i="17" s="1"/>
  <c r="U275" i="17"/>
  <c r="T275" i="17"/>
  <c r="S275" i="17"/>
  <c r="K172" i="18" s="1"/>
  <c r="L172" i="18" s="1"/>
  <c r="P172" i="18" s="1"/>
  <c r="R275" i="17"/>
  <c r="P275" i="17"/>
  <c r="Q275" i="17" s="1"/>
  <c r="U274" i="17"/>
  <c r="T274" i="17"/>
  <c r="S274" i="17"/>
  <c r="R274" i="17"/>
  <c r="P274" i="17"/>
  <c r="Q274" i="17" s="1"/>
  <c r="U273" i="17"/>
  <c r="T273" i="17"/>
  <c r="S273" i="17"/>
  <c r="K171" i="18" s="1"/>
  <c r="L171" i="18" s="1"/>
  <c r="R273" i="17"/>
  <c r="P273" i="17"/>
  <c r="Q273" i="17" s="1"/>
  <c r="U272" i="17"/>
  <c r="T272" i="17"/>
  <c r="S272" i="17"/>
  <c r="R272" i="17"/>
  <c r="P272" i="17"/>
  <c r="Q272" i="17" s="1"/>
  <c r="U271" i="17"/>
  <c r="T271" i="17"/>
  <c r="S271" i="17"/>
  <c r="K170" i="18" s="1"/>
  <c r="L170" i="18" s="1"/>
  <c r="R271" i="17"/>
  <c r="P271" i="17"/>
  <c r="Q271" i="17" s="1"/>
  <c r="U270" i="17"/>
  <c r="T270" i="17"/>
  <c r="S270" i="17"/>
  <c r="R270" i="17"/>
  <c r="P270" i="17"/>
  <c r="Q270" i="17" s="1"/>
  <c r="U269" i="17"/>
  <c r="T269" i="17"/>
  <c r="S269" i="17"/>
  <c r="K169" i="18" s="1"/>
  <c r="L169" i="18" s="1"/>
  <c r="R269" i="17"/>
  <c r="P269" i="17"/>
  <c r="Q269" i="17" s="1"/>
  <c r="U268" i="17"/>
  <c r="T268" i="17"/>
  <c r="S268" i="17"/>
  <c r="R268" i="17"/>
  <c r="P268" i="17"/>
  <c r="Q268" i="17" s="1"/>
  <c r="U267" i="17"/>
  <c r="T267" i="17"/>
  <c r="S267" i="17"/>
  <c r="K168" i="18" s="1"/>
  <c r="L168" i="18" s="1"/>
  <c r="N168" i="18" s="1"/>
  <c r="R267" i="17"/>
  <c r="P267" i="17"/>
  <c r="Q267" i="17" s="1"/>
  <c r="U266" i="17"/>
  <c r="T266" i="17"/>
  <c r="S266" i="17"/>
  <c r="R266" i="17"/>
  <c r="P266" i="17"/>
  <c r="Q266" i="17" s="1"/>
  <c r="U265" i="17"/>
  <c r="T265" i="17"/>
  <c r="S265" i="17"/>
  <c r="K166" i="18" s="1"/>
  <c r="L166" i="18" s="1"/>
  <c r="R265" i="17"/>
  <c r="P265" i="17"/>
  <c r="Q265" i="17" s="1"/>
  <c r="U264" i="17"/>
  <c r="T264" i="17"/>
  <c r="S264" i="17"/>
  <c r="K165" i="18" s="1"/>
  <c r="L165" i="18" s="1"/>
  <c r="R264" i="17"/>
  <c r="P264" i="17"/>
  <c r="Q264" i="17" s="1"/>
  <c r="U263" i="17"/>
  <c r="T263" i="17"/>
  <c r="S263" i="17"/>
  <c r="R263" i="17"/>
  <c r="P263" i="17"/>
  <c r="Q263" i="17" s="1"/>
  <c r="U262" i="17"/>
  <c r="T262" i="17"/>
  <c r="S262" i="17"/>
  <c r="R262" i="17"/>
  <c r="P262" i="17"/>
  <c r="Q262" i="17" s="1"/>
  <c r="U261" i="17"/>
  <c r="T261" i="17"/>
  <c r="S261" i="17"/>
  <c r="R261" i="17"/>
  <c r="P261" i="17"/>
  <c r="Q261" i="17" s="1"/>
  <c r="U260" i="17"/>
  <c r="T260" i="17"/>
  <c r="S260" i="17"/>
  <c r="K161" i="18" s="1"/>
  <c r="L161" i="18" s="1"/>
  <c r="R260" i="17"/>
  <c r="P260" i="17"/>
  <c r="Q260" i="17" s="1"/>
  <c r="U259" i="17"/>
  <c r="T259" i="17"/>
  <c r="S259" i="17"/>
  <c r="R259" i="17"/>
  <c r="P259" i="17"/>
  <c r="Q259" i="17" s="1"/>
  <c r="U258" i="17"/>
  <c r="T258" i="17"/>
  <c r="S258" i="17"/>
  <c r="V258" i="17" s="1"/>
  <c r="R258" i="17"/>
  <c r="P258" i="17"/>
  <c r="Q258" i="17" s="1"/>
  <c r="U257" i="17"/>
  <c r="T257" i="17"/>
  <c r="S257" i="17"/>
  <c r="V257" i="17" s="1"/>
  <c r="R257" i="17"/>
  <c r="P257" i="17"/>
  <c r="Q257" i="17" s="1"/>
  <c r="U256" i="17"/>
  <c r="T256" i="17"/>
  <c r="S256" i="17"/>
  <c r="K160" i="18" s="1"/>
  <c r="L160" i="18" s="1"/>
  <c r="N160" i="18" s="1"/>
  <c r="R256" i="17"/>
  <c r="P256" i="17"/>
  <c r="Q256" i="17" s="1"/>
  <c r="U255" i="17"/>
  <c r="T255" i="17"/>
  <c r="S255" i="17"/>
  <c r="R255" i="17"/>
  <c r="P255" i="17"/>
  <c r="Q255" i="17" s="1"/>
  <c r="U254" i="17"/>
  <c r="T254" i="17"/>
  <c r="S254" i="17"/>
  <c r="R254" i="17"/>
  <c r="P254" i="17"/>
  <c r="Q254" i="17" s="1"/>
  <c r="U253" i="17"/>
  <c r="T253" i="17"/>
  <c r="S253" i="17"/>
  <c r="K158" i="18" s="1"/>
  <c r="L158" i="18" s="1"/>
  <c r="O158" i="18" s="1"/>
  <c r="R253" i="17"/>
  <c r="P253" i="17"/>
  <c r="Q253" i="17" s="1"/>
  <c r="U252" i="17"/>
  <c r="T252" i="17"/>
  <c r="S252" i="17"/>
  <c r="R252" i="17"/>
  <c r="P252" i="17"/>
  <c r="Q252" i="17" s="1"/>
  <c r="U251" i="17"/>
  <c r="T251" i="17"/>
  <c r="S251" i="17"/>
  <c r="K157" i="18" s="1"/>
  <c r="L157" i="18" s="1"/>
  <c r="R251" i="17"/>
  <c r="P251" i="17"/>
  <c r="Q251" i="17" s="1"/>
  <c r="U250" i="17"/>
  <c r="T250" i="17"/>
  <c r="S250" i="17"/>
  <c r="R250" i="17"/>
  <c r="P250" i="17"/>
  <c r="Q250" i="17" s="1"/>
  <c r="U249" i="17"/>
  <c r="T249" i="17"/>
  <c r="S249" i="17"/>
  <c r="R249" i="17"/>
  <c r="P249" i="17"/>
  <c r="Q249" i="17" s="1"/>
  <c r="U248" i="17"/>
  <c r="T248" i="17"/>
  <c r="S248" i="17"/>
  <c r="R248" i="17"/>
  <c r="P248" i="17"/>
  <c r="Q248" i="17" s="1"/>
  <c r="U247" i="17"/>
  <c r="T247" i="17"/>
  <c r="S247" i="17"/>
  <c r="R247" i="17"/>
  <c r="P247" i="17"/>
  <c r="Q247" i="17" s="1"/>
  <c r="U246" i="17"/>
  <c r="T246" i="17"/>
  <c r="S246" i="17"/>
  <c r="R246" i="17"/>
  <c r="P246" i="17"/>
  <c r="Q246" i="17" s="1"/>
  <c r="U245" i="17"/>
  <c r="T245" i="17"/>
  <c r="S245" i="17"/>
  <c r="K154" i="18" s="1"/>
  <c r="L154" i="18" s="1"/>
  <c r="P154" i="18" s="1"/>
  <c r="R245" i="17"/>
  <c r="P245" i="17"/>
  <c r="Q245" i="17" s="1"/>
  <c r="U244" i="17"/>
  <c r="T244" i="17"/>
  <c r="S244" i="17"/>
  <c r="K153" i="18" s="1"/>
  <c r="L153" i="18" s="1"/>
  <c r="O153" i="18" s="1"/>
  <c r="R244" i="17"/>
  <c r="P244" i="17"/>
  <c r="Q244" i="17" s="1"/>
  <c r="U243" i="17"/>
  <c r="T243" i="17"/>
  <c r="S243" i="17"/>
  <c r="R243" i="17"/>
  <c r="P243" i="17"/>
  <c r="Q243" i="17" s="1"/>
  <c r="U242" i="17"/>
  <c r="T242" i="17"/>
  <c r="S242" i="17"/>
  <c r="R242" i="17"/>
  <c r="P242" i="17"/>
  <c r="Q242" i="17" s="1"/>
  <c r="U241" i="17"/>
  <c r="T241" i="17"/>
  <c r="S241" i="17"/>
  <c r="R241" i="17"/>
  <c r="P241" i="17"/>
  <c r="Q241" i="17" s="1"/>
  <c r="U240" i="17"/>
  <c r="T240" i="17"/>
  <c r="S240" i="17"/>
  <c r="R240" i="17"/>
  <c r="P240" i="17"/>
  <c r="Q240" i="17" s="1"/>
  <c r="U239" i="17"/>
  <c r="T239" i="17"/>
  <c r="S239" i="17"/>
  <c r="R239" i="17"/>
  <c r="P239" i="17"/>
  <c r="Q239" i="17" s="1"/>
  <c r="U238" i="17"/>
  <c r="T238" i="17"/>
  <c r="S238" i="17"/>
  <c r="R238" i="17"/>
  <c r="P238" i="17"/>
  <c r="Q238" i="17" s="1"/>
  <c r="U237" i="17"/>
  <c r="T237" i="17"/>
  <c r="S237" i="17"/>
  <c r="R237" i="17"/>
  <c r="P237" i="17"/>
  <c r="Q237" i="17" s="1"/>
  <c r="U236" i="17"/>
  <c r="T236" i="17"/>
  <c r="S236" i="17"/>
  <c r="V236" i="17" s="1"/>
  <c r="R236" i="17"/>
  <c r="P236" i="17"/>
  <c r="Q236" i="17" s="1"/>
  <c r="U235" i="17"/>
  <c r="T235" i="17"/>
  <c r="S235" i="17"/>
  <c r="V235" i="17" s="1"/>
  <c r="R235" i="17"/>
  <c r="P235" i="17"/>
  <c r="Q235" i="17" s="1"/>
  <c r="U234" i="17"/>
  <c r="T234" i="17"/>
  <c r="S234" i="17"/>
  <c r="K146" i="18" s="1"/>
  <c r="L146" i="18" s="1"/>
  <c r="R234" i="17"/>
  <c r="P234" i="17"/>
  <c r="Q234" i="17" s="1"/>
  <c r="U233" i="17"/>
  <c r="T233" i="17"/>
  <c r="S233" i="17"/>
  <c r="K145" i="18" s="1"/>
  <c r="L145" i="18" s="1"/>
  <c r="O145" i="18" s="1"/>
  <c r="R233" i="17"/>
  <c r="P233" i="17"/>
  <c r="Q233" i="17" s="1"/>
  <c r="U232" i="17"/>
  <c r="T232" i="17"/>
  <c r="S232" i="17"/>
  <c r="R232" i="17"/>
  <c r="P232" i="17"/>
  <c r="Q232" i="17" s="1"/>
  <c r="U231" i="17"/>
  <c r="T231" i="17"/>
  <c r="S231" i="17"/>
  <c r="K144" i="18" s="1"/>
  <c r="L144" i="18" s="1"/>
  <c r="R231" i="17"/>
  <c r="P231" i="17"/>
  <c r="Q231" i="17" s="1"/>
  <c r="U230" i="17"/>
  <c r="T230" i="17"/>
  <c r="S230" i="17"/>
  <c r="R230" i="17"/>
  <c r="P230" i="17"/>
  <c r="Q230" i="17" s="1"/>
  <c r="U229" i="17"/>
  <c r="T229" i="17"/>
  <c r="S229" i="17"/>
  <c r="K143" i="18" s="1"/>
  <c r="L143" i="18" s="1"/>
  <c r="M143" i="18" s="1"/>
  <c r="R229" i="17"/>
  <c r="P229" i="17"/>
  <c r="Q229" i="17" s="1"/>
  <c r="U228" i="17"/>
  <c r="T228" i="17"/>
  <c r="S228" i="17"/>
  <c r="R228" i="17"/>
  <c r="P228" i="17"/>
  <c r="Q228" i="17" s="1"/>
  <c r="U227" i="17"/>
  <c r="T227" i="17"/>
  <c r="S227" i="17"/>
  <c r="V227" i="17" s="1"/>
  <c r="R227" i="17"/>
  <c r="P227" i="17"/>
  <c r="Q227" i="17" s="1"/>
  <c r="U226" i="17"/>
  <c r="T226" i="17"/>
  <c r="S226" i="17"/>
  <c r="R226" i="17"/>
  <c r="P226" i="17"/>
  <c r="Q226" i="17" s="1"/>
  <c r="U225" i="17"/>
  <c r="T225" i="17"/>
  <c r="S225" i="17"/>
  <c r="R225" i="17"/>
  <c r="P225" i="17"/>
  <c r="Q225" i="17" s="1"/>
  <c r="U224" i="17"/>
  <c r="T224" i="17"/>
  <c r="S224" i="17"/>
  <c r="K141" i="18" s="1"/>
  <c r="L141" i="18" s="1"/>
  <c r="R224" i="17"/>
  <c r="P224" i="17"/>
  <c r="Q224" i="17" s="1"/>
  <c r="U223" i="17"/>
  <c r="T223" i="17"/>
  <c r="S223" i="17"/>
  <c r="R223" i="17"/>
  <c r="P223" i="17"/>
  <c r="Q223" i="17" s="1"/>
  <c r="U222" i="17"/>
  <c r="T222" i="17"/>
  <c r="S222" i="17"/>
  <c r="K140" i="18" s="1"/>
  <c r="L140" i="18" s="1"/>
  <c r="R222" i="17"/>
  <c r="P222" i="17"/>
  <c r="Q222" i="17" s="1"/>
  <c r="U221" i="17"/>
  <c r="T221" i="17"/>
  <c r="S221" i="17"/>
  <c r="K139" i="18" s="1"/>
  <c r="L139" i="18" s="1"/>
  <c r="R221" i="17"/>
  <c r="P221" i="17"/>
  <c r="Q221" i="17" s="1"/>
  <c r="U220" i="17"/>
  <c r="T220" i="17"/>
  <c r="S220" i="17"/>
  <c r="R220" i="17"/>
  <c r="P220" i="17"/>
  <c r="Q220" i="17" s="1"/>
  <c r="U219" i="17"/>
  <c r="T219" i="17"/>
  <c r="S219" i="17"/>
  <c r="R219" i="17"/>
  <c r="P219" i="17"/>
  <c r="Q219" i="17" s="1"/>
  <c r="U218" i="17"/>
  <c r="T218" i="17"/>
  <c r="S218" i="17"/>
  <c r="R218" i="17"/>
  <c r="P218" i="17"/>
  <c r="Q218" i="17" s="1"/>
  <c r="U217" i="17"/>
  <c r="T217" i="17"/>
  <c r="S217" i="17"/>
  <c r="R217" i="17"/>
  <c r="P217" i="17"/>
  <c r="Q217" i="17" s="1"/>
  <c r="U216" i="17"/>
  <c r="T216" i="17"/>
  <c r="S216" i="17"/>
  <c r="R216" i="17"/>
  <c r="P216" i="17"/>
  <c r="Q216" i="17" s="1"/>
  <c r="U215" i="17"/>
  <c r="T215" i="17"/>
  <c r="S215" i="17"/>
  <c r="R215" i="17"/>
  <c r="P215" i="17"/>
  <c r="Q215" i="17" s="1"/>
  <c r="U214" i="17"/>
  <c r="T214" i="17"/>
  <c r="S214" i="17"/>
  <c r="R214" i="17"/>
  <c r="P214" i="17"/>
  <c r="Q214" i="17" s="1"/>
  <c r="U213" i="17"/>
  <c r="T213" i="17"/>
  <c r="S213" i="17"/>
  <c r="V213" i="17" s="1"/>
  <c r="R213" i="17"/>
  <c r="P213" i="17"/>
  <c r="Q213" i="17" s="1"/>
  <c r="U212" i="17"/>
  <c r="T212" i="17"/>
  <c r="S212" i="17"/>
  <c r="V212" i="17" s="1"/>
  <c r="R212" i="17"/>
  <c r="P212" i="17"/>
  <c r="Q212" i="17" s="1"/>
  <c r="U211" i="17"/>
  <c r="T211" i="17"/>
  <c r="S211" i="17"/>
  <c r="V211" i="17" s="1"/>
  <c r="R211" i="17"/>
  <c r="P211" i="17"/>
  <c r="Q211" i="17" s="1"/>
  <c r="U210" i="17"/>
  <c r="T210" i="17"/>
  <c r="S210" i="17"/>
  <c r="K132" i="18" s="1"/>
  <c r="L132" i="18" s="1"/>
  <c r="R210" i="17"/>
  <c r="P210" i="17"/>
  <c r="Q210" i="17" s="1"/>
  <c r="U209" i="17"/>
  <c r="T209" i="17"/>
  <c r="S209" i="17"/>
  <c r="R209" i="17"/>
  <c r="P209" i="17"/>
  <c r="Q209" i="17" s="1"/>
  <c r="U208" i="17"/>
  <c r="T208" i="17"/>
  <c r="S208" i="17"/>
  <c r="R208" i="17"/>
  <c r="P208" i="17"/>
  <c r="Q208" i="17" s="1"/>
  <c r="U207" i="17"/>
  <c r="T207" i="17"/>
  <c r="S207" i="17"/>
  <c r="K130" i="18" s="1"/>
  <c r="L130" i="18" s="1"/>
  <c r="R207" i="17"/>
  <c r="P207" i="17"/>
  <c r="Q207" i="17" s="1"/>
  <c r="U206" i="17"/>
  <c r="T206" i="17"/>
  <c r="S206" i="17"/>
  <c r="R206" i="17"/>
  <c r="P206" i="17"/>
  <c r="Q206" i="17" s="1"/>
  <c r="U205" i="17"/>
  <c r="T205" i="17"/>
  <c r="S205" i="17"/>
  <c r="K129" i="18" s="1"/>
  <c r="L129" i="18" s="1"/>
  <c r="R205" i="17"/>
  <c r="P205" i="17"/>
  <c r="Q205" i="17" s="1"/>
  <c r="U204" i="17"/>
  <c r="T204" i="17"/>
  <c r="S204" i="17"/>
  <c r="R204" i="17"/>
  <c r="P204" i="17"/>
  <c r="Q204" i="17" s="1"/>
  <c r="U203" i="17"/>
  <c r="T203" i="17"/>
  <c r="S203" i="17"/>
  <c r="K128" i="18" s="1"/>
  <c r="L128" i="18" s="1"/>
  <c r="N128" i="18" s="1"/>
  <c r="R203" i="17"/>
  <c r="P203" i="17"/>
  <c r="Q203" i="17" s="1"/>
  <c r="U202" i="17"/>
  <c r="T202" i="17"/>
  <c r="S202" i="17"/>
  <c r="R202" i="17"/>
  <c r="P202" i="17"/>
  <c r="Q202" i="17" s="1"/>
  <c r="U201" i="17"/>
  <c r="T201" i="17"/>
  <c r="S201" i="17"/>
  <c r="K127" i="18" s="1"/>
  <c r="L127" i="18" s="1"/>
  <c r="R201" i="17"/>
  <c r="P201" i="17"/>
  <c r="Q201" i="17" s="1"/>
  <c r="U200" i="17"/>
  <c r="T200" i="17"/>
  <c r="S200" i="17"/>
  <c r="R200" i="17"/>
  <c r="P200" i="17"/>
  <c r="Q200" i="17" s="1"/>
  <c r="U199" i="17"/>
  <c r="T199" i="17"/>
  <c r="S199" i="17"/>
  <c r="K126" i="18" s="1"/>
  <c r="L126" i="18" s="1"/>
  <c r="R199" i="17"/>
  <c r="P199" i="17"/>
  <c r="Q199" i="17" s="1"/>
  <c r="U198" i="17"/>
  <c r="T198" i="17"/>
  <c r="S198" i="17"/>
  <c r="K125" i="18" s="1"/>
  <c r="L125" i="18" s="1"/>
  <c r="R198" i="17"/>
  <c r="P198" i="17"/>
  <c r="Q198" i="17" s="1"/>
  <c r="U197" i="17"/>
  <c r="T197" i="17"/>
  <c r="S197" i="17"/>
  <c r="R197" i="17"/>
  <c r="P197" i="17"/>
  <c r="Q197" i="17" s="1"/>
  <c r="U196" i="17"/>
  <c r="T196" i="17"/>
  <c r="S196" i="17"/>
  <c r="R196" i="17"/>
  <c r="P196" i="17"/>
  <c r="Q196" i="17" s="1"/>
  <c r="U195" i="17"/>
  <c r="T195" i="17"/>
  <c r="S195" i="17"/>
  <c r="R195" i="17"/>
  <c r="P195" i="17"/>
  <c r="Q195" i="17" s="1"/>
  <c r="U194" i="17"/>
  <c r="T194" i="17"/>
  <c r="S194" i="17"/>
  <c r="R194" i="17"/>
  <c r="P194" i="17"/>
  <c r="Q194" i="17" s="1"/>
  <c r="U193" i="17"/>
  <c r="T193" i="17"/>
  <c r="S193" i="17"/>
  <c r="R193" i="17"/>
  <c r="P193" i="17"/>
  <c r="Q193" i="17" s="1"/>
  <c r="U192" i="17"/>
  <c r="T192" i="17"/>
  <c r="S192" i="17"/>
  <c r="R192" i="17"/>
  <c r="P192" i="17"/>
  <c r="Q192" i="17" s="1"/>
  <c r="U191" i="17"/>
  <c r="T191" i="17"/>
  <c r="S191" i="17"/>
  <c r="R191" i="17"/>
  <c r="P191" i="17"/>
  <c r="Q191" i="17" s="1"/>
  <c r="U190" i="17"/>
  <c r="T190" i="17"/>
  <c r="S190" i="17"/>
  <c r="V190" i="17" s="1"/>
  <c r="R190" i="17"/>
  <c r="P190" i="17"/>
  <c r="Q190" i="17" s="1"/>
  <c r="U189" i="17"/>
  <c r="T189" i="17"/>
  <c r="S189" i="17"/>
  <c r="V189" i="17" s="1"/>
  <c r="R189" i="17"/>
  <c r="P189" i="17"/>
  <c r="Q189" i="17" s="1"/>
  <c r="U188" i="17"/>
  <c r="T188" i="17"/>
  <c r="S188" i="17"/>
  <c r="K118" i="18" s="1"/>
  <c r="L118" i="18" s="1"/>
  <c r="O118" i="18" s="1"/>
  <c r="R188" i="17"/>
  <c r="P188" i="17"/>
  <c r="Q188" i="17" s="1"/>
  <c r="U187" i="17"/>
  <c r="T187" i="17"/>
  <c r="S187" i="17"/>
  <c r="K117" i="18" s="1"/>
  <c r="L117" i="18" s="1"/>
  <c r="R187" i="17"/>
  <c r="P187" i="17"/>
  <c r="Q187" i="17" s="1"/>
  <c r="U186" i="17"/>
  <c r="T186" i="17"/>
  <c r="S186" i="17"/>
  <c r="R186" i="17"/>
  <c r="P186" i="17"/>
  <c r="Q186" i="17" s="1"/>
  <c r="U185" i="17"/>
  <c r="T185" i="17"/>
  <c r="S185" i="17"/>
  <c r="K116" i="18" s="1"/>
  <c r="L116" i="18" s="1"/>
  <c r="N116" i="18" s="1"/>
  <c r="R185" i="17"/>
  <c r="P185" i="17"/>
  <c r="Q185" i="17" s="1"/>
  <c r="U184" i="17"/>
  <c r="T184" i="17"/>
  <c r="S184" i="17"/>
  <c r="R184" i="17"/>
  <c r="P184" i="17"/>
  <c r="Q184" i="17" s="1"/>
  <c r="U183" i="17"/>
  <c r="T183" i="17"/>
  <c r="S183" i="17"/>
  <c r="K115" i="18" s="1"/>
  <c r="L115" i="18" s="1"/>
  <c r="R183" i="17"/>
  <c r="P183" i="17"/>
  <c r="Q183" i="17" s="1"/>
  <c r="U182" i="17"/>
  <c r="T182" i="17"/>
  <c r="S182" i="17"/>
  <c r="R182" i="17"/>
  <c r="P182" i="17"/>
  <c r="Q182" i="17" s="1"/>
  <c r="U181" i="17"/>
  <c r="T181" i="17"/>
  <c r="S181" i="17"/>
  <c r="K114" i="18" s="1"/>
  <c r="L114" i="18" s="1"/>
  <c r="R181" i="17"/>
  <c r="P181" i="17"/>
  <c r="Q181" i="17" s="1"/>
  <c r="U180" i="17"/>
  <c r="T180" i="17"/>
  <c r="S180" i="17"/>
  <c r="R180" i="17"/>
  <c r="P180" i="17"/>
  <c r="Q180" i="17" s="1"/>
  <c r="U179" i="17"/>
  <c r="T179" i="17"/>
  <c r="S179" i="17"/>
  <c r="K113" i="18" s="1"/>
  <c r="L113" i="18" s="1"/>
  <c r="M113" i="18" s="1"/>
  <c r="R179" i="17"/>
  <c r="P179" i="17"/>
  <c r="Q179" i="17" s="1"/>
  <c r="U178" i="17"/>
  <c r="T178" i="17"/>
  <c r="S178" i="17"/>
  <c r="R178" i="17"/>
  <c r="P178" i="17"/>
  <c r="Q178" i="17" s="1"/>
  <c r="U177" i="17"/>
  <c r="T177" i="17"/>
  <c r="S177" i="17"/>
  <c r="K112" i="18" s="1"/>
  <c r="L112" i="18" s="1"/>
  <c r="R177" i="17"/>
  <c r="P177" i="17"/>
  <c r="Q177" i="17" s="1"/>
  <c r="U176" i="17"/>
  <c r="T176" i="17"/>
  <c r="S176" i="17"/>
  <c r="R176" i="17"/>
  <c r="P176" i="17"/>
  <c r="Q176" i="17" s="1"/>
  <c r="U175" i="17"/>
  <c r="T175" i="17"/>
  <c r="S175" i="17"/>
  <c r="R175" i="17"/>
  <c r="P175" i="17"/>
  <c r="Q175" i="17" s="1"/>
  <c r="U174" i="17"/>
  <c r="T174" i="17"/>
  <c r="S174" i="17"/>
  <c r="R174" i="17"/>
  <c r="P174" i="17"/>
  <c r="Q174" i="17" s="1"/>
  <c r="U173" i="17"/>
  <c r="T173" i="17"/>
  <c r="S173" i="17"/>
  <c r="V173" i="17" s="1"/>
  <c r="R173" i="17"/>
  <c r="P173" i="17"/>
  <c r="Q173" i="17" s="1"/>
  <c r="U172" i="17"/>
  <c r="T172" i="17"/>
  <c r="S172" i="17"/>
  <c r="R172" i="17"/>
  <c r="P172" i="17"/>
  <c r="Q172" i="17" s="1"/>
  <c r="U171" i="17"/>
  <c r="T171" i="17"/>
  <c r="S171" i="17"/>
  <c r="R171" i="17"/>
  <c r="P171" i="17"/>
  <c r="Q171" i="17" s="1"/>
  <c r="U170" i="17"/>
  <c r="T170" i="17"/>
  <c r="S170" i="17"/>
  <c r="R170" i="17"/>
  <c r="P170" i="17"/>
  <c r="Q170" i="17" s="1"/>
  <c r="U169" i="17"/>
  <c r="T169" i="17"/>
  <c r="S169" i="17"/>
  <c r="R169" i="17"/>
  <c r="P169" i="17"/>
  <c r="Q169" i="17" s="1"/>
  <c r="U168" i="17"/>
  <c r="T168" i="17"/>
  <c r="S168" i="17"/>
  <c r="V168" i="17" s="1"/>
  <c r="R168" i="17"/>
  <c r="P168" i="17"/>
  <c r="Q168" i="17" s="1"/>
  <c r="U167" i="17"/>
  <c r="T167" i="17"/>
  <c r="S167" i="17"/>
  <c r="V167" i="17" s="1"/>
  <c r="R167" i="17"/>
  <c r="P167" i="17"/>
  <c r="Q167" i="17" s="1"/>
  <c r="U166" i="17"/>
  <c r="T166" i="17"/>
  <c r="S166" i="17"/>
  <c r="K104" i="18" s="1"/>
  <c r="L104" i="18" s="1"/>
  <c r="R166" i="17"/>
  <c r="P166" i="17"/>
  <c r="Q166" i="17" s="1"/>
  <c r="U165" i="17"/>
  <c r="T165" i="17"/>
  <c r="S165" i="17"/>
  <c r="K103" i="18" s="1"/>
  <c r="L103" i="18" s="1"/>
  <c r="R165" i="17"/>
  <c r="P165" i="17"/>
  <c r="Q165" i="17" s="1"/>
  <c r="U164" i="17"/>
  <c r="T164" i="17"/>
  <c r="S164" i="17"/>
  <c r="V164" i="17" s="1"/>
  <c r="R164" i="17"/>
  <c r="P164" i="17"/>
  <c r="Q164" i="17" s="1"/>
  <c r="U163" i="17"/>
  <c r="T163" i="17"/>
  <c r="S163" i="17"/>
  <c r="K102" i="18" s="1"/>
  <c r="L102" i="18" s="1"/>
  <c r="R163" i="17"/>
  <c r="P163" i="17"/>
  <c r="Q163" i="17" s="1"/>
  <c r="U162" i="17"/>
  <c r="T162" i="17"/>
  <c r="S162" i="17"/>
  <c r="R162" i="17"/>
  <c r="P162" i="17"/>
  <c r="Q162" i="17" s="1"/>
  <c r="U161" i="17"/>
  <c r="T161" i="17"/>
  <c r="S161" i="17"/>
  <c r="R161" i="17"/>
  <c r="P161" i="17"/>
  <c r="Q161" i="17" s="1"/>
  <c r="U160" i="17"/>
  <c r="T160" i="17"/>
  <c r="S160" i="17"/>
  <c r="R160" i="17"/>
  <c r="P160" i="17"/>
  <c r="Q160" i="17" s="1"/>
  <c r="U159" i="17"/>
  <c r="T159" i="17"/>
  <c r="S159" i="17"/>
  <c r="V159" i="17" s="1"/>
  <c r="R159" i="17"/>
  <c r="P159" i="17"/>
  <c r="Q159" i="17" s="1"/>
  <c r="U158" i="17"/>
  <c r="T158" i="17"/>
  <c r="S158" i="17"/>
  <c r="K100" i="18" s="1"/>
  <c r="L100" i="18" s="1"/>
  <c r="R158" i="17"/>
  <c r="P158" i="17"/>
  <c r="Q158" i="17" s="1"/>
  <c r="U157" i="17"/>
  <c r="T157" i="17"/>
  <c r="S157" i="17"/>
  <c r="R157" i="17"/>
  <c r="P157" i="17"/>
  <c r="Q157" i="17" s="1"/>
  <c r="U156" i="17"/>
  <c r="T156" i="17"/>
  <c r="S156" i="17"/>
  <c r="K99" i="18" s="1"/>
  <c r="L99" i="18" s="1"/>
  <c r="R156" i="17"/>
  <c r="P156" i="17"/>
  <c r="Q156" i="17" s="1"/>
  <c r="U155" i="17"/>
  <c r="T155" i="17"/>
  <c r="S155" i="17"/>
  <c r="R155" i="17"/>
  <c r="P155" i="17"/>
  <c r="Q155" i="17" s="1"/>
  <c r="U154" i="17"/>
  <c r="T154" i="17"/>
  <c r="S154" i="17"/>
  <c r="K98" i="18" s="1"/>
  <c r="L98" i="18" s="1"/>
  <c r="M98" i="18" s="1"/>
  <c r="R154" i="17"/>
  <c r="P154" i="17"/>
  <c r="Q154" i="17" s="1"/>
  <c r="U153" i="17"/>
  <c r="T153" i="17"/>
  <c r="S153" i="17"/>
  <c r="K97" i="18" s="1"/>
  <c r="L97" i="18" s="1"/>
  <c r="R153" i="17"/>
  <c r="P153" i="17"/>
  <c r="Q153" i="17" s="1"/>
  <c r="U152" i="17"/>
  <c r="T152" i="17"/>
  <c r="S152" i="17"/>
  <c r="R152" i="17"/>
  <c r="P152" i="17"/>
  <c r="Q152" i="17" s="1"/>
  <c r="U151" i="17"/>
  <c r="T151" i="17"/>
  <c r="S151" i="17"/>
  <c r="R151" i="17"/>
  <c r="P151" i="17"/>
  <c r="Q151" i="17" s="1"/>
  <c r="U150" i="17"/>
  <c r="T150" i="17"/>
  <c r="S150" i="17"/>
  <c r="R150" i="17"/>
  <c r="P150" i="17"/>
  <c r="Q150" i="17" s="1"/>
  <c r="U149" i="17"/>
  <c r="T149" i="17"/>
  <c r="S149" i="17"/>
  <c r="R149" i="17"/>
  <c r="P149" i="17"/>
  <c r="Q149" i="17" s="1"/>
  <c r="U148" i="17"/>
  <c r="T148" i="17"/>
  <c r="S148" i="17"/>
  <c r="R148" i="17"/>
  <c r="P148" i="17"/>
  <c r="Q148" i="17" s="1"/>
  <c r="U147" i="17"/>
  <c r="T147" i="17"/>
  <c r="S147" i="17"/>
  <c r="R147" i="17"/>
  <c r="P147" i="17"/>
  <c r="Q147" i="17" s="1"/>
  <c r="U146" i="17"/>
  <c r="T146" i="17"/>
  <c r="S146" i="17"/>
  <c r="V146" i="17" s="1"/>
  <c r="R146" i="17"/>
  <c r="P146" i="17"/>
  <c r="Q146" i="17" s="1"/>
  <c r="U145" i="17"/>
  <c r="T145" i="17"/>
  <c r="S145" i="17"/>
  <c r="R145" i="17"/>
  <c r="P145" i="17"/>
  <c r="Q145" i="17" s="1"/>
  <c r="U144" i="17"/>
  <c r="T144" i="17"/>
  <c r="S144" i="17"/>
  <c r="V144" i="17" s="1"/>
  <c r="R144" i="17"/>
  <c r="P144" i="17"/>
  <c r="Q144" i="17" s="1"/>
  <c r="U143" i="17"/>
  <c r="T143" i="17"/>
  <c r="S143" i="17"/>
  <c r="V143" i="17" s="1"/>
  <c r="R143" i="17"/>
  <c r="P143" i="17"/>
  <c r="Q143" i="17" s="1"/>
  <c r="U142" i="17"/>
  <c r="T142" i="17"/>
  <c r="S142" i="17"/>
  <c r="V142" i="17" s="1"/>
  <c r="R142" i="17"/>
  <c r="P142" i="17"/>
  <c r="Q142" i="17" s="1"/>
  <c r="U141" i="17"/>
  <c r="T141" i="17"/>
  <c r="S141" i="17"/>
  <c r="K90" i="18" s="1"/>
  <c r="L90" i="18" s="1"/>
  <c r="R141" i="17"/>
  <c r="P141" i="17"/>
  <c r="Q141" i="17" s="1"/>
  <c r="U140" i="17"/>
  <c r="T140" i="17"/>
  <c r="S140" i="17"/>
  <c r="K89" i="18" s="1"/>
  <c r="L89" i="18" s="1"/>
  <c r="R140" i="17"/>
  <c r="P140" i="17"/>
  <c r="Q140" i="17" s="1"/>
  <c r="U139" i="17"/>
  <c r="T139" i="17"/>
  <c r="S139" i="17"/>
  <c r="R139" i="17"/>
  <c r="P139" i="17"/>
  <c r="Q139" i="17" s="1"/>
  <c r="U138" i="17"/>
  <c r="T138" i="17"/>
  <c r="S138" i="17"/>
  <c r="R138" i="17"/>
  <c r="P138" i="17"/>
  <c r="Q138" i="17" s="1"/>
  <c r="U137" i="17"/>
  <c r="T137" i="17"/>
  <c r="S137" i="17"/>
  <c r="R137" i="17"/>
  <c r="P137" i="17"/>
  <c r="Q137" i="17" s="1"/>
  <c r="U136" i="17"/>
  <c r="T136" i="17"/>
  <c r="S136" i="17"/>
  <c r="K87" i="18" s="1"/>
  <c r="L87" i="18" s="1"/>
  <c r="R136" i="17"/>
  <c r="P136" i="17"/>
  <c r="Q136" i="17" s="1"/>
  <c r="U135" i="17"/>
  <c r="T135" i="17"/>
  <c r="S135" i="17"/>
  <c r="R135" i="17"/>
  <c r="P135" i="17"/>
  <c r="Q135" i="17" s="1"/>
  <c r="U134" i="17"/>
  <c r="T134" i="17"/>
  <c r="S134" i="17"/>
  <c r="K86" i="18" s="1"/>
  <c r="L86" i="18" s="1"/>
  <c r="R134" i="17"/>
  <c r="P134" i="17"/>
  <c r="Q134" i="17" s="1"/>
  <c r="U133" i="17"/>
  <c r="T133" i="17"/>
  <c r="S133" i="17"/>
  <c r="R133" i="17"/>
  <c r="P133" i="17"/>
  <c r="Q133" i="17" s="1"/>
  <c r="U132" i="17"/>
  <c r="T132" i="17"/>
  <c r="S132" i="17"/>
  <c r="R132" i="17"/>
  <c r="P132" i="17"/>
  <c r="Q132" i="17" s="1"/>
  <c r="U131" i="17"/>
  <c r="T131" i="17"/>
  <c r="S131" i="17"/>
  <c r="R131" i="17"/>
  <c r="P131" i="17"/>
  <c r="Q131" i="17" s="1"/>
  <c r="U130" i="17"/>
  <c r="T130" i="17"/>
  <c r="S130" i="17"/>
  <c r="K84" i="18" s="1"/>
  <c r="L84" i="18" s="1"/>
  <c r="R130" i="17"/>
  <c r="P130" i="17"/>
  <c r="Q130" i="17" s="1"/>
  <c r="U129" i="17"/>
  <c r="T129" i="17"/>
  <c r="S129" i="17"/>
  <c r="R129" i="17"/>
  <c r="P129" i="17"/>
  <c r="Q129" i="17" s="1"/>
  <c r="U128" i="17"/>
  <c r="T128" i="17"/>
  <c r="S128" i="17"/>
  <c r="R128" i="17"/>
  <c r="P128" i="17"/>
  <c r="Q128" i="17" s="1"/>
  <c r="U127" i="17"/>
  <c r="T127" i="17"/>
  <c r="S127" i="17"/>
  <c r="R127" i="17"/>
  <c r="P127" i="17"/>
  <c r="Q127" i="17" s="1"/>
  <c r="U126" i="17"/>
  <c r="T126" i="17"/>
  <c r="S126" i="17"/>
  <c r="R126" i="17"/>
  <c r="P126" i="17"/>
  <c r="Q126" i="17" s="1"/>
  <c r="U125" i="17"/>
  <c r="T125" i="17"/>
  <c r="S125" i="17"/>
  <c r="R125" i="17"/>
  <c r="P125" i="17"/>
  <c r="Q125" i="17" s="1"/>
  <c r="U124" i="17"/>
  <c r="T124" i="17"/>
  <c r="S124" i="17"/>
  <c r="R124" i="17"/>
  <c r="P124" i="17"/>
  <c r="Q124" i="17" s="1"/>
  <c r="U123" i="17"/>
  <c r="T123" i="17"/>
  <c r="S123" i="17"/>
  <c r="R123" i="17"/>
  <c r="P123" i="17"/>
  <c r="Q123" i="17" s="1"/>
  <c r="U122" i="17"/>
  <c r="T122" i="17"/>
  <c r="S122" i="17"/>
  <c r="R122" i="17"/>
  <c r="P122" i="17"/>
  <c r="Q122" i="17" s="1"/>
  <c r="U121" i="17"/>
  <c r="T121" i="17"/>
  <c r="S121" i="17"/>
  <c r="V121" i="17" s="1"/>
  <c r="R121" i="17"/>
  <c r="P121" i="17"/>
  <c r="Q121" i="17" s="1"/>
  <c r="U120" i="17"/>
  <c r="T120" i="17"/>
  <c r="S120" i="17"/>
  <c r="V120" i="17" s="1"/>
  <c r="R120" i="17"/>
  <c r="P120" i="17"/>
  <c r="Q120" i="17" s="1"/>
  <c r="U119" i="17"/>
  <c r="T119" i="17"/>
  <c r="S119" i="17"/>
  <c r="R119" i="17"/>
  <c r="P119" i="17"/>
  <c r="Q119" i="17" s="1"/>
  <c r="U118" i="17"/>
  <c r="T118" i="17"/>
  <c r="S118" i="17"/>
  <c r="K75" i="18" s="1"/>
  <c r="L75" i="18" s="1"/>
  <c r="R118" i="17"/>
  <c r="P118" i="17"/>
  <c r="Q118" i="17" s="1"/>
  <c r="U117" i="17"/>
  <c r="T117" i="17"/>
  <c r="S117" i="17"/>
  <c r="R117" i="17"/>
  <c r="P117" i="17"/>
  <c r="Q117" i="17" s="1"/>
  <c r="U116" i="17"/>
  <c r="T116" i="17"/>
  <c r="S116" i="17"/>
  <c r="K74" i="18" s="1"/>
  <c r="L74" i="18" s="1"/>
  <c r="R116" i="17"/>
  <c r="P116" i="17"/>
  <c r="Q116" i="17" s="1"/>
  <c r="U115" i="17"/>
  <c r="T115" i="17"/>
  <c r="S115" i="17"/>
  <c r="R115" i="17"/>
  <c r="P115" i="17"/>
  <c r="Q115" i="17" s="1"/>
  <c r="U114" i="17"/>
  <c r="T114" i="17"/>
  <c r="S114" i="17"/>
  <c r="R114" i="17"/>
  <c r="P114" i="17"/>
  <c r="Q114" i="17" s="1"/>
  <c r="U113" i="17"/>
  <c r="T113" i="17"/>
  <c r="S113" i="17"/>
  <c r="R113" i="17"/>
  <c r="P113" i="17"/>
  <c r="Q113" i="17" s="1"/>
  <c r="U112" i="17"/>
  <c r="T112" i="17"/>
  <c r="S112" i="17"/>
  <c r="K72" i="18" s="1"/>
  <c r="L72" i="18" s="1"/>
  <c r="R112" i="17"/>
  <c r="P112" i="17"/>
  <c r="Q112" i="17" s="1"/>
  <c r="U111" i="17"/>
  <c r="T111" i="17"/>
  <c r="S111" i="17"/>
  <c r="R111" i="17"/>
  <c r="P111" i="17"/>
  <c r="Q111" i="17" s="1"/>
  <c r="U110" i="17"/>
  <c r="T110" i="17"/>
  <c r="S110" i="17"/>
  <c r="K71" i="18" s="1"/>
  <c r="L71" i="18" s="1"/>
  <c r="R110" i="17"/>
  <c r="P110" i="17"/>
  <c r="Q110" i="17" s="1"/>
  <c r="U109" i="17"/>
  <c r="T109" i="17"/>
  <c r="S109" i="17"/>
  <c r="R109" i="17"/>
  <c r="P109" i="17"/>
  <c r="Q109" i="17" s="1"/>
  <c r="U108" i="17"/>
  <c r="T108" i="17"/>
  <c r="S108" i="17"/>
  <c r="R108" i="17"/>
  <c r="P108" i="17"/>
  <c r="Q108" i="17" s="1"/>
  <c r="U107" i="17"/>
  <c r="T107" i="17"/>
  <c r="S107" i="17"/>
  <c r="K69" i="18" s="1"/>
  <c r="L69" i="18" s="1"/>
  <c r="P69" i="18" s="1"/>
  <c r="R107" i="17"/>
  <c r="P107" i="17"/>
  <c r="Q107" i="17" s="1"/>
  <c r="U106" i="17"/>
  <c r="T106" i="17"/>
  <c r="S106" i="17"/>
  <c r="R106" i="17"/>
  <c r="P106" i="17"/>
  <c r="Q106" i="17" s="1"/>
  <c r="U105" i="17"/>
  <c r="T105" i="17"/>
  <c r="S105" i="17"/>
  <c r="R105" i="17"/>
  <c r="P105" i="17"/>
  <c r="Q105" i="17" s="1"/>
  <c r="U104" i="17"/>
  <c r="T104" i="17"/>
  <c r="S104" i="17"/>
  <c r="R104" i="17"/>
  <c r="P104" i="17"/>
  <c r="Q104" i="17" s="1"/>
  <c r="U103" i="17"/>
  <c r="T103" i="17"/>
  <c r="S103" i="17"/>
  <c r="R103" i="17"/>
  <c r="P103" i="17"/>
  <c r="Q103" i="17" s="1"/>
  <c r="U102" i="17"/>
  <c r="T102" i="17"/>
  <c r="S102" i="17"/>
  <c r="R102" i="17"/>
  <c r="P102" i="17"/>
  <c r="Q102" i="17" s="1"/>
  <c r="U101" i="17"/>
  <c r="T101" i="17"/>
  <c r="S101" i="17"/>
  <c r="R101" i="17"/>
  <c r="P101" i="17"/>
  <c r="Q101" i="17" s="1"/>
  <c r="U100" i="17"/>
  <c r="T100" i="17"/>
  <c r="S100" i="17"/>
  <c r="R100" i="17"/>
  <c r="P100" i="17"/>
  <c r="Q100" i="17" s="1"/>
  <c r="U99" i="17"/>
  <c r="T99" i="17"/>
  <c r="S99" i="17"/>
  <c r="V99" i="17" s="1"/>
  <c r="R99" i="17"/>
  <c r="P99" i="17"/>
  <c r="Q99" i="17" s="1"/>
  <c r="U98" i="17"/>
  <c r="T98" i="17"/>
  <c r="S98" i="17"/>
  <c r="V98" i="17" s="1"/>
  <c r="R98" i="17"/>
  <c r="P98" i="17"/>
  <c r="Q98" i="17" s="1"/>
  <c r="U97" i="17"/>
  <c r="T97" i="17"/>
  <c r="S97" i="17"/>
  <c r="K62" i="18" s="1"/>
  <c r="L62" i="18" s="1"/>
  <c r="R97" i="17"/>
  <c r="P97" i="17"/>
  <c r="Q97" i="17" s="1"/>
  <c r="U96" i="17"/>
  <c r="T96" i="17"/>
  <c r="S96" i="17"/>
  <c r="K61" i="18" s="1"/>
  <c r="L61" i="18" s="1"/>
  <c r="R96" i="17"/>
  <c r="P96" i="17"/>
  <c r="Q96" i="17" s="1"/>
  <c r="U95" i="17"/>
  <c r="T95" i="17"/>
  <c r="S95" i="17"/>
  <c r="R95" i="17"/>
  <c r="P95" i="17"/>
  <c r="Q95" i="17" s="1"/>
  <c r="U94" i="17"/>
  <c r="T94" i="17"/>
  <c r="S94" i="17"/>
  <c r="K60" i="18" s="1"/>
  <c r="L60" i="18" s="1"/>
  <c r="R94" i="17"/>
  <c r="P94" i="17"/>
  <c r="Q94" i="17" s="1"/>
  <c r="U93" i="17"/>
  <c r="T93" i="17"/>
  <c r="S93" i="17"/>
  <c r="R93" i="17"/>
  <c r="P93" i="17"/>
  <c r="Q93" i="17" s="1"/>
  <c r="U92" i="17"/>
  <c r="T92" i="17"/>
  <c r="S92" i="17"/>
  <c r="K59" i="18" s="1"/>
  <c r="L59" i="18" s="1"/>
  <c r="R92" i="17"/>
  <c r="P92" i="17"/>
  <c r="Q92" i="17" s="1"/>
  <c r="U91" i="17"/>
  <c r="T91" i="17"/>
  <c r="S91" i="17"/>
  <c r="R91" i="17"/>
  <c r="P91" i="17"/>
  <c r="Q91" i="17" s="1"/>
  <c r="U90" i="17"/>
  <c r="T90" i="17"/>
  <c r="S90" i="17"/>
  <c r="V90" i="17" s="1"/>
  <c r="R90" i="17"/>
  <c r="P90" i="17"/>
  <c r="Q90" i="17" s="1"/>
  <c r="U89" i="17"/>
  <c r="T89" i="17"/>
  <c r="S89" i="17"/>
  <c r="R89" i="17"/>
  <c r="P89" i="17"/>
  <c r="Q89" i="17" s="1"/>
  <c r="U88" i="17"/>
  <c r="T88" i="17"/>
  <c r="S88" i="17"/>
  <c r="R88" i="17"/>
  <c r="P88" i="17"/>
  <c r="Q88" i="17" s="1"/>
  <c r="U87" i="17"/>
  <c r="T87" i="17"/>
  <c r="S87" i="17"/>
  <c r="K57" i="18" s="1"/>
  <c r="L57" i="18" s="1"/>
  <c r="R87" i="17"/>
  <c r="P87" i="17"/>
  <c r="Q87" i="17" s="1"/>
  <c r="U86" i="17"/>
  <c r="T86" i="17"/>
  <c r="S86" i="17"/>
  <c r="R86" i="17"/>
  <c r="P86" i="17"/>
  <c r="Q86" i="17" s="1"/>
  <c r="U85" i="17"/>
  <c r="T85" i="17"/>
  <c r="S85" i="17"/>
  <c r="R85" i="17"/>
  <c r="P85" i="17"/>
  <c r="Q85" i="17" s="1"/>
  <c r="U84" i="17"/>
  <c r="T84" i="17"/>
  <c r="S84" i="17"/>
  <c r="K55" i="18" s="1"/>
  <c r="L55" i="18" s="1"/>
  <c r="R84" i="17"/>
  <c r="P84" i="17"/>
  <c r="Q84" i="17" s="1"/>
  <c r="U83" i="17"/>
  <c r="T83" i="17"/>
  <c r="S83" i="17"/>
  <c r="R83" i="17"/>
  <c r="P83" i="17"/>
  <c r="Q83" i="17" s="1"/>
  <c r="U82" i="17"/>
  <c r="T82" i="17"/>
  <c r="S82" i="17"/>
  <c r="R82" i="17"/>
  <c r="P82" i="17"/>
  <c r="Q82" i="17" s="1"/>
  <c r="U81" i="17"/>
  <c r="T81" i="17"/>
  <c r="S81" i="17"/>
  <c r="R81" i="17"/>
  <c r="P81" i="17"/>
  <c r="Q81" i="17" s="1"/>
  <c r="U80" i="17"/>
  <c r="T80" i="17"/>
  <c r="S80" i="17"/>
  <c r="R80" i="17"/>
  <c r="P80" i="17"/>
  <c r="Q80" i="17" s="1"/>
  <c r="U79" i="17"/>
  <c r="T79" i="17"/>
  <c r="S79" i="17"/>
  <c r="R79" i="17"/>
  <c r="P79" i="17"/>
  <c r="Q79" i="17" s="1"/>
  <c r="U78" i="17"/>
  <c r="T78" i="17"/>
  <c r="S78" i="17"/>
  <c r="R78" i="17"/>
  <c r="P78" i="17"/>
  <c r="Q78" i="17" s="1"/>
  <c r="U77" i="17"/>
  <c r="T77" i="17"/>
  <c r="S77" i="17"/>
  <c r="R77" i="17"/>
  <c r="P77" i="17"/>
  <c r="Q77" i="17" s="1"/>
  <c r="U76" i="17"/>
  <c r="T76" i="17"/>
  <c r="S76" i="17"/>
  <c r="R76" i="17"/>
  <c r="P76" i="17"/>
  <c r="Q76" i="17" s="1"/>
  <c r="U75" i="17"/>
  <c r="T75" i="17"/>
  <c r="S75" i="17"/>
  <c r="V75" i="17" s="1"/>
  <c r="R75" i="17"/>
  <c r="P75" i="17"/>
  <c r="Q75" i="17" s="1"/>
  <c r="U74" i="17"/>
  <c r="T74" i="17"/>
  <c r="S74" i="17"/>
  <c r="V74" i="17" s="1"/>
  <c r="R74" i="17"/>
  <c r="P74" i="17"/>
  <c r="Q74" i="17" s="1"/>
  <c r="U73" i="17"/>
  <c r="T73" i="17"/>
  <c r="S73" i="17"/>
  <c r="V73" i="17" s="1"/>
  <c r="R73" i="17"/>
  <c r="P73" i="17"/>
  <c r="Q73" i="17" s="1"/>
  <c r="U72" i="17"/>
  <c r="T72" i="17"/>
  <c r="S72" i="17"/>
  <c r="K48" i="18" s="1"/>
  <c r="L48" i="18" s="1"/>
  <c r="R72" i="17"/>
  <c r="P72" i="17"/>
  <c r="Q72" i="17" s="1"/>
  <c r="U71" i="17"/>
  <c r="T71" i="17"/>
  <c r="S71" i="17"/>
  <c r="K47" i="18" s="1"/>
  <c r="L47" i="18" s="1"/>
  <c r="R71" i="17"/>
  <c r="P71" i="17"/>
  <c r="Q71" i="17" s="1"/>
  <c r="U70" i="17"/>
  <c r="T70" i="17"/>
  <c r="S70" i="17"/>
  <c r="R70" i="17"/>
  <c r="P70" i="17"/>
  <c r="Q70" i="17" s="1"/>
  <c r="U69" i="17"/>
  <c r="T69" i="17"/>
  <c r="S69" i="17"/>
  <c r="R69" i="17"/>
  <c r="P69" i="17"/>
  <c r="Q69" i="17" s="1"/>
  <c r="U68" i="17"/>
  <c r="T68" i="17"/>
  <c r="S68" i="17"/>
  <c r="R68" i="17"/>
  <c r="P68" i="17"/>
  <c r="Q68" i="17" s="1"/>
  <c r="U67" i="17"/>
  <c r="T67" i="17"/>
  <c r="S67" i="17"/>
  <c r="K45" i="18" s="1"/>
  <c r="L45" i="18" s="1"/>
  <c r="R67" i="17"/>
  <c r="P67" i="17"/>
  <c r="Q67" i="17" s="1"/>
  <c r="U66" i="17"/>
  <c r="T66" i="17"/>
  <c r="S66" i="17"/>
  <c r="V66" i="17" s="1"/>
  <c r="R66" i="17"/>
  <c r="P66" i="17"/>
  <c r="Q66" i="17" s="1"/>
  <c r="U65" i="17"/>
  <c r="T65" i="17"/>
  <c r="S65" i="17"/>
  <c r="K44" i="18" s="1"/>
  <c r="L44" i="18" s="1"/>
  <c r="R65" i="17"/>
  <c r="P65" i="17"/>
  <c r="Q65" i="17" s="1"/>
  <c r="U64" i="17"/>
  <c r="T64" i="17"/>
  <c r="S64" i="17"/>
  <c r="R64" i="17"/>
  <c r="P64" i="17"/>
  <c r="Q64" i="17" s="1"/>
  <c r="U63" i="17"/>
  <c r="T63" i="17"/>
  <c r="S63" i="17"/>
  <c r="K43" i="18" s="1"/>
  <c r="L43" i="18" s="1"/>
  <c r="R63" i="17"/>
  <c r="P63" i="17"/>
  <c r="Q63" i="17" s="1"/>
  <c r="U62" i="17"/>
  <c r="T62" i="17"/>
  <c r="S62" i="17"/>
  <c r="R62" i="17"/>
  <c r="P62" i="17"/>
  <c r="Q62" i="17" s="1"/>
  <c r="U61" i="17"/>
  <c r="T61" i="17"/>
  <c r="S61" i="17"/>
  <c r="K42" i="18" s="1"/>
  <c r="L42" i="18" s="1"/>
  <c r="R61" i="17"/>
  <c r="P61" i="17"/>
  <c r="Q61" i="17" s="1"/>
  <c r="U60" i="17"/>
  <c r="T60" i="17"/>
  <c r="S60" i="17"/>
  <c r="R60" i="17"/>
  <c r="P60" i="17"/>
  <c r="Q60" i="17" s="1"/>
  <c r="U59" i="17"/>
  <c r="T59" i="17"/>
  <c r="S59" i="17"/>
  <c r="R59" i="17"/>
  <c r="P59" i="17"/>
  <c r="Q59" i="17" s="1"/>
  <c r="U58" i="17"/>
  <c r="T58" i="17"/>
  <c r="S58" i="17"/>
  <c r="R58" i="17"/>
  <c r="P58" i="17"/>
  <c r="Q58" i="17" s="1"/>
  <c r="U57" i="17"/>
  <c r="T57" i="17"/>
  <c r="S57" i="17"/>
  <c r="R57" i="17"/>
  <c r="P57" i="17"/>
  <c r="Q57" i="17" s="1"/>
  <c r="U56" i="17"/>
  <c r="T56" i="17"/>
  <c r="S56" i="17"/>
  <c r="R56" i="17"/>
  <c r="P56" i="17"/>
  <c r="Q56" i="17" s="1"/>
  <c r="U55" i="17"/>
  <c r="T55" i="17"/>
  <c r="S55" i="17"/>
  <c r="R55" i="17"/>
  <c r="P55" i="17"/>
  <c r="Q55" i="17" s="1"/>
  <c r="U54" i="17"/>
  <c r="T54" i="17"/>
  <c r="S54" i="17"/>
  <c r="R54" i="17"/>
  <c r="P54" i="17"/>
  <c r="Q54" i="17" s="1"/>
  <c r="U53" i="17"/>
  <c r="T53" i="17"/>
  <c r="S53" i="17"/>
  <c r="V53" i="17" s="1"/>
  <c r="R53" i="17"/>
  <c r="P53" i="17"/>
  <c r="Q53" i="17" s="1"/>
  <c r="U52" i="17"/>
  <c r="T52" i="17"/>
  <c r="S52" i="17"/>
  <c r="V52" i="17" s="1"/>
  <c r="R52" i="17"/>
  <c r="P52" i="17"/>
  <c r="Q52" i="17" s="1"/>
  <c r="U51" i="17"/>
  <c r="T51" i="17"/>
  <c r="S51" i="17"/>
  <c r="K34" i="18" s="1"/>
  <c r="L34" i="18" s="1"/>
  <c r="R51" i="17"/>
  <c r="P51" i="17"/>
  <c r="Q51" i="17" s="1"/>
  <c r="U50" i="17"/>
  <c r="T50" i="17"/>
  <c r="S50" i="17"/>
  <c r="R50" i="17"/>
  <c r="P50" i="17"/>
  <c r="Q50" i="17" s="1"/>
  <c r="U49" i="17"/>
  <c r="T49" i="17"/>
  <c r="S49" i="17"/>
  <c r="R49" i="17"/>
  <c r="P49" i="17"/>
  <c r="Q49" i="17" s="1"/>
  <c r="U48" i="17"/>
  <c r="T48" i="17"/>
  <c r="S48" i="17"/>
  <c r="R48" i="17"/>
  <c r="P48" i="17"/>
  <c r="Q48" i="17" s="1"/>
  <c r="U47" i="17"/>
  <c r="T47" i="17"/>
  <c r="S47" i="17"/>
  <c r="R47" i="17"/>
  <c r="P47" i="17"/>
  <c r="Q47" i="17" s="1"/>
  <c r="U46" i="17"/>
  <c r="T46" i="17"/>
  <c r="S46" i="17"/>
  <c r="R46" i="17"/>
  <c r="P46" i="17"/>
  <c r="Q46" i="17" s="1"/>
  <c r="U45" i="17"/>
  <c r="T45" i="17"/>
  <c r="S45" i="17"/>
  <c r="K31" i="18" s="1"/>
  <c r="L31" i="18" s="1"/>
  <c r="R45" i="17"/>
  <c r="P45" i="17"/>
  <c r="Q45" i="17" s="1"/>
  <c r="U44" i="17"/>
  <c r="T44" i="17"/>
  <c r="S44" i="17"/>
  <c r="R44" i="17"/>
  <c r="P44" i="17"/>
  <c r="Q44" i="17" s="1"/>
  <c r="U43" i="17"/>
  <c r="T43" i="17"/>
  <c r="S43" i="17"/>
  <c r="R43" i="17"/>
  <c r="P43" i="17"/>
  <c r="Q43" i="17" s="1"/>
  <c r="U42" i="17"/>
  <c r="T42" i="17"/>
  <c r="S42" i="17"/>
  <c r="R42" i="17"/>
  <c r="P42" i="17"/>
  <c r="Q42" i="17" s="1"/>
  <c r="U41" i="17"/>
  <c r="T41" i="17"/>
  <c r="S41" i="17"/>
  <c r="K29" i="18" s="1"/>
  <c r="L29" i="18" s="1"/>
  <c r="R41" i="17"/>
  <c r="P41" i="17"/>
  <c r="Q41" i="17" s="1"/>
  <c r="U40" i="17"/>
  <c r="T40" i="17"/>
  <c r="S40" i="17"/>
  <c r="R40" i="17"/>
  <c r="P40" i="17"/>
  <c r="Q40" i="17" s="1"/>
  <c r="U39" i="17"/>
  <c r="T39" i="17"/>
  <c r="S39" i="17"/>
  <c r="R39" i="17"/>
  <c r="P39" i="17"/>
  <c r="Q39" i="17" s="1"/>
  <c r="U38" i="17"/>
  <c r="T38" i="17"/>
  <c r="S38" i="17"/>
  <c r="R38" i="17"/>
  <c r="P38" i="17"/>
  <c r="Q38" i="17" s="1"/>
  <c r="U37" i="17"/>
  <c r="T37" i="17"/>
  <c r="S37" i="17"/>
  <c r="R37" i="17"/>
  <c r="P37" i="17"/>
  <c r="Q37" i="17" s="1"/>
  <c r="U36" i="17"/>
  <c r="T36" i="17"/>
  <c r="S36" i="17"/>
  <c r="R36" i="17"/>
  <c r="P36" i="17"/>
  <c r="Q36" i="17" s="1"/>
  <c r="U35" i="17"/>
  <c r="T35" i="17"/>
  <c r="S35" i="17"/>
  <c r="R35" i="17"/>
  <c r="P35" i="17"/>
  <c r="Q35" i="17" s="1"/>
  <c r="U34" i="17"/>
  <c r="T34" i="17"/>
  <c r="S34" i="17"/>
  <c r="R34" i="17"/>
  <c r="P34" i="17"/>
  <c r="Q34" i="17" s="1"/>
  <c r="U33" i="17"/>
  <c r="T33" i="17"/>
  <c r="S33" i="17"/>
  <c r="R33" i="17"/>
  <c r="P33" i="17"/>
  <c r="Q33" i="17" s="1"/>
  <c r="U32" i="17"/>
  <c r="T32" i="17"/>
  <c r="S32" i="17"/>
  <c r="R32" i="17"/>
  <c r="P32" i="17"/>
  <c r="Q32" i="17" s="1"/>
  <c r="U31" i="17"/>
  <c r="T31" i="17"/>
  <c r="S31" i="17"/>
  <c r="R31" i="17"/>
  <c r="P31" i="17"/>
  <c r="Q31" i="17" s="1"/>
  <c r="U30" i="17"/>
  <c r="T30" i="17"/>
  <c r="S30" i="17"/>
  <c r="V30" i="17" s="1"/>
  <c r="R30" i="17"/>
  <c r="P30" i="17"/>
  <c r="Q30" i="17" s="1"/>
  <c r="U29" i="17"/>
  <c r="T29" i="17"/>
  <c r="S29" i="17"/>
  <c r="V29" i="17" s="1"/>
  <c r="R29" i="17"/>
  <c r="P29" i="17"/>
  <c r="Q29" i="17" s="1"/>
  <c r="U28" i="17"/>
  <c r="T28" i="17"/>
  <c r="S28" i="17"/>
  <c r="R28" i="17"/>
  <c r="P28" i="17"/>
  <c r="Q28" i="17" s="1"/>
  <c r="U27" i="17"/>
  <c r="T27" i="17"/>
  <c r="S27" i="17"/>
  <c r="K19" i="18" s="1"/>
  <c r="L19" i="18" s="1"/>
  <c r="R27" i="17"/>
  <c r="P27" i="17"/>
  <c r="Q27" i="17" s="1"/>
  <c r="U26" i="17"/>
  <c r="T26" i="17"/>
  <c r="S26" i="17"/>
  <c r="R26" i="17"/>
  <c r="P26" i="17"/>
  <c r="Q26" i="17" s="1"/>
  <c r="U25" i="17"/>
  <c r="T25" i="17"/>
  <c r="S25" i="17"/>
  <c r="R25" i="17"/>
  <c r="P25" i="17"/>
  <c r="Q25" i="17" s="1"/>
  <c r="U24" i="17"/>
  <c r="T24" i="17"/>
  <c r="S24" i="17"/>
  <c r="R24" i="17"/>
  <c r="P24" i="17"/>
  <c r="Q24" i="17" s="1"/>
  <c r="U23" i="17"/>
  <c r="T23" i="17"/>
  <c r="S23" i="17"/>
  <c r="K17" i="18" s="1"/>
  <c r="L17" i="18" s="1"/>
  <c r="R23" i="17"/>
  <c r="P23" i="17"/>
  <c r="Q23" i="17" s="1"/>
  <c r="U22" i="17"/>
  <c r="T22" i="17"/>
  <c r="S22" i="17"/>
  <c r="R22" i="17"/>
  <c r="P22" i="17"/>
  <c r="Q22" i="17" s="1"/>
  <c r="U21" i="17"/>
  <c r="T21" i="17"/>
  <c r="S21" i="17"/>
  <c r="K16" i="18" s="1"/>
  <c r="L16" i="18" s="1"/>
  <c r="R21" i="17"/>
  <c r="P21" i="17"/>
  <c r="Q21" i="17" s="1"/>
  <c r="U20" i="17"/>
  <c r="T20" i="17"/>
  <c r="S20" i="17"/>
  <c r="R20" i="17"/>
  <c r="P20" i="17"/>
  <c r="Q20" i="17" s="1"/>
  <c r="U19" i="17"/>
  <c r="T19" i="17"/>
  <c r="S19" i="17"/>
  <c r="K15" i="18" s="1"/>
  <c r="L15" i="18" s="1"/>
  <c r="R19" i="17"/>
  <c r="P19" i="17"/>
  <c r="Q19" i="17" s="1"/>
  <c r="U18" i="17"/>
  <c r="T18" i="17"/>
  <c r="S18" i="17"/>
  <c r="R18" i="17"/>
  <c r="P18" i="17"/>
  <c r="Q18" i="17" s="1"/>
  <c r="U17" i="17"/>
  <c r="T17" i="17"/>
  <c r="S17" i="17"/>
  <c r="K14" i="18" s="1"/>
  <c r="L14" i="18" s="1"/>
  <c r="R17" i="17"/>
  <c r="P17" i="17"/>
  <c r="Q17" i="17" s="1"/>
  <c r="U16" i="17"/>
  <c r="T16" i="17"/>
  <c r="S16" i="17"/>
  <c r="R16" i="17"/>
  <c r="P16" i="17"/>
  <c r="Q16" i="17" s="1"/>
  <c r="U15" i="17"/>
  <c r="T15" i="17"/>
  <c r="S15" i="17"/>
  <c r="R15" i="17"/>
  <c r="P15" i="17"/>
  <c r="Q15" i="17" s="1"/>
  <c r="U14" i="17"/>
  <c r="T14" i="17"/>
  <c r="S14" i="17"/>
  <c r="R14" i="17"/>
  <c r="P14" i="17"/>
  <c r="Q14" i="17" s="1"/>
  <c r="U13" i="17"/>
  <c r="T13" i="17"/>
  <c r="S13" i="17"/>
  <c r="R13" i="17"/>
  <c r="P13" i="17"/>
  <c r="Q13" i="17" s="1"/>
  <c r="U12" i="17"/>
  <c r="T12" i="17"/>
  <c r="S12" i="17"/>
  <c r="R12" i="17"/>
  <c r="P12" i="17"/>
  <c r="Q12" i="17" s="1"/>
  <c r="U11" i="17"/>
  <c r="T11" i="17"/>
  <c r="S11" i="17"/>
  <c r="R11" i="17"/>
  <c r="P11" i="17"/>
  <c r="Q11" i="17" s="1"/>
  <c r="U10" i="17"/>
  <c r="T10" i="17"/>
  <c r="S10" i="17"/>
  <c r="R10" i="17"/>
  <c r="P10" i="17"/>
  <c r="Q10" i="17" s="1"/>
  <c r="U9" i="17"/>
  <c r="T9" i="17"/>
  <c r="S9" i="17"/>
  <c r="V9" i="17" s="1"/>
  <c r="R9" i="17"/>
  <c r="P9" i="17"/>
  <c r="Q9" i="17" s="1"/>
  <c r="D19" i="9" s="1"/>
  <c r="U8" i="17"/>
  <c r="T8" i="17"/>
  <c r="S8" i="17"/>
  <c r="V8" i="17" s="1"/>
  <c r="R8" i="17"/>
  <c r="P8" i="17"/>
  <c r="Q8" i="17" s="1"/>
  <c r="U7" i="17"/>
  <c r="T7" i="17"/>
  <c r="S7" i="17"/>
  <c r="V7" i="17" s="1"/>
  <c r="R7" i="17"/>
  <c r="P7" i="17"/>
  <c r="Q7" i="17" s="1"/>
  <c r="W7" i="17" s="1"/>
  <c r="M18" i="16"/>
  <c r="L18" i="16"/>
  <c r="K18" i="16"/>
  <c r="J18" i="16"/>
  <c r="I18" i="16"/>
  <c r="H18" i="16"/>
  <c r="G18" i="16"/>
  <c r="F18" i="16"/>
  <c r="E18" i="16"/>
  <c r="D18" i="16"/>
  <c r="C18" i="16"/>
  <c r="B18" i="16"/>
  <c r="B12" i="16"/>
  <c r="B10" i="16"/>
  <c r="B11" i="16" s="1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W7" i="15"/>
  <c r="I7" i="15"/>
  <c r="J7" i="15" s="1"/>
  <c r="G7" i="15"/>
  <c r="V6" i="15"/>
  <c r="V7" i="15" s="1"/>
  <c r="U6" i="15"/>
  <c r="U7" i="15" s="1"/>
  <c r="T6" i="15"/>
  <c r="T7" i="15" s="1"/>
  <c r="S6" i="15"/>
  <c r="S7" i="15" s="1"/>
  <c r="R6" i="15"/>
  <c r="R7" i="15" s="1"/>
  <c r="Q6" i="15"/>
  <c r="Q7" i="15" s="1"/>
  <c r="P6" i="15"/>
  <c r="P7" i="15" s="1"/>
  <c r="O6" i="15"/>
  <c r="O7" i="15" s="1"/>
  <c r="N6" i="15"/>
  <c r="N7" i="15" s="1"/>
  <c r="M6" i="15"/>
  <c r="M7" i="15" s="1"/>
  <c r="L6" i="15"/>
  <c r="L7" i="15" s="1"/>
  <c r="K6" i="15"/>
  <c r="K7" i="15" s="1"/>
  <c r="A79" i="14"/>
  <c r="J79" i="14" s="1"/>
  <c r="A78" i="14"/>
  <c r="A77" i="14"/>
  <c r="H77" i="14" s="1"/>
  <c r="A76" i="14"/>
  <c r="H76" i="14" s="1"/>
  <c r="A75" i="14"/>
  <c r="J75" i="14" s="1"/>
  <c r="A74" i="14"/>
  <c r="I74" i="14" s="1"/>
  <c r="A73" i="14"/>
  <c r="H73" i="14" s="1"/>
  <c r="A72" i="14"/>
  <c r="A71" i="14"/>
  <c r="A70" i="14"/>
  <c r="H70" i="14" s="1"/>
  <c r="A69" i="14"/>
  <c r="A68" i="14"/>
  <c r="I68" i="14" s="1"/>
  <c r="A67" i="14"/>
  <c r="J67" i="14" s="1"/>
  <c r="A66" i="14"/>
  <c r="J66" i="14" s="1"/>
  <c r="A65" i="14"/>
  <c r="I65" i="14" s="1"/>
  <c r="A64" i="14"/>
  <c r="H64" i="14" s="1"/>
  <c r="A63" i="14"/>
  <c r="A62" i="14"/>
  <c r="J62" i="14" s="1"/>
  <c r="A61" i="14"/>
  <c r="H61" i="14" s="1"/>
  <c r="A60" i="14"/>
  <c r="H60" i="14" s="1"/>
  <c r="A59" i="14"/>
  <c r="H59" i="14" s="1"/>
  <c r="A58" i="14"/>
  <c r="A57" i="14"/>
  <c r="A56" i="14"/>
  <c r="H56" i="14" s="1"/>
  <c r="A55" i="14"/>
  <c r="H55" i="14" s="1"/>
  <c r="A54" i="14"/>
  <c r="J54" i="14" s="1"/>
  <c r="A53" i="14"/>
  <c r="I53" i="14" s="1"/>
  <c r="A52" i="14"/>
  <c r="J52" i="14" s="1"/>
  <c r="A51" i="14"/>
  <c r="H51" i="14" s="1"/>
  <c r="A50" i="14"/>
  <c r="H50" i="14" s="1"/>
  <c r="A49" i="14"/>
  <c r="H49" i="14" s="1"/>
  <c r="A48" i="14"/>
  <c r="J48" i="14" s="1"/>
  <c r="A47" i="14"/>
  <c r="H47" i="14" s="1"/>
  <c r="A46" i="14"/>
  <c r="J46" i="14" s="1"/>
  <c r="A45" i="14"/>
  <c r="J45" i="14" s="1"/>
  <c r="A44" i="14"/>
  <c r="A43" i="14"/>
  <c r="I43" i="14" s="1"/>
  <c r="A42" i="14"/>
  <c r="J42" i="14" s="1"/>
  <c r="A41" i="14"/>
  <c r="H41" i="14" s="1"/>
  <c r="A40" i="14"/>
  <c r="I40" i="14" s="1"/>
  <c r="A39" i="14"/>
  <c r="J39" i="14" s="1"/>
  <c r="A38" i="14"/>
  <c r="J38" i="14" s="1"/>
  <c r="A37" i="14"/>
  <c r="A36" i="14"/>
  <c r="I36" i="14" s="1"/>
  <c r="A35" i="14"/>
  <c r="I35" i="14" s="1"/>
  <c r="A34" i="14"/>
  <c r="J34" i="14" s="1"/>
  <c r="A33" i="14"/>
  <c r="J33" i="14" s="1"/>
  <c r="A32" i="14"/>
  <c r="H32" i="14" s="1"/>
  <c r="A31" i="14"/>
  <c r="A30" i="14"/>
  <c r="I30" i="14" s="1"/>
  <c r="A29" i="14"/>
  <c r="I29" i="14" s="1"/>
  <c r="A28" i="14"/>
  <c r="A27" i="14"/>
  <c r="A26" i="14"/>
  <c r="I26" i="14" s="1"/>
  <c r="A25" i="14"/>
  <c r="I25" i="14" s="1"/>
  <c r="A24" i="14"/>
  <c r="A23" i="14"/>
  <c r="I23" i="14" s="1"/>
  <c r="A22" i="14"/>
  <c r="H22" i="14" s="1"/>
  <c r="A21" i="14"/>
  <c r="H21" i="14" s="1"/>
  <c r="B20" i="14"/>
  <c r="A20" i="14"/>
  <c r="H20" i="14" s="1"/>
  <c r="B15" i="14"/>
  <c r="B14" i="14"/>
  <c r="B13" i="14"/>
  <c r="C77" i="13"/>
  <c r="B77" i="13"/>
  <c r="C76" i="13"/>
  <c r="B76" i="13"/>
  <c r="C75" i="13"/>
  <c r="B75" i="13"/>
  <c r="C74" i="13"/>
  <c r="B74" i="13"/>
  <c r="A66" i="13"/>
  <c r="F66" i="13" s="1"/>
  <c r="A65" i="13"/>
  <c r="A64" i="13"/>
  <c r="C64" i="13" s="1"/>
  <c r="A63" i="13"/>
  <c r="F63" i="13" s="1"/>
  <c r="A62" i="13"/>
  <c r="B62" i="13" s="1"/>
  <c r="A61" i="13"/>
  <c r="A60" i="13"/>
  <c r="E60" i="13" s="1"/>
  <c r="A59" i="13"/>
  <c r="A58" i="13"/>
  <c r="B58" i="13" s="1"/>
  <c r="A57" i="13"/>
  <c r="C57" i="13" s="1"/>
  <c r="A56" i="13"/>
  <c r="C56" i="13" s="1"/>
  <c r="A55" i="13"/>
  <c r="A54" i="13"/>
  <c r="E54" i="13" s="1"/>
  <c r="A53" i="13"/>
  <c r="D53" i="13" s="1"/>
  <c r="A52" i="13"/>
  <c r="F52" i="13" s="1"/>
  <c r="A51" i="13"/>
  <c r="D51" i="13" s="1"/>
  <c r="A50" i="13"/>
  <c r="B50" i="13" s="1"/>
  <c r="A49" i="13"/>
  <c r="C49" i="13" s="1"/>
  <c r="A48" i="13"/>
  <c r="D48" i="13" s="1"/>
  <c r="A47" i="13"/>
  <c r="D47" i="13" s="1"/>
  <c r="A46" i="13"/>
  <c r="F46" i="13" s="1"/>
  <c r="A45" i="13"/>
  <c r="B45" i="13" s="1"/>
  <c r="A44" i="13"/>
  <c r="A43" i="13"/>
  <c r="C43" i="13" s="1"/>
  <c r="A42" i="13"/>
  <c r="A41" i="13"/>
  <c r="E41" i="13" s="1"/>
  <c r="A40" i="13"/>
  <c r="A39" i="13"/>
  <c r="D39" i="13" s="1"/>
  <c r="A38" i="13"/>
  <c r="C38" i="13" s="1"/>
  <c r="A37" i="13"/>
  <c r="B37" i="13" s="1"/>
  <c r="A36" i="13"/>
  <c r="D36" i="13" s="1"/>
  <c r="A35" i="13"/>
  <c r="A34" i="13"/>
  <c r="D34" i="13" s="1"/>
  <c r="A33" i="13"/>
  <c r="F33" i="13" s="1"/>
  <c r="A32" i="13"/>
  <c r="F32" i="13" s="1"/>
  <c r="A31" i="13"/>
  <c r="C31" i="13" s="1"/>
  <c r="A30" i="13"/>
  <c r="E30" i="13" s="1"/>
  <c r="A29" i="13"/>
  <c r="D29" i="13" s="1"/>
  <c r="A28" i="13"/>
  <c r="C28" i="13" s="1"/>
  <c r="A27" i="13"/>
  <c r="D27" i="13" s="1"/>
  <c r="A26" i="13"/>
  <c r="D26" i="13" s="1"/>
  <c r="A25" i="13"/>
  <c r="F25" i="13" s="1"/>
  <c r="A24" i="13"/>
  <c r="C24" i="13" s="1"/>
  <c r="A23" i="13"/>
  <c r="E23" i="13" s="1"/>
  <c r="A22" i="13"/>
  <c r="B22" i="13" s="1"/>
  <c r="A21" i="13"/>
  <c r="B21" i="13" s="1"/>
  <c r="A20" i="13"/>
  <c r="D20" i="13" s="1"/>
  <c r="A19" i="13"/>
  <c r="A18" i="13"/>
  <c r="D18" i="13" s="1"/>
  <c r="A17" i="13"/>
  <c r="A16" i="13"/>
  <c r="A15" i="13"/>
  <c r="D15" i="13" s="1"/>
  <c r="A14" i="13"/>
  <c r="D14" i="13" s="1"/>
  <c r="A13" i="13"/>
  <c r="A12" i="13"/>
  <c r="A11" i="13"/>
  <c r="B11" i="13" s="1"/>
  <c r="A10" i="13"/>
  <c r="A9" i="13"/>
  <c r="A8" i="13"/>
  <c r="B8" i="13" s="1"/>
  <c r="A7" i="13"/>
  <c r="B7" i="13" s="1"/>
  <c r="B16" i="11"/>
  <c r="F14" i="11"/>
  <c r="F13" i="11"/>
  <c r="C13" i="10" s="1"/>
  <c r="F12" i="11"/>
  <c r="F11" i="11"/>
  <c r="F10" i="11"/>
  <c r="F9" i="11"/>
  <c r="F8" i="11"/>
  <c r="F7" i="11"/>
  <c r="M20" i="10"/>
  <c r="L20" i="10"/>
  <c r="K20" i="10"/>
  <c r="J20" i="10"/>
  <c r="I20" i="10"/>
  <c r="H20" i="10"/>
  <c r="G20" i="10"/>
  <c r="F20" i="10"/>
  <c r="E20" i="10"/>
  <c r="D20" i="10"/>
  <c r="C20" i="10"/>
  <c r="M6" i="10"/>
  <c r="L6" i="10"/>
  <c r="K6" i="10"/>
  <c r="J6" i="10"/>
  <c r="I6" i="10"/>
  <c r="H6" i="10"/>
  <c r="G6" i="10"/>
  <c r="F6" i="10"/>
  <c r="E6" i="10"/>
  <c r="D6" i="10"/>
  <c r="C6" i="10"/>
  <c r="B6" i="10"/>
  <c r="B4" i="10"/>
  <c r="B25" i="9"/>
  <c r="B17" i="21" s="1"/>
  <c r="D17" i="21" s="1"/>
  <c r="D22" i="9"/>
  <c r="D21" i="9"/>
  <c r="D20" i="9"/>
  <c r="D17" i="9"/>
  <c r="B14" i="8"/>
  <c r="B8" i="8"/>
  <c r="M38" i="7"/>
  <c r="L38" i="7"/>
  <c r="K38" i="7"/>
  <c r="J38" i="7"/>
  <c r="I38" i="7"/>
  <c r="H38" i="7"/>
  <c r="G38" i="7"/>
  <c r="F38" i="7"/>
  <c r="E38" i="7"/>
  <c r="D38" i="7"/>
  <c r="C38" i="7"/>
  <c r="B15" i="7"/>
  <c r="C15" i="7" s="1"/>
  <c r="D15" i="7" s="1"/>
  <c r="N14" i="7"/>
  <c r="N13" i="7"/>
  <c r="N12" i="7"/>
  <c r="N11" i="7"/>
  <c r="N10" i="7"/>
  <c r="N9" i="7"/>
  <c r="N8" i="7"/>
  <c r="N7" i="7"/>
  <c r="M6" i="7"/>
  <c r="M28" i="7" s="1"/>
  <c r="M29" i="7" s="1"/>
  <c r="L6" i="7"/>
  <c r="L28" i="7" s="1"/>
  <c r="L29" i="7" s="1"/>
  <c r="K6" i="7"/>
  <c r="J6" i="7"/>
  <c r="J28" i="7" s="1"/>
  <c r="J29" i="7" s="1"/>
  <c r="I6" i="7"/>
  <c r="H6" i="7"/>
  <c r="H28" i="7" s="1"/>
  <c r="H29" i="7" s="1"/>
  <c r="G6" i="7"/>
  <c r="F6" i="7"/>
  <c r="E6" i="7"/>
  <c r="D6" i="7"/>
  <c r="C6" i="7"/>
  <c r="C28" i="7" s="1"/>
  <c r="C29" i="7" s="1"/>
  <c r="B6" i="7"/>
  <c r="B53" i="6"/>
  <c r="B52" i="6"/>
  <c r="B50" i="6"/>
  <c r="B49" i="6"/>
  <c r="B48" i="6"/>
  <c r="B47" i="6"/>
  <c r="B43" i="6"/>
  <c r="B42" i="6"/>
  <c r="B38" i="6"/>
  <c r="B37" i="6"/>
  <c r="B36" i="6"/>
  <c r="B35" i="6"/>
  <c r="B29" i="6"/>
  <c r="B28" i="6"/>
  <c r="B26" i="6"/>
  <c r="C52" i="6" s="1"/>
  <c r="A18" i="6"/>
  <c r="I18" i="6" s="1"/>
  <c r="A17" i="6"/>
  <c r="I17" i="6" s="1"/>
  <c r="A16" i="6"/>
  <c r="D16" i="6" s="1"/>
  <c r="A15" i="6"/>
  <c r="I15" i="6" s="1"/>
  <c r="A14" i="6"/>
  <c r="A13" i="6"/>
  <c r="D13" i="6" s="1"/>
  <c r="A12" i="6"/>
  <c r="A11" i="6"/>
  <c r="A10" i="6"/>
  <c r="D10" i="6" s="1"/>
  <c r="A9" i="6"/>
  <c r="I9" i="6" s="1"/>
  <c r="A8" i="6"/>
  <c r="A7" i="6"/>
  <c r="B21" i="5"/>
  <c r="B17" i="5"/>
  <c r="M6" i="4"/>
  <c r="M8" i="4" s="1"/>
  <c r="M22" i="7" s="1"/>
  <c r="M35" i="7" s="1"/>
  <c r="L6" i="4"/>
  <c r="L41" i="1" s="1"/>
  <c r="K6" i="4"/>
  <c r="K41" i="1" s="1"/>
  <c r="J6" i="4"/>
  <c r="J7" i="4" s="1"/>
  <c r="J18" i="7" s="1"/>
  <c r="J19" i="7" s="1"/>
  <c r="J20" i="7" s="1"/>
  <c r="I6" i="4"/>
  <c r="I13" i="4" s="1"/>
  <c r="H6" i="4"/>
  <c r="H7" i="4" s="1"/>
  <c r="G6" i="4"/>
  <c r="G13" i="4" s="1"/>
  <c r="F6" i="4"/>
  <c r="E6" i="4"/>
  <c r="E41" i="1" s="1"/>
  <c r="D6" i="4"/>
  <c r="D13" i="4" s="1"/>
  <c r="C6" i="4"/>
  <c r="C41" i="1" s="1"/>
  <c r="B6" i="4"/>
  <c r="B10" i="4" s="1"/>
  <c r="B7" i="3"/>
  <c r="N7" i="3" s="1"/>
  <c r="M6" i="3"/>
  <c r="L6" i="3"/>
  <c r="K6" i="3"/>
  <c r="J6" i="3"/>
  <c r="I6" i="3"/>
  <c r="H6" i="3"/>
  <c r="G6" i="3"/>
  <c r="G18" i="3" s="1"/>
  <c r="F6" i="3"/>
  <c r="F18" i="3" s="1"/>
  <c r="E6" i="3"/>
  <c r="E18" i="3" s="1"/>
  <c r="D6" i="3"/>
  <c r="D18" i="3" s="1"/>
  <c r="C6" i="3"/>
  <c r="B6" i="3"/>
  <c r="B18" i="3" s="1"/>
  <c r="K5" i="1"/>
  <c r="F5" i="1"/>
  <c r="A5" i="1"/>
  <c r="V225" i="17" l="1"/>
  <c r="V55" i="17"/>
  <c r="V82" i="17"/>
  <c r="V191" i="17"/>
  <c r="V47" i="17"/>
  <c r="V259" i="17"/>
  <c r="V88" i="17"/>
  <c r="V145" i="17"/>
  <c r="V248" i="17"/>
  <c r="V18" i="17"/>
  <c r="V102" i="17"/>
  <c r="V106" i="17"/>
  <c r="V138" i="17"/>
  <c r="V150" i="17"/>
  <c r="V162" i="17"/>
  <c r="V174" i="17"/>
  <c r="V186" i="17"/>
  <c r="V206" i="17"/>
  <c r="V214" i="17"/>
  <c r="V238" i="17"/>
  <c r="V250" i="17"/>
  <c r="V263" i="17"/>
  <c r="V171" i="17"/>
  <c r="V64" i="17"/>
  <c r="V42" i="17"/>
  <c r="V32" i="17"/>
  <c r="V40" i="17"/>
  <c r="M41" i="1"/>
  <c r="W282" i="17"/>
  <c r="F38" i="13"/>
  <c r="F62" i="13"/>
  <c r="D75" i="13"/>
  <c r="K93" i="18"/>
  <c r="L93" i="18" s="1"/>
  <c r="P175" i="18"/>
  <c r="J8" i="4"/>
  <c r="J22" i="7" s="1"/>
  <c r="J35" i="7" s="1"/>
  <c r="V237" i="17"/>
  <c r="M158" i="18"/>
  <c r="M175" i="18"/>
  <c r="O175" i="18" s="1"/>
  <c r="K8" i="4"/>
  <c r="K22" i="7" s="1"/>
  <c r="K35" i="7" s="1"/>
  <c r="F21" i="13"/>
  <c r="J41" i="1"/>
  <c r="V243" i="17"/>
  <c r="V223" i="17"/>
  <c r="D76" i="13"/>
  <c r="B8" i="4"/>
  <c r="B22" i="7" s="1"/>
  <c r="D38" i="13"/>
  <c r="P158" i="18"/>
  <c r="V76" i="17"/>
  <c r="H10" i="4"/>
  <c r="H24" i="7" s="1"/>
  <c r="H25" i="7" s="1"/>
  <c r="K30" i="7"/>
  <c r="K39" i="7" s="1"/>
  <c r="D13" i="10"/>
  <c r="D23" i="9"/>
  <c r="K121" i="18"/>
  <c r="L121" i="18" s="1"/>
  <c r="H41" i="1"/>
  <c r="V91" i="17"/>
  <c r="I30" i="7"/>
  <c r="I31" i="7" s="1"/>
  <c r="V216" i="17"/>
  <c r="O172" i="18"/>
  <c r="V157" i="17"/>
  <c r="D21" i="13"/>
  <c r="J49" i="14"/>
  <c r="V141" i="17"/>
  <c r="V252" i="17"/>
  <c r="V276" i="17"/>
  <c r="V124" i="17"/>
  <c r="V232" i="17"/>
  <c r="V200" i="17"/>
  <c r="J53" i="14"/>
  <c r="V68" i="17"/>
  <c r="V193" i="17"/>
  <c r="V222" i="17"/>
  <c r="V253" i="17"/>
  <c r="V201" i="17"/>
  <c r="V63" i="17"/>
  <c r="V97" i="17"/>
  <c r="V204" i="17"/>
  <c r="V224" i="17"/>
  <c r="G13" i="10"/>
  <c r="F23" i="13"/>
  <c r="I34" i="14"/>
  <c r="V35" i="17"/>
  <c r="V109" i="17"/>
  <c r="V163" i="17"/>
  <c r="K119" i="18"/>
  <c r="L119" i="18" s="1"/>
  <c r="M119" i="18" s="1"/>
  <c r="F13" i="10"/>
  <c r="V268" i="17"/>
  <c r="E13" i="10"/>
  <c r="M30" i="7"/>
  <c r="V37" i="17"/>
  <c r="V67" i="17"/>
  <c r="V113" i="17"/>
  <c r="V166" i="17"/>
  <c r="V231" i="17"/>
  <c r="V57" i="17"/>
  <c r="V218" i="17"/>
  <c r="V230" i="17"/>
  <c r="V104" i="17"/>
  <c r="V134" i="17"/>
  <c r="V170" i="17"/>
  <c r="V155" i="17"/>
  <c r="D46" i="13"/>
  <c r="K163" i="18"/>
  <c r="L163" i="18" s="1"/>
  <c r="M163" i="18" s="1"/>
  <c r="K162" i="18"/>
  <c r="L162" i="18" s="1"/>
  <c r="P162" i="18" s="1"/>
  <c r="V20" i="17"/>
  <c r="V71" i="17"/>
  <c r="V117" i="17"/>
  <c r="V41" i="17"/>
  <c r="H79" i="14"/>
  <c r="V86" i="17"/>
  <c r="V140" i="17"/>
  <c r="V184" i="17"/>
  <c r="I64" i="14"/>
  <c r="C8" i="4"/>
  <c r="C22" i="7" s="1"/>
  <c r="C35" i="7" s="1"/>
  <c r="B66" i="13"/>
  <c r="H25" i="14"/>
  <c r="H8" i="4"/>
  <c r="H9" i="4" s="1"/>
  <c r="K9" i="18"/>
  <c r="L9" i="18" s="1"/>
  <c r="M9" i="18" s="1"/>
  <c r="V160" i="17"/>
  <c r="K133" i="18"/>
  <c r="L133" i="18" s="1"/>
  <c r="O133" i="18" s="1"/>
  <c r="V26" i="17"/>
  <c r="E30" i="7"/>
  <c r="E31" i="7" s="1"/>
  <c r="K68" i="18"/>
  <c r="L68" i="18" s="1"/>
  <c r="P68" i="18" s="1"/>
  <c r="V220" i="17"/>
  <c r="V92" i="17"/>
  <c r="V125" i="17"/>
  <c r="V153" i="17"/>
  <c r="L17" i="3"/>
  <c r="L30" i="7"/>
  <c r="L39" i="7" s="1"/>
  <c r="H38" i="14"/>
  <c r="K137" i="18"/>
  <c r="L137" i="18" s="1"/>
  <c r="V94" i="17"/>
  <c r="V137" i="17"/>
  <c r="V187" i="17"/>
  <c r="G12" i="3"/>
  <c r="V183" i="17"/>
  <c r="K28" i="7"/>
  <c r="K29" i="7" s="1"/>
  <c r="B30" i="6"/>
  <c r="F9" i="13"/>
  <c r="I38" i="14"/>
  <c r="H11" i="4"/>
  <c r="V11" i="17"/>
  <c r="V45" i="17"/>
  <c r="V202" i="17"/>
  <c r="V61" i="17"/>
  <c r="V156" i="17"/>
  <c r="V273" i="17"/>
  <c r="J30" i="7"/>
  <c r="J39" i="7" s="1"/>
  <c r="V72" i="17"/>
  <c r="V180" i="17"/>
  <c r="V229" i="17"/>
  <c r="V256" i="17"/>
  <c r="J11" i="4"/>
  <c r="L11" i="4"/>
  <c r="F8" i="13"/>
  <c r="K122" i="18"/>
  <c r="L122" i="18" s="1"/>
  <c r="M122" i="18" s="1"/>
  <c r="V130" i="17"/>
  <c r="V58" i="17"/>
  <c r="V115" i="17"/>
  <c r="E13" i="13"/>
  <c r="I56" i="14"/>
  <c r="V70" i="17"/>
  <c r="V182" i="17"/>
  <c r="V207" i="17"/>
  <c r="M128" i="18"/>
  <c r="K40" i="18"/>
  <c r="L40" i="18" s="1"/>
  <c r="L11" i="3"/>
  <c r="V81" i="17"/>
  <c r="F12" i="13"/>
  <c r="C7" i="6"/>
  <c r="B14" i="13"/>
  <c r="B11" i="21"/>
  <c r="D11" i="21" s="1"/>
  <c r="V107" i="17"/>
  <c r="V199" i="17"/>
  <c r="D43" i="13"/>
  <c r="V233" i="17"/>
  <c r="E8" i="19"/>
  <c r="F43" i="13"/>
  <c r="H34" i="14"/>
  <c r="V44" i="17"/>
  <c r="K95" i="18"/>
  <c r="L95" i="18" s="1"/>
  <c r="V219" i="17"/>
  <c r="E14" i="13"/>
  <c r="V51" i="17"/>
  <c r="V203" i="17"/>
  <c r="V272" i="17"/>
  <c r="V54" i="17"/>
  <c r="V100" i="17"/>
  <c r="V205" i="17"/>
  <c r="I11" i="3"/>
  <c r="V270" i="17"/>
  <c r="B26" i="13"/>
  <c r="K64" i="18"/>
  <c r="L64" i="18" s="1"/>
  <c r="B22" i="5"/>
  <c r="J56" i="14"/>
  <c r="E21" i="13"/>
  <c r="H30" i="7"/>
  <c r="H39" i="7" s="1"/>
  <c r="F10" i="13"/>
  <c r="H46" i="14"/>
  <c r="E16" i="13"/>
  <c r="F29" i="13"/>
  <c r="E43" i="13"/>
  <c r="I46" i="14"/>
  <c r="C11" i="3"/>
  <c r="E19" i="13"/>
  <c r="K82" i="18"/>
  <c r="L82" i="18" s="1"/>
  <c r="V208" i="17"/>
  <c r="B30" i="7"/>
  <c r="B31" i="7" s="1"/>
  <c r="D32" i="13"/>
  <c r="I49" i="14"/>
  <c r="V181" i="17"/>
  <c r="V197" i="17"/>
  <c r="V264" i="17"/>
  <c r="V178" i="17"/>
  <c r="K138" i="18"/>
  <c r="L138" i="18" s="1"/>
  <c r="O138" i="18" s="1"/>
  <c r="V179" i="17"/>
  <c r="V23" i="17"/>
  <c r="V244" i="17"/>
  <c r="V31" i="17"/>
  <c r="E12" i="3"/>
  <c r="D30" i="7"/>
  <c r="D31" i="7" s="1"/>
  <c r="H13" i="10"/>
  <c r="J64" i="14"/>
  <c r="V123" i="17"/>
  <c r="O59" i="18"/>
  <c r="M59" i="18"/>
  <c r="P59" i="18"/>
  <c r="N59" i="18"/>
  <c r="N19" i="18"/>
  <c r="P19" i="18"/>
  <c r="C9" i="3"/>
  <c r="D10" i="13"/>
  <c r="L9" i="3"/>
  <c r="E8" i="3"/>
  <c r="M16" i="3"/>
  <c r="D9" i="3"/>
  <c r="H42" i="1"/>
  <c r="H18" i="7"/>
  <c r="H19" i="7" s="1"/>
  <c r="H20" i="7" s="1"/>
  <c r="K8" i="3"/>
  <c r="B24" i="5"/>
  <c r="I42" i="14"/>
  <c r="H65" i="14"/>
  <c r="J65" i="14"/>
  <c r="J74" i="14"/>
  <c r="V262" i="17"/>
  <c r="V22" i="17"/>
  <c r="K13" i="10"/>
  <c r="B13" i="13"/>
  <c r="B25" i="13"/>
  <c r="D37" i="13"/>
  <c r="B57" i="13"/>
  <c r="I59" i="14"/>
  <c r="F8" i="3"/>
  <c r="V169" i="17"/>
  <c r="D13" i="13"/>
  <c r="B52" i="13"/>
  <c r="C20" i="14"/>
  <c r="D20" i="14" s="1"/>
  <c r="E20" i="14" s="1"/>
  <c r="G20" i="14" s="1"/>
  <c r="B21" i="14" s="1"/>
  <c r="C21" i="14" s="1"/>
  <c r="D21" i="14" s="1"/>
  <c r="E21" i="14" s="1"/>
  <c r="I75" i="14"/>
  <c r="B56" i="13"/>
  <c r="V131" i="17"/>
  <c r="V158" i="17"/>
  <c r="C37" i="13"/>
  <c r="D63" i="13"/>
  <c r="K79" i="18"/>
  <c r="L79" i="18" s="1"/>
  <c r="O79" i="18" s="1"/>
  <c r="V135" i="17"/>
  <c r="G30" i="7"/>
  <c r="G39" i="7" s="1"/>
  <c r="V139" i="17"/>
  <c r="K107" i="18"/>
  <c r="L107" i="18" s="1"/>
  <c r="N107" i="18" s="1"/>
  <c r="B28" i="7"/>
  <c r="E37" i="13"/>
  <c r="V185" i="17"/>
  <c r="C10" i="4"/>
  <c r="C24" i="7" s="1"/>
  <c r="C36" i="7" s="1"/>
  <c r="D25" i="13"/>
  <c r="F37" i="13"/>
  <c r="E45" i="13"/>
  <c r="C52" i="13"/>
  <c r="D57" i="13"/>
  <c r="H29" i="14"/>
  <c r="J36" i="14"/>
  <c r="V122" i="17"/>
  <c r="K32" i="18"/>
  <c r="L32" i="18" s="1"/>
  <c r="O32" i="18" s="1"/>
  <c r="B12" i="3"/>
  <c r="D10" i="4"/>
  <c r="D24" i="7" s="1"/>
  <c r="D36" i="7" s="1"/>
  <c r="G28" i="7"/>
  <c r="G29" i="7" s="1"/>
  <c r="E25" i="13"/>
  <c r="B32" i="13"/>
  <c r="F45" i="13"/>
  <c r="D52" i="13"/>
  <c r="E57" i="13"/>
  <c r="I20" i="14"/>
  <c r="H53" i="14"/>
  <c r="I60" i="14"/>
  <c r="I67" i="14"/>
  <c r="I76" i="14"/>
  <c r="B11" i="3"/>
  <c r="K21" i="18"/>
  <c r="L21" i="18" s="1"/>
  <c r="P21" i="18" s="1"/>
  <c r="V62" i="17"/>
  <c r="V93" i="17"/>
  <c r="V112" i="17"/>
  <c r="V149" i="17"/>
  <c r="K134" i="18"/>
  <c r="L134" i="18" s="1"/>
  <c r="V245" i="17"/>
  <c r="N118" i="18"/>
  <c r="E28" i="7"/>
  <c r="E29" i="7" s="1"/>
  <c r="F20" i="13"/>
  <c r="H67" i="14"/>
  <c r="G8" i="3"/>
  <c r="D12" i="3"/>
  <c r="E10" i="4"/>
  <c r="E24" i="7" s="1"/>
  <c r="E36" i="7" s="1"/>
  <c r="I28" i="7"/>
  <c r="I29" i="7" s="1"/>
  <c r="C32" i="13"/>
  <c r="E52" i="13"/>
  <c r="F57" i="13"/>
  <c r="J60" i="14"/>
  <c r="J76" i="14"/>
  <c r="V59" i="17"/>
  <c r="V192" i="17"/>
  <c r="P118" i="18"/>
  <c r="B4" i="6"/>
  <c r="B12" i="13"/>
  <c r="H42" i="14"/>
  <c r="C17" i="3"/>
  <c r="V198" i="17"/>
  <c r="V19" i="17"/>
  <c r="V46" i="17"/>
  <c r="V188" i="17"/>
  <c r="M13" i="10"/>
  <c r="E20" i="13"/>
  <c r="F31" i="13"/>
  <c r="H36" i="14"/>
  <c r="J59" i="14"/>
  <c r="B13" i="16"/>
  <c r="V49" i="17"/>
  <c r="V152" i="17"/>
  <c r="G11" i="3"/>
  <c r="J9" i="4"/>
  <c r="D7" i="6"/>
  <c r="B20" i="13"/>
  <c r="E31" i="13"/>
  <c r="C45" i="13"/>
  <c r="E63" i="13"/>
  <c r="C14" i="6"/>
  <c r="G16" i="3"/>
  <c r="V221" i="17"/>
  <c r="D45" i="13"/>
  <c r="V118" i="17"/>
  <c r="D17" i="6"/>
  <c r="C50" i="13"/>
  <c r="B24" i="13"/>
  <c r="F30" i="13"/>
  <c r="D50" i="13"/>
  <c r="D56" i="13"/>
  <c r="H74" i="14"/>
  <c r="D12" i="13"/>
  <c r="B19" i="13"/>
  <c r="D24" i="13"/>
  <c r="E50" i="13"/>
  <c r="E56" i="13"/>
  <c r="B63" i="13"/>
  <c r="H26" i="14"/>
  <c r="F30" i="7"/>
  <c r="F31" i="7" s="1"/>
  <c r="V12" i="17"/>
  <c r="V165" i="17"/>
  <c r="C12" i="3"/>
  <c r="K22" i="18"/>
  <c r="L22" i="18" s="1"/>
  <c r="M22" i="18" s="1"/>
  <c r="I7" i="6"/>
  <c r="C25" i="13"/>
  <c r="H9" i="3"/>
  <c r="H54" i="14"/>
  <c r="K120" i="18"/>
  <c r="L120" i="18" s="1"/>
  <c r="V242" i="17"/>
  <c r="J17" i="3"/>
  <c r="D16" i="3"/>
  <c r="B9" i="13"/>
  <c r="B33" i="13"/>
  <c r="C58" i="13"/>
  <c r="I77" i="14"/>
  <c r="K77" i="18"/>
  <c r="L77" i="18" s="1"/>
  <c r="N77" i="18" s="1"/>
  <c r="E16" i="3"/>
  <c r="B13" i="6"/>
  <c r="D9" i="13"/>
  <c r="E15" i="13"/>
  <c r="C33" i="13"/>
  <c r="C53" i="13"/>
  <c r="E58" i="13"/>
  <c r="J77" i="14"/>
  <c r="H39" i="14"/>
  <c r="V27" i="17"/>
  <c r="K35" i="18"/>
  <c r="L35" i="18" s="1"/>
  <c r="V87" i="17"/>
  <c r="K91" i="18"/>
  <c r="L91" i="18" s="1"/>
  <c r="P91" i="18" s="1"/>
  <c r="V226" i="17"/>
  <c r="V254" i="17"/>
  <c r="V261" i="17"/>
  <c r="D18" i="6"/>
  <c r="D19" i="13"/>
  <c r="E24" i="13"/>
  <c r="B31" i="13"/>
  <c r="F50" i="13"/>
  <c r="F56" i="13"/>
  <c r="C63" i="13"/>
  <c r="H35" i="14"/>
  <c r="J23" i="7"/>
  <c r="I13" i="10"/>
  <c r="D31" i="13"/>
  <c r="J35" i="14"/>
  <c r="H43" i="14"/>
  <c r="J43" i="14"/>
  <c r="H75" i="14"/>
  <c r="K11" i="4"/>
  <c r="K148" i="18"/>
  <c r="L148" i="18" s="1"/>
  <c r="P148" i="18" s="1"/>
  <c r="V116" i="17"/>
  <c r="V126" i="17"/>
  <c r="C13" i="4"/>
  <c r="D33" i="13"/>
  <c r="I47" i="14"/>
  <c r="I70" i="14"/>
  <c r="V17" i="17"/>
  <c r="V24" i="17"/>
  <c r="M9" i="3"/>
  <c r="C7" i="4"/>
  <c r="I13" i="6"/>
  <c r="B16" i="13"/>
  <c r="B23" i="13"/>
  <c r="D28" i="13"/>
  <c r="E33" i="13"/>
  <c r="C48" i="13"/>
  <c r="E53" i="13"/>
  <c r="H23" i="14"/>
  <c r="H33" i="14"/>
  <c r="I39" i="14"/>
  <c r="J47" i="14"/>
  <c r="H62" i="14"/>
  <c r="J70" i="14"/>
  <c r="K149" i="18"/>
  <c r="L149" i="18" s="1"/>
  <c r="O149" i="18" s="1"/>
  <c r="M168" i="18"/>
  <c r="E11" i="4"/>
  <c r="F11" i="4"/>
  <c r="K123" i="18"/>
  <c r="L123" i="18" s="1"/>
  <c r="M123" i="18" s="1"/>
  <c r="K147" i="18"/>
  <c r="L147" i="18" s="1"/>
  <c r="M147" i="18" s="1"/>
  <c r="B53" i="13"/>
  <c r="D74" i="13"/>
  <c r="I54" i="14"/>
  <c r="J61" i="14"/>
  <c r="D16" i="13"/>
  <c r="C23" i="13"/>
  <c r="E48" i="13"/>
  <c r="F53" i="13"/>
  <c r="I33" i="14"/>
  <c r="I62" i="14"/>
  <c r="V77" i="17"/>
  <c r="V84" i="17"/>
  <c r="V110" i="17"/>
  <c r="V177" i="17"/>
  <c r="K110" i="18"/>
  <c r="L110" i="18" s="1"/>
  <c r="M110" i="18" s="1"/>
  <c r="M11" i="4"/>
  <c r="V13" i="17"/>
  <c r="V133" i="17"/>
  <c r="J10" i="4"/>
  <c r="J24" i="7" s="1"/>
  <c r="J36" i="7" s="1"/>
  <c r="K105" i="18"/>
  <c r="L105" i="18" s="1"/>
  <c r="P105" i="18" s="1"/>
  <c r="I61" i="14"/>
  <c r="B7" i="4"/>
  <c r="B42" i="1" s="1"/>
  <c r="D7" i="4"/>
  <c r="D42" i="1" s="1"/>
  <c r="H13" i="4"/>
  <c r="B41" i="1"/>
  <c r="D8" i="3"/>
  <c r="C18" i="3"/>
  <c r="E7" i="4"/>
  <c r="E18" i="7" s="1"/>
  <c r="E19" i="7" s="1"/>
  <c r="E20" i="7" s="1"/>
  <c r="J13" i="4"/>
  <c r="B13" i="10"/>
  <c r="D23" i="13"/>
  <c r="B29" i="13"/>
  <c r="B43" i="13"/>
  <c r="F48" i="13"/>
  <c r="I79" i="14"/>
  <c r="V48" i="17"/>
  <c r="V147" i="17"/>
  <c r="K108" i="18"/>
  <c r="L108" i="18" s="1"/>
  <c r="O108" i="18" s="1"/>
  <c r="K135" i="18"/>
  <c r="L135" i="18" s="1"/>
  <c r="O135" i="18" s="1"/>
  <c r="K36" i="18"/>
  <c r="L36" i="18" s="1"/>
  <c r="N36" i="18" s="1"/>
  <c r="I11" i="4"/>
  <c r="J68" i="14"/>
  <c r="K17" i="3"/>
  <c r="E47" i="13"/>
  <c r="L13" i="4"/>
  <c r="F11" i="13"/>
  <c r="E17" i="13"/>
  <c r="V21" i="17"/>
  <c r="V269" i="17"/>
  <c r="B35" i="7"/>
  <c r="B23" i="7"/>
  <c r="C23" i="7"/>
  <c r="B8" i="3"/>
  <c r="D18" i="9"/>
  <c r="B9" i="3"/>
  <c r="E15" i="7"/>
  <c r="H31" i="7"/>
  <c r="W26" i="17"/>
  <c r="W103" i="17"/>
  <c r="F35" i="13"/>
  <c r="E35" i="13"/>
  <c r="D35" i="13"/>
  <c r="C35" i="13"/>
  <c r="D42" i="13"/>
  <c r="C42" i="13"/>
  <c r="B42" i="13"/>
  <c r="F61" i="13"/>
  <c r="E61" i="13"/>
  <c r="D61" i="13"/>
  <c r="I17" i="3"/>
  <c r="I9" i="3"/>
  <c r="H11" i="3"/>
  <c r="G41" i="1"/>
  <c r="G7" i="4"/>
  <c r="I8" i="4"/>
  <c r="I22" i="7" s="1"/>
  <c r="C13" i="6"/>
  <c r="F28" i="7"/>
  <c r="F29" i="7" s="1"/>
  <c r="B35" i="13"/>
  <c r="E42" i="13"/>
  <c r="B47" i="13"/>
  <c r="B61" i="13"/>
  <c r="H17" i="3"/>
  <c r="M31" i="7"/>
  <c r="M39" i="7"/>
  <c r="F42" i="13"/>
  <c r="C47" i="13"/>
  <c r="C61" i="13"/>
  <c r="L8" i="3"/>
  <c r="L18" i="3"/>
  <c r="L12" i="3"/>
  <c r="K11" i="3"/>
  <c r="L8" i="4"/>
  <c r="L22" i="7" s="1"/>
  <c r="K13" i="4"/>
  <c r="C26" i="13"/>
  <c r="F26" i="13"/>
  <c r="E26" i="13"/>
  <c r="F47" i="13"/>
  <c r="I21" i="14"/>
  <c r="I44" i="14"/>
  <c r="H44" i="14"/>
  <c r="J44" i="14"/>
  <c r="M11" i="3"/>
  <c r="M13" i="4"/>
  <c r="M10" i="4"/>
  <c r="M24" i="7" s="1"/>
  <c r="B11" i="6"/>
  <c r="B17" i="6"/>
  <c r="C11" i="4"/>
  <c r="V83" i="17"/>
  <c r="K54" i="18"/>
  <c r="L54" i="18" s="1"/>
  <c r="J11" i="3"/>
  <c r="C16" i="6"/>
  <c r="B16" i="6"/>
  <c r="I16" i="6"/>
  <c r="N122" i="18"/>
  <c r="E18" i="13"/>
  <c r="D44" i="13"/>
  <c r="C44" i="13"/>
  <c r="F44" i="13"/>
  <c r="E44" i="13"/>
  <c r="J69" i="14"/>
  <c r="I69" i="14"/>
  <c r="H69" i="14"/>
  <c r="W58" i="17"/>
  <c r="W30" i="17"/>
  <c r="W16" i="17"/>
  <c r="W76" i="17"/>
  <c r="W32" i="17"/>
  <c r="B17" i="3"/>
  <c r="W35" i="17"/>
  <c r="W38" i="17"/>
  <c r="W22" i="17"/>
  <c r="B15" i="5"/>
  <c r="W97" i="17"/>
  <c r="W18" i="17"/>
  <c r="W23" i="17"/>
  <c r="H22" i="7"/>
  <c r="D11" i="6"/>
  <c r="F12" i="3"/>
  <c r="B14" i="6"/>
  <c r="D14" i="6"/>
  <c r="I14" i="6"/>
  <c r="B18" i="13"/>
  <c r="B38" i="13"/>
  <c r="E38" i="13"/>
  <c r="B44" i="13"/>
  <c r="D77" i="13"/>
  <c r="H40" i="14"/>
  <c r="J40" i="14"/>
  <c r="J9" i="3"/>
  <c r="J12" i="3"/>
  <c r="K18" i="3"/>
  <c r="K12" i="3"/>
  <c r="I41" i="1"/>
  <c r="I7" i="4"/>
  <c r="F7" i="4"/>
  <c r="F41" i="1"/>
  <c r="L10" i="4"/>
  <c r="L24" i="7" s="1"/>
  <c r="L7" i="4"/>
  <c r="H78" i="14"/>
  <c r="J78" i="14"/>
  <c r="I78" i="14"/>
  <c r="V132" i="17"/>
  <c r="K85" i="18"/>
  <c r="L85" i="18" s="1"/>
  <c r="D54" i="13"/>
  <c r="E59" i="13"/>
  <c r="C59" i="13"/>
  <c r="B59" i="13"/>
  <c r="B64" i="13"/>
  <c r="H18" i="3"/>
  <c r="M7" i="4"/>
  <c r="I11" i="6"/>
  <c r="I37" i="14"/>
  <c r="J37" i="14"/>
  <c r="H37" i="14"/>
  <c r="W27" i="17"/>
  <c r="D22" i="13"/>
  <c r="F22" i="13"/>
  <c r="E22" i="13"/>
  <c r="C17" i="6"/>
  <c r="D8" i="13"/>
  <c r="M8" i="3"/>
  <c r="M12" i="3"/>
  <c r="M18" i="3"/>
  <c r="K9" i="3"/>
  <c r="I31" i="14"/>
  <c r="H31" i="14"/>
  <c r="M23" i="7"/>
  <c r="C8" i="3"/>
  <c r="C9" i="6"/>
  <c r="C30" i="7"/>
  <c r="D9" i="6"/>
  <c r="D15" i="6"/>
  <c r="B39" i="13"/>
  <c r="C55" i="13"/>
  <c r="E55" i="13"/>
  <c r="D55" i="13"/>
  <c r="F59" i="13"/>
  <c r="E64" i="13"/>
  <c r="H57" i="14"/>
  <c r="I57" i="14"/>
  <c r="J57" i="14"/>
  <c r="W21" i="17"/>
  <c r="B30" i="13"/>
  <c r="E34" i="13"/>
  <c r="F34" i="13"/>
  <c r="C39" i="13"/>
  <c r="B51" i="13"/>
  <c r="B55" i="13"/>
  <c r="D60" i="13"/>
  <c r="F60" i="13"/>
  <c r="F64" i="13"/>
  <c r="I66" i="14"/>
  <c r="H66" i="14"/>
  <c r="G11" i="4"/>
  <c r="C11" i="6"/>
  <c r="D11" i="4"/>
  <c r="H12" i="3"/>
  <c r="B24" i="7"/>
  <c r="B9" i="6"/>
  <c r="B15" i="6"/>
  <c r="B26" i="9"/>
  <c r="H16" i="3"/>
  <c r="J18" i="3"/>
  <c r="J42" i="1"/>
  <c r="E11" i="3"/>
  <c r="E9" i="3"/>
  <c r="E17" i="3"/>
  <c r="H8" i="3"/>
  <c r="J16" i="3"/>
  <c r="E8" i="4"/>
  <c r="E22" i="7" s="1"/>
  <c r="G10" i="4"/>
  <c r="G24" i="7" s="1"/>
  <c r="B12" i="6"/>
  <c r="D12" i="6"/>
  <c r="I12" i="6"/>
  <c r="C12" i="6"/>
  <c r="C30" i="13"/>
  <c r="B34" i="13"/>
  <c r="C51" i="13"/>
  <c r="F55" i="13"/>
  <c r="B60" i="13"/>
  <c r="E65" i="13"/>
  <c r="F65" i="13"/>
  <c r="D65" i="13"/>
  <c r="C65" i="13"/>
  <c r="I24" i="14"/>
  <c r="H24" i="14"/>
  <c r="I71" i="14"/>
  <c r="H71" i="14"/>
  <c r="J71" i="14"/>
  <c r="F54" i="13"/>
  <c r="C54" i="13"/>
  <c r="B54" i="13"/>
  <c r="I12" i="3"/>
  <c r="C15" i="6"/>
  <c r="D11" i="3"/>
  <c r="I16" i="3"/>
  <c r="F10" i="4"/>
  <c r="F24" i="7" s="1"/>
  <c r="F16" i="3"/>
  <c r="F11" i="3"/>
  <c r="F17" i="3"/>
  <c r="F9" i="3"/>
  <c r="I8" i="3"/>
  <c r="K16" i="3"/>
  <c r="D8" i="4"/>
  <c r="D41" i="1"/>
  <c r="F8" i="4"/>
  <c r="F22" i="7" s="1"/>
  <c r="E13" i="4"/>
  <c r="D30" i="13"/>
  <c r="C34" i="13"/>
  <c r="F40" i="13"/>
  <c r="E40" i="13"/>
  <c r="B40" i="13"/>
  <c r="D40" i="13"/>
  <c r="C40" i="13"/>
  <c r="E51" i="13"/>
  <c r="C60" i="13"/>
  <c r="B65" i="13"/>
  <c r="K7" i="4"/>
  <c r="K10" i="4"/>
  <c r="K24" i="7" s="1"/>
  <c r="M17" i="3"/>
  <c r="D17" i="13"/>
  <c r="B17" i="13"/>
  <c r="B11" i="4"/>
  <c r="C22" i="13"/>
  <c r="C16" i="3"/>
  <c r="I18" i="3"/>
  <c r="E39" i="13"/>
  <c r="F39" i="13"/>
  <c r="D59" i="13"/>
  <c r="D64" i="13"/>
  <c r="H28" i="14"/>
  <c r="I28" i="14"/>
  <c r="E39" i="7"/>
  <c r="G17" i="3"/>
  <c r="G9" i="3"/>
  <c r="J8" i="3"/>
  <c r="L16" i="3"/>
  <c r="G8" i="4"/>
  <c r="G22" i="7" s="1"/>
  <c r="I10" i="4"/>
  <c r="I24" i="7" s="1"/>
  <c r="F13" i="4"/>
  <c r="B7" i="6"/>
  <c r="D28" i="7"/>
  <c r="D29" i="7" s="1"/>
  <c r="J31" i="7"/>
  <c r="F51" i="13"/>
  <c r="C46" i="13"/>
  <c r="E46" i="13"/>
  <c r="E29" i="13"/>
  <c r="C29" i="13"/>
  <c r="B46" i="13"/>
  <c r="I63" i="14"/>
  <c r="H63" i="14"/>
  <c r="J63" i="14"/>
  <c r="K12" i="18"/>
  <c r="L12" i="18" s="1"/>
  <c r="V15" i="17"/>
  <c r="W72" i="17"/>
  <c r="K13" i="18"/>
  <c r="L13" i="18" s="1"/>
  <c r="V16" i="17"/>
  <c r="K18" i="18"/>
  <c r="L18" i="18" s="1"/>
  <c r="V25" i="17"/>
  <c r="I8" i="6"/>
  <c r="B8" i="6"/>
  <c r="K7" i="18"/>
  <c r="L7" i="18" s="1"/>
  <c r="D17" i="3"/>
  <c r="C8" i="6"/>
  <c r="D7" i="13"/>
  <c r="D11" i="13"/>
  <c r="B15" i="13"/>
  <c r="C27" i="13"/>
  <c r="C36" i="13"/>
  <c r="B36" i="13"/>
  <c r="F36" i="13"/>
  <c r="E36" i="13"/>
  <c r="B41" i="13"/>
  <c r="C62" i="13"/>
  <c r="E62" i="13"/>
  <c r="C66" i="13"/>
  <c r="D66" i="13"/>
  <c r="H48" i="14"/>
  <c r="I58" i="14"/>
  <c r="H58" i="14"/>
  <c r="J58" i="14"/>
  <c r="B24" i="21"/>
  <c r="D24" i="21" s="1"/>
  <c r="B10" i="6"/>
  <c r="E49" i="13"/>
  <c r="F49" i="13"/>
  <c r="I45" i="14"/>
  <c r="H45" i="14"/>
  <c r="K10" i="18"/>
  <c r="L10" i="18" s="1"/>
  <c r="B16" i="3"/>
  <c r="D8" i="6"/>
  <c r="L13" i="10"/>
  <c r="J13" i="10"/>
  <c r="C41" i="13"/>
  <c r="D49" i="13"/>
  <c r="J32" i="14"/>
  <c r="I32" i="14"/>
  <c r="I48" i="14"/>
  <c r="I52" i="14"/>
  <c r="H52" i="14"/>
  <c r="J55" i="14"/>
  <c r="I55" i="14"/>
  <c r="I72" i="14"/>
  <c r="J72" i="14"/>
  <c r="H72" i="14"/>
  <c r="C18" i="6"/>
  <c r="B18" i="6"/>
  <c r="P31" i="18"/>
  <c r="N31" i="18"/>
  <c r="O31" i="18"/>
  <c r="M31" i="18"/>
  <c r="J41" i="14"/>
  <c r="I41" i="14"/>
  <c r="C10" i="6"/>
  <c r="F27" i="13"/>
  <c r="B27" i="13"/>
  <c r="B49" i="13"/>
  <c r="B13" i="4"/>
  <c r="F7" i="13"/>
  <c r="E27" i="13"/>
  <c r="D41" i="13"/>
  <c r="D62" i="13"/>
  <c r="E66" i="13"/>
  <c r="V10" i="17"/>
  <c r="I10" i="6"/>
  <c r="F28" i="13"/>
  <c r="E28" i="13"/>
  <c r="B28" i="13"/>
  <c r="F41" i="13"/>
  <c r="F58" i="13"/>
  <c r="D58" i="13"/>
  <c r="B12" i="21"/>
  <c r="D12" i="21" s="1"/>
  <c r="B16" i="14"/>
  <c r="P121" i="18"/>
  <c r="N121" i="18"/>
  <c r="O121" i="18"/>
  <c r="M121" i="18"/>
  <c r="P16" i="18"/>
  <c r="M16" i="18"/>
  <c r="O16" i="18"/>
  <c r="N16" i="18"/>
  <c r="K24" i="18"/>
  <c r="L24" i="18" s="1"/>
  <c r="K27" i="18"/>
  <c r="L27" i="18" s="1"/>
  <c r="V38" i="17"/>
  <c r="W280" i="17"/>
  <c r="W275" i="17"/>
  <c r="W270" i="17"/>
  <c r="W265" i="17"/>
  <c r="W260" i="17"/>
  <c r="W255" i="17"/>
  <c r="W250" i="17"/>
  <c r="W245" i="17"/>
  <c r="W240" i="17"/>
  <c r="W235" i="17"/>
  <c r="W230" i="17"/>
  <c r="W225" i="17"/>
  <c r="W220" i="17"/>
  <c r="W215" i="17"/>
  <c r="W210" i="17"/>
  <c r="W205" i="17"/>
  <c r="W200" i="17"/>
  <c r="W195" i="17"/>
  <c r="W190" i="17"/>
  <c r="W185" i="17"/>
  <c r="W180" i="17"/>
  <c r="W175" i="17"/>
  <c r="W170" i="17"/>
  <c r="D7" i="19"/>
  <c r="W234" i="17"/>
  <c r="W226" i="17"/>
  <c r="W218" i="17"/>
  <c r="W197" i="17"/>
  <c r="W269" i="17"/>
  <c r="W261" i="17"/>
  <c r="W242" i="17"/>
  <c r="W189" i="17"/>
  <c r="W150" i="17"/>
  <c r="W132" i="17"/>
  <c r="W277" i="17"/>
  <c r="W258" i="17"/>
  <c r="W223" i="17"/>
  <c r="W202" i="17"/>
  <c r="W181" i="17"/>
  <c r="W173" i="17"/>
  <c r="W155" i="17"/>
  <c r="W137" i="17"/>
  <c r="W114" i="17"/>
  <c r="W109" i="17"/>
  <c r="W104" i="17"/>
  <c r="W99" i="17"/>
  <c r="W94" i="17"/>
  <c r="W89" i="17"/>
  <c r="W84" i="17"/>
  <c r="W79" i="17"/>
  <c r="W74" i="17"/>
  <c r="W69" i="17"/>
  <c r="W64" i="17"/>
  <c r="W59" i="17"/>
  <c r="W54" i="17"/>
  <c r="W49" i="17"/>
  <c r="W44" i="17"/>
  <c r="W39" i="17"/>
  <c r="W34" i="17"/>
  <c r="W29" i="17"/>
  <c r="W24" i="17"/>
  <c r="W19" i="17"/>
  <c r="W14" i="17"/>
  <c r="W9" i="17"/>
  <c r="W239" i="17"/>
  <c r="W231" i="17"/>
  <c r="W194" i="17"/>
  <c r="W263" i="17"/>
  <c r="W244" i="17"/>
  <c r="W236" i="17"/>
  <c r="W212" i="17"/>
  <c r="W191" i="17"/>
  <c r="W183" i="17"/>
  <c r="W249" i="17"/>
  <c r="W241" i="17"/>
  <c r="W209" i="17"/>
  <c r="W276" i="17"/>
  <c r="W257" i="17"/>
  <c r="W238" i="17"/>
  <c r="W222" i="17"/>
  <c r="W201" i="17"/>
  <c r="W254" i="17"/>
  <c r="W246" i="17"/>
  <c r="W227" i="17"/>
  <c r="W206" i="17"/>
  <c r="W198" i="17"/>
  <c r="W177" i="17"/>
  <c r="W164" i="17"/>
  <c r="W259" i="17"/>
  <c r="W251" i="17"/>
  <c r="W232" i="17"/>
  <c r="W224" i="17"/>
  <c r="W229" i="17"/>
  <c r="W264" i="17"/>
  <c r="W256" i="17"/>
  <c r="W237" i="17"/>
  <c r="W221" i="17"/>
  <c r="W213" i="17"/>
  <c r="W192" i="17"/>
  <c r="W171" i="17"/>
  <c r="W158" i="17"/>
  <c r="W203" i="17"/>
  <c r="W179" i="17"/>
  <c r="W165" i="17"/>
  <c r="W133" i="17"/>
  <c r="W125" i="17"/>
  <c r="W112" i="17"/>
  <c r="W274" i="17"/>
  <c r="W268" i="17"/>
  <c r="W262" i="17"/>
  <c r="W176" i="17"/>
  <c r="W146" i="17"/>
  <c r="W117" i="17"/>
  <c r="W271" i="17"/>
  <c r="W162" i="17"/>
  <c r="W154" i="17"/>
  <c r="W138" i="17"/>
  <c r="W130" i="17"/>
  <c r="W122" i="17"/>
  <c r="W243" i="17"/>
  <c r="W143" i="17"/>
  <c r="W193" i="17"/>
  <c r="W233" i="17"/>
  <c r="W196" i="17"/>
  <c r="W187" i="17"/>
  <c r="W167" i="17"/>
  <c r="W151" i="17"/>
  <c r="W135" i="17"/>
  <c r="W127" i="17"/>
  <c r="W96" i="17"/>
  <c r="W78" i="17"/>
  <c r="W55" i="17"/>
  <c r="W37" i="17"/>
  <c r="W252" i="17"/>
  <c r="W208" i="17"/>
  <c r="W184" i="17"/>
  <c r="W159" i="17"/>
  <c r="W148" i="17"/>
  <c r="W119" i="17"/>
  <c r="W101" i="17"/>
  <c r="W83" i="17"/>
  <c r="W60" i="17"/>
  <c r="W42" i="17"/>
  <c r="W273" i="17"/>
  <c r="W217" i="17"/>
  <c r="W214" i="17"/>
  <c r="W211" i="17"/>
  <c r="W178" i="17"/>
  <c r="W156" i="17"/>
  <c r="W140" i="17"/>
  <c r="W124" i="17"/>
  <c r="W106" i="17"/>
  <c r="W88" i="17"/>
  <c r="W65" i="17"/>
  <c r="W47" i="17"/>
  <c r="W199" i="17"/>
  <c r="W172" i="17"/>
  <c r="W279" i="17"/>
  <c r="W267" i="17"/>
  <c r="W153" i="17"/>
  <c r="W145" i="17"/>
  <c r="W116" i="17"/>
  <c r="W98" i="17"/>
  <c r="W75" i="17"/>
  <c r="W57" i="17"/>
  <c r="C7" i="19"/>
  <c r="W169" i="17"/>
  <c r="W161" i="17"/>
  <c r="W248" i="17"/>
  <c r="W142" i="17"/>
  <c r="W108" i="17"/>
  <c r="W85" i="17"/>
  <c r="W186" i="17"/>
  <c r="W126" i="17"/>
  <c r="W113" i="17"/>
  <c r="W90" i="17"/>
  <c r="W207" i="17"/>
  <c r="W204" i="17"/>
  <c r="W166" i="17"/>
  <c r="W147" i="17"/>
  <c r="W134" i="17"/>
  <c r="W118" i="17"/>
  <c r="W95" i="17"/>
  <c r="W272" i="17"/>
  <c r="W219" i="17"/>
  <c r="W216" i="17"/>
  <c r="W266" i="17"/>
  <c r="W139" i="17"/>
  <c r="W281" i="17"/>
  <c r="W278" i="17"/>
  <c r="W228" i="17"/>
  <c r="W144" i="17"/>
  <c r="W110" i="17"/>
  <c r="W92" i="17"/>
  <c r="W51" i="17"/>
  <c r="W33" i="17"/>
  <c r="W10" i="17"/>
  <c r="W188" i="17"/>
  <c r="W168" i="17"/>
  <c r="W152" i="17"/>
  <c r="W136" i="17"/>
  <c r="W128" i="17"/>
  <c r="W115" i="17"/>
  <c r="W253" i="17"/>
  <c r="W247" i="17"/>
  <c r="W160" i="17"/>
  <c r="W120" i="17"/>
  <c r="W102" i="17"/>
  <c r="W61" i="17"/>
  <c r="W43" i="17"/>
  <c r="W20" i="17"/>
  <c r="W70" i="17"/>
  <c r="W67" i="17"/>
  <c r="W50" i="17"/>
  <c r="W17" i="17"/>
  <c r="W131" i="17"/>
  <c r="W141" i="17"/>
  <c r="W41" i="17"/>
  <c r="W157" i="17"/>
  <c r="W93" i="17"/>
  <c r="W87" i="17"/>
  <c r="W111" i="17"/>
  <c r="W105" i="17"/>
  <c r="W81" i="17"/>
  <c r="W163" i="17"/>
  <c r="W66" i="17"/>
  <c r="W46" i="17"/>
  <c r="W182" i="17"/>
  <c r="W63" i="17"/>
  <c r="W13" i="17"/>
  <c r="W123" i="17"/>
  <c r="W77" i="17"/>
  <c r="W107" i="17"/>
  <c r="W86" i="17"/>
  <c r="W129" i="17"/>
  <c r="W100" i="17"/>
  <c r="W82" i="17"/>
  <c r="W62" i="17"/>
  <c r="W11" i="17"/>
  <c r="W48" i="17"/>
  <c r="W45" i="17"/>
  <c r="W36" i="17"/>
  <c r="W25" i="17"/>
  <c r="W8" i="17"/>
  <c r="W91" i="17"/>
  <c r="W56" i="17"/>
  <c r="W53" i="17"/>
  <c r="W121" i="17"/>
  <c r="W174" i="17"/>
  <c r="W12" i="17"/>
  <c r="W15" i="17"/>
  <c r="N29" i="18"/>
  <c r="M29" i="18"/>
  <c r="P29" i="18"/>
  <c r="O29" i="18"/>
  <c r="P43" i="18"/>
  <c r="N43" i="18"/>
  <c r="M43" i="18"/>
  <c r="O43" i="18"/>
  <c r="K41" i="18"/>
  <c r="L41" i="18" s="1"/>
  <c r="V60" i="17"/>
  <c r="K83" i="18"/>
  <c r="L83" i="18" s="1"/>
  <c r="V129" i="17"/>
  <c r="W73" i="17"/>
  <c r="K25" i="18"/>
  <c r="L25" i="18" s="1"/>
  <c r="V36" i="17"/>
  <c r="K28" i="18"/>
  <c r="L28" i="18" s="1"/>
  <c r="V39" i="17"/>
  <c r="W80" i="17"/>
  <c r="K76" i="18"/>
  <c r="L76" i="18" s="1"/>
  <c r="V119" i="17"/>
  <c r="W149" i="17"/>
  <c r="N42" i="18"/>
  <c r="P42" i="18"/>
  <c r="O42" i="18"/>
  <c r="M42" i="18"/>
  <c r="V33" i="17"/>
  <c r="P71" i="18"/>
  <c r="N71" i="18"/>
  <c r="O71" i="18"/>
  <c r="M71" i="18"/>
  <c r="I27" i="14"/>
  <c r="H27" i="14"/>
  <c r="I50" i="14"/>
  <c r="J50" i="14"/>
  <c r="W52" i="17"/>
  <c r="W71" i="17"/>
  <c r="W28" i="17"/>
  <c r="K23" i="18"/>
  <c r="L23" i="18" s="1"/>
  <c r="V34" i="17"/>
  <c r="K30" i="18"/>
  <c r="L30" i="18" s="1"/>
  <c r="V43" i="17"/>
  <c r="P44" i="18"/>
  <c r="O44" i="18"/>
  <c r="N44" i="18"/>
  <c r="M44" i="18"/>
  <c r="W31" i="17"/>
  <c r="W68" i="17"/>
  <c r="K53" i="18"/>
  <c r="L53" i="18" s="1"/>
  <c r="V95" i="17"/>
  <c r="B10" i="13"/>
  <c r="F24" i="13"/>
  <c r="E32" i="13"/>
  <c r="B48" i="13"/>
  <c r="I22" i="14"/>
  <c r="H30" i="14"/>
  <c r="J73" i="14"/>
  <c r="I73" i="14"/>
  <c r="W40" i="17"/>
  <c r="V50" i="17"/>
  <c r="K33" i="18"/>
  <c r="L33" i="18" s="1"/>
  <c r="V65" i="17"/>
  <c r="P82" i="18"/>
  <c r="O82" i="18"/>
  <c r="N82" i="18"/>
  <c r="M82" i="18"/>
  <c r="O89" i="18"/>
  <c r="N89" i="18"/>
  <c r="M89" i="18"/>
  <c r="P89" i="18"/>
  <c r="B25" i="21"/>
  <c r="D25" i="21" s="1"/>
  <c r="O15" i="18"/>
  <c r="N15" i="18"/>
  <c r="M15" i="18"/>
  <c r="P15" i="18"/>
  <c r="K63" i="18"/>
  <c r="L63" i="18" s="1"/>
  <c r="V101" i="17"/>
  <c r="H68" i="14"/>
  <c r="B60" i="15"/>
  <c r="K11" i="18"/>
  <c r="L11" i="18" s="1"/>
  <c r="V14" i="17"/>
  <c r="K20" i="18"/>
  <c r="L20" i="18" s="1"/>
  <c r="V28" i="17"/>
  <c r="I51" i="14"/>
  <c r="J51" i="14"/>
  <c r="H7" i="15"/>
  <c r="B59" i="15" s="1"/>
  <c r="B9" i="5" s="1"/>
  <c r="K58" i="18"/>
  <c r="L58" i="18" s="1"/>
  <c r="V89" i="17"/>
  <c r="P47" i="18"/>
  <c r="N47" i="18"/>
  <c r="M47" i="18"/>
  <c r="O47" i="18"/>
  <c r="O74" i="18"/>
  <c r="M74" i="18"/>
  <c r="P74" i="18"/>
  <c r="N74" i="18"/>
  <c r="P93" i="18"/>
  <c r="M93" i="18"/>
  <c r="O93" i="18"/>
  <c r="N93" i="18"/>
  <c r="P166" i="18"/>
  <c r="M166" i="18"/>
  <c r="O166" i="18" s="1"/>
  <c r="O34" i="18"/>
  <c r="M34" i="18"/>
  <c r="P34" i="18"/>
  <c r="N34" i="18"/>
  <c r="K51" i="18"/>
  <c r="L51" i="18" s="1"/>
  <c r="V80" i="17"/>
  <c r="P87" i="18"/>
  <c r="N87" i="18"/>
  <c r="M87" i="18"/>
  <c r="O87" i="18"/>
  <c r="P144" i="18"/>
  <c r="O144" i="18"/>
  <c r="M144" i="18"/>
  <c r="N144" i="18"/>
  <c r="P141" i="18"/>
  <c r="N141" i="18"/>
  <c r="O141" i="18"/>
  <c r="M141" i="18"/>
  <c r="O14" i="18"/>
  <c r="M14" i="18"/>
  <c r="P14" i="18"/>
  <c r="N14" i="18"/>
  <c r="P84" i="18"/>
  <c r="N84" i="18"/>
  <c r="O84" i="18"/>
  <c r="M84" i="18"/>
  <c r="N137" i="18"/>
  <c r="M137" i="18"/>
  <c r="P137" i="18"/>
  <c r="O137" i="18"/>
  <c r="K8" i="18"/>
  <c r="L8" i="18" s="1"/>
  <c r="K46" i="18"/>
  <c r="L46" i="18" s="1"/>
  <c r="V69" i="17"/>
  <c r="K73" i="18"/>
  <c r="L73" i="18" s="1"/>
  <c r="V114" i="17"/>
  <c r="O134" i="18"/>
  <c r="N134" i="18"/>
  <c r="M134" i="18"/>
  <c r="P134" i="18"/>
  <c r="P36" i="18"/>
  <c r="M36" i="18"/>
  <c r="P55" i="18"/>
  <c r="N55" i="18"/>
  <c r="M55" i="18"/>
  <c r="O55" i="18"/>
  <c r="N57" i="18"/>
  <c r="P57" i="18"/>
  <c r="M57" i="18"/>
  <c r="O57" i="18"/>
  <c r="P61" i="18"/>
  <c r="O61" i="18"/>
  <c r="N61" i="18"/>
  <c r="M61" i="18"/>
  <c r="K67" i="18"/>
  <c r="L67" i="18" s="1"/>
  <c r="V105" i="17"/>
  <c r="P64" i="18"/>
  <c r="O64" i="18"/>
  <c r="M64" i="18"/>
  <c r="N64" i="18"/>
  <c r="K70" i="18"/>
  <c r="L70" i="18" s="1"/>
  <c r="V108" i="17"/>
  <c r="N62" i="18"/>
  <c r="P62" i="18"/>
  <c r="O62" i="18"/>
  <c r="M62" i="18"/>
  <c r="K65" i="18"/>
  <c r="L65" i="18" s="1"/>
  <c r="V103" i="17"/>
  <c r="K92" i="18"/>
  <c r="L92" i="18" s="1"/>
  <c r="V148" i="17"/>
  <c r="K101" i="18"/>
  <c r="L101" i="18" s="1"/>
  <c r="V161" i="17"/>
  <c r="K37" i="18"/>
  <c r="L37" i="18" s="1"/>
  <c r="V56" i="17"/>
  <c r="K50" i="18"/>
  <c r="L50" i="18" s="1"/>
  <c r="V79" i="17"/>
  <c r="K56" i="18"/>
  <c r="L56" i="18" s="1"/>
  <c r="V85" i="17"/>
  <c r="M60" i="18"/>
  <c r="O60" i="18"/>
  <c r="P60" i="18"/>
  <c r="N60" i="18"/>
  <c r="N130" i="18"/>
  <c r="M130" i="18"/>
  <c r="P130" i="18"/>
  <c r="O130" i="18"/>
  <c r="M40" i="18"/>
  <c r="N40" i="18"/>
  <c r="P40" i="18"/>
  <c r="O40" i="18"/>
  <c r="N157" i="18"/>
  <c r="M157" i="18"/>
  <c r="P157" i="18"/>
  <c r="O157" i="18"/>
  <c r="N17" i="18"/>
  <c r="M17" i="18"/>
  <c r="V128" i="17"/>
  <c r="V136" i="17"/>
  <c r="N102" i="18"/>
  <c r="P102" i="18"/>
  <c r="K109" i="18"/>
  <c r="L109" i="18" s="1"/>
  <c r="N112" i="18"/>
  <c r="M112" i="18"/>
  <c r="P112" i="18"/>
  <c r="V194" i="17"/>
  <c r="O127" i="18"/>
  <c r="N127" i="18"/>
  <c r="M127" i="18"/>
  <c r="K167" i="18"/>
  <c r="L167" i="18" s="1"/>
  <c r="V266" i="17"/>
  <c r="P75" i="18"/>
  <c r="O75" i="18"/>
  <c r="N75" i="18"/>
  <c r="M75" i="18"/>
  <c r="P86" i="18"/>
  <c r="O86" i="18"/>
  <c r="N86" i="18"/>
  <c r="M86" i="18"/>
  <c r="N91" i="18"/>
  <c r="O104" i="18"/>
  <c r="M104" i="18"/>
  <c r="N104" i="18"/>
  <c r="N132" i="18"/>
  <c r="M132" i="18"/>
  <c r="P132" i="18"/>
  <c r="O132" i="18"/>
  <c r="P161" i="18"/>
  <c r="N161" i="18"/>
  <c r="O161" i="18"/>
  <c r="M161" i="18"/>
  <c r="K88" i="18"/>
  <c r="L88" i="18" s="1"/>
  <c r="P104" i="18"/>
  <c r="P113" i="18"/>
  <c r="O113" i="18"/>
  <c r="N113" i="18"/>
  <c r="K142" i="18"/>
  <c r="L142" i="18" s="1"/>
  <c r="M35" i="18"/>
  <c r="P35" i="18"/>
  <c r="O35" i="18"/>
  <c r="O48" i="18"/>
  <c r="P48" i="18"/>
  <c r="N48" i="18"/>
  <c r="K80" i="18"/>
  <c r="L80" i="18" s="1"/>
  <c r="P115" i="18"/>
  <c r="M115" i="18"/>
  <c r="O115" i="18"/>
  <c r="M140" i="18"/>
  <c r="P140" i="18"/>
  <c r="O140" i="18"/>
  <c r="M100" i="18"/>
  <c r="P100" i="18"/>
  <c r="O100" i="18"/>
  <c r="V251" i="17"/>
  <c r="V260" i="17"/>
  <c r="O105" i="18"/>
  <c r="K124" i="18"/>
  <c r="L124" i="18" s="1"/>
  <c r="O154" i="18"/>
  <c r="N154" i="18"/>
  <c r="M154" i="18"/>
  <c r="P173" i="18"/>
  <c r="M173" i="18"/>
  <c r="O173" i="18"/>
  <c r="M48" i="18"/>
  <c r="N97" i="18"/>
  <c r="P97" i="18"/>
  <c r="O97" i="18"/>
  <c r="M97" i="18"/>
  <c r="N115" i="18"/>
  <c r="P165" i="18"/>
  <c r="M165" i="18"/>
  <c r="N165" i="18" s="1"/>
  <c r="V195" i="17"/>
  <c r="N35" i="18"/>
  <c r="P90" i="18"/>
  <c r="O90" i="18"/>
  <c r="N90" i="18"/>
  <c r="M90" i="18"/>
  <c r="O68" i="18"/>
  <c r="N68" i="18"/>
  <c r="M68" i="18"/>
  <c r="K78" i="18"/>
  <c r="L78" i="18" s="1"/>
  <c r="O99" i="18"/>
  <c r="N99" i="18"/>
  <c r="M99" i="18"/>
  <c r="P126" i="18"/>
  <c r="O126" i="18"/>
  <c r="N126" i="18"/>
  <c r="M126" i="18"/>
  <c r="P116" i="18"/>
  <c r="O116" i="18"/>
  <c r="M116" i="18"/>
  <c r="P125" i="18"/>
  <c r="M125" i="18"/>
  <c r="O125" i="18"/>
  <c r="N125" i="18"/>
  <c r="P145" i="18"/>
  <c r="M145" i="18"/>
  <c r="N145" i="18"/>
  <c r="O114" i="18"/>
  <c r="N114" i="18"/>
  <c r="M114" i="18"/>
  <c r="P114" i="18"/>
  <c r="P171" i="18"/>
  <c r="O171" i="18"/>
  <c r="N171" i="18"/>
  <c r="M171" i="18"/>
  <c r="M69" i="18"/>
  <c r="V228" i="17"/>
  <c r="V217" i="17"/>
  <c r="K49" i="18"/>
  <c r="L49" i="18" s="1"/>
  <c r="V111" i="17"/>
  <c r="P95" i="18"/>
  <c r="M95" i="18"/>
  <c r="O95" i="18"/>
  <c r="V172" i="17"/>
  <c r="N117" i="18"/>
  <c r="M117" i="18"/>
  <c r="P117" i="18"/>
  <c r="K159" i="18"/>
  <c r="L159" i="18" s="1"/>
  <c r="V255" i="17"/>
  <c r="N9" i="18"/>
  <c r="P9" i="18"/>
  <c r="P99" i="18"/>
  <c r="K81" i="18"/>
  <c r="L81" i="18" s="1"/>
  <c r="V127" i="17"/>
  <c r="M120" i="18"/>
  <c r="P120" i="18"/>
  <c r="O120" i="18"/>
  <c r="N120" i="18"/>
  <c r="V239" i="17"/>
  <c r="K156" i="18"/>
  <c r="L156" i="18" s="1"/>
  <c r="V249" i="17"/>
  <c r="O9" i="18"/>
  <c r="O117" i="18"/>
  <c r="P127" i="18"/>
  <c r="V234" i="17"/>
  <c r="V175" i="17"/>
  <c r="N147" i="18"/>
  <c r="N100" i="18"/>
  <c r="V78" i="17"/>
  <c r="K52" i="18"/>
  <c r="L52" i="18" s="1"/>
  <c r="V96" i="17"/>
  <c r="K66" i="18"/>
  <c r="L66" i="18" s="1"/>
  <c r="V151" i="17"/>
  <c r="O98" i="18"/>
  <c r="P98" i="18"/>
  <c r="N98" i="18"/>
  <c r="N170" i="18"/>
  <c r="M170" i="18"/>
  <c r="P170" i="18"/>
  <c r="O174" i="18"/>
  <c r="N174" i="18"/>
  <c r="M174" i="18"/>
  <c r="K39" i="18"/>
  <c r="L39" i="18" s="1"/>
  <c r="P149" i="18"/>
  <c r="O17" i="18"/>
  <c r="O169" i="18"/>
  <c r="N169" i="18"/>
  <c r="M169" i="18"/>
  <c r="P169" i="18"/>
  <c r="M72" i="18"/>
  <c r="P72" i="18"/>
  <c r="O72" i="18"/>
  <c r="N79" i="18"/>
  <c r="P103" i="18"/>
  <c r="O103" i="18"/>
  <c r="N103" i="18"/>
  <c r="K111" i="18"/>
  <c r="L111" i="18" s="1"/>
  <c r="V176" i="17"/>
  <c r="P133" i="18"/>
  <c r="M133" i="18"/>
  <c r="N133" i="18"/>
  <c r="K136" i="18"/>
  <c r="L136" i="18" s="1"/>
  <c r="V246" i="17"/>
  <c r="V274" i="17"/>
  <c r="K164" i="18"/>
  <c r="L164" i="18" s="1"/>
  <c r="P17" i="18"/>
  <c r="N69" i="18"/>
  <c r="O69" i="18"/>
  <c r="V154" i="17"/>
  <c r="K131" i="18"/>
  <c r="L131" i="18" s="1"/>
  <c r="V209" i="17"/>
  <c r="O139" i="18"/>
  <c r="N139" i="18"/>
  <c r="P139" i="18"/>
  <c r="V271" i="17"/>
  <c r="P45" i="18"/>
  <c r="O45" i="18"/>
  <c r="M45" i="18"/>
  <c r="O129" i="18"/>
  <c r="N129" i="18"/>
  <c r="M129" i="18"/>
  <c r="P129" i="18"/>
  <c r="M139" i="18"/>
  <c r="O170" i="18"/>
  <c r="P146" i="18"/>
  <c r="O146" i="18"/>
  <c r="N146" i="18"/>
  <c r="M146" i="18"/>
  <c r="V240" i="17"/>
  <c r="N45" i="18"/>
  <c r="M79" i="18"/>
  <c r="M102" i="18"/>
  <c r="K96" i="18"/>
  <c r="L96" i="18" s="1"/>
  <c r="V215" i="17"/>
  <c r="K155" i="18"/>
  <c r="L155" i="18" s="1"/>
  <c r="V247" i="17"/>
  <c r="V265" i="17"/>
  <c r="M32" i="18"/>
  <c r="P32" i="18"/>
  <c r="N32" i="18"/>
  <c r="N72" i="18"/>
  <c r="P79" i="18"/>
  <c r="K94" i="18"/>
  <c r="L94" i="18" s="1"/>
  <c r="O102" i="18"/>
  <c r="N140" i="18"/>
  <c r="P153" i="18"/>
  <c r="M153" i="18"/>
  <c r="N153" i="18"/>
  <c r="O19" i="18"/>
  <c r="M19" i="18"/>
  <c r="N162" i="18"/>
  <c r="M162" i="18"/>
  <c r="O162" i="18"/>
  <c r="K150" i="18"/>
  <c r="L150" i="18" s="1"/>
  <c r="V241" i="17"/>
  <c r="N95" i="18"/>
  <c r="M103" i="18"/>
  <c r="O112" i="18"/>
  <c r="P128" i="18"/>
  <c r="O128" i="18"/>
  <c r="K152" i="18"/>
  <c r="L152" i="18" s="1"/>
  <c r="P163" i="18"/>
  <c r="O163" i="18"/>
  <c r="N163" i="18"/>
  <c r="V267" i="17"/>
  <c r="V275" i="17"/>
  <c r="P123" i="18"/>
  <c r="O123" i="18"/>
  <c r="P135" i="18"/>
  <c r="M135" i="18"/>
  <c r="N158" i="18"/>
  <c r="N135" i="18"/>
  <c r="V196" i="17"/>
  <c r="M118" i="18"/>
  <c r="K151" i="18"/>
  <c r="L151" i="18" s="1"/>
  <c r="V277" i="17"/>
  <c r="K26" i="18"/>
  <c r="L26" i="18" s="1"/>
  <c r="K38" i="18"/>
  <c r="L38" i="18" s="1"/>
  <c r="K106" i="18"/>
  <c r="L106" i="18" s="1"/>
  <c r="V210" i="17"/>
  <c r="M160" i="18"/>
  <c r="P160" i="18"/>
  <c r="O160" i="18"/>
  <c r="P143" i="18"/>
  <c r="O143" i="18"/>
  <c r="N143" i="18"/>
  <c r="P168" i="18"/>
  <c r="O168" i="18"/>
  <c r="N172" i="18"/>
  <c r="M172" i="18"/>
  <c r="N138" i="18"/>
  <c r="O36" i="18" l="1"/>
  <c r="P147" i="18"/>
  <c r="K23" i="7"/>
  <c r="M105" i="18"/>
  <c r="I39" i="7"/>
  <c r="P108" i="18"/>
  <c r="M91" i="18"/>
  <c r="O91" i="18"/>
  <c r="M148" i="18"/>
  <c r="O148" i="18"/>
  <c r="O147" i="18"/>
  <c r="N123" i="18"/>
  <c r="K31" i="7"/>
  <c r="C9" i="4"/>
  <c r="C12" i="4" s="1"/>
  <c r="D39" i="7"/>
  <c r="N105" i="18"/>
  <c r="H12" i="4"/>
  <c r="N119" i="18"/>
  <c r="P119" i="18"/>
  <c r="O119" i="18"/>
  <c r="O22" i="18"/>
  <c r="N22" i="18"/>
  <c r="P22" i="18"/>
  <c r="G10" i="10"/>
  <c r="E10" i="3"/>
  <c r="E13" i="3" s="1"/>
  <c r="M21" i="18"/>
  <c r="O21" i="18"/>
  <c r="O122" i="18"/>
  <c r="P122" i="18"/>
  <c r="F10" i="3"/>
  <c r="F13" i="3" s="1"/>
  <c r="C18" i="7"/>
  <c r="C19" i="7" s="1"/>
  <c r="C20" i="7" s="1"/>
  <c r="F39" i="7"/>
  <c r="I10" i="10"/>
  <c r="C42" i="1"/>
  <c r="M10" i="10"/>
  <c r="N175" i="18"/>
  <c r="L31" i="7"/>
  <c r="H36" i="7"/>
  <c r="E25" i="7"/>
  <c r="L10" i="3"/>
  <c r="L13" i="3" s="1"/>
  <c r="E10" i="10"/>
  <c r="H10" i="10"/>
  <c r="D18" i="7"/>
  <c r="D19" i="7" s="1"/>
  <c r="D20" i="7" s="1"/>
  <c r="P138" i="18"/>
  <c r="G17" i="6"/>
  <c r="J17" i="6" s="1"/>
  <c r="K14" i="6"/>
  <c r="N148" i="18"/>
  <c r="O165" i="18"/>
  <c r="D25" i="7"/>
  <c r="L10" i="10"/>
  <c r="F10" i="10"/>
  <c r="B10" i="10"/>
  <c r="G31" i="7"/>
  <c r="B18" i="7"/>
  <c r="B19" i="7" s="1"/>
  <c r="B9" i="4"/>
  <c r="B12" i="4" s="1"/>
  <c r="K10" i="10"/>
  <c r="D9" i="4"/>
  <c r="D12" i="4" s="1"/>
  <c r="K13" i="6"/>
  <c r="J12" i="4"/>
  <c r="N21" i="18"/>
  <c r="M10" i="3"/>
  <c r="M13" i="3" s="1"/>
  <c r="B39" i="7"/>
  <c r="P107" i="18"/>
  <c r="O107" i="18"/>
  <c r="M107" i="18"/>
  <c r="E7" i="19"/>
  <c r="B15" i="21" s="1"/>
  <c r="D15" i="21" s="1"/>
  <c r="E12" i="13"/>
  <c r="G10" i="3"/>
  <c r="G13" i="3" s="1"/>
  <c r="D10" i="10"/>
  <c r="N149" i="18"/>
  <c r="K15" i="6"/>
  <c r="C10" i="3"/>
  <c r="C13" i="3" s="1"/>
  <c r="C25" i="7"/>
  <c r="N110" i="18"/>
  <c r="E42" i="1"/>
  <c r="P110" i="18"/>
  <c r="O110" i="18"/>
  <c r="E9" i="4"/>
  <c r="E12" i="4" s="1"/>
  <c r="K12" i="6"/>
  <c r="G13" i="6"/>
  <c r="J13" i="6" s="1"/>
  <c r="M149" i="18"/>
  <c r="K10" i="3"/>
  <c r="K13" i="3" s="1"/>
  <c r="E13" i="6"/>
  <c r="M138" i="18"/>
  <c r="C10" i="10"/>
  <c r="K11" i="6"/>
  <c r="B7" i="21"/>
  <c r="D7" i="21" s="1"/>
  <c r="B18" i="21"/>
  <c r="D18" i="21" s="1"/>
  <c r="M108" i="18"/>
  <c r="N108" i="18"/>
  <c r="G18" i="6"/>
  <c r="J18" i="6" s="1"/>
  <c r="E9" i="6"/>
  <c r="E7" i="13"/>
  <c r="N18" i="3"/>
  <c r="N11" i="3"/>
  <c r="G15" i="6"/>
  <c r="C49" i="6" s="1"/>
  <c r="J20" i="14"/>
  <c r="N13" i="4"/>
  <c r="B22" i="6"/>
  <c r="G7" i="6"/>
  <c r="H7" i="6" s="1"/>
  <c r="B14" i="4" s="1"/>
  <c r="B9" i="10"/>
  <c r="C9" i="10" s="1"/>
  <c r="D9" i="10" s="1"/>
  <c r="E9" i="10" s="1"/>
  <c r="F9" i="10" s="1"/>
  <c r="G9" i="10" s="1"/>
  <c r="H9" i="10" s="1"/>
  <c r="I9" i="10" s="1"/>
  <c r="J9" i="10" s="1"/>
  <c r="K9" i="10" s="1"/>
  <c r="L9" i="10" s="1"/>
  <c r="M9" i="10" s="1"/>
  <c r="J25" i="7"/>
  <c r="B38" i="7"/>
  <c r="B29" i="7"/>
  <c r="N29" i="7" s="1"/>
  <c r="J10" i="10"/>
  <c r="H10" i="3"/>
  <c r="H13" i="3" s="1"/>
  <c r="K16" i="6"/>
  <c r="D10" i="3"/>
  <c r="D13" i="3" s="1"/>
  <c r="J10" i="3"/>
  <c r="J13" i="3" s="1"/>
  <c r="G10" i="6"/>
  <c r="J10" i="6" s="1"/>
  <c r="G14" i="6"/>
  <c r="J14" i="6" s="1"/>
  <c r="N166" i="18"/>
  <c r="O77" i="18"/>
  <c r="B16" i="21"/>
  <c r="D16" i="21" s="1"/>
  <c r="N13" i="10"/>
  <c r="N12" i="3"/>
  <c r="M77" i="18"/>
  <c r="F17" i="13"/>
  <c r="F18" i="13"/>
  <c r="P77" i="18"/>
  <c r="I10" i="3"/>
  <c r="I13" i="3" s="1"/>
  <c r="A34" i="1"/>
  <c r="E11" i="13"/>
  <c r="G21" i="14"/>
  <c r="B22" i="14" s="1"/>
  <c r="J21" i="14"/>
  <c r="K42" i="1"/>
  <c r="K18" i="7"/>
  <c r="K19" i="7" s="1"/>
  <c r="K20" i="7" s="1"/>
  <c r="K9" i="4"/>
  <c r="K12" i="4" s="1"/>
  <c r="G9" i="6"/>
  <c r="C31" i="7"/>
  <c r="C39" i="7"/>
  <c r="N30" i="7"/>
  <c r="N39" i="7" s="1"/>
  <c r="P131" i="18"/>
  <c r="O131" i="18"/>
  <c r="N131" i="18"/>
  <c r="M131" i="18"/>
  <c r="M80" i="18"/>
  <c r="P80" i="18"/>
  <c r="O80" i="18"/>
  <c r="N80" i="18"/>
  <c r="P63" i="18"/>
  <c r="N63" i="18"/>
  <c r="O63" i="18"/>
  <c r="M63" i="18"/>
  <c r="P23" i="18"/>
  <c r="O23" i="18"/>
  <c r="M23" i="18"/>
  <c r="N23" i="18"/>
  <c r="P83" i="18"/>
  <c r="O83" i="18"/>
  <c r="N83" i="18"/>
  <c r="M83" i="18"/>
  <c r="D22" i="7"/>
  <c r="N8" i="4"/>
  <c r="B16" i="12" s="1"/>
  <c r="G36" i="7"/>
  <c r="G25" i="7"/>
  <c r="I18" i="7"/>
  <c r="I19" i="7" s="1"/>
  <c r="I20" i="7" s="1"/>
  <c r="I42" i="1"/>
  <c r="I9" i="4"/>
  <c r="I12" i="4" s="1"/>
  <c r="M52" i="18"/>
  <c r="N52" i="18"/>
  <c r="P52" i="18"/>
  <c r="O52" i="18"/>
  <c r="P53" i="18"/>
  <c r="M53" i="18"/>
  <c r="O53" i="18"/>
  <c r="N53" i="18"/>
  <c r="O66" i="18"/>
  <c r="M66" i="18"/>
  <c r="P66" i="18"/>
  <c r="N66" i="18"/>
  <c r="P124" i="18"/>
  <c r="O124" i="18"/>
  <c r="M124" i="18"/>
  <c r="N124" i="18"/>
  <c r="B14" i="21"/>
  <c r="D14" i="21" s="1"/>
  <c r="N7" i="18"/>
  <c r="M7" i="18"/>
  <c r="P7" i="18"/>
  <c r="O7" i="18"/>
  <c r="B8" i="5"/>
  <c r="E35" i="7"/>
  <c r="E23" i="7"/>
  <c r="O54" i="18"/>
  <c r="M54" i="18"/>
  <c r="P54" i="18"/>
  <c r="N54" i="18"/>
  <c r="G11" i="6"/>
  <c r="P41" i="18"/>
  <c r="O41" i="18"/>
  <c r="N41" i="18"/>
  <c r="M41" i="18"/>
  <c r="E8" i="6"/>
  <c r="K8" i="6"/>
  <c r="M18" i="7"/>
  <c r="M19" i="7" s="1"/>
  <c r="M20" i="7" s="1"/>
  <c r="M42" i="1"/>
  <c r="M9" i="4"/>
  <c r="M12" i="4" s="1"/>
  <c r="P24" i="18"/>
  <c r="N24" i="18"/>
  <c r="M24" i="18"/>
  <c r="O24" i="18"/>
  <c r="N7" i="4"/>
  <c r="B7" i="10"/>
  <c r="P106" i="18"/>
  <c r="O106" i="18"/>
  <c r="N106" i="18"/>
  <c r="M106" i="18"/>
  <c r="P164" i="18"/>
  <c r="O164" i="18"/>
  <c r="M164" i="18"/>
  <c r="N164" i="18"/>
  <c r="P51" i="18"/>
  <c r="N51" i="18"/>
  <c r="M51" i="18"/>
  <c r="O51" i="18"/>
  <c r="G16" i="6"/>
  <c r="O109" i="18"/>
  <c r="N109" i="18"/>
  <c r="M109" i="18"/>
  <c r="P109" i="18"/>
  <c r="N70" i="18"/>
  <c r="M70" i="18"/>
  <c r="P70" i="18"/>
  <c r="O70" i="18"/>
  <c r="O94" i="18"/>
  <c r="M94" i="18"/>
  <c r="P94" i="18"/>
  <c r="N94" i="18"/>
  <c r="O26" i="18"/>
  <c r="P26" i="18"/>
  <c r="M26" i="18"/>
  <c r="N26" i="18"/>
  <c r="P18" i="18"/>
  <c r="O18" i="18"/>
  <c r="N18" i="18"/>
  <c r="M18" i="18"/>
  <c r="H35" i="7"/>
  <c r="H23" i="7"/>
  <c r="N28" i="7"/>
  <c r="N38" i="7" s="1"/>
  <c r="P27" i="18"/>
  <c r="O27" i="18"/>
  <c r="N27" i="18"/>
  <c r="M27" i="18"/>
  <c r="N142" i="18"/>
  <c r="M142" i="18"/>
  <c r="O142" i="18"/>
  <c r="P142" i="18"/>
  <c r="N58" i="18"/>
  <c r="M58" i="18"/>
  <c r="P58" i="18"/>
  <c r="O58" i="18"/>
  <c r="K7" i="6"/>
  <c r="L7" i="6" s="1"/>
  <c r="B15" i="4" s="1"/>
  <c r="E7" i="6"/>
  <c r="F36" i="7"/>
  <c r="F25" i="7"/>
  <c r="K17" i="6"/>
  <c r="E17" i="6"/>
  <c r="G8" i="6"/>
  <c r="O38" i="18"/>
  <c r="N38" i="18"/>
  <c r="M38" i="18"/>
  <c r="P38" i="18"/>
  <c r="N152" i="18"/>
  <c r="M152" i="18"/>
  <c r="P152" i="18"/>
  <c r="O152" i="18"/>
  <c r="P136" i="18"/>
  <c r="O136" i="18"/>
  <c r="N136" i="18"/>
  <c r="M136" i="18"/>
  <c r="O56" i="18"/>
  <c r="N56" i="18"/>
  <c r="P56" i="18"/>
  <c r="M56" i="18"/>
  <c r="N76" i="18"/>
  <c r="P76" i="18"/>
  <c r="O76" i="18"/>
  <c r="M76" i="18"/>
  <c r="P13" i="18"/>
  <c r="N13" i="18"/>
  <c r="O13" i="18"/>
  <c r="M13" i="18"/>
  <c r="F13" i="13"/>
  <c r="B14" i="5"/>
  <c r="E11" i="6"/>
  <c r="I36" i="7"/>
  <c r="I25" i="7"/>
  <c r="M25" i="7"/>
  <c r="M36" i="7"/>
  <c r="L35" i="7"/>
  <c r="L23" i="7"/>
  <c r="P151" i="18"/>
  <c r="O151" i="18"/>
  <c r="N151" i="18"/>
  <c r="M151" i="18"/>
  <c r="P39" i="18"/>
  <c r="M39" i="18"/>
  <c r="O39" i="18"/>
  <c r="N39" i="18"/>
  <c r="O50" i="18"/>
  <c r="N50" i="18"/>
  <c r="P50" i="18"/>
  <c r="M50" i="18"/>
  <c r="P67" i="18"/>
  <c r="O67" i="18"/>
  <c r="N67" i="18"/>
  <c r="M67" i="18"/>
  <c r="G35" i="7"/>
  <c r="G23" i="7"/>
  <c r="P85" i="18"/>
  <c r="N85" i="18"/>
  <c r="M85" i="18"/>
  <c r="O85" i="18"/>
  <c r="F15" i="13"/>
  <c r="F15" i="7"/>
  <c r="N81" i="18"/>
  <c r="M81" i="18"/>
  <c r="P81" i="18"/>
  <c r="O81" i="18"/>
  <c r="E10" i="13"/>
  <c r="O28" i="18"/>
  <c r="N28" i="18"/>
  <c r="M28" i="18"/>
  <c r="P28" i="18"/>
  <c r="F14" i="13"/>
  <c r="F12" i="1"/>
  <c r="N9" i="3"/>
  <c r="P111" i="18"/>
  <c r="O111" i="18"/>
  <c r="N111" i="18"/>
  <c r="M111" i="18"/>
  <c r="O88" i="18"/>
  <c r="P88" i="18"/>
  <c r="N88" i="18"/>
  <c r="M88" i="18"/>
  <c r="N37" i="18"/>
  <c r="P37" i="18"/>
  <c r="O37" i="18"/>
  <c r="M37" i="18"/>
  <c r="P73" i="18"/>
  <c r="N73" i="18"/>
  <c r="O73" i="18"/>
  <c r="M73" i="18"/>
  <c r="E9" i="13"/>
  <c r="K18" i="6"/>
  <c r="E18" i="6"/>
  <c r="N16" i="3"/>
  <c r="M12" i="18"/>
  <c r="P12" i="18"/>
  <c r="O12" i="18"/>
  <c r="N12" i="18"/>
  <c r="N11" i="4"/>
  <c r="E15" i="6"/>
  <c r="K9" i="6"/>
  <c r="O10" i="18"/>
  <c r="N10" i="18"/>
  <c r="P10" i="18"/>
  <c r="M10" i="18"/>
  <c r="I35" i="7"/>
  <c r="I23" i="7"/>
  <c r="B10" i="3"/>
  <c r="N8" i="3"/>
  <c r="P78" i="18"/>
  <c r="N78" i="18"/>
  <c r="M78" i="18"/>
  <c r="O78" i="18"/>
  <c r="P101" i="18"/>
  <c r="N101" i="18"/>
  <c r="O101" i="18"/>
  <c r="M101" i="18"/>
  <c r="O46" i="18"/>
  <c r="P46" i="18"/>
  <c r="M46" i="18"/>
  <c r="N46" i="18"/>
  <c r="M20" i="18"/>
  <c r="P20" i="18"/>
  <c r="O20" i="18"/>
  <c r="N20" i="18"/>
  <c r="F19" i="13"/>
  <c r="G9" i="4"/>
  <c r="G12" i="4" s="1"/>
  <c r="G42" i="1"/>
  <c r="G18" i="7"/>
  <c r="G19" i="7" s="1"/>
  <c r="G20" i="7" s="1"/>
  <c r="N150" i="18"/>
  <c r="M150" i="18"/>
  <c r="P150" i="18"/>
  <c r="O150" i="18"/>
  <c r="O8" i="18"/>
  <c r="P8" i="18"/>
  <c r="N8" i="18"/>
  <c r="M8" i="18"/>
  <c r="E8" i="13"/>
  <c r="O33" i="18"/>
  <c r="N33" i="18"/>
  <c r="P33" i="18"/>
  <c r="M33" i="18"/>
  <c r="F35" i="7"/>
  <c r="F23" i="7"/>
  <c r="L9" i="4"/>
  <c r="L12" i="4" s="1"/>
  <c r="L42" i="1"/>
  <c r="L18" i="7"/>
  <c r="L19" i="7" s="1"/>
  <c r="L20" i="7" s="1"/>
  <c r="N17" i="3"/>
  <c r="P25" i="18"/>
  <c r="O25" i="18"/>
  <c r="N25" i="18"/>
  <c r="M25" i="18"/>
  <c r="P96" i="18"/>
  <c r="M96" i="18"/>
  <c r="O96" i="18"/>
  <c r="N96" i="18"/>
  <c r="P156" i="18"/>
  <c r="O156" i="18"/>
  <c r="N156" i="18"/>
  <c r="M156" i="18"/>
  <c r="M167" i="18"/>
  <c r="O167" i="18" s="1"/>
  <c r="P167" i="18"/>
  <c r="N92" i="18"/>
  <c r="M92" i="18"/>
  <c r="P92" i="18"/>
  <c r="O92" i="18"/>
  <c r="P11" i="18"/>
  <c r="N11" i="18"/>
  <c r="O11" i="18"/>
  <c r="M11" i="18"/>
  <c r="L25" i="7"/>
  <c r="L36" i="7"/>
  <c r="E14" i="6"/>
  <c r="B7" i="8"/>
  <c r="O159" i="18"/>
  <c r="N159" i="18"/>
  <c r="P159" i="18"/>
  <c r="M159" i="18"/>
  <c r="P155" i="18"/>
  <c r="M155" i="18"/>
  <c r="O155" i="18"/>
  <c r="N155" i="18"/>
  <c r="B23" i="21"/>
  <c r="D23" i="21" s="1"/>
  <c r="E12" i="6"/>
  <c r="B36" i="7"/>
  <c r="B25" i="7"/>
  <c r="N24" i="7"/>
  <c r="N36" i="7" s="1"/>
  <c r="N49" i="18"/>
  <c r="O49" i="18"/>
  <c r="P49" i="18"/>
  <c r="M49" i="18"/>
  <c r="P65" i="18"/>
  <c r="N65" i="18"/>
  <c r="M65" i="18"/>
  <c r="O65" i="18"/>
  <c r="P30" i="18"/>
  <c r="M30" i="18"/>
  <c r="O30" i="18"/>
  <c r="N30" i="18"/>
  <c r="F16" i="13"/>
  <c r="E10" i="6"/>
  <c r="K10" i="6"/>
  <c r="K25" i="7"/>
  <c r="K36" i="7"/>
  <c r="G12" i="6"/>
  <c r="N10" i="4"/>
  <c r="F9" i="4"/>
  <c r="F12" i="4" s="1"/>
  <c r="F18" i="7"/>
  <c r="F19" i="7" s="1"/>
  <c r="F20" i="7" s="1"/>
  <c r="F42" i="1"/>
  <c r="E16" i="6"/>
  <c r="B19" i="19" l="1"/>
  <c r="L15" i="6"/>
  <c r="J15" i="4" s="1"/>
  <c r="L14" i="6"/>
  <c r="I15" i="4" s="1"/>
  <c r="N31" i="7"/>
  <c r="H15" i="6"/>
  <c r="J14" i="4" s="1"/>
  <c r="H18" i="6"/>
  <c r="M14" i="4" s="1"/>
  <c r="B21" i="6"/>
  <c r="N10" i="10"/>
  <c r="L12" i="6"/>
  <c r="G15" i="4" s="1"/>
  <c r="C50" i="6"/>
  <c r="J16" i="4"/>
  <c r="J17" i="4" s="1"/>
  <c r="L16" i="6"/>
  <c r="K15" i="4" s="1"/>
  <c r="H10" i="6"/>
  <c r="E14" i="4" s="1"/>
  <c r="L9" i="6"/>
  <c r="D15" i="4" s="1"/>
  <c r="J15" i="6"/>
  <c r="L13" i="6"/>
  <c r="H15" i="4" s="1"/>
  <c r="L17" i="6"/>
  <c r="L15" i="4" s="1"/>
  <c r="B15" i="12"/>
  <c r="H14" i="6"/>
  <c r="I14" i="4" s="1"/>
  <c r="I26" i="7" s="1"/>
  <c r="I37" i="7" s="1"/>
  <c r="J7" i="6"/>
  <c r="J16" i="6"/>
  <c r="H16" i="6"/>
  <c r="K14" i="4" s="1"/>
  <c r="A12" i="1"/>
  <c r="B14" i="12"/>
  <c r="B13" i="12"/>
  <c r="B13" i="8"/>
  <c r="B9" i="8"/>
  <c r="B82" i="13"/>
  <c r="B85" i="13"/>
  <c r="B83" i="13"/>
  <c r="B84" i="13"/>
  <c r="B81" i="13"/>
  <c r="B7" i="5"/>
  <c r="B21" i="10"/>
  <c r="B7" i="9"/>
  <c r="K8" i="1"/>
  <c r="J26" i="7"/>
  <c r="H12" i="6"/>
  <c r="G14" i="4" s="1"/>
  <c r="G26" i="7" s="1"/>
  <c r="C48" i="6"/>
  <c r="J12" i="6"/>
  <c r="L8" i="6"/>
  <c r="C15" i="4" s="1"/>
  <c r="B23" i="6"/>
  <c r="B24" i="6"/>
  <c r="B8" i="21"/>
  <c r="D8" i="21" s="1"/>
  <c r="L10" i="6"/>
  <c r="E15" i="4" s="1"/>
  <c r="N25" i="7"/>
  <c r="G15" i="7"/>
  <c r="J8" i="6"/>
  <c r="H8" i="6"/>
  <c r="C14" i="4" s="1"/>
  <c r="C47" i="6"/>
  <c r="H9" i="6"/>
  <c r="D14" i="4" s="1"/>
  <c r="J9" i="6"/>
  <c r="C22" i="14"/>
  <c r="D22" i="14" s="1"/>
  <c r="E22" i="14" s="1"/>
  <c r="N9" i="4"/>
  <c r="B7" i="12" s="1"/>
  <c r="N18" i="7"/>
  <c r="B16" i="10"/>
  <c r="C7" i="10"/>
  <c r="B8" i="10"/>
  <c r="B12" i="10"/>
  <c r="H17" i="6"/>
  <c r="L14" i="4" s="1"/>
  <c r="D35" i="7"/>
  <c r="D23" i="7"/>
  <c r="N23" i="7" s="1"/>
  <c r="N22" i="7"/>
  <c r="N35" i="7" s="1"/>
  <c r="H11" i="6"/>
  <c r="F14" i="4" s="1"/>
  <c r="J11" i="6"/>
  <c r="B13" i="3"/>
  <c r="N10" i="3"/>
  <c r="B16" i="4"/>
  <c r="N12" i="4"/>
  <c r="B8" i="12" s="1"/>
  <c r="N167" i="18"/>
  <c r="C84" i="13" s="1"/>
  <c r="N19" i="7"/>
  <c r="N20" i="7" s="1"/>
  <c r="B20" i="7"/>
  <c r="B17" i="12"/>
  <c r="B18" i="12" s="1"/>
  <c r="B69" i="13"/>
  <c r="B70" i="13" s="1"/>
  <c r="C9" i="13"/>
  <c r="C19" i="13"/>
  <c r="C20" i="13"/>
  <c r="C12" i="13"/>
  <c r="C8" i="13"/>
  <c r="C10" i="13"/>
  <c r="A8" i="1"/>
  <c r="C14" i="13"/>
  <c r="C18" i="13"/>
  <c r="C13" i="13"/>
  <c r="C21" i="13"/>
  <c r="C17" i="13"/>
  <c r="C16" i="13"/>
  <c r="C15" i="13"/>
  <c r="C7" i="13"/>
  <c r="C11" i="13"/>
  <c r="B9" i="9"/>
  <c r="B26" i="7"/>
  <c r="H13" i="6"/>
  <c r="H14" i="4" s="1"/>
  <c r="L18" i="6"/>
  <c r="M15" i="4" s="1"/>
  <c r="M16" i="4" s="1"/>
  <c r="B25" i="6"/>
  <c r="B27" i="6" s="1"/>
  <c r="B16" i="5" s="1"/>
  <c r="B18" i="5" s="1"/>
  <c r="C53" i="6"/>
  <c r="N9" i="10"/>
  <c r="L11" i="6"/>
  <c r="F15" i="4" s="1"/>
  <c r="C85" i="13" l="1"/>
  <c r="J18" i="4"/>
  <c r="K26" i="7"/>
  <c r="K37" i="7" s="1"/>
  <c r="J43" i="1"/>
  <c r="E16" i="4"/>
  <c r="E43" i="1" s="1"/>
  <c r="C81" i="13"/>
  <c r="C82" i="13"/>
  <c r="L26" i="7"/>
  <c r="L37" i="7" s="1"/>
  <c r="I27" i="7"/>
  <c r="L16" i="4"/>
  <c r="L18" i="4" s="1"/>
  <c r="B19" i="12"/>
  <c r="B20" i="12" s="1"/>
  <c r="I16" i="4"/>
  <c r="E26" i="7"/>
  <c r="E27" i="7" s="1"/>
  <c r="M26" i="7"/>
  <c r="M37" i="7" s="1"/>
  <c r="N15" i="4"/>
  <c r="G16" i="4"/>
  <c r="G18" i="4" s="1"/>
  <c r="B10" i="5"/>
  <c r="B11" i="5" s="1"/>
  <c r="K16" i="4"/>
  <c r="K43" i="1" s="1"/>
  <c r="F26" i="7"/>
  <c r="F27" i="7" s="1"/>
  <c r="M43" i="1"/>
  <c r="M18" i="4"/>
  <c r="M17" i="4"/>
  <c r="J22" i="14"/>
  <c r="G22" i="14"/>
  <c r="B23" i="14" s="1"/>
  <c r="B18" i="10"/>
  <c r="C26" i="7"/>
  <c r="C16" i="4"/>
  <c r="H26" i="7"/>
  <c r="H16" i="4"/>
  <c r="B37" i="7"/>
  <c r="B27" i="7"/>
  <c r="B18" i="4"/>
  <c r="B43" i="1"/>
  <c r="B17" i="4"/>
  <c r="C16" i="10"/>
  <c r="D7" i="10"/>
  <c r="C8" i="10"/>
  <c r="C12" i="10"/>
  <c r="C18" i="10" s="1"/>
  <c r="H15" i="7"/>
  <c r="B87" i="13"/>
  <c r="B19" i="21" s="1"/>
  <c r="D19" i="21" s="1"/>
  <c r="N14" i="4"/>
  <c r="F16" i="4"/>
  <c r="B20" i="10"/>
  <c r="N20" i="10" s="1"/>
  <c r="K12" i="1"/>
  <c r="B8" i="9"/>
  <c r="N13" i="3"/>
  <c r="B14" i="3"/>
  <c r="B12" i="8"/>
  <c r="B11" i="8"/>
  <c r="B15" i="8" s="1"/>
  <c r="B16" i="8"/>
  <c r="B10" i="9"/>
  <c r="C83" i="13"/>
  <c r="J37" i="7"/>
  <c r="J27" i="7"/>
  <c r="G27" i="7"/>
  <c r="G37" i="7"/>
  <c r="D26" i="7"/>
  <c r="D16" i="4"/>
  <c r="B31" i="6"/>
  <c r="K27" i="7" l="1"/>
  <c r="E17" i="4"/>
  <c r="E18" i="4"/>
  <c r="G17" i="4"/>
  <c r="G43" i="1"/>
  <c r="E37" i="7"/>
  <c r="B88" i="13"/>
  <c r="B20" i="21" s="1"/>
  <c r="D20" i="21" s="1"/>
  <c r="L17" i="4"/>
  <c r="L27" i="7"/>
  <c r="L43" i="1"/>
  <c r="M27" i="7"/>
  <c r="I17" i="4"/>
  <c r="I18" i="4"/>
  <c r="I43" i="1"/>
  <c r="K17" i="4"/>
  <c r="K18" i="4"/>
  <c r="N16" i="4"/>
  <c r="B23" i="5" s="1"/>
  <c r="B25" i="5" s="1"/>
  <c r="B27" i="5" s="1"/>
  <c r="B28" i="5" s="1"/>
  <c r="F37" i="7"/>
  <c r="D12" i="10"/>
  <c r="E7" i="10"/>
  <c r="D8" i="10"/>
  <c r="D16" i="10"/>
  <c r="D27" i="7"/>
  <c r="D37" i="7"/>
  <c r="B12" i="12"/>
  <c r="C37" i="7"/>
  <c r="C27" i="7"/>
  <c r="D18" i="4"/>
  <c r="D43" i="1"/>
  <c r="D17" i="4"/>
  <c r="N18" i="4"/>
  <c r="I15" i="7"/>
  <c r="H18" i="4"/>
  <c r="H43" i="1"/>
  <c r="H17" i="4"/>
  <c r="H37" i="7"/>
  <c r="H27" i="7"/>
  <c r="B44" i="1"/>
  <c r="B32" i="7"/>
  <c r="C7" i="3"/>
  <c r="C18" i="4"/>
  <c r="C43" i="1"/>
  <c r="C17" i="4"/>
  <c r="N26" i="7"/>
  <c r="N37" i="7" s="1"/>
  <c r="F43" i="1"/>
  <c r="F18" i="4"/>
  <c r="F17" i="4"/>
  <c r="C23" i="14"/>
  <c r="D23" i="14" s="1"/>
  <c r="E23" i="14" s="1"/>
  <c r="B10" i="12" l="1"/>
  <c r="F8" i="1"/>
  <c r="N17" i="4"/>
  <c r="B9" i="12" s="1"/>
  <c r="N27" i="7"/>
  <c r="J23" i="14"/>
  <c r="G23" i="14"/>
  <c r="B24" i="14" s="1"/>
  <c r="C14" i="3"/>
  <c r="F7" i="10"/>
  <c r="E12" i="10"/>
  <c r="E18" i="10" s="1"/>
  <c r="E8" i="10"/>
  <c r="E16" i="10"/>
  <c r="B10" i="21"/>
  <c r="D10" i="21" s="1"/>
  <c r="B29" i="5"/>
  <c r="A33" i="1" s="1"/>
  <c r="B33" i="7"/>
  <c r="B40" i="7"/>
  <c r="D18" i="10"/>
  <c r="J15" i="7"/>
  <c r="K15" i="7" l="1"/>
  <c r="F8" i="10"/>
  <c r="F16" i="10"/>
  <c r="G7" i="10"/>
  <c r="F12" i="10"/>
  <c r="C24" i="14"/>
  <c r="D24" i="14" s="1"/>
  <c r="E24" i="14" s="1"/>
  <c r="D7" i="3"/>
  <c r="C32" i="7"/>
  <c r="C44" i="1"/>
  <c r="J24" i="14" l="1"/>
  <c r="G24" i="14"/>
  <c r="B25" i="14" s="1"/>
  <c r="D14" i="3"/>
  <c r="C33" i="7"/>
  <c r="C40" i="7"/>
  <c r="L15" i="7"/>
  <c r="F18" i="10"/>
  <c r="G16" i="10"/>
  <c r="G12" i="10"/>
  <c r="G18" i="10" s="1"/>
  <c r="G8" i="10"/>
  <c r="H7" i="10"/>
  <c r="H12" i="10" l="1"/>
  <c r="H18" i="10" s="1"/>
  <c r="H16" i="10"/>
  <c r="H8" i="10"/>
  <c r="I7" i="10"/>
  <c r="C25" i="14"/>
  <c r="D25" i="14" s="1"/>
  <c r="E25" i="14" s="1"/>
  <c r="M15" i="7"/>
  <c r="E7" i="3"/>
  <c r="E14" i="3" s="1"/>
  <c r="D44" i="1"/>
  <c r="D32" i="7"/>
  <c r="J25" i="14" l="1"/>
  <c r="G25" i="14"/>
  <c r="B26" i="14" s="1"/>
  <c r="F7" i="3"/>
  <c r="F14" i="3" s="1"/>
  <c r="E32" i="7"/>
  <c r="E44" i="1"/>
  <c r="N15" i="7"/>
  <c r="D33" i="7"/>
  <c r="D40" i="7"/>
  <c r="I16" i="10"/>
  <c r="I8" i="10"/>
  <c r="J7" i="10"/>
  <c r="I12" i="10"/>
  <c r="J8" i="10" l="1"/>
  <c r="J12" i="10"/>
  <c r="J18" i="10" s="1"/>
  <c r="K7" i="10"/>
  <c r="J16" i="10"/>
  <c r="I18" i="10"/>
  <c r="C26" i="14"/>
  <c r="D26" i="14" s="1"/>
  <c r="E26" i="14" s="1"/>
  <c r="J26" i="14" s="1"/>
  <c r="E33" i="7"/>
  <c r="E40" i="7"/>
  <c r="F32" i="7"/>
  <c r="F44" i="1"/>
  <c r="G7" i="3"/>
  <c r="G14" i="3" s="1"/>
  <c r="G44" i="1" l="1"/>
  <c r="G32" i="7"/>
  <c r="H7" i="3"/>
  <c r="H14" i="3" s="1"/>
  <c r="F33" i="7"/>
  <c r="F40" i="7"/>
  <c r="G26" i="14"/>
  <c r="B27" i="14" s="1"/>
  <c r="K8" i="10"/>
  <c r="K12" i="10"/>
  <c r="K18" i="10" s="1"/>
  <c r="L7" i="10"/>
  <c r="K16" i="10"/>
  <c r="M7" i="10" l="1"/>
  <c r="L16" i="10"/>
  <c r="L12" i="10"/>
  <c r="L18" i="10" s="1"/>
  <c r="L8" i="10"/>
  <c r="C27" i="14"/>
  <c r="D27" i="14" s="1"/>
  <c r="E27" i="14" s="1"/>
  <c r="I7" i="3"/>
  <c r="I14" i="3" s="1"/>
  <c r="H44" i="1"/>
  <c r="H32" i="7"/>
  <c r="G33" i="7"/>
  <c r="G40" i="7"/>
  <c r="J27" i="14" l="1"/>
  <c r="G27" i="14"/>
  <c r="B28" i="14" s="1"/>
  <c r="J7" i="3"/>
  <c r="J14" i="3" s="1"/>
  <c r="I44" i="1"/>
  <c r="I32" i="7"/>
  <c r="H33" i="7"/>
  <c r="H40" i="7"/>
  <c r="M16" i="10"/>
  <c r="N16" i="10" s="1"/>
  <c r="M8" i="10"/>
  <c r="M12" i="10"/>
  <c r="N7" i="10"/>
  <c r="N8" i="10" l="1"/>
  <c r="C28" i="14"/>
  <c r="D28" i="14" s="1"/>
  <c r="E28" i="14" s="1"/>
  <c r="M18" i="10"/>
  <c r="N18" i="10" s="1"/>
  <c r="N12" i="10"/>
  <c r="I33" i="7"/>
  <c r="I40" i="7"/>
  <c r="J44" i="1"/>
  <c r="K7" i="3"/>
  <c r="K14" i="3" s="1"/>
  <c r="J32" i="7"/>
  <c r="J28" i="14" l="1"/>
  <c r="G28" i="14"/>
  <c r="B29" i="14" s="1"/>
  <c r="L7" i="3"/>
  <c r="L14" i="3" s="1"/>
  <c r="K44" i="1"/>
  <c r="K32" i="7"/>
  <c r="J33" i="7"/>
  <c r="J40" i="7"/>
  <c r="K33" i="7" l="1"/>
  <c r="K40" i="7"/>
  <c r="C29" i="14"/>
  <c r="D29" i="14" s="1"/>
  <c r="E29" i="14" s="1"/>
  <c r="L32" i="7"/>
  <c r="M7" i="3"/>
  <c r="M14" i="3" s="1"/>
  <c r="L44" i="1"/>
  <c r="J29" i="14" l="1"/>
  <c r="G29" i="14"/>
  <c r="B30" i="14" s="1"/>
  <c r="L33" i="7"/>
  <c r="L40" i="7"/>
  <c r="M44" i="1"/>
  <c r="M32" i="7"/>
  <c r="N14" i="3"/>
  <c r="B9" i="21" l="1"/>
  <c r="D9" i="21" s="1"/>
  <c r="N32" i="7"/>
  <c r="N40" i="7" s="1"/>
  <c r="M33" i="7"/>
  <c r="N33" i="7" s="1"/>
  <c r="M40" i="7"/>
  <c r="C30" i="14"/>
  <c r="D30" i="14" s="1"/>
  <c r="E30" i="14" s="1"/>
  <c r="J30" i="14" s="1"/>
  <c r="G30" i="14" l="1"/>
  <c r="B31" i="14" s="1"/>
  <c r="C31" i="14" l="1"/>
  <c r="D31" i="14" s="1"/>
  <c r="E31" i="14" s="1"/>
  <c r="J31" i="14" l="1"/>
  <c r="B13" i="21" s="1"/>
  <c r="D13" i="21" s="1"/>
  <c r="G31" i="14"/>
  <c r="B32" i="14" s="1"/>
  <c r="C32" i="14" l="1"/>
  <c r="B11" i="10" s="1"/>
  <c r="D32" i="14" l="1"/>
  <c r="E32" i="14" s="1"/>
  <c r="B15" i="10"/>
  <c r="B17" i="10"/>
  <c r="B11" i="9" l="1"/>
  <c r="B13" i="9" s="1"/>
  <c r="C23" i="9" s="1"/>
  <c r="E23" i="9" s="1"/>
  <c r="B23" i="10"/>
  <c r="B19" i="10"/>
  <c r="B22" i="10" s="1"/>
  <c r="G32" i="14"/>
  <c r="B33" i="14" s="1"/>
  <c r="C19" i="9" l="1"/>
  <c r="E19" i="9" s="1"/>
  <c r="C21" i="9"/>
  <c r="E21" i="9" s="1"/>
  <c r="C18" i="9"/>
  <c r="E18" i="9" s="1"/>
  <c r="C17" i="9"/>
  <c r="E17" i="9" s="1"/>
  <c r="C20" i="9"/>
  <c r="E20" i="9" s="1"/>
  <c r="C22" i="9"/>
  <c r="E22" i="9" s="1"/>
  <c r="B24" i="10"/>
  <c r="C21" i="10"/>
  <c r="C33" i="14"/>
  <c r="C11" i="10" s="1"/>
  <c r="D33" i="14" l="1"/>
  <c r="E33" i="14" s="1"/>
  <c r="G33" i="14" s="1"/>
  <c r="B34" i="14" s="1"/>
  <c r="C19" i="10"/>
  <c r="C15" i="10"/>
  <c r="C17" i="10"/>
  <c r="C23" i="10" l="1"/>
  <c r="C34" i="14"/>
  <c r="D11" i="10" s="1"/>
  <c r="C22" i="10"/>
  <c r="D21" i="10" l="1"/>
  <c r="C24" i="10"/>
  <c r="D34" i="14"/>
  <c r="E34" i="14" s="1"/>
  <c r="D15" i="10"/>
  <c r="D17" i="10"/>
  <c r="D19" i="10" l="1"/>
  <c r="D22" i="10" s="1"/>
  <c r="G34" i="14"/>
  <c r="B35" i="14" s="1"/>
  <c r="D23" i="10"/>
  <c r="B28" i="10"/>
  <c r="D24" i="10" l="1"/>
  <c r="C28" i="10"/>
  <c r="E21" i="10"/>
  <c r="C35" i="14"/>
  <c r="E11" i="10" s="1"/>
  <c r="D35" i="14" l="1"/>
  <c r="E35" i="14" s="1"/>
  <c r="E17" i="10"/>
  <c r="E15" i="10"/>
  <c r="E23" i="10" l="1"/>
  <c r="E19" i="10"/>
  <c r="E22" i="10" s="1"/>
  <c r="G35" i="14"/>
  <c r="B36" i="14" s="1"/>
  <c r="C36" i="14" l="1"/>
  <c r="F11" i="10" s="1"/>
  <c r="E24" i="10"/>
  <c r="F21" i="10"/>
  <c r="D36" i="14" l="1"/>
  <c r="E36" i="14" s="1"/>
  <c r="F19" i="10" s="1"/>
  <c r="F15" i="10"/>
  <c r="F17" i="10"/>
  <c r="F22" i="10" l="1"/>
  <c r="G36" i="14"/>
  <c r="B37" i="14" s="1"/>
  <c r="C37" i="14" s="1"/>
  <c r="G11" i="10" s="1"/>
  <c r="F24" i="10"/>
  <c r="G21" i="10"/>
  <c r="F23" i="10"/>
  <c r="G15" i="10" l="1"/>
  <c r="G17" i="10"/>
  <c r="D37" i="14"/>
  <c r="E37" i="14" s="1"/>
  <c r="G19" i="10" l="1"/>
  <c r="G22" i="10" s="1"/>
  <c r="G37" i="14"/>
  <c r="B38" i="14" s="1"/>
  <c r="G23" i="10"/>
  <c r="B29" i="10"/>
  <c r="C38" i="14" l="1"/>
  <c r="H11" i="10" s="1"/>
  <c r="H21" i="10"/>
  <c r="C29" i="10"/>
  <c r="G24" i="10"/>
  <c r="H15" i="10" l="1"/>
  <c r="H23" i="10" s="1"/>
  <c r="H17" i="10"/>
  <c r="D38" i="14"/>
  <c r="E38" i="14" s="1"/>
  <c r="H19" i="10" l="1"/>
  <c r="H22" i="10" s="1"/>
  <c r="G38" i="14"/>
  <c r="B39" i="14" s="1"/>
  <c r="I21" i="10" l="1"/>
  <c r="H24" i="10"/>
  <c r="C39" i="14"/>
  <c r="I11" i="10" s="1"/>
  <c r="D39" i="14" l="1"/>
  <c r="E39" i="14" s="1"/>
  <c r="I19" i="10" s="1"/>
  <c r="I15" i="10"/>
  <c r="I23" i="10" s="1"/>
  <c r="I17" i="10"/>
  <c r="I22" i="10" l="1"/>
  <c r="G39" i="14"/>
  <c r="B40" i="14" s="1"/>
  <c r="C40" i="14" s="1"/>
  <c r="J11" i="10" s="1"/>
  <c r="I24" i="10"/>
  <c r="J21" i="10"/>
  <c r="J15" i="10" l="1"/>
  <c r="J23" i="10" s="1"/>
  <c r="J17" i="10"/>
  <c r="D40" i="14"/>
  <c r="E40" i="14" s="1"/>
  <c r="J19" i="10" l="1"/>
  <c r="J22" i="10" s="1"/>
  <c r="G40" i="14"/>
  <c r="B41" i="14" s="1"/>
  <c r="C41" i="14" l="1"/>
  <c r="K11" i="10" s="1"/>
  <c r="K21" i="10"/>
  <c r="J24" i="10"/>
  <c r="K17" i="10" l="1"/>
  <c r="K15" i="10"/>
  <c r="K23" i="10" s="1"/>
  <c r="D41" i="14"/>
  <c r="E41" i="14" s="1"/>
  <c r="K19" i="10" l="1"/>
  <c r="K22" i="10" s="1"/>
  <c r="G41" i="14"/>
  <c r="B42" i="14" s="1"/>
  <c r="L21" i="10" l="1"/>
  <c r="K24" i="10"/>
  <c r="D42" i="14"/>
  <c r="C42" i="14"/>
  <c r="L11" i="10" s="1"/>
  <c r="L17" i="10" l="1"/>
  <c r="L15" i="10"/>
  <c r="L23" i="10" s="1"/>
  <c r="E42" i="14"/>
  <c r="L19" i="10" l="1"/>
  <c r="L22" i="10" s="1"/>
  <c r="G42" i="14"/>
  <c r="B43" i="14" s="1"/>
  <c r="C43" i="14" l="1"/>
  <c r="M11" i="10" s="1"/>
  <c r="D43" i="14"/>
  <c r="M21" i="10"/>
  <c r="L24" i="10"/>
  <c r="E43" i="14" l="1"/>
  <c r="M19" i="10" s="1"/>
  <c r="N19" i="10" s="1"/>
  <c r="N21" i="10"/>
  <c r="G43" i="14"/>
  <c r="B44" i="14" s="1"/>
  <c r="M17" i="10"/>
  <c r="N17" i="10" s="1"/>
  <c r="M15" i="10"/>
  <c r="N11" i="10"/>
  <c r="M23" i="10" l="1"/>
  <c r="B30" i="10"/>
  <c r="B19" i="11"/>
  <c r="N15" i="10"/>
  <c r="N23" i="10" s="1"/>
  <c r="M22" i="10"/>
  <c r="D44" i="14"/>
  <c r="C44" i="14"/>
  <c r="E44" i="14" l="1"/>
  <c r="G44" i="14" s="1"/>
  <c r="B45" i="14" s="1"/>
  <c r="D45" i="14" s="1"/>
  <c r="N22" i="10"/>
  <c r="C30" i="10"/>
  <c r="B20" i="11"/>
  <c r="M24" i="10"/>
  <c r="N24" i="10" s="1"/>
  <c r="B17" i="11"/>
  <c r="B21" i="11" s="1"/>
  <c r="B18" i="11"/>
  <c r="C45" i="14" l="1"/>
  <c r="E45" i="14" s="1"/>
  <c r="G45" i="14" s="1"/>
  <c r="B46" i="14" s="1"/>
  <c r="C46" i="14" l="1"/>
  <c r="D46" i="14"/>
  <c r="E46" i="14" l="1"/>
  <c r="G46" i="14" s="1"/>
  <c r="B47" i="14" s="1"/>
  <c r="D47" i="14" l="1"/>
  <c r="C47" i="14"/>
  <c r="E47" i="14" l="1"/>
  <c r="G47" i="14" s="1"/>
  <c r="B48" i="14" s="1"/>
  <c r="D48" i="14" l="1"/>
  <c r="C48" i="14"/>
  <c r="E48" i="14" l="1"/>
  <c r="G48" i="14" s="1"/>
  <c r="B49" i="14" s="1"/>
  <c r="D49" i="14" l="1"/>
  <c r="C49" i="14"/>
  <c r="E49" i="14" l="1"/>
  <c r="G49" i="14" s="1"/>
  <c r="B50" i="14" s="1"/>
  <c r="D50" i="14" l="1"/>
  <c r="C50" i="14"/>
  <c r="E50" i="14" l="1"/>
  <c r="G50" i="14" s="1"/>
  <c r="B51" i="14" s="1"/>
  <c r="D51" i="14" l="1"/>
  <c r="C51" i="14"/>
  <c r="E51" i="14" l="1"/>
  <c r="G51" i="14" s="1"/>
  <c r="B52" i="14" s="1"/>
  <c r="C52" i="14" l="1"/>
  <c r="D52" i="14"/>
  <c r="E52" i="14" l="1"/>
  <c r="G52" i="14" s="1"/>
  <c r="B53" i="14" s="1"/>
  <c r="C53" i="14" s="1"/>
  <c r="D53" i="14" l="1"/>
  <c r="E53" i="14"/>
  <c r="G53" i="14" s="1"/>
  <c r="B54" i="14" s="1"/>
  <c r="D54" i="14" s="1"/>
  <c r="C54" i="14"/>
  <c r="E54" i="14" l="1"/>
  <c r="G54" i="14" s="1"/>
  <c r="B55" i="14" s="1"/>
  <c r="D55" i="14" l="1"/>
  <c r="C55" i="14"/>
  <c r="E55" i="14" l="1"/>
  <c r="G55" i="14" s="1"/>
  <c r="B56" i="14" s="1"/>
  <c r="C56" i="14" l="1"/>
  <c r="D56" i="14"/>
  <c r="E56" i="14" l="1"/>
  <c r="G56" i="14" s="1"/>
  <c r="B57" i="14" s="1"/>
  <c r="D57" i="14" s="1"/>
  <c r="C57" i="14" l="1"/>
  <c r="E57" i="14" s="1"/>
  <c r="G57" i="14" s="1"/>
  <c r="B58" i="14" s="1"/>
  <c r="C58" i="14" l="1"/>
  <c r="D58" i="14"/>
  <c r="E58" i="14" l="1"/>
  <c r="G58" i="14" s="1"/>
  <c r="B59" i="14" s="1"/>
  <c r="D59" i="14"/>
  <c r="C59" i="14"/>
  <c r="E59" i="14" l="1"/>
  <c r="G59" i="14" s="1"/>
  <c r="B60" i="14" s="1"/>
  <c r="D60" i="14" l="1"/>
  <c r="C60" i="14"/>
  <c r="E60" i="14" l="1"/>
  <c r="G60" i="14" s="1"/>
  <c r="B61" i="14" s="1"/>
  <c r="C61" i="14" l="1"/>
  <c r="D61" i="14"/>
  <c r="E61" i="14" l="1"/>
  <c r="G61" i="14" s="1"/>
  <c r="B62" i="14" s="1"/>
  <c r="D62" i="14" s="1"/>
  <c r="C62" i="14" l="1"/>
  <c r="E62" i="14" s="1"/>
  <c r="G62" i="14" s="1"/>
  <c r="B63" i="14" s="1"/>
  <c r="C63" i="14" l="1"/>
  <c r="D63" i="14"/>
  <c r="E63" i="14" l="1"/>
  <c r="G63" i="14" s="1"/>
  <c r="B64" i="14" s="1"/>
  <c r="D64" i="14" s="1"/>
  <c r="C64" i="14" l="1"/>
  <c r="E64" i="14" s="1"/>
  <c r="G64" i="14" s="1"/>
  <c r="B65" i="14" s="1"/>
  <c r="C65" i="14" l="1"/>
  <c r="D65" i="14"/>
  <c r="E65" i="14" s="1"/>
  <c r="G65" i="14" s="1"/>
  <c r="B66" i="14" s="1"/>
  <c r="D66" i="14" l="1"/>
  <c r="C66" i="14"/>
  <c r="E66" i="14" l="1"/>
  <c r="G66" i="14" s="1"/>
  <c r="B67" i="14" s="1"/>
  <c r="D67" i="14" l="1"/>
  <c r="C67" i="14"/>
  <c r="E67" i="14" l="1"/>
  <c r="G67" i="14" s="1"/>
  <c r="B68" i="14" s="1"/>
  <c r="D68" i="14" l="1"/>
  <c r="C68" i="14"/>
  <c r="E68" i="14" l="1"/>
  <c r="G68" i="14" s="1"/>
  <c r="B69" i="14" s="1"/>
  <c r="D69" i="14" l="1"/>
  <c r="C69" i="14"/>
  <c r="E69" i="14" l="1"/>
  <c r="G69" i="14" s="1"/>
  <c r="B70" i="14" s="1"/>
  <c r="C70" i="14" l="1"/>
  <c r="D70" i="14"/>
  <c r="E70" i="14" l="1"/>
  <c r="G70" i="14" s="1"/>
  <c r="B71" i="14" s="1"/>
  <c r="D71" i="14" s="1"/>
  <c r="C71" i="14" l="1"/>
  <c r="E71" i="14"/>
  <c r="G71" i="14" s="1"/>
  <c r="B72" i="14" s="1"/>
  <c r="C72" i="14" l="1"/>
  <c r="D72" i="14"/>
  <c r="E72" i="14" s="1"/>
  <c r="G72" i="14" s="1"/>
  <c r="B73" i="14" s="1"/>
  <c r="C73" i="14" l="1"/>
  <c r="D73" i="14"/>
  <c r="E73" i="14" s="1"/>
  <c r="G73" i="14" s="1"/>
  <c r="B74" i="14" s="1"/>
  <c r="C74" i="14" l="1"/>
  <c r="D74" i="14"/>
  <c r="E74" i="14" s="1"/>
  <c r="G74" i="14" s="1"/>
  <c r="B75" i="14" s="1"/>
  <c r="D75" i="14" l="1"/>
  <c r="C75" i="14"/>
  <c r="E75" i="14" l="1"/>
  <c r="G75" i="14" s="1"/>
  <c r="B76" i="14" s="1"/>
  <c r="D76" i="14" l="1"/>
  <c r="C76" i="14"/>
  <c r="E76" i="14" l="1"/>
  <c r="G76" i="14" s="1"/>
  <c r="B77" i="14" s="1"/>
  <c r="D77" i="14" l="1"/>
  <c r="C77" i="14"/>
  <c r="E77" i="14" l="1"/>
  <c r="G77" i="14" s="1"/>
  <c r="B78" i="14" s="1"/>
  <c r="C78" i="14" l="1"/>
  <c r="D78" i="14"/>
  <c r="E78" i="14" l="1"/>
  <c r="G78" i="14" s="1"/>
  <c r="B79" i="14" s="1"/>
  <c r="D79" i="14" s="1"/>
  <c r="C79" i="14" l="1"/>
  <c r="E79" i="14"/>
  <c r="B11" i="12" l="1"/>
  <c r="B26" i="21" s="1"/>
  <c r="D26" i="21" s="1"/>
  <c r="G79" i="14"/>
</calcChain>
</file>

<file path=xl/sharedStrings.xml><?xml version="1.0" encoding="utf-8"?>
<sst xmlns="http://schemas.openxmlformats.org/spreadsheetml/2006/main" count="4358" uniqueCount="1071">
  <si>
    <t>Главная панель</t>
  </si>
  <si>
    <t>Настройки</t>
  </si>
  <si>
    <t>Контроль</t>
  </si>
  <si>
    <t>FINCORE BUSINESS PRO</t>
  </si>
  <si>
    <t>LEO STUDIO. Демонстрационный проект. Все данные вымышлены.</t>
  </si>
  <si>
    <t>Выручка</t>
  </si>
  <si>
    <t>Финансовый результат</t>
  </si>
  <si>
    <t>Денежные средства</t>
  </si>
  <si>
    <t>Дебиторская задолженность</t>
  </si>
  <si>
    <t>Кредиты и займы</t>
  </si>
  <si>
    <t>Налоги и взносы к уплате</t>
  </si>
  <si>
    <t>Проверяйте лист КОНТРОЛЬ перед принятием решений. Просрочки и ошибки выделяются цветом.</t>
  </si>
  <si>
    <t>НАСТРОЙКИ</t>
  </si>
  <si>
    <t>ДДС</t>
  </si>
  <si>
    <t>ОПиУ</t>
  </si>
  <si>
    <t>БАЛАНС</t>
  </si>
  <si>
    <t>НАЛОГИ</t>
  </si>
  <si>
    <t>БЮДЖЕТ</t>
  </si>
  <si>
    <t>РЕЗЕРВЫ</t>
  </si>
  <si>
    <t>РЕИНВЕСТИЦИИ</t>
  </si>
  <si>
    <t>ПРОГНОЗ</t>
  </si>
  <si>
    <t>РИСКИ</t>
  </si>
  <si>
    <t>ПОКАЗАТЕЛИ</t>
  </si>
  <si>
    <t>АНАЛИТИКА</t>
  </si>
  <si>
    <t>КРЕДИТ</t>
  </si>
  <si>
    <t>АКТИВЫ</t>
  </si>
  <si>
    <t>ИНВЕСТПРОЕКТ</t>
  </si>
  <si>
    <t>ОПЕРАЦИИ</t>
  </si>
  <si>
    <t>НАЧИСЛЕНИЯ</t>
  </si>
  <si>
    <t>СЧЕТА</t>
  </si>
  <si>
    <t>СПРАВОЧНИКИ</t>
  </si>
  <si>
    <t>КОНТРОЛЬ</t>
  </si>
  <si>
    <t>ИНСТРУКЦИЯ</t>
  </si>
  <si>
    <t>Показатель</t>
  </si>
  <si>
    <t>Результат</t>
  </si>
  <si>
    <t>Денежный остаток</t>
  </si>
  <si>
    <t>LEO STUDIO • Управленческий учёт • RUB</t>
  </si>
  <si>
    <t>Параметр</t>
  </si>
  <si>
    <t>Значение</t>
  </si>
  <si>
    <t>Пояснение</t>
  </si>
  <si>
    <t>Форма бизнеса</t>
  </si>
  <si>
    <t>ИП</t>
  </si>
  <si>
    <t>ИП или ООО</t>
  </si>
  <si>
    <t>Налоговый режим</t>
  </si>
  <si>
    <t>УСН Доходы</t>
  </si>
  <si>
    <t>ОСНО / ПСН: только ручной режим</t>
  </si>
  <si>
    <t>Отчётный год</t>
  </si>
  <si>
    <t>Одна книга на финансовый год</t>
  </si>
  <si>
    <t>Дата отчёта</t>
  </si>
  <si>
    <t>В демо весь 2026 год — вымышленный сценарий</t>
  </si>
  <si>
    <t>Начало учёта</t>
  </si>
  <si>
    <t>Не менять без переноса начальных остатков</t>
  </si>
  <si>
    <t>Сотрудники</t>
  </si>
  <si>
    <t>Да</t>
  </si>
  <si>
    <t>Для ООО: взносы и НДФЛ задаются отдельно</t>
  </si>
  <si>
    <t>Регион</t>
  </si>
  <si>
    <t>Москва</t>
  </si>
  <si>
    <t>Региональные льготы подтвердите отдельно</t>
  </si>
  <si>
    <t>Ставка УСН доходы</t>
  </si>
  <si>
    <t>Базовая ставка, редактируется при подтверждённой льготе</t>
  </si>
  <si>
    <t>Ставка УСН Д-Р</t>
  </si>
  <si>
    <t>Базовая ставка, региональные условия проверяются</t>
  </si>
  <si>
    <t>НПД ФЛ</t>
  </si>
  <si>
    <t>Поступления от физических лиц</t>
  </si>
  <si>
    <t>НПД ЮЛ / ИП</t>
  </si>
  <si>
    <t>Поступления от организаций и ИП</t>
  </si>
  <si>
    <t>Остаток бонуса НПД</t>
  </si>
  <si>
    <t>От 0 до 10000; остаток на начало года</t>
  </si>
  <si>
    <t>Взносы ИП фиксированные</t>
  </si>
  <si>
    <t>Полный 2026 год, без специальных освобождений</t>
  </si>
  <si>
    <t>Дополнительные взносы максимум</t>
  </si>
  <si>
    <t>Только дополнительная часть 1% в 2026 году</t>
  </si>
  <si>
    <t>Доход прошлого года</t>
  </si>
  <si>
    <t>Для контроля освобождения от НДС</t>
  </si>
  <si>
    <t>Взносы к уменьшению УСН</t>
  </si>
  <si>
    <t>Подтверждённая сумма нарастающим итогом; без повторного вычета</t>
  </si>
  <si>
    <t>Выбранный сценарий</t>
  </si>
  <si>
    <t>Базовый</t>
  </si>
  <si>
    <t>Сценарий изменяет единый прогноз</t>
  </si>
  <si>
    <t>Месяцев резерва</t>
  </si>
  <si>
    <t>Целевое покрытие обязательных расходов</t>
  </si>
  <si>
    <t>Пополнение резерва</t>
  </si>
  <si>
    <t>План, не является расходом</t>
  </si>
  <si>
    <t>План обязательных расходов</t>
  </si>
  <si>
    <t>Если нет истории, заполнить вручную</t>
  </si>
  <si>
    <t>НПД условия подтверждены</t>
  </si>
  <si>
    <t>Нет</t>
  </si>
  <si>
    <t>Нет работников, запрещённых видов деятельности и прочих ограничений</t>
  </si>
  <si>
    <t>Автоналог разрешён</t>
  </si>
  <si>
    <t>Нет при НДС, неподдерживаемом режиме или году</t>
  </si>
  <si>
    <t>Фиксированные расходы в месяц</t>
  </si>
  <si>
    <t>0: средние операционные затраты из истории</t>
  </si>
  <si>
    <t>Прогноз: поступления из старой ДЗ</t>
  </si>
  <si>
    <t>Сумма, планируемая в первом месяце прогноза</t>
  </si>
  <si>
    <t>Прогноз: погашение старой КЗ</t>
  </si>
  <si>
    <t>Начальный капитал</t>
  </si>
  <si>
    <t>Вводится независимо от активов, не балансирующая формула</t>
  </si>
  <si>
    <t>Начальный кредит</t>
  </si>
  <si>
    <t>Остаток на начало учёта; график только нового кредита</t>
  </si>
  <si>
    <t>Начальные налоги</t>
  </si>
  <si>
    <t>Сальдо обязательств на начало учёта</t>
  </si>
  <si>
    <t>Начальная прибыль</t>
  </si>
  <si>
    <t>Накопленный результат до начала книги</t>
  </si>
  <si>
    <t>Начальная ДЗ</t>
  </si>
  <si>
    <t>Для детализации начальной ДЗ нужны документы переноса</t>
  </si>
  <si>
    <t>Начальная КЗ</t>
  </si>
  <si>
    <t>Для детализации начальной КЗ нужны документы переноса</t>
  </si>
  <si>
    <t>Начальные прочие активы</t>
  </si>
  <si>
    <t>Запасы и прочие активы: без автоматического движения</t>
  </si>
  <si>
    <t>Начальные прочие обязательства</t>
  </si>
  <si>
    <t>Без автоматического движения</t>
  </si>
  <si>
    <t>Ручной налог на результат</t>
  </si>
  <si>
    <t>Для неподдерживаемых режимов: задаётся по месяцам в НАЛОГИ</t>
  </si>
  <si>
    <t>Год / итог</t>
  </si>
  <si>
    <t>Начальный остаток</t>
  </si>
  <si>
    <t>Операционные поступления</t>
  </si>
  <si>
    <t>Операционные выплаты</t>
  </si>
  <si>
    <t>Операционный поток</t>
  </si>
  <si>
    <t>Инвестиционный поток</t>
  </si>
  <si>
    <t>Финансовый поток</t>
  </si>
  <si>
    <t>Чистый денежный поток</t>
  </si>
  <si>
    <t>Конечный остаток</t>
  </si>
  <si>
    <t>Поступления всего</t>
  </si>
  <si>
    <t>Выплаты всего</t>
  </si>
  <si>
    <t>Переводы внутри компании</t>
  </si>
  <si>
    <t>Себестоимость</t>
  </si>
  <si>
    <t>Валовая прибыль</t>
  </si>
  <si>
    <t>Операционные расходы</t>
  </si>
  <si>
    <t>Амортизация</t>
  </si>
  <si>
    <t>Операционная прибыль</t>
  </si>
  <si>
    <t>Проценты</t>
  </si>
  <si>
    <t>Налог на результат</t>
  </si>
  <si>
    <t>Взносы ИП за себя</t>
  </si>
  <si>
    <t>Итоговый результат</t>
  </si>
  <si>
    <t>Итоговая рентабельность</t>
  </si>
  <si>
    <t>Убыточный месяц</t>
  </si>
  <si>
    <t>Статья</t>
  </si>
  <si>
    <t>Сумма</t>
  </si>
  <si>
    <t>Методика</t>
  </si>
  <si>
    <t>Все счета, включая резерв</t>
  </si>
  <si>
    <t>Сумма непогашенных начислений</t>
  </si>
  <si>
    <t>Основные средства нетто</t>
  </si>
  <si>
    <t>Стоимость минус амортизация</t>
  </si>
  <si>
    <t>Прочие активы</t>
  </si>
  <si>
    <t>Начальные активы и налоговые переплаты</t>
  </si>
  <si>
    <t>Кредиторская задолженность</t>
  </si>
  <si>
    <t>Включает начисленные дивиденды</t>
  </si>
  <si>
    <t>Тело отдельно от процентов</t>
  </si>
  <si>
    <t>Налоги и взносы</t>
  </si>
  <si>
    <t>НДФЛ сотрудников уже в КЗ</t>
  </si>
  <si>
    <t>Прочие обязательства</t>
  </si>
  <si>
    <t>Начальное сальдо</t>
  </si>
  <si>
    <t>ОБЯЗАТЕЛЬСТВА</t>
  </si>
  <si>
    <t>Явный ввод, не подгонка баланса</t>
  </si>
  <si>
    <t>Взносы собственников</t>
  </si>
  <si>
    <t>Для ООО: уставный капитал / вклад с документом</t>
  </si>
  <si>
    <t>Накопленный результат</t>
  </si>
  <si>
    <t>Начальная прибыль плюс результат года</t>
  </si>
  <si>
    <t>Изъятия / дивиденды</t>
  </si>
  <si>
    <t>Уменьшение капитала, не расход</t>
  </si>
  <si>
    <t>КАПИТАЛ</t>
  </si>
  <si>
    <t>Обязательства + капитал</t>
  </si>
  <si>
    <t>Расхождение</t>
  </si>
  <si>
    <t>Если не ноль: проверьте начальные остатки, связи, активы</t>
  </si>
  <si>
    <t>Состояние</t>
  </si>
  <si>
    <t>Область расчёта</t>
  </si>
  <si>
    <t>Месяц</t>
  </si>
  <si>
    <t>Доход ФЛ НИ</t>
  </si>
  <si>
    <t>Доход ЮЛ НИ</t>
  </si>
  <si>
    <t>Расход УСН НИ</t>
  </si>
  <si>
    <t>База Д-Р НИ</t>
  </si>
  <si>
    <t>Вычет взносов ввод</t>
  </si>
  <si>
    <t>Налог НИ</t>
  </si>
  <si>
    <t>Начислено месяц</t>
  </si>
  <si>
    <t>Уплачено месяц</t>
  </si>
  <si>
    <t>Налог сальдо</t>
  </si>
  <si>
    <t>Взносы ИП НИ</t>
  </si>
  <si>
    <t>Взносы ИП месяц</t>
  </si>
  <si>
    <t>НДС ввод</t>
  </si>
  <si>
    <t>Налог вручную</t>
  </si>
  <si>
    <t>Предварительный налог</t>
  </si>
  <si>
    <t>Уплачено налогов</t>
  </si>
  <si>
    <t>Налог к уплате</t>
  </si>
  <si>
    <t>Переплата налога</t>
  </si>
  <si>
    <t>Взносы ИП начислено</t>
  </si>
  <si>
    <t>Взносы ИП уплачено</t>
  </si>
  <si>
    <t>Взносы ИП к уплате</t>
  </si>
  <si>
    <t>НДС начислено вручную</t>
  </si>
  <si>
    <t>НДС уплачено</t>
  </si>
  <si>
    <t>НДС сальдо</t>
  </si>
  <si>
    <t>Налоговая нагрузка</t>
  </si>
  <si>
    <t>Год</t>
  </si>
  <si>
    <t>Проверено</t>
  </si>
  <si>
    <t>Условия</t>
  </si>
  <si>
    <t>Источник</t>
  </si>
  <si>
    <t>УСН доходы</t>
  </si>
  <si>
    <t>Базовая / региональная ставка</t>
  </si>
  <si>
    <t>https://www.nalog.gov.ru/rn77/taxation/taxes/usn/</t>
  </si>
  <si>
    <t>УСН Д-Р</t>
  </si>
  <si>
    <t>Минимальный 1% только по итогам года</t>
  </si>
  <si>
    <t>ФЛ, без запрещённых операций</t>
  </si>
  <si>
    <t>https://npd.nalog.ru/</t>
  </si>
  <si>
    <t>НПД ЮЛ</t>
  </si>
  <si>
    <t>ЮЛ и ИП</t>
  </si>
  <si>
    <t>Лимит НПД</t>
  </si>
  <si>
    <t>Годовой доход</t>
  </si>
  <si>
    <t>Порог НДС УСН</t>
  </si>
  <si>
    <t>За прошлый или текущий год</t>
  </si>
  <si>
    <t>https://www.nalog.gov.ru/new2026/</t>
  </si>
  <si>
    <t>Лимит УСН 2026</t>
  </si>
  <si>
    <t>Дополнительно проверьте иные условия</t>
  </si>
  <si>
    <t>Взносы ИП</t>
  </si>
  <si>
    <t>Полный год; отдельные категории исключены</t>
  </si>
  <si>
    <t>https://nalog.garant.ru/fns/nk/25251f9c341b4b29fabf5cb7957c5992/</t>
  </si>
  <si>
    <t>Доп. взносы максимум</t>
  </si>
  <si>
    <t>Совокупно 379208 с фиксированной частью</t>
  </si>
  <si>
    <t>Платёж</t>
  </si>
  <si>
    <t>Базовый срок</t>
  </si>
  <si>
    <t>Сумма план</t>
  </si>
  <si>
    <t>Примечание</t>
  </si>
  <si>
    <t>УСН 3 мес.</t>
  </si>
  <si>
    <t>Срок без переноса выходных; платёж сверить с ЕНС</t>
  </si>
  <si>
    <t>УСН 6 мес.</t>
  </si>
  <si>
    <t>УСН 9 мес.</t>
  </si>
  <si>
    <t>УСН 12 мес.</t>
  </si>
  <si>
    <t>Взносы фиксированные</t>
  </si>
  <si>
    <t>Дополнительный 1%</t>
  </si>
  <si>
    <t>НДФЛ и взносы сотрудников вводятся отдельными начислениями, не в налог на результат.</t>
  </si>
  <si>
    <t>НДС: ручной ввод обязательства и отдельный платёж. Для возмещения/входного НДС нужна адаптация.</t>
  </si>
  <si>
    <t>Выручка план</t>
  </si>
  <si>
    <t>Себестоимость план</t>
  </si>
  <si>
    <t>Операционные план</t>
  </si>
  <si>
    <t>Налог + взносы ИП план</t>
  </si>
  <si>
    <t>Капитальные затраты план</t>
  </si>
  <si>
    <t>Кредит: тело + проценты план</t>
  </si>
  <si>
    <t>Денежные поступления план</t>
  </si>
  <si>
    <t>Денежные выплаты план</t>
  </si>
  <si>
    <t>Денежный остаток план</t>
  </si>
  <si>
    <t>Выручка факт</t>
  </si>
  <si>
    <t>Выручка отклонение, руб.</t>
  </si>
  <si>
    <t>Выручка отклонение, %</t>
  </si>
  <si>
    <t>Себестоимость факт</t>
  </si>
  <si>
    <t>Себестоимость отклонение</t>
  </si>
  <si>
    <t>Операционные факт</t>
  </si>
  <si>
    <t>Операционные отклонение</t>
  </si>
  <si>
    <t>Налоги факт</t>
  </si>
  <si>
    <t>Налоги отклонение</t>
  </si>
  <si>
    <t>Капитальные затраты факт</t>
  </si>
  <si>
    <t>Капзатраты отклонение</t>
  </si>
  <si>
    <t>Кредит факт</t>
  </si>
  <si>
    <t>Кредит отклонение</t>
  </si>
  <si>
    <t>Денежный остаток факт</t>
  </si>
  <si>
    <t>Остаток отклонение</t>
  </si>
  <si>
    <t>Себестоимость отклонение, %</t>
  </si>
  <si>
    <t>Операционные отклонение, %</t>
  </si>
  <si>
    <t>Налоги отклонение, %</t>
  </si>
  <si>
    <t>Капзатраты отклонение, %</t>
  </si>
  <si>
    <t>Кредит отклонение, %</t>
  </si>
  <si>
    <t>Деньги отклонение, %</t>
  </si>
  <si>
    <t>Обязательные расходы / месяц</t>
  </si>
  <si>
    <t>Операционные расходы без амортизации; уточните обязательную часть</t>
  </si>
  <si>
    <t>Цель покрытия, месяцев</t>
  </si>
  <si>
    <t>Из настроек</t>
  </si>
  <si>
    <t>Целевой резерв</t>
  </si>
  <si>
    <t>Расходы × месяцы</t>
  </si>
  <si>
    <t>Обособленный резерв</t>
  </si>
  <si>
    <t>Счёт Резерв, включён в общие деньги</t>
  </si>
  <si>
    <t>Недостаток</t>
  </si>
  <si>
    <t>Не скрывается при избытке</t>
  </si>
  <si>
    <t>Достижение цели</t>
  </si>
  <si>
    <t>При нулевой цели показатель не определён</t>
  </si>
  <si>
    <t>Месяцев покрытия</t>
  </si>
  <si>
    <t>Только обязательные расходы</t>
  </si>
  <si>
    <t>План пополнения</t>
  </si>
  <si>
    <t>Перевод на счёт Резерв</t>
  </si>
  <si>
    <t>Месяцев до цели</t>
  </si>
  <si>
    <t>Без процентов и изменения расходов</t>
  </si>
  <si>
    <t>Статус</t>
  </si>
  <si>
    <t>Все счета</t>
  </si>
  <si>
    <t>Зарезервировать полное обязательство</t>
  </si>
  <si>
    <t>Консервативно вся КЗ, включая дивиденды</t>
  </si>
  <si>
    <t>Защищённый резерв</t>
  </si>
  <si>
    <t>Не вычитается повторно отдельным остатком</t>
  </si>
  <si>
    <t>Кредит: следующие 30 дней</t>
  </si>
  <si>
    <t>По графику</t>
  </si>
  <si>
    <t>План расходов 30 дней</t>
  </si>
  <si>
    <t>Дополнительные плановые выплаты, не включённые выше</t>
  </si>
  <si>
    <t>Доступно к распределению</t>
  </si>
  <si>
    <t>При недостатке денег: ноль</t>
  </si>
  <si>
    <t>Направление</t>
  </si>
  <si>
    <t>Доля ввод</t>
  </si>
  <si>
    <t>План, руб.</t>
  </si>
  <si>
    <t>Факт, руб.</t>
  </si>
  <si>
    <t>Отклонение</t>
  </si>
  <si>
    <t>Развитие бизнеса</t>
  </si>
  <si>
    <t>Маркетинг</t>
  </si>
  <si>
    <t>Оборудование</t>
  </si>
  <si>
    <t>Найм сотрудников</t>
  </si>
  <si>
    <t>Автоматизация</t>
  </si>
  <si>
    <t>Резерв</t>
  </si>
  <si>
    <t>Выплаты собственнику</t>
  </si>
  <si>
    <t>Сумма долей</t>
  </si>
  <si>
    <t>Проверка долей</t>
  </si>
  <si>
    <t>Активный сценарий</t>
  </si>
  <si>
    <t>Переменные расходы</t>
  </si>
  <si>
    <t>Постоянные расходы</t>
  </si>
  <si>
    <t>Сценарные налоги</t>
  </si>
  <si>
    <t>Внеплановые расходы</t>
  </si>
  <si>
    <t>Прогнозная прибыль</t>
  </si>
  <si>
    <t>Денежные поступления</t>
  </si>
  <si>
    <t>Денежные выплаты по расходам</t>
  </si>
  <si>
    <t>Налоги: сценарный платёж</t>
  </si>
  <si>
    <t>Тело кредита по графику</t>
  </si>
  <si>
    <t>Старая КЗ и налоги: погашение</t>
  </si>
  <si>
    <t>Начальный денежный остаток</t>
  </si>
  <si>
    <t>Конечный денежный остаток</t>
  </si>
  <si>
    <t>Рентабельность</t>
  </si>
  <si>
    <t>Покрытие резерва</t>
  </si>
  <si>
    <t>Горизонт</t>
  </si>
  <si>
    <t>Прибыль</t>
  </si>
  <si>
    <t>3 месяцев</t>
  </si>
  <si>
    <t>Сценарная оценка, не налоговая декларация</t>
  </si>
  <si>
    <t>6 месяцев</t>
  </si>
  <si>
    <t>12 месяцев</t>
  </si>
  <si>
    <t>Допущение</t>
  </si>
  <si>
    <t>Оптимистичный</t>
  </si>
  <si>
    <t>Пессимистичный</t>
  </si>
  <si>
    <t>Кризисный</t>
  </si>
  <si>
    <t>Активное</t>
  </si>
  <si>
    <t>Рост выручки / месяц</t>
  </si>
  <si>
    <t>Рост постоянных затрат / месяц</t>
  </si>
  <si>
    <t>Задержка оплаты, дней</t>
  </si>
  <si>
    <t>Потеря выручки от клиентов</t>
  </si>
  <si>
    <t>Доп. налоговая нагрузка, п.п.</t>
  </si>
  <si>
    <t>Рост ставки кредита, п.п.</t>
  </si>
  <si>
    <t>Внеплановые расходы / месяц</t>
  </si>
  <si>
    <t>Сценарная ставка налогов</t>
  </si>
  <si>
    <t>Минимум денег за 12 месяцев</t>
  </si>
  <si>
    <t>Первый кассовый разрыв</t>
  </si>
  <si>
    <t>Прибыль за 12 месяцев</t>
  </si>
  <si>
    <t>Деньги после защиты резерва</t>
  </si>
  <si>
    <t>Оценка платёжеспособности</t>
  </si>
  <si>
    <t>Сценарий — оценка по допущениям, не вероятность и не гарантия результата.</t>
  </si>
  <si>
    <t>Задержка 0–30 дней: доля выручки переносится на следующий месяц. Более длинные задержки не моделируются.</t>
  </si>
  <si>
    <t>Расчёт / ограничение</t>
  </si>
  <si>
    <t>Валовая рентабельность</t>
  </si>
  <si>
    <t>Валовая прибыль / выручка</t>
  </si>
  <si>
    <t>Операционная рентабельность</t>
  </si>
  <si>
    <t>Операционная прибыль / выручка</t>
  </si>
  <si>
    <t>Результат после налогов / выручка</t>
  </si>
  <si>
    <t>Расходы / выручка</t>
  </si>
  <si>
    <t>Включает налоги, проценты и амортизацию</t>
  </si>
  <si>
    <t>Текущая ликвидность</t>
  </si>
  <si>
    <t>Оборотные активы / КЗ, налоги и тело кредита следующих 12 мес. При неизвестных сроках: н/д.</t>
  </si>
  <si>
    <t>Долги / активы</t>
  </si>
  <si>
    <t>Все обязательства / активы</t>
  </si>
  <si>
    <t>Покрытие расходов деньгами</t>
  </si>
  <si>
    <t>Месяцы без поступлений, при прежних расходах</t>
  </si>
  <si>
    <t>Оборот ДЗ</t>
  </si>
  <si>
    <t>Упрощённо: выручка / средняя начальная и конечная ДЗ</t>
  </si>
  <si>
    <t>Постоянные затраты</t>
  </si>
  <si>
    <t>За период, до процентов и налогов</t>
  </si>
  <si>
    <t>Переменные затраты</t>
  </si>
  <si>
    <t>Себестоимость услуг</t>
  </si>
  <si>
    <t>Маржинальный доход</t>
  </si>
  <si>
    <t>Выручка минус переменные затраты</t>
  </si>
  <si>
    <t>Маржинальность</t>
  </si>
  <si>
    <t>Доля маржинального дохода</t>
  </si>
  <si>
    <t>Точка безубыточности</t>
  </si>
  <si>
    <t>Выручка периода для покрытия постоянных затрат</t>
  </si>
  <si>
    <t>Запас прочности</t>
  </si>
  <si>
    <t>(Выручка − безубыточность) / выручка</t>
  </si>
  <si>
    <t>Контрагент</t>
  </si>
  <si>
    <t>Доля</t>
  </si>
  <si>
    <t>Поступления</t>
  </si>
  <si>
    <t>Дебиторка</t>
  </si>
  <si>
    <t>Кредиторка</t>
  </si>
  <si>
    <t>Доля крупнейшего клиента</t>
  </si>
  <si>
    <t>Риск концентрации</t>
  </si>
  <si>
    <t>Прямые расходы</t>
  </si>
  <si>
    <t>Маржинальный результат</t>
  </si>
  <si>
    <t>Консалтинг</t>
  </si>
  <si>
    <t>Поддержка</t>
  </si>
  <si>
    <t>Общие</t>
  </si>
  <si>
    <t>Возраст долга</t>
  </si>
  <si>
    <t>Не просрочена</t>
  </si>
  <si>
    <t>1–30 дней</t>
  </si>
  <si>
    <t>31–60 дней</t>
  </si>
  <si>
    <t>61–90 дней</t>
  </si>
  <si>
    <t>Более 90 дней</t>
  </si>
  <si>
    <t>Просроченная ДЗ</t>
  </si>
  <si>
    <t>Просроченная КЗ</t>
  </si>
  <si>
    <t>Условие</t>
  </si>
  <si>
    <t>ID кредита</t>
  </si>
  <si>
    <t>КР-1</t>
  </si>
  <si>
    <t>Один новый кредит в графике</t>
  </si>
  <si>
    <t>Кредитор</t>
  </si>
  <si>
    <t>Банк</t>
  </si>
  <si>
    <t>Дополнительные займы: ручная аналитика</t>
  </si>
  <si>
    <t>Сверяется с получением в ОПЕРАЦИИ</t>
  </si>
  <si>
    <t>Годовая ставка</t>
  </si>
  <si>
    <t>Изменение ставки только будущего графика вручную</t>
  </si>
  <si>
    <t>Дата выдачи</t>
  </si>
  <si>
    <t>Первый платёж через месяц условно в конце января</t>
  </si>
  <si>
    <t>Срок, месяцев</t>
  </si>
  <si>
    <t>Не более 60 месяцев</t>
  </si>
  <si>
    <t>Аннуитет</t>
  </si>
  <si>
    <t>Ежемесячно, проценты на остаток</t>
  </si>
  <si>
    <t>Получено фактически</t>
  </si>
  <si>
    <t>Сумма за период</t>
  </si>
  <si>
    <t>Погашено тело</t>
  </si>
  <si>
    <t>Досрочное включено</t>
  </si>
  <si>
    <t>Остаток долга</t>
  </si>
  <si>
    <t>Движение денег, без подмены графиком</t>
  </si>
  <si>
    <t>Период</t>
  </si>
  <si>
    <t>Начальный долг</t>
  </si>
  <si>
    <t>Плановый платёж</t>
  </si>
  <si>
    <t>Плановое тело</t>
  </si>
  <si>
    <t>Досрочно план</t>
  </si>
  <si>
    <t>Конечный долг</t>
  </si>
  <si>
    <t>Тело факт</t>
  </si>
  <si>
    <t>Проценты факт</t>
  </si>
  <si>
    <t>Отклонение тела</t>
  </si>
  <si>
    <t>ID</t>
  </si>
  <si>
    <t>Актив</t>
  </si>
  <si>
    <t>Дата ввода</t>
  </si>
  <si>
    <t>Стоимость</t>
  </si>
  <si>
    <t>Срок месяцев</t>
  </si>
  <si>
    <t>Аморт. начальная</t>
  </si>
  <si>
    <t>Накопленная</t>
  </si>
  <si>
    <t>Остаточная</t>
  </si>
  <si>
    <t>Оплачено</t>
  </si>
  <si>
    <t>Проверка</t>
  </si>
  <si>
    <t>ОС-1</t>
  </si>
  <si>
    <t>Рабочие станции</t>
  </si>
  <si>
    <t>Чистая стоимость ОС</t>
  </si>
  <si>
    <t>Амортизация за период</t>
  </si>
  <si>
    <t>Описание</t>
  </si>
  <si>
    <t>Проект</t>
  </si>
  <si>
    <t>Автоматизация поддержки</t>
  </si>
  <si>
    <t>Необязательный расчёт</t>
  </si>
  <si>
    <t>Первоначальное вложение</t>
  </si>
  <si>
    <t>Платёж в момент 0</t>
  </si>
  <si>
    <t>Ставка дисконта годовая</t>
  </si>
  <si>
    <t>Допущение, не гарантированная доходность</t>
  </si>
  <si>
    <t>Ставка месячная</t>
  </si>
  <si>
    <t>Эффективная месячная ставка</t>
  </si>
  <si>
    <t>NPV</t>
  </si>
  <si>
    <t>Месячные потоки в конце месяца</t>
  </si>
  <si>
    <t>ROI</t>
  </si>
  <si>
    <t>За 12 месяцев, без стоимости денег во времени</t>
  </si>
  <si>
    <t>Окупаемость, месяцев</t>
  </si>
  <si>
    <t>Только при неотрицательных прогнозных потоках</t>
  </si>
  <si>
    <t>Чистый поток ввод</t>
  </si>
  <si>
    <t>Накопленный поток</t>
  </si>
  <si>
    <t>Дата</t>
  </si>
  <si>
    <t>Тип</t>
  </si>
  <si>
    <t>Категория</t>
  </si>
  <si>
    <t>Счёт</t>
  </si>
  <si>
    <t>Счёт получателя</t>
  </si>
  <si>
    <t>Документ</t>
  </si>
  <si>
    <t>Назначение</t>
  </si>
  <si>
    <t>Налоговый расход</t>
  </si>
  <si>
    <t>Распределение</t>
  </si>
  <si>
    <t>Знак</t>
  </si>
  <si>
    <t>Поток</t>
  </si>
  <si>
    <t>Класс ДДС</t>
  </si>
  <si>
    <t>Оплата</t>
  </si>
  <si>
    <t>Налоговый доход</t>
  </si>
  <si>
    <t>Тип лица</t>
  </si>
  <si>
    <t>Остаток счёта</t>
  </si>
  <si>
    <t>П0001</t>
  </si>
  <si>
    <t>Взнос собственника</t>
  </si>
  <si>
    <t>Капитал</t>
  </si>
  <si>
    <t>Основной</t>
  </si>
  <si>
    <t>Участник</t>
  </si>
  <si>
    <t>Проведён</t>
  </si>
  <si>
    <t>П0002</t>
  </si>
  <si>
    <t>Получение кредита</t>
  </si>
  <si>
    <t>Кредит</t>
  </si>
  <si>
    <t>П0003</t>
  </si>
  <si>
    <t>Покупка ОС</t>
  </si>
  <si>
    <t>Поставщик ОС</t>
  </si>
  <si>
    <t>П0004</t>
  </si>
  <si>
    <t>Оплата клиента</t>
  </si>
  <si>
    <t>Услуги</t>
  </si>
  <si>
    <t>Клиент Альфа</t>
  </si>
  <si>
    <t>Д0001</t>
  </si>
  <si>
    <t>П0006</t>
  </si>
  <si>
    <t>Клиент Вектор</t>
  </si>
  <si>
    <t>Д0002</t>
  </si>
  <si>
    <t>П0008</t>
  </si>
  <si>
    <t>Клиент Гамма</t>
  </si>
  <si>
    <t>Д0003</t>
  </si>
  <si>
    <t>П0010</t>
  </si>
  <si>
    <t>Клиент Дельта</t>
  </si>
  <si>
    <t>Д0004</t>
  </si>
  <si>
    <t>П0012</t>
  </si>
  <si>
    <t>Клиент Елена</t>
  </si>
  <si>
    <t>Д0005</t>
  </si>
  <si>
    <t>П0014</t>
  </si>
  <si>
    <t>Клиент Фокус</t>
  </si>
  <si>
    <t>Д0006</t>
  </si>
  <si>
    <t>П0016</t>
  </si>
  <si>
    <t>Оплата поставщику</t>
  </si>
  <si>
    <t>Подрядчики</t>
  </si>
  <si>
    <t>Подрядчик Север</t>
  </si>
  <si>
    <t>Д0007</t>
  </si>
  <si>
    <t>П0017</t>
  </si>
  <si>
    <t>Аренда</t>
  </si>
  <si>
    <t>Арендодатель</t>
  </si>
  <si>
    <t>Д0008</t>
  </si>
  <si>
    <t>П0005</t>
  </si>
  <si>
    <t>П0018</t>
  </si>
  <si>
    <t>Рекламная площадка</t>
  </si>
  <si>
    <t>Д0009</t>
  </si>
  <si>
    <t>П0007</t>
  </si>
  <si>
    <t>П0019</t>
  </si>
  <si>
    <t>Сервисы</t>
  </si>
  <si>
    <t>Облачные сервисы</t>
  </si>
  <si>
    <t>Д0010</t>
  </si>
  <si>
    <t>П0009</t>
  </si>
  <si>
    <t>П0020</t>
  </si>
  <si>
    <t>Зарплата нетто</t>
  </si>
  <si>
    <t>Д0011</t>
  </si>
  <si>
    <t>П0011</t>
  </si>
  <si>
    <t>П0021</t>
  </si>
  <si>
    <t>НДФЛ</t>
  </si>
  <si>
    <t>Бюджет</t>
  </si>
  <si>
    <t>Д0012</t>
  </si>
  <si>
    <t>П0013</t>
  </si>
  <si>
    <t>П0022</t>
  </si>
  <si>
    <t>Взносы сотрудников</t>
  </si>
  <si>
    <t>Д0013</t>
  </si>
  <si>
    <t>П0023</t>
  </si>
  <si>
    <t>Д0014</t>
  </si>
  <si>
    <t>П0024</t>
  </si>
  <si>
    <t>Тело кредита</t>
  </si>
  <si>
    <t>П0025</t>
  </si>
  <si>
    <t>Перевод</t>
  </si>
  <si>
    <t>П0015</t>
  </si>
  <si>
    <t>П0026</t>
  </si>
  <si>
    <t>Д0015</t>
  </si>
  <si>
    <t>П0028</t>
  </si>
  <si>
    <t>Д0016</t>
  </si>
  <si>
    <t>П0030</t>
  </si>
  <si>
    <t>Д0017</t>
  </si>
  <si>
    <t>П0032</t>
  </si>
  <si>
    <t>Д0018</t>
  </si>
  <si>
    <t>П0034</t>
  </si>
  <si>
    <t>Д0019</t>
  </si>
  <si>
    <t>П0036</t>
  </si>
  <si>
    <t>Д0020</t>
  </si>
  <si>
    <t>П0038</t>
  </si>
  <si>
    <t>Д0021</t>
  </si>
  <si>
    <t>П0039</t>
  </si>
  <si>
    <t>Д0022</t>
  </si>
  <si>
    <t>П0027</t>
  </si>
  <si>
    <t>П0040</t>
  </si>
  <si>
    <t>Д0023</t>
  </si>
  <si>
    <t>П0029</t>
  </si>
  <si>
    <t>П0041</t>
  </si>
  <si>
    <t>Д0024</t>
  </si>
  <si>
    <t>П0031</t>
  </si>
  <si>
    <t>П0042</t>
  </si>
  <si>
    <t>Д0025</t>
  </si>
  <si>
    <t>П0033</t>
  </si>
  <si>
    <t>П0043</t>
  </si>
  <si>
    <t>Д0026</t>
  </si>
  <si>
    <t>П0035</t>
  </si>
  <si>
    <t>П0037</t>
  </si>
  <si>
    <t>П0044</t>
  </si>
  <si>
    <t>Д0027</t>
  </si>
  <si>
    <t>П0045</t>
  </si>
  <si>
    <t>Д0028</t>
  </si>
  <si>
    <t>П0046</t>
  </si>
  <si>
    <t>П0047</t>
  </si>
  <si>
    <t>П0048</t>
  </si>
  <si>
    <t>Д0029</t>
  </si>
  <si>
    <t>П0050</t>
  </si>
  <si>
    <t>Д0030</t>
  </si>
  <si>
    <t>П0052</t>
  </si>
  <si>
    <t>Д0031</t>
  </si>
  <si>
    <t>П0054</t>
  </si>
  <si>
    <t>Д0032</t>
  </si>
  <si>
    <t>П0056</t>
  </si>
  <si>
    <t>Д0033</t>
  </si>
  <si>
    <t>П0058</t>
  </si>
  <si>
    <t>Д0034</t>
  </si>
  <si>
    <t>П0060</t>
  </si>
  <si>
    <t>Д0035</t>
  </si>
  <si>
    <t>П0061</t>
  </si>
  <si>
    <t>Д0036</t>
  </si>
  <si>
    <t>П0049</t>
  </si>
  <si>
    <t>П0062</t>
  </si>
  <si>
    <t>Д0037</t>
  </si>
  <si>
    <t>П0051</t>
  </si>
  <si>
    <t>П0063</t>
  </si>
  <si>
    <t>Д0038</t>
  </si>
  <si>
    <t>П0053</t>
  </si>
  <si>
    <t>П0064</t>
  </si>
  <si>
    <t>Д0039</t>
  </si>
  <si>
    <t>П0055</t>
  </si>
  <si>
    <t>П0065</t>
  </si>
  <si>
    <t>Д0040</t>
  </si>
  <si>
    <t>П0057</t>
  </si>
  <si>
    <t>П0066</t>
  </si>
  <si>
    <t>Д0041</t>
  </si>
  <si>
    <t>П0067</t>
  </si>
  <si>
    <t>Д0042</t>
  </si>
  <si>
    <t>П0068</t>
  </si>
  <si>
    <t>П0069</t>
  </si>
  <si>
    <t>П0070</t>
  </si>
  <si>
    <t>Вывод ИП</t>
  </si>
  <si>
    <t>П0059</t>
  </si>
  <si>
    <t>П0275</t>
  </si>
  <si>
    <t>Возврат клиенту</t>
  </si>
  <si>
    <t>П0071</t>
  </si>
  <si>
    <t>Д0043</t>
  </si>
  <si>
    <t>П0073</t>
  </si>
  <si>
    <t>Д0044</t>
  </si>
  <si>
    <t>П0075</t>
  </si>
  <si>
    <t>Д0045</t>
  </si>
  <si>
    <t>П0077</t>
  </si>
  <si>
    <t>Д0046</t>
  </si>
  <si>
    <t>П0079</t>
  </si>
  <si>
    <t>Д0047</t>
  </si>
  <si>
    <t>П0081</t>
  </si>
  <si>
    <t>Д0048</t>
  </si>
  <si>
    <t>П0083</t>
  </si>
  <si>
    <t>Д0049</t>
  </si>
  <si>
    <t>П0084</t>
  </si>
  <si>
    <t>Д0050</t>
  </si>
  <si>
    <t>П0072</t>
  </si>
  <si>
    <t>П0085</t>
  </si>
  <si>
    <t>Д0051</t>
  </si>
  <si>
    <t>П0074</t>
  </si>
  <si>
    <t>П0086</t>
  </si>
  <si>
    <t>Д0052</t>
  </si>
  <si>
    <t>П0093</t>
  </si>
  <si>
    <t>Налог</t>
  </si>
  <si>
    <t>УСН</t>
  </si>
  <si>
    <t>УСН-4</t>
  </si>
  <si>
    <t>П0076</t>
  </si>
  <si>
    <t>П0087</t>
  </si>
  <si>
    <t>Д0053</t>
  </si>
  <si>
    <t>П0078</t>
  </si>
  <si>
    <t>П0088</t>
  </si>
  <si>
    <t>Д0054</t>
  </si>
  <si>
    <t>П0080</t>
  </si>
  <si>
    <t>П0089</t>
  </si>
  <si>
    <t>Д0055</t>
  </si>
  <si>
    <t>П0090</t>
  </si>
  <si>
    <t>Д0056</t>
  </si>
  <si>
    <t>П0091</t>
  </si>
  <si>
    <t>П0092</t>
  </si>
  <si>
    <t>П0082</t>
  </si>
  <si>
    <t>П0094</t>
  </si>
  <si>
    <t>Д0057</t>
  </si>
  <si>
    <t>П0096</t>
  </si>
  <si>
    <t>Д0058</t>
  </si>
  <si>
    <t>П0098</t>
  </si>
  <si>
    <t>Д0059</t>
  </si>
  <si>
    <t>П0100</t>
  </si>
  <si>
    <t>Д0060</t>
  </si>
  <si>
    <t>П0102</t>
  </si>
  <si>
    <t>Д0061</t>
  </si>
  <si>
    <t>П0104</t>
  </si>
  <si>
    <t>Д0062</t>
  </si>
  <si>
    <t>П0106</t>
  </si>
  <si>
    <t>Д0063</t>
  </si>
  <si>
    <t>П0107</t>
  </si>
  <si>
    <t>Д0064</t>
  </si>
  <si>
    <t>П0095</t>
  </si>
  <si>
    <t>П0108</t>
  </si>
  <si>
    <t>Д0065</t>
  </si>
  <si>
    <t>П0097</t>
  </si>
  <si>
    <t>П0109</t>
  </si>
  <si>
    <t>Д0066</t>
  </si>
  <si>
    <t>П0099</t>
  </si>
  <si>
    <t>П0110</t>
  </si>
  <si>
    <t>Д0067</t>
  </si>
  <si>
    <t>П0101</t>
  </si>
  <si>
    <t>П0111</t>
  </si>
  <si>
    <t>Д0068</t>
  </si>
  <si>
    <t>П0103</t>
  </si>
  <si>
    <t>П0112</t>
  </si>
  <si>
    <t>Д0069</t>
  </si>
  <si>
    <t>П0113</t>
  </si>
  <si>
    <t>Д0070</t>
  </si>
  <si>
    <t>П0114</t>
  </si>
  <si>
    <t>П0115</t>
  </si>
  <si>
    <t>П0105</t>
  </si>
  <si>
    <t>П0116</t>
  </si>
  <si>
    <t>Д0071</t>
  </si>
  <si>
    <t>П0118</t>
  </si>
  <si>
    <t>Д0072</t>
  </si>
  <si>
    <t>П0120</t>
  </si>
  <si>
    <t>Д0073</t>
  </si>
  <si>
    <t>П0122</t>
  </si>
  <si>
    <t>Д0074</t>
  </si>
  <si>
    <t>П0124</t>
  </si>
  <si>
    <t>Д0075</t>
  </si>
  <si>
    <t>П0126</t>
  </si>
  <si>
    <t>Д0076</t>
  </si>
  <si>
    <t>П0128</t>
  </si>
  <si>
    <t>Д0077</t>
  </si>
  <si>
    <t>П0129</t>
  </si>
  <si>
    <t>Д0078</t>
  </si>
  <si>
    <t>П0117</t>
  </si>
  <si>
    <t>П0130</t>
  </si>
  <si>
    <t>Д0079</t>
  </si>
  <si>
    <t>П0119</t>
  </si>
  <si>
    <t>П0131</t>
  </si>
  <si>
    <t>Д0080</t>
  </si>
  <si>
    <t>П0121</t>
  </si>
  <si>
    <t>П0132</t>
  </si>
  <si>
    <t>Д0081</t>
  </si>
  <si>
    <t>П0123</t>
  </si>
  <si>
    <t>П0133</t>
  </si>
  <si>
    <t>Д0082</t>
  </si>
  <si>
    <t>П0125</t>
  </si>
  <si>
    <t>П0134</t>
  </si>
  <si>
    <t>Д0083</t>
  </si>
  <si>
    <t>П0135</t>
  </si>
  <si>
    <t>Д0084</t>
  </si>
  <si>
    <t>П0136</t>
  </si>
  <si>
    <t>П0138</t>
  </si>
  <si>
    <t>П0139</t>
  </si>
  <si>
    <t>П0127</t>
  </si>
  <si>
    <t>П0137</t>
  </si>
  <si>
    <t>П0140</t>
  </si>
  <si>
    <t>Д0085</t>
  </si>
  <si>
    <t>П0142</t>
  </si>
  <si>
    <t>Д0086</t>
  </si>
  <si>
    <t>П0144</t>
  </si>
  <si>
    <t>Д0087</t>
  </si>
  <si>
    <t>П0146</t>
  </si>
  <si>
    <t>Д0088</t>
  </si>
  <si>
    <t>П0148</t>
  </si>
  <si>
    <t>Д0089</t>
  </si>
  <si>
    <t>П0150</t>
  </si>
  <si>
    <t>Д0090</t>
  </si>
  <si>
    <t>П0152</t>
  </si>
  <si>
    <t>Д0091</t>
  </si>
  <si>
    <t>П0153</t>
  </si>
  <si>
    <t>Д0092</t>
  </si>
  <si>
    <t>П0141</t>
  </si>
  <si>
    <t>П0154</t>
  </si>
  <si>
    <t>Д0093</t>
  </si>
  <si>
    <t>П0143</t>
  </si>
  <si>
    <t>П0155</t>
  </si>
  <si>
    <t>Д0094</t>
  </si>
  <si>
    <t>П0162</t>
  </si>
  <si>
    <t>УСН-7</t>
  </si>
  <si>
    <t>П0145</t>
  </si>
  <si>
    <t>П0156</t>
  </si>
  <si>
    <t>Д0095</t>
  </si>
  <si>
    <t>П0147</t>
  </si>
  <si>
    <t>П0157</t>
  </si>
  <si>
    <t>Д0096</t>
  </si>
  <si>
    <t>П0149</t>
  </si>
  <si>
    <t>П0158</t>
  </si>
  <si>
    <t>Д0097</t>
  </si>
  <si>
    <t>П0159</t>
  </si>
  <si>
    <t>Д0098</t>
  </si>
  <si>
    <t>П0160</t>
  </si>
  <si>
    <t>П0161</t>
  </si>
  <si>
    <t>П0151</t>
  </si>
  <si>
    <t>П0163</t>
  </si>
  <si>
    <t>Д0099</t>
  </si>
  <si>
    <t>П0165</t>
  </si>
  <si>
    <t>Д0100</t>
  </si>
  <si>
    <t>П0167</t>
  </si>
  <si>
    <t>Д0101</t>
  </si>
  <si>
    <t>П0169</t>
  </si>
  <si>
    <t>Д0102</t>
  </si>
  <si>
    <t>П0171</t>
  </si>
  <si>
    <t>Д0103</t>
  </si>
  <si>
    <t>П0173</t>
  </si>
  <si>
    <t>Д0104</t>
  </si>
  <si>
    <t>П0175</t>
  </si>
  <si>
    <t>Д0105</t>
  </si>
  <si>
    <t>П0176</t>
  </si>
  <si>
    <t>Д0106</t>
  </si>
  <si>
    <t>П0164</t>
  </si>
  <si>
    <t>П0177</t>
  </si>
  <si>
    <t>Д0107</t>
  </si>
  <si>
    <t>П0166</t>
  </si>
  <si>
    <t>П0178</t>
  </si>
  <si>
    <t>Д0108</t>
  </si>
  <si>
    <t>П0168</t>
  </si>
  <si>
    <t>П0179</t>
  </si>
  <si>
    <t>Д0109</t>
  </si>
  <si>
    <t>П0170</t>
  </si>
  <si>
    <t>П0180</t>
  </si>
  <si>
    <t>Д0110</t>
  </si>
  <si>
    <t>П0172</t>
  </si>
  <si>
    <t>П0181</t>
  </si>
  <si>
    <t>Д0111</t>
  </si>
  <si>
    <t>П0182</t>
  </si>
  <si>
    <t>Д0112</t>
  </si>
  <si>
    <t>П0183</t>
  </si>
  <si>
    <t>П0184</t>
  </si>
  <si>
    <t>П0174</t>
  </si>
  <si>
    <t>П0185</t>
  </si>
  <si>
    <t>Д0113</t>
  </si>
  <si>
    <t>П0187</t>
  </si>
  <si>
    <t>Д0114</t>
  </si>
  <si>
    <t>П0189</t>
  </si>
  <si>
    <t>Д0115</t>
  </si>
  <si>
    <t>П0191</t>
  </si>
  <si>
    <t>Д0116</t>
  </si>
  <si>
    <t>П0193</t>
  </si>
  <si>
    <t>Д0117</t>
  </si>
  <si>
    <t>П0195</t>
  </si>
  <si>
    <t>Д0118</t>
  </si>
  <si>
    <t>П0197</t>
  </si>
  <si>
    <t>Д0119</t>
  </si>
  <si>
    <t>П0198</t>
  </si>
  <si>
    <t>Д0120</t>
  </si>
  <si>
    <t>П0186</t>
  </si>
  <si>
    <t>П0199</t>
  </si>
  <si>
    <t>Д0121</t>
  </si>
  <si>
    <t>П0188</t>
  </si>
  <si>
    <t>П0200</t>
  </si>
  <si>
    <t>Д0122</t>
  </si>
  <si>
    <t>П0190</t>
  </si>
  <si>
    <t>П0201</t>
  </si>
  <si>
    <t>Д0123</t>
  </si>
  <si>
    <t>П0192</t>
  </si>
  <si>
    <t>П0202</t>
  </si>
  <si>
    <t>Д0124</t>
  </si>
  <si>
    <t>П0194</t>
  </si>
  <si>
    <t>П0203</t>
  </si>
  <si>
    <t>Д0125</t>
  </si>
  <si>
    <t>П0204</t>
  </si>
  <si>
    <t>Д0126</t>
  </si>
  <si>
    <t>П0205</t>
  </si>
  <si>
    <t>П0206</t>
  </si>
  <si>
    <t>П0207</t>
  </si>
  <si>
    <t>П0196</t>
  </si>
  <si>
    <t>П0208</t>
  </si>
  <si>
    <t>Д0127</t>
  </si>
  <si>
    <t>П0210</t>
  </si>
  <si>
    <t>Д0128</t>
  </si>
  <si>
    <t>П0212</t>
  </si>
  <si>
    <t>Д0129</t>
  </si>
  <si>
    <t>П0214</t>
  </si>
  <si>
    <t>Д0130</t>
  </si>
  <si>
    <t>П0216</t>
  </si>
  <si>
    <t>Д0131</t>
  </si>
  <si>
    <t>П0218</t>
  </si>
  <si>
    <t>Д0132</t>
  </si>
  <si>
    <t>П0220</t>
  </si>
  <si>
    <t>Д0133</t>
  </si>
  <si>
    <t>П0221</t>
  </si>
  <si>
    <t>Д0134</t>
  </si>
  <si>
    <t>П0209</t>
  </si>
  <si>
    <t>П0222</t>
  </si>
  <si>
    <t>Д0135</t>
  </si>
  <si>
    <t>П0211</t>
  </si>
  <si>
    <t>П0223</t>
  </si>
  <si>
    <t>Д0136</t>
  </si>
  <si>
    <t>П0230</t>
  </si>
  <si>
    <t>УСН-10</t>
  </si>
  <si>
    <t>П0213</t>
  </si>
  <si>
    <t>П0224</t>
  </si>
  <si>
    <t>Д0137</t>
  </si>
  <si>
    <t>П0215</t>
  </si>
  <si>
    <t>П0225</t>
  </si>
  <si>
    <t>Д0138</t>
  </si>
  <si>
    <t>П0217</t>
  </si>
  <si>
    <t>П0226</t>
  </si>
  <si>
    <t>Д0139</t>
  </si>
  <si>
    <t>П0227</t>
  </si>
  <si>
    <t>Д0140</t>
  </si>
  <si>
    <t>П0228</t>
  </si>
  <si>
    <t>П0229</t>
  </si>
  <si>
    <t>П0219</t>
  </si>
  <si>
    <t>П0231</t>
  </si>
  <si>
    <t>Д0141</t>
  </si>
  <si>
    <t>П0233</t>
  </si>
  <si>
    <t>Д0142</t>
  </si>
  <si>
    <t>П0235</t>
  </si>
  <si>
    <t>Д0143</t>
  </si>
  <si>
    <t>П0237</t>
  </si>
  <si>
    <t>Д0144</t>
  </si>
  <si>
    <t>П0239</t>
  </si>
  <si>
    <t>Д0145</t>
  </si>
  <si>
    <t>П0241</t>
  </si>
  <si>
    <t>Д0146</t>
  </si>
  <si>
    <t>П0243</t>
  </si>
  <si>
    <t>Д0147</t>
  </si>
  <si>
    <t>П0244</t>
  </si>
  <si>
    <t>Д0148</t>
  </si>
  <si>
    <t>П0232</t>
  </si>
  <si>
    <t>П0245</t>
  </si>
  <si>
    <t>Д0149</t>
  </si>
  <si>
    <t>П0234</t>
  </si>
  <si>
    <t>П0246</t>
  </si>
  <si>
    <t>Д0150</t>
  </si>
  <si>
    <t>П0236</t>
  </si>
  <si>
    <t>П0247</t>
  </si>
  <si>
    <t>Д0151</t>
  </si>
  <si>
    <t>П0238</t>
  </si>
  <si>
    <t>П0248</t>
  </si>
  <si>
    <t>Д0152</t>
  </si>
  <si>
    <t>П0240</t>
  </si>
  <si>
    <t>П0249</t>
  </si>
  <si>
    <t>Д0153</t>
  </si>
  <si>
    <t>П0250</t>
  </si>
  <si>
    <t>Д0154</t>
  </si>
  <si>
    <t>П0251</t>
  </si>
  <si>
    <t>П0252</t>
  </si>
  <si>
    <t>П0242</t>
  </si>
  <si>
    <t>П0253</t>
  </si>
  <si>
    <t>Д0155</t>
  </si>
  <si>
    <t>П0255</t>
  </si>
  <si>
    <t>Д0156</t>
  </si>
  <si>
    <t>П0257</t>
  </si>
  <si>
    <t>Д0157</t>
  </si>
  <si>
    <t>П0259</t>
  </si>
  <si>
    <t>Д0158</t>
  </si>
  <si>
    <t>П0261</t>
  </si>
  <si>
    <t>Д0159</t>
  </si>
  <si>
    <t>П0262</t>
  </si>
  <si>
    <t>Д0160</t>
  </si>
  <si>
    <t>П0263</t>
  </si>
  <si>
    <t>Д0161</t>
  </si>
  <si>
    <t>П0264</t>
  </si>
  <si>
    <t>Д0162</t>
  </si>
  <si>
    <t>П0254</t>
  </si>
  <si>
    <t>П0265</t>
  </si>
  <si>
    <t>Д0163</t>
  </si>
  <si>
    <t>П0256</t>
  </si>
  <si>
    <t>П0266</t>
  </si>
  <si>
    <t>Д0164</t>
  </si>
  <si>
    <t>П0258</t>
  </si>
  <si>
    <t>П0267</t>
  </si>
  <si>
    <t>Д0165</t>
  </si>
  <si>
    <t>П0260</t>
  </si>
  <si>
    <t>П0268</t>
  </si>
  <si>
    <t>Д0166</t>
  </si>
  <si>
    <t>П0269</t>
  </si>
  <si>
    <t>Д0167</t>
  </si>
  <si>
    <t>П0270</t>
  </si>
  <si>
    <t>Д0168</t>
  </si>
  <si>
    <t>П0271</t>
  </si>
  <si>
    <t>П0272</t>
  </si>
  <si>
    <t>П0273</t>
  </si>
  <si>
    <t>П0274</t>
  </si>
  <si>
    <t>СВ-2026</t>
  </si>
  <si>
    <t>Вид</t>
  </si>
  <si>
    <t>Срок оплаты</t>
  </si>
  <si>
    <t>Остаток</t>
  </si>
  <si>
    <t>Дней просрочки</t>
  </si>
  <si>
    <t>Возраст</t>
  </si>
  <si>
    <t>Тип долга</t>
  </si>
  <si>
    <t>Операционные</t>
  </si>
  <si>
    <t>Начальный</t>
  </si>
  <si>
    <t>Списания</t>
  </si>
  <si>
    <t>Конечный</t>
  </si>
  <si>
    <t>Расчётный счёт</t>
  </si>
  <si>
    <t>Касса</t>
  </si>
  <si>
    <t>Наличные</t>
  </si>
  <si>
    <t>Обособленные деньги</t>
  </si>
  <si>
    <t>Остаток резерва</t>
  </si>
  <si>
    <t>Тип платежа</t>
  </si>
  <si>
    <t>Знак денег</t>
  </si>
  <si>
    <t>Поток ДДС</t>
  </si>
  <si>
    <t>Знак оплаты</t>
  </si>
  <si>
    <t>Вид начисления</t>
  </si>
  <si>
    <t>Режим ИП</t>
  </si>
  <si>
    <t>Режим ООО</t>
  </si>
  <si>
    <t>Операционный</t>
  </si>
  <si>
    <t>ЮЛ</t>
  </si>
  <si>
    <t>НПД</t>
  </si>
  <si>
    <t>Ручной</t>
  </si>
  <si>
    <t>Возврат поставщика</t>
  </si>
  <si>
    <t>Внутренний</t>
  </si>
  <si>
    <t>ФЛ</t>
  </si>
  <si>
    <t>Дивиденды</t>
  </si>
  <si>
    <t>Финансовый</t>
  </si>
  <si>
    <t>Инвестиционный</t>
  </si>
  <si>
    <t>НДС</t>
  </si>
  <si>
    <t>Займ участника</t>
  </si>
  <si>
    <t>Возврат займа</t>
  </si>
  <si>
    <t>Прочее</t>
  </si>
  <si>
    <t>Количество / разница</t>
  </si>
  <si>
    <t>Где исправить</t>
  </si>
  <si>
    <t>Ошибки денежных строк</t>
  </si>
  <si>
    <t>ОПЕРАЦИИ: столбец Проверка</t>
  </si>
  <si>
    <t>Ошибки начислений</t>
  </si>
  <si>
    <t>НАЧИСЛЕНИЯ: Проверка</t>
  </si>
  <si>
    <t>ДДС против остатков</t>
  </si>
  <si>
    <t>Переводы, счета, даты</t>
  </si>
  <si>
    <t>Равенство баланса</t>
  </si>
  <si>
    <t>Связи документов, начальные остатки, ОС</t>
  </si>
  <si>
    <t>Неоплаченные приобретения ОС</t>
  </si>
  <si>
    <t>АКТИВЫ / ОПЕРАЦИИ: ID ОС</t>
  </si>
  <si>
    <t>Несогласованное получение кредита</t>
  </si>
  <si>
    <t>Сумма кредита / документ КР-1</t>
  </si>
  <si>
    <t>Тело кредита против графика</t>
  </si>
  <si>
    <t>Досрочные платежи в графике и регистре</t>
  </si>
  <si>
    <t>Переплаты по документам</t>
  </si>
  <si>
    <t>Начисление и его платежи</t>
  </si>
  <si>
    <t>Отрицательные остатки счетов</t>
  </si>
  <si>
    <t>Внутрипериодный минус денег</t>
  </si>
  <si>
    <t>Сортируйте операции хронологически</t>
  </si>
  <si>
    <t>Доли реинвестиций</t>
  </si>
  <si>
    <t>Доли должны дать 100%</t>
  </si>
  <si>
    <t>Налоговый статус</t>
  </si>
  <si>
    <t>НАЛОГИ B4 / НАСТРОЙКИ</t>
  </si>
  <si>
    <t>Просроченная дебиторка</t>
  </si>
  <si>
    <t>Сроки и оплаты; допустимый бизнес-риск</t>
  </si>
  <si>
    <t>Просроченная кредиторка</t>
  </si>
  <si>
    <t>Будущие даты относительно отчёта</t>
  </si>
  <si>
    <t>Не включены в фактический результат</t>
  </si>
  <si>
    <t>Несовпадение года и даты</t>
  </si>
  <si>
    <t>Год, дата отчёта, перенос остатков</t>
  </si>
  <si>
    <t>ОС: амортизация против ОПиУ</t>
  </si>
  <si>
    <t>АКТИВЫ: дата, срок, начальная амортизация</t>
  </si>
  <si>
    <t>Незаданный тип налогового клиента</t>
  </si>
  <si>
    <t>СПРАВОЧНИКИ: ФЛ / ЮЛ / ИП</t>
  </si>
  <si>
    <t>Ошибки реестра активов</t>
  </si>
  <si>
    <t>АКТИВЫ: срок, стоимость, дата и начальная амортизация</t>
  </si>
  <si>
    <t>Ошибки формул</t>
  </si>
  <si>
    <t>Проверьте формулу по адресу ошибки</t>
  </si>
  <si>
    <t>Проверка налоговых параметров</t>
  </si>
  <si>
    <t>Ставки, бонус, вычеты и взносы в НАСТРОЙКИ / НАЛОГИ</t>
  </si>
  <si>
    <t>Шаг</t>
  </si>
  <si>
    <t>Действие</t>
  </si>
  <si>
    <t>1. Настройка</t>
  </si>
  <si>
    <t>Выберите ИП / ООО, режим, год и дату. Сначала проверьте ограничения в TAX_ASSUMPTIONS.md.</t>
  </si>
  <si>
    <t>2. Начальные остатки</t>
  </si>
  <si>
    <t>Внесите остатки счетов, долги, капитал и прибыль независимо. Расхождение баланса должно стать нулём.</t>
  </si>
  <si>
    <t>3. Справочники</t>
  </si>
  <si>
    <t>Добавьте контрагентов и ФЛ / ЮЛ / ИП, категории и проекты. Зарезервировано 60 строк.</t>
  </si>
  <si>
    <t>4. Начисление</t>
  </si>
  <si>
    <t>Создайте документ с уникальным ID, видом, суммой и сроком. Это формирует прибыль и долг.</t>
  </si>
  <si>
    <t>5. Платёж</t>
  </si>
  <si>
    <t>Внесите оплату, выберите связанный ID документа. Не создавайте повторное начисление при оплате.</t>
  </si>
  <si>
    <t>6. Перевод</t>
  </si>
  <si>
    <t>Одна строка Перевод: счёт отправителя и получателя, положительная сумма. Вторую строку не добавляйте.</t>
  </si>
  <si>
    <t>7. Возврат</t>
  </si>
  <si>
    <t>Исправьте сумму исходного начисления до чистой суммы и зарегистрируйте обратный платёж по тому же ID.</t>
  </si>
  <si>
    <t>8. Налоги</t>
  </si>
  <si>
    <t>Проверьте тип клиента и допустимые расходы. Вычеты и НДС вводятся после проверки бухгалтером.</t>
  </si>
  <si>
    <t>9. Резерв</t>
  </si>
  <si>
    <t>Перевод на счёт Резерв сохраняет общие деньги и не уменьшает прибыль.</t>
  </si>
  <si>
    <t>10. ООО</t>
  </si>
  <si>
    <t>Дивиденды: начисление Дивиденды и связанные выплаты нетто / НДФЛ, всего брутто.</t>
  </si>
  <si>
    <t>11. ИП</t>
  </si>
  <si>
    <t>Вывод ИП не расход. Взносы ИП отдельно; автоматически считаются для полного 2026 года.</t>
  </si>
  <si>
    <t>12. Прогноз</t>
  </si>
  <si>
    <t>Выберите сценарий в НАСТРОЙКИ. Допущения на РИСКИ. Старую ДЗ и КЗ планируйте отдельно.</t>
  </si>
  <si>
    <t>13. Проверка</t>
  </si>
  <si>
    <t>КОНТРОЛЬ должен быть просмотрен. Просрочки — бизнес-риск, а ошибки связей требуют исправления.</t>
  </si>
  <si>
    <t>14. Расширение</t>
  </si>
  <si>
    <t>Вводите в свободные строки таблиц: 1000 платежей / 600 начислений. При расширении копируйте формулы и валидацию.</t>
  </si>
  <si>
    <t>15. Следующий год</t>
  </si>
  <si>
    <t>Создайте копию чистого шаблона, перенесите закрывающие остатки. Налоговые правила нового года обновите.</t>
  </si>
  <si>
    <t>16. Защита</t>
  </si>
  <si>
    <t>Формулы защищены без пароля. Для расширения таблиц снимите защиту листа, затем верните её.</t>
  </si>
  <si>
    <t>17. Ограничения</t>
  </si>
  <si>
    <t>Сервисная компания без складского движения, валюты, авансов сверх документа, списаний долгов и сложных проводок.</t>
  </si>
  <si>
    <t>18. Копия</t>
  </si>
  <si>
    <t>Сохраняйте датированную копию до массовых изменений. Не ведите реальный учёт в DEMO.</t>
  </si>
  <si>
    <t>19. Назначение</t>
  </si>
  <si>
    <t>Управленческий инструмент. Не сертифицированная бухгалтерская программа и не замена 1С.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</si>
</sst>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[Red]\(#,##0\);&quot;—&quot;"/>
    <numFmt numFmtId="165" formatCode="dd\.mm\.yyyy"/>
    <numFmt numFmtId="166" formatCode="0.0%;[Red]\(0.0%\);&quot;—&quot;"/>
    <numFmt numFmtId="167" formatCode="#,##0.00;[Red]\(#,##0.00\);&quot;—&quot;"/>
    <numFmt numFmtId="168" formatCode="mmm\ yyyy"/>
    <numFmt numFmtId="169" formatCode="0.0%"/>
    <numFmt numFmtId="170" formatCode="0.0"/>
  </numFmts>
  <fonts count="13" x14ac:knownFonts="1">
    <font>
      <sz val="11"/>
      <color theme="1"/>
      <name val="Calibri"/>
      <family val="2"/>
      <scheme val="minor"/>
    </font>
    <font>
      <b/>
      <sz val="17"/>
      <color rgb="FF101B2D"/>
      <name val="Arial"/>
    </font>
    <font>
      <sz val="10"/>
      <color rgb="FF64748B"/>
      <name val="Arial"/>
    </font>
    <font>
      <u/>
      <sz val="10"/>
      <color rgb="FF159477"/>
      <name val="Arial"/>
    </font>
    <font>
      <sz val="10"/>
      <color rgb="FF101B2D"/>
      <name val="Arial"/>
    </font>
    <font>
      <b/>
      <sz val="10"/>
      <color rgb="FFFFFFFF"/>
      <name val="Arial"/>
    </font>
    <font>
      <sz val="10"/>
      <color rgb="FF1261A0"/>
      <name val="Arial"/>
    </font>
    <font>
      <sz val="10"/>
      <color rgb="FF159477"/>
      <name val="Arial"/>
    </font>
    <font>
      <b/>
      <sz val="23"/>
      <color rgb="FFF6F8FB"/>
      <name val="Arial"/>
    </font>
    <font>
      <b/>
      <sz val="22"/>
      <color rgb="FF101B2D"/>
      <name val="Arial"/>
    </font>
    <font>
      <u/>
      <sz val="9"/>
      <color rgb="FF159477"/>
      <name val="Arial"/>
    </font>
    <font>
      <b/>
      <sz val="10"/>
      <color rgb="FF101B2D"/>
      <name val="Arial"/>
    </font>
    <font>
      <b/>
      <sz val="10"/>
      <color rgb="FFFFFFFF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3046"/>
      </patternFill>
    </fill>
    <fill>
      <patternFill patternType="solid">
        <fgColor rgb="FFFFF2CC"/>
      </patternFill>
    </fill>
    <fill>
      <patternFill patternType="solid">
        <fgColor rgb="FF101B2D"/>
      </patternFill>
    </fill>
    <fill>
      <patternFill patternType="solid">
        <fgColor rgb="FFE6EBF2"/>
      </patternFill>
    </fill>
    <fill>
      <patternFill patternType="solid">
        <fgColor rgb="FFF6F8FB"/>
      </patternFill>
    </fill>
    <fill>
      <patternFill patternType="solid">
        <fgColor rgb="FFFFF5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164" fontId="4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5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3" borderId="0" xfId="0" applyFont="1" applyFill="1" applyAlignment="1" applyProtection="1">
      <alignment vertical="center"/>
      <protection locked="0"/>
    </xf>
    <xf numFmtId="164" fontId="6" fillId="7" borderId="0" xfId="0" applyNumberFormat="1" applyFont="1" applyFill="1" applyAlignment="1" applyProtection="1">
      <alignment horizontal="right" vertical="center"/>
      <protection locked="0"/>
    </xf>
    <xf numFmtId="165" fontId="6" fillId="3" borderId="0" xfId="0" applyNumberFormat="1" applyFont="1" applyFill="1" applyAlignment="1" applyProtection="1">
      <alignment vertical="center"/>
      <protection locked="0"/>
    </xf>
    <xf numFmtId="166" fontId="6" fillId="7" borderId="0" xfId="0" applyNumberFormat="1" applyFont="1" applyFill="1" applyAlignment="1" applyProtection="1">
      <alignment horizontal="right" vertical="center"/>
      <protection locked="0"/>
    </xf>
    <xf numFmtId="0" fontId="11" fillId="5" borderId="0" xfId="0" applyFont="1" applyFill="1" applyAlignment="1" applyProtection="1">
      <alignment vertical="center"/>
      <protection locked="0"/>
    </xf>
    <xf numFmtId="164" fontId="11" fillId="5" borderId="0" xfId="0" applyNumberFormat="1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165" fontId="6" fillId="0" borderId="0" xfId="0" applyNumberFormat="1" applyFont="1" applyAlignment="1" applyProtection="1">
      <alignment vertical="center"/>
      <protection locked="0"/>
    </xf>
    <xf numFmtId="165" fontId="4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167" fontId="6" fillId="7" borderId="0" xfId="0" applyNumberFormat="1" applyFont="1" applyFill="1" applyAlignment="1" applyProtection="1">
      <alignment horizontal="right" vertical="center"/>
      <protection locked="0"/>
    </xf>
    <xf numFmtId="167" fontId="4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67" fontId="0" fillId="0" borderId="0" xfId="0" applyNumberFormat="1" applyProtection="1"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12" fillId="2" borderId="0" xfId="0" applyFont="1" applyFill="1" applyAlignment="1">
      <alignment horizontal="center" vertical="center" wrapText="1"/>
    </xf>
    <xf numFmtId="168" fontId="12" fillId="2" borderId="0" xfId="0" applyNumberFormat="1" applyFont="1" applyFill="1" applyAlignment="1">
      <alignment vertical="center"/>
    </xf>
    <xf numFmtId="169" fontId="4" fillId="0" borderId="0" xfId="0" applyNumberFormat="1" applyFont="1" applyAlignment="1">
      <alignment vertical="center"/>
    </xf>
    <xf numFmtId="169" fontId="7" fillId="0" borderId="0" xfId="0" applyNumberFormat="1" applyFont="1" applyAlignment="1">
      <alignment vertical="center"/>
    </xf>
    <xf numFmtId="170" fontId="4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8" fillId="4" borderId="0" xfId="0" applyFont="1" applyFill="1" applyAlignment="1">
      <alignment vertical="center"/>
    </xf>
    <xf numFmtId="0" fontId="0" fillId="0" borderId="0" xfId="0"/>
    <xf numFmtId="164" fontId="9" fillId="6" borderId="0" xfId="0" applyNumberFormat="1" applyFont="1" applyFill="1" applyAlignment="1">
      <alignment vertical="center"/>
    </xf>
    <xf numFmtId="0" fontId="2" fillId="5" borderId="0" xfId="0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</cellXfs>
  <cellStyles count="1">
    <cellStyle name="Обычный" xfId="0" builtinId="0"/>
  </cellStyles>
  <dxfs count="10">
    <dxf>
      <fill>
        <patternFill patternType="solid">
          <fgColor rgb="FFFBE7E7"/>
        </patternFill>
      </fill>
    </dxf>
    <dxf>
      <font>
        <color rgb="FFC95757"/>
      </font>
      <fill>
        <patternFill patternType="solid">
          <fgColor rgb="FFFBE7E7"/>
        </patternFill>
      </fill>
    </dxf>
    <dxf>
      <fill>
        <patternFill patternType="solid">
          <fgColor rgb="FFFFF0DE"/>
        </patternFill>
      </fill>
    </dxf>
    <dxf>
      <font>
        <color rgb="FFC95757"/>
      </font>
      <fill>
        <patternFill patternType="solid">
          <fgColor rgb="FFFBE7E7"/>
        </patternFill>
      </fill>
    </dxf>
    <dxf>
      <fill>
        <patternFill patternType="solid">
          <fgColor rgb="FFFBE7E7"/>
        </patternFill>
      </fill>
    </dxf>
    <dxf>
      <font>
        <color rgb="FFC95757"/>
      </font>
      <fill>
        <patternFill patternType="solid">
          <fgColor rgb="FFFBE7E7"/>
        </patternFill>
      </fill>
    </dxf>
    <dxf>
      <font>
        <color rgb="FFC95757"/>
      </font>
      <fill>
        <patternFill patternType="solid">
          <fgColor rgb="FFFBE7E7"/>
        </patternFill>
      </fill>
    </dxf>
    <dxf>
      <fill>
        <patternFill patternType="solid">
          <fgColor rgb="FFFBE7E7"/>
        </patternFill>
      </fill>
    </dxf>
    <dxf>
      <font>
        <color rgb="FFC95757"/>
      </font>
      <fill>
        <patternFill patternType="solid">
          <fgColor rgb="FFFBE7E7"/>
        </patternFill>
      </fill>
    </dxf>
    <dxf>
      <font>
        <color rgb="FFC95757"/>
      </font>
      <fill>
        <patternFill patternType="solid">
          <fgColor rgb="FFFBE7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Выручка и результат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ПАНЕЛЬ!$A$42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5000">
              <a:solidFill>
                <a:srgbClr val="159477"/>
              </a:solidFill>
              <a:prstDash val="solid"/>
            </a:ln>
          </c:spPr>
          <c:marker>
            <c:symbol val="none"/>
          </c:marker>
          <c:cat>
            <c:strRef>
              <c:f>ПАНЕЛЬ!$B$41:$M$41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ПАНЕЛЬ!$B$42:$M$42</c:f>
              <c:numCache>
                <c:formatCode>#\ ##0;[Red]\(#\ ##0\);"—"</c:formatCode>
                <c:ptCount val="12"/>
                <c:pt idx="0">
                  <c:v>420000</c:v>
                </c:pt>
                <c:pt idx="1">
                  <c:v>180000</c:v>
                </c:pt>
                <c:pt idx="2">
                  <c:v>507000</c:v>
                </c:pt>
                <c:pt idx="3">
                  <c:v>550000</c:v>
                </c:pt>
                <c:pt idx="4">
                  <c:v>580000</c:v>
                </c:pt>
                <c:pt idx="5">
                  <c:v>620000</c:v>
                </c:pt>
                <c:pt idx="6">
                  <c:v>590000</c:v>
                </c:pt>
                <c:pt idx="7">
                  <c:v>210000</c:v>
                </c:pt>
                <c:pt idx="8">
                  <c:v>650000</c:v>
                </c:pt>
                <c:pt idx="9">
                  <c:v>710000</c:v>
                </c:pt>
                <c:pt idx="10">
                  <c:v>760000</c:v>
                </c:pt>
                <c:pt idx="11">
                  <c:v>820000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EC-4C23-A719-84DABA30A395}"/>
            </c:ext>
          </c:extLst>
        </c:ser>
        <c:ser>
          <c:idx val="1"/>
          <c:order val="1"/>
          <c:tx>
            <c:strRef>
              <c:f>ПАНЕЛЬ!$A$43</c:f>
              <c:strCache>
                <c:ptCount val="1"/>
                <c:pt idx="0">
                  <c:v>Результат</c:v>
                </c:pt>
              </c:strCache>
            </c:strRef>
          </c:tx>
          <c:spPr>
            <a:ln w="25000">
              <a:solidFill>
                <a:srgbClr val="D3A34B"/>
              </a:solidFill>
              <a:prstDash val="solid"/>
            </a:ln>
          </c:spPr>
          <c:marker>
            <c:symbol val="none"/>
          </c:marker>
          <c:cat>
            <c:strRef>
              <c:f>ПАНЕЛЬ!$B$41:$M$41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ПАНЕЛЬ!$B$43:$M$43</c:f>
              <c:numCache>
                <c:formatCode>#\ ##0;[Red]\(#\ ##0\);"—"</c:formatCode>
                <c:ptCount val="12"/>
                <c:pt idx="0">
                  <c:v>4917.5</c:v>
                </c:pt>
                <c:pt idx="1">
                  <c:v>-149325.34</c:v>
                </c:pt>
                <c:pt idx="2">
                  <c:v>49344.17</c:v>
                </c:pt>
                <c:pt idx="3">
                  <c:v>76696.08</c:v>
                </c:pt>
                <c:pt idx="4">
                  <c:v>95160.42</c:v>
                </c:pt>
                <c:pt idx="5">
                  <c:v>119727.22</c:v>
                </c:pt>
                <c:pt idx="6">
                  <c:v>101971.53</c:v>
                </c:pt>
                <c:pt idx="7">
                  <c:v>-194651</c:v>
                </c:pt>
                <c:pt idx="8">
                  <c:v>138929.13</c:v>
                </c:pt>
                <c:pt idx="9">
                  <c:v>175711.96</c:v>
                </c:pt>
                <c:pt idx="10">
                  <c:v>206397.53</c:v>
                </c:pt>
                <c:pt idx="11">
                  <c:v>247318.69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EC-4C23-A719-84DABA30A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6EBF2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Остаток денег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ПАНЕЛЬ!$A$44</c:f>
              <c:strCache>
                <c:ptCount val="1"/>
                <c:pt idx="0">
                  <c:v>Денежный остаток</c:v>
                </c:pt>
              </c:strCache>
            </c:strRef>
          </c:tx>
          <c:spPr>
            <a:ln w="25000">
              <a:solidFill>
                <a:srgbClr val="159477"/>
              </a:solidFill>
              <a:prstDash val="solid"/>
            </a:ln>
          </c:spPr>
          <c:marker>
            <c:symbol val="none"/>
          </c:marker>
          <c:cat>
            <c:strRef>
              <c:f>ПАНЕЛЬ!$B$41:$M$41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ПАНЕЛЬ!$B$44:$M$44</c:f>
              <c:numCache>
                <c:formatCode>#\ ##0;[Red]\(#\ ##0\);"—"</c:formatCode>
                <c:ptCount val="12"/>
                <c:pt idx="0">
                  <c:v>645622.77</c:v>
                </c:pt>
                <c:pt idx="1">
                  <c:v>508045.54</c:v>
                </c:pt>
                <c:pt idx="2">
                  <c:v>566868.30999999994</c:v>
                </c:pt>
                <c:pt idx="3">
                  <c:v>635891.07999999996</c:v>
                </c:pt>
                <c:pt idx="4">
                  <c:v>770313.85</c:v>
                </c:pt>
                <c:pt idx="5">
                  <c:v>881936.62</c:v>
                </c:pt>
                <c:pt idx="6">
                  <c:v>978159.39</c:v>
                </c:pt>
                <c:pt idx="7">
                  <c:v>795982.16</c:v>
                </c:pt>
                <c:pt idx="8">
                  <c:v>953004.93</c:v>
                </c:pt>
                <c:pt idx="9">
                  <c:v>1130827.7000000002</c:v>
                </c:pt>
                <c:pt idx="10">
                  <c:v>1387650.4700000002</c:v>
                </c:pt>
                <c:pt idx="11">
                  <c:v>1675043.2400000002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C-4C4F-84E4-9DBFF0CC9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6EBF2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Денежный поток по месяцам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ДДС!$A$10</c:f>
              <c:strCache>
                <c:ptCount val="1"/>
                <c:pt idx="0">
                  <c:v>Операционный поток</c:v>
                </c:pt>
              </c:strCache>
            </c:strRef>
          </c:tx>
          <c:spPr>
            <a:ln w="26000">
              <a:solidFill>
                <a:srgbClr val="159477"/>
              </a:solidFill>
              <a:prstDash val="solid"/>
            </a:ln>
          </c:spPr>
          <c:marker>
            <c:symbol val="none"/>
          </c:marker>
          <c:cat>
            <c:numRef>
              <c:f>ДДС!$B$6:$M$6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ДДС!$B$10:$M$10</c:f>
              <c:numCache>
                <c:formatCode>#\ ##0;[Red]\(#\ ##0\);"—"</c:formatCode>
                <c:ptCount val="12"/>
                <c:pt idx="0">
                  <c:v>36100</c:v>
                </c:pt>
                <c:pt idx="1">
                  <c:v>-126942.84000000003</c:v>
                </c:pt>
                <c:pt idx="2">
                  <c:v>94616.669999999984</c:v>
                </c:pt>
                <c:pt idx="3">
                  <c:v>79978.580000000016</c:v>
                </c:pt>
                <c:pt idx="4">
                  <c:v>145542.91999999998</c:v>
                </c:pt>
                <c:pt idx="5">
                  <c:v>172909.71999999997</c:v>
                </c:pt>
                <c:pt idx="6">
                  <c:v>108054.03000000003</c:v>
                </c:pt>
                <c:pt idx="7">
                  <c:v>-170168.5</c:v>
                </c:pt>
                <c:pt idx="8">
                  <c:v>194211.63</c:v>
                </c:pt>
                <c:pt idx="9">
                  <c:v>190194.46000000002</c:v>
                </c:pt>
                <c:pt idx="10">
                  <c:v>269380.03000000003</c:v>
                </c:pt>
                <c:pt idx="11">
                  <c:v>325138.39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2-4C29-A3C8-4EE6AAE4E02B}"/>
            </c:ext>
          </c:extLst>
        </c:ser>
        <c:ser>
          <c:idx val="1"/>
          <c:order val="1"/>
          <c:tx>
            <c:strRef>
              <c:f>ДДС!$A$13</c:f>
              <c:strCache>
                <c:ptCount val="1"/>
                <c:pt idx="0">
                  <c:v>Чистый денежный поток</c:v>
                </c:pt>
              </c:strCache>
            </c:strRef>
          </c:tx>
          <c:spPr>
            <a:ln w="26000">
              <a:solidFill>
                <a:srgbClr val="D3A34B"/>
              </a:solidFill>
              <a:prstDash val="solid"/>
            </a:ln>
          </c:spPr>
          <c:marker>
            <c:symbol val="none"/>
          </c:marker>
          <c:cat>
            <c:numRef>
              <c:f>ДДС!$B$6:$M$6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ДДС!$B$13:$M$13</c:f>
              <c:numCache>
                <c:formatCode>#\ ##0;[Red]\(#\ ##0\);"—"</c:formatCode>
                <c:ptCount val="12"/>
                <c:pt idx="0">
                  <c:v>645622.77</c:v>
                </c:pt>
                <c:pt idx="1">
                  <c:v>-137577.23000000004</c:v>
                </c:pt>
                <c:pt idx="2">
                  <c:v>58822.769999999982</c:v>
                </c:pt>
                <c:pt idx="3">
                  <c:v>69022.770000000019</c:v>
                </c:pt>
                <c:pt idx="4">
                  <c:v>134422.76999999999</c:v>
                </c:pt>
                <c:pt idx="5">
                  <c:v>111622.76999999997</c:v>
                </c:pt>
                <c:pt idx="6">
                  <c:v>96222.770000000033</c:v>
                </c:pt>
                <c:pt idx="7">
                  <c:v>-182177.23</c:v>
                </c:pt>
                <c:pt idx="8">
                  <c:v>157022.77000000002</c:v>
                </c:pt>
                <c:pt idx="9">
                  <c:v>177822.77000000002</c:v>
                </c:pt>
                <c:pt idx="10">
                  <c:v>256822.77000000002</c:v>
                </c:pt>
                <c:pt idx="11">
                  <c:v>287392.77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A2-4C29-A3C8-4EE6AAE4E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6EBF2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Выручка и финансовый результат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ОПиУ!$A$7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6000">
              <a:solidFill>
                <a:srgbClr val="159477"/>
              </a:solidFill>
              <a:prstDash val="solid"/>
            </a:ln>
          </c:spPr>
          <c:marker>
            <c:symbol val="none"/>
          </c:marker>
          <c:cat>
            <c:numRef>
              <c:f>ОПиУ!$B$6:$M$6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ОПиУ!$B$7:$M$7</c:f>
              <c:numCache>
                <c:formatCode>#\ ##0;[Red]\(#\ ##0\);"—"</c:formatCode>
                <c:ptCount val="12"/>
                <c:pt idx="0">
                  <c:v>420000</c:v>
                </c:pt>
                <c:pt idx="1">
                  <c:v>180000</c:v>
                </c:pt>
                <c:pt idx="2">
                  <c:v>507000</c:v>
                </c:pt>
                <c:pt idx="3">
                  <c:v>550000</c:v>
                </c:pt>
                <c:pt idx="4">
                  <c:v>580000</c:v>
                </c:pt>
                <c:pt idx="5">
                  <c:v>620000</c:v>
                </c:pt>
                <c:pt idx="6">
                  <c:v>590000</c:v>
                </c:pt>
                <c:pt idx="7">
                  <c:v>210000</c:v>
                </c:pt>
                <c:pt idx="8">
                  <c:v>650000</c:v>
                </c:pt>
                <c:pt idx="9">
                  <c:v>710000</c:v>
                </c:pt>
                <c:pt idx="10">
                  <c:v>760000</c:v>
                </c:pt>
                <c:pt idx="11">
                  <c:v>820000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46-4FFC-8A23-24C5A70DDB8B}"/>
            </c:ext>
          </c:extLst>
        </c:ser>
        <c:ser>
          <c:idx val="1"/>
          <c:order val="1"/>
          <c:tx>
            <c:strRef>
              <c:f>ОПиУ!$A$16</c:f>
              <c:strCache>
                <c:ptCount val="1"/>
                <c:pt idx="0">
                  <c:v>Итоговый результат</c:v>
                </c:pt>
              </c:strCache>
            </c:strRef>
          </c:tx>
          <c:spPr>
            <a:ln w="26000">
              <a:solidFill>
                <a:srgbClr val="D3A34B"/>
              </a:solidFill>
              <a:prstDash val="solid"/>
            </a:ln>
          </c:spPr>
          <c:marker>
            <c:symbol val="none"/>
          </c:marker>
          <c:cat>
            <c:numRef>
              <c:f>ОПиУ!$B$6:$M$6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ОПиУ!$B$16:$M$16</c:f>
              <c:numCache>
                <c:formatCode>#\ ##0;[Red]\(#\ ##0\);"—"</c:formatCode>
                <c:ptCount val="12"/>
                <c:pt idx="0">
                  <c:v>4917.5</c:v>
                </c:pt>
                <c:pt idx="1">
                  <c:v>-149325.34</c:v>
                </c:pt>
                <c:pt idx="2">
                  <c:v>49344.17</c:v>
                </c:pt>
                <c:pt idx="3">
                  <c:v>76696.08</c:v>
                </c:pt>
                <c:pt idx="4">
                  <c:v>95160.42</c:v>
                </c:pt>
                <c:pt idx="5">
                  <c:v>119727.22</c:v>
                </c:pt>
                <c:pt idx="6">
                  <c:v>101971.53</c:v>
                </c:pt>
                <c:pt idx="7">
                  <c:v>-194651</c:v>
                </c:pt>
                <c:pt idx="8">
                  <c:v>138929.13</c:v>
                </c:pt>
                <c:pt idx="9">
                  <c:v>175711.96</c:v>
                </c:pt>
                <c:pt idx="10">
                  <c:v>206397.53</c:v>
                </c:pt>
                <c:pt idx="11">
                  <c:v>247318.69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46-4FFC-8A23-24C5A70DD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6EBF2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ПРОГНОЗ!$A$7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6000">
              <a:solidFill>
                <a:srgbClr val="159477"/>
              </a:solidFill>
              <a:prstDash val="solid"/>
            </a:ln>
          </c:spPr>
          <c:marker>
            <c:symbol val="none"/>
          </c:marker>
          <c:cat>
            <c:numRef>
              <c:f>ПРОГНОЗ!$B$6:$M$6</c:f>
              <c:numCache>
                <c:formatCode>mmm\ yyyy</c:formatCode>
                <c:ptCount val="12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</c:numCache>
            </c:numRef>
          </c:cat>
          <c:val>
            <c:numRef>
              <c:f>ПРОГНОЗ!$B$7:$M$7</c:f>
              <c:numCache>
                <c:formatCode>#\ ##0;[Red]\(#\ ##0\);"—"</c:formatCode>
                <c:ptCount val="12"/>
                <c:pt idx="0">
                  <c:v>778600</c:v>
                </c:pt>
                <c:pt idx="1">
                  <c:v>794172</c:v>
                </c:pt>
                <c:pt idx="2">
                  <c:v>810055.44000000006</c:v>
                </c:pt>
                <c:pt idx="3">
                  <c:v>826256.54880000011</c:v>
                </c:pt>
                <c:pt idx="4">
                  <c:v>842781.67977600009</c:v>
                </c:pt>
                <c:pt idx="5">
                  <c:v>859637.31337152014</c:v>
                </c:pt>
                <c:pt idx="6">
                  <c:v>876830.05963895051</c:v>
                </c:pt>
                <c:pt idx="7">
                  <c:v>894366.66083172953</c:v>
                </c:pt>
                <c:pt idx="8">
                  <c:v>912253.99404836411</c:v>
                </c:pt>
                <c:pt idx="9">
                  <c:v>930499.07392933138</c:v>
                </c:pt>
                <c:pt idx="10">
                  <c:v>949109.05540791806</c:v>
                </c:pt>
                <c:pt idx="11">
                  <c:v>968091.23651607649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8-41E2-9B32-B856F1C2143A}"/>
            </c:ext>
          </c:extLst>
        </c:ser>
        <c:ser>
          <c:idx val="1"/>
          <c:order val="1"/>
          <c:tx>
            <c:strRef>
              <c:f>ПРОГНОЗ!$A$15</c:f>
              <c:strCache>
                <c:ptCount val="1"/>
                <c:pt idx="0">
                  <c:v>Прогнозная прибыль</c:v>
                </c:pt>
              </c:strCache>
            </c:strRef>
          </c:tx>
          <c:spPr>
            <a:ln w="26000">
              <a:solidFill>
                <a:srgbClr val="D3A34B"/>
              </a:solidFill>
              <a:prstDash val="solid"/>
            </a:ln>
          </c:spPr>
          <c:marker>
            <c:symbol val="none"/>
          </c:marker>
          <c:cat>
            <c:numRef>
              <c:f>ПРОГНОЗ!$B$6:$M$6</c:f>
              <c:numCache>
                <c:formatCode>mmm\ yyyy</c:formatCode>
                <c:ptCount val="12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</c:numCache>
            </c:numRef>
          </c:cat>
          <c:val>
            <c:numRef>
              <c:f>ПРОГНОЗ!$B$15:$M$15</c:f>
              <c:numCache>
                <c:formatCode>#\ ##0;[Red]\(#\ ##0\);"—"</c:formatCode>
                <c:ptCount val="12"/>
                <c:pt idx="0">
                  <c:v>229353.27758981357</c:v>
                </c:pt>
                <c:pt idx="1">
                  <c:v>237968.57654160995</c:v>
                </c:pt>
                <c:pt idx="2">
                  <c:v>246773.67734744225</c:v>
                </c:pt>
                <c:pt idx="3">
                  <c:v>255772.46017876605</c:v>
                </c:pt>
                <c:pt idx="4">
                  <c:v>264968.87227213825</c:v>
                </c:pt>
                <c:pt idx="5">
                  <c:v>274366.9394728269</c:v>
                </c:pt>
                <c:pt idx="6">
                  <c:v>283970.77780930547</c:v>
                </c:pt>
                <c:pt idx="7">
                  <c:v>293784.5750992489</c:v>
                </c:pt>
                <c:pt idx="8">
                  <c:v>303812.62258765986</c:v>
                </c:pt>
                <c:pt idx="9">
                  <c:v>314059.27661777113</c:v>
                </c:pt>
                <c:pt idx="10">
                  <c:v>324492.52033537661</c:v>
                </c:pt>
                <c:pt idx="11">
                  <c:v>334964.6254272603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08-41E2-9B32-B856F1C2143A}"/>
            </c:ext>
          </c:extLst>
        </c:ser>
        <c:ser>
          <c:idx val="2"/>
          <c:order val="2"/>
          <c:tx>
            <c:strRef>
              <c:f>ПРОГНОЗ!$A$22</c:f>
              <c:strCache>
                <c:ptCount val="1"/>
                <c:pt idx="0">
                  <c:v>Конечный денежный остаток</c:v>
                </c:pt>
              </c:strCache>
            </c:strRef>
          </c:tx>
          <c:spPr>
            <a:ln w="26000">
              <a:solidFill>
                <a:srgbClr val="C95757"/>
              </a:solidFill>
              <a:prstDash val="solid"/>
            </a:ln>
          </c:spPr>
          <c:marker>
            <c:symbol val="none"/>
          </c:marker>
          <c:cat>
            <c:numRef>
              <c:f>ПРОГНОЗ!$B$6:$M$6</c:f>
              <c:numCache>
                <c:formatCode>mmm\ yyyy</c:formatCode>
                <c:ptCount val="12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</c:numCache>
            </c:numRef>
          </c:cat>
          <c:val>
            <c:numRef>
              <c:f>ПРОГНОЗ!$B$22:$M$22</c:f>
              <c:numCache>
                <c:formatCode>#\ ##0;[Red]\(#\ ##0\);"—"</c:formatCode>
                <c:ptCount val="12"/>
                <c:pt idx="0">
                  <c:v>1447035.8409231463</c:v>
                </c:pt>
                <c:pt idx="1">
                  <c:v>1674278.2241314228</c:v>
                </c:pt>
                <c:pt idx="2">
                  <c:v>1910076.8414788651</c:v>
                </c:pt>
                <c:pt idx="3">
                  <c:v>2154621.3768576309</c:v>
                </c:pt>
                <c:pt idx="4">
                  <c:v>2408105.4006337691</c:v>
                </c:pt>
                <c:pt idx="5">
                  <c:v>2670726.4478406757</c:v>
                </c:pt>
                <c:pt idx="6">
                  <c:v>2942686.0979387425</c:v>
                </c:pt>
                <c:pt idx="7">
                  <c:v>3224190.0561725283</c:v>
                </c:pt>
                <c:pt idx="8">
                  <c:v>3515448.2365574157</c:v>
                </c:pt>
                <c:pt idx="9">
                  <c:v>3819105.7665283591</c:v>
                </c:pt>
                <c:pt idx="10">
                  <c:v>4145496.6232839716</c:v>
                </c:pt>
                <c:pt idx="11">
                  <c:v>4482297.5518598724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08-41E2-9B32-B856F1C21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6EBF2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min"/>
        <c:crossBetween val="between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544000" cy="302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15</xdr:row>
      <xdr:rowOff>0</xdr:rowOff>
    </xdr:from>
    <xdr:ext cx="5544000" cy="302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86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86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86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s" displayName="Assets" ref="A6:J56">
  <autoFilter ref="A6:J56" xr:uid="{00000000-0009-0000-0100-000001000000}"/>
  <tableColumns count="10">
    <tableColumn id="1" xr3:uid="{00000000-0010-0000-0000-000001000000}" name="ID"/>
    <tableColumn id="2" xr3:uid="{00000000-0010-0000-0000-000002000000}" name="Актив"/>
    <tableColumn id="3" xr3:uid="{00000000-0010-0000-0000-000003000000}" name="Дата ввода"/>
    <tableColumn id="4" xr3:uid="{00000000-0010-0000-0000-000004000000}" name="Стоимость"/>
    <tableColumn id="5" xr3:uid="{00000000-0010-0000-0000-000005000000}" name="Срок месяцев"/>
    <tableColumn id="6" xr3:uid="{00000000-0010-0000-0000-000006000000}" name="Аморт. начальная"/>
    <tableColumn id="7" xr3:uid="{00000000-0010-0000-0000-000007000000}" name="Накопленная">
      <calculatedColumnFormula>IF(A7="","",IF(C7&gt;ДатаОтчета,0,IF(E7&lt;=0,0,MIN(D7,F7+ROUND(D7/E7*MAX(0,(YEAR(ДатаОтчета)-YEAR(MAX(C7,EDATE(НачалоУчета,-1))))*12+MONTH(ДатаОтчета)-MONTH(MAX(C7,EDATE(НачалоУчета,-1)))),2)))))</calculatedColumnFormula>
    </tableColumn>
    <tableColumn id="8" xr3:uid="{00000000-0010-0000-0000-000008000000}" name="Остаточная">
      <calculatedColumnFormula>IF(A7="","",IF(C7&gt;ДатаОтчета,0,D7-G7))</calculatedColumnFormula>
    </tableColumn>
    <tableColumn id="9" xr3:uid="{00000000-0010-0000-0000-000009000000}" name="Оплачено">
      <calculatedColumnFormula>IF(A7="","",SUMIFS(Cash[Сумма],Cash[Дата],"&lt;="&amp;ДатаОтчета,Cash[Статус],"Проведён",Cash[Тип],"Покупка ОС",Cash[Документ],A7))</calculatedColumnFormula>
    </tableColumn>
    <tableColumn id="10" xr3:uid="{00000000-0010-0000-0000-00000A000000}" name="Расхождение">
      <calculatedColumnFormula>IF(A7="","",IF(OR(C7&gt;ДатаОтчета,C7&lt;НачалоУчета),0,D7-I7))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sh" displayName="Cash" ref="A6:W1006">
  <autoFilter ref="A6:W1006" xr:uid="{00000000-0009-0000-0100-000002000000}"/>
  <tableColumns count="23">
    <tableColumn id="1" xr3:uid="{00000000-0010-0000-0100-000001000000}" name="ID"/>
    <tableColumn id="2" xr3:uid="{00000000-0010-0000-0100-000002000000}" name="Дата"/>
    <tableColumn id="3" xr3:uid="{00000000-0010-0000-0100-000003000000}" name="Тип"/>
    <tableColumn id="4" xr3:uid="{00000000-0010-0000-0100-000004000000}" name="Категория"/>
    <tableColumn id="5" xr3:uid="{00000000-0010-0000-0100-000005000000}" name="Сумма"/>
    <tableColumn id="6" xr3:uid="{00000000-0010-0000-0100-000006000000}" name="Счёт"/>
    <tableColumn id="7" xr3:uid="{00000000-0010-0000-0100-000007000000}" name="Счёт получателя"/>
    <tableColumn id="8" xr3:uid="{00000000-0010-0000-0100-000008000000}" name="Контрагент"/>
    <tableColumn id="9" xr3:uid="{00000000-0010-0000-0100-000009000000}" name="Проект"/>
    <tableColumn id="10" xr3:uid="{00000000-0010-0000-0100-00000A000000}" name="Документ"/>
    <tableColumn id="11" xr3:uid="{00000000-0010-0000-0100-00000B000000}" name="Назначение"/>
    <tableColumn id="12" xr3:uid="{00000000-0010-0000-0100-00000C000000}" name="Статус"/>
    <tableColumn id="13" xr3:uid="{00000000-0010-0000-0100-00000D000000}" name="Примечание"/>
    <tableColumn id="14" xr3:uid="{00000000-0010-0000-0100-00000E000000}" name="Налоговый расход"/>
    <tableColumn id="15" xr3:uid="{00000000-0010-0000-0100-00000F000000}" name="Распределение"/>
    <tableColumn id="16" xr3:uid="{00000000-0010-0000-0100-000010000000}" name="Знак">
      <calculatedColumnFormula>IF(A7="","",IF(COUNTIF(Типы,C7)=0,0,VLOOKUP(C7,СПРАВОЧНИКИ!$A$7:$E$22,2,FALSE)))</calculatedColumnFormula>
    </tableColumn>
    <tableColumn id="17" xr3:uid="{00000000-0010-0000-0100-000011000000}" name="Поток">
      <calculatedColumnFormula>IF(A7="","",IF(L7="Проведён",E7*P7,0))</calculatedColumnFormula>
    </tableColumn>
    <tableColumn id="18" xr3:uid="{00000000-0010-0000-0100-000012000000}" name="Класс ДДС">
      <calculatedColumnFormula>IF(A7="","",IF(COUNTIF(Типы,C7)=0,"НЕИЗВЕСТНЫЙ ТИП",VLOOKUP(C7,СПРАВОЧНИКИ!$A$7:$E$22,3,FALSE)))</calculatedColumnFormula>
    </tableColumn>
    <tableColumn id="19" xr3:uid="{00000000-0010-0000-0100-000013000000}" name="Оплата">
      <calculatedColumnFormula>IF(A7="","",IF(L7="Проведён",E7*IF(COUNTIF(Типы,C7)=0,0,VLOOKUP(C7,СПРАВОЧНИКИ!$A$7:$E$22,4,FALSE)),0))</calculatedColumnFormula>
    </tableColumn>
    <tableColumn id="20" xr3:uid="{00000000-0010-0000-0100-000014000000}" name="Налоговый доход">
      <calculatedColumnFormula>IF(A7="","",IF(L7="Проведён",E7*IF(COUNTIF(Типы,C7)=0,0,VLOOKUP(C7,СПРАВОЧНИКИ!$A$7:$E$22,5,FALSE)),0))</calculatedColumnFormula>
    </tableColumn>
    <tableColumn id="21" xr3:uid="{00000000-0010-0000-0100-000015000000}" name="Тип лица">
      <calculatedColumnFormula>IF(A7="","",IF(COUNTIF(Контрагенты,H7)=0,"Не задан",VLOOKUP(H7,СПРАВОЧНИКИ!$G$7:$H$66,2,FALSE)))</calculatedColumnFormula>
    </tableColumn>
    <tableColumn id="22" xr3:uid="{00000000-0010-0000-0100-000016000000}" name="Проверка">
      <calculatedColumnFormula>IF(A7="",IF(COUNTA(B7:O7)&gt;0,"НЕТ ID",""),IF(OR(AND(OR(C7="Оплата клиента",C7="Возврат клиенту"),COUNTIFS(Docs[ID],J7,Docs[Тип долга],"ДЗ")&lt;&gt;1),AND(OR(C7="Оплата поставщику",C7="Возврат поставщика"),COUNTIFS(Docs[ID],J7,Docs[Тип долга],"КЗ",Docs[Вид],"&lt;&gt;Дивиденды")&lt;&gt;1),AND(C7="Дивиденды",COUNTIFS(Docs[ID],J7,Docs[Вид],"Дивиденды")&lt;&gt;1),AND(C7="Проценты",COUNTIFS(Docs[ID],J7,Docs[Вид],"Проценты")&lt;&gt;1),COUNTIF(Cash[ID],A7)&gt;1,NOT(ISNUMBER(B7)),B7&lt;НачалоУчета,YEAR(B7)&lt;&gt;Год,NOT(ISNUMBER(E7)),E7&lt;=0,N7&lt;0,COUNTIF(Типы,C7)&lt;&gt;1,COUNTIF(Категории,D7)&lt;&gt;1,COUNTIF(Счета,F7)&lt;&gt;1,COUNTIF(Проекты,I7)&lt;&gt;1,AND(H7&lt;&gt;"",COUNTIF(Контрагенты,H7)&lt;&gt;1),AND(C7="Перевод",OR(F7=G7,COUNTIF(Счета,G7)&lt;&gt;1)),AND(S7&lt;&gt;0,COUNTIF(Docs[ID],J7)&lt;&gt;1),AND(Форма="ООО",C7="Вывод ИП"),AND(Форма="ИП",C7="Дивиденды"),AND(L7&lt;&gt;"Проведён",L7&lt;&gt;"Черновик")),"ОШИБКА","ОК"))</calculatedColumnFormula>
    </tableColumn>
    <tableColumn id="23" xr3:uid="{00000000-0010-0000-0100-000017000000}" name="Остаток счёта">
      <calculatedColumnFormula>IF(A7="","",SUMIF(Accounts[Счёт],F7,Accounts[Начальный])+SUMIFS($Q$7:Q7,$F$7:F7,F7)+SUMIFS($E$7:E7,$G$7:G7,F7,$C$7:C7,"Перевод",$L$7:L7,"Проведён"))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ocs" displayName="Docs" ref="A6:Q606">
  <autoFilter ref="A6:Q606" xr:uid="{00000000-0009-0000-0100-000003000000}"/>
  <tableColumns count="17">
    <tableColumn id="1" xr3:uid="{00000000-0010-0000-0200-000001000000}" name="ID"/>
    <tableColumn id="2" xr3:uid="{00000000-0010-0000-0200-000002000000}" name="Дата"/>
    <tableColumn id="3" xr3:uid="{00000000-0010-0000-0200-000003000000}" name="Вид"/>
    <tableColumn id="4" xr3:uid="{00000000-0010-0000-0200-000004000000}" name="Категория"/>
    <tableColumn id="5" xr3:uid="{00000000-0010-0000-0200-000005000000}" name="Сумма"/>
    <tableColumn id="6" xr3:uid="{00000000-0010-0000-0200-000006000000}" name="Контрагент"/>
    <tableColumn id="7" xr3:uid="{00000000-0010-0000-0200-000007000000}" name="Проект"/>
    <tableColumn id="8" xr3:uid="{00000000-0010-0000-0200-000008000000}" name="Срок оплаты"/>
    <tableColumn id="9" xr3:uid="{00000000-0010-0000-0200-000009000000}" name="Статус"/>
    <tableColumn id="10" xr3:uid="{00000000-0010-0000-0200-00000A000000}" name="Примечание"/>
    <tableColumn id="11" xr3:uid="{00000000-0010-0000-0200-00000B000000}" name="Оплачено">
      <calculatedColumnFormula>IF(A7="","",SUMIFS(Cash[Оплата],Cash[Документ],A7,Cash[Дата],"&lt;="&amp;ДатаОтчета))</calculatedColumnFormula>
    </tableColumn>
    <tableColumn id="12" xr3:uid="{00000000-0010-0000-0200-00000C000000}" name="Остаток">
      <calculatedColumnFormula>IF(A7="","",IF(AND(I7="Проведён",B7&lt;=ДатаОтчета),E7-K7,0))</calculatedColumnFormula>
    </tableColumn>
    <tableColumn id="13" xr3:uid="{00000000-0010-0000-0200-00000D000000}" name="Дней просрочки">
      <calculatedColumnFormula>IF(A7="","",IF(L7&gt;0.01,MAX(0,ДатаОтчета-H7),0))</calculatedColumnFormula>
    </tableColumn>
    <tableColumn id="14" xr3:uid="{00000000-0010-0000-0200-00000E000000}" name="Возраст">
      <calculatedColumnFormula>IF(A7="","",IF(L7&lt;=0.01,"Закрыта",IF(M7=0,"Не просрочена",IF(M7&lt;=30,"1–30 дней",IF(M7&lt;=60,"31–60 дней",IF(M7&lt;=90,"61–90 дней","Более 90 дней"))))))</calculatedColumnFormula>
    </tableColumn>
    <tableColumn id="15" xr3:uid="{00000000-0010-0000-0200-00000F000000}" name="Состояние">
      <calculatedColumnFormula>IF(A7="","",IF(L7&lt;-0.01,"Переплата",IF(L7&lt;=0.01,"Оплачено",IF(M7&gt;0,"Просрочено",IF(H7&lt;=ДатаОтчета+7,"Оплата в 7 дней","Открыто")))))</calculatedColumnFormula>
    </tableColumn>
    <tableColumn id="16" xr3:uid="{00000000-0010-0000-0200-000010000000}" name="Проверка">
      <calculatedColumnFormula>IF(A7="",IF(COUNTA(B7:J7)&gt;0,"НЕТ ID",""),IF(OR(NOT(ISNUMBER(E7)),AND(Форма="ИП",C7="Дивиденды"),COUNTIF(Docs[ID],A7)&lt;&gt;1,NOT(ISNUMBER(B7)),B7&lt;НачалоУчета,YEAR(B7)&lt;&gt;Год,NOT(ISNUMBER(H7)),H7&lt;B7,E7&lt;0,COUNTIF(Виды,C7)&lt;&gt;1,COUNTIF(Категории,D7)&lt;&gt;1,COUNTIF(Контрагенты,F7)&lt;&gt;1,COUNTIF(Проекты,G7)&lt;&gt;1,L7&lt;-0.01,AND(I7&lt;&gt;"Проведён",I7&lt;&gt;"Черновик")),"ОШИБКА","ОК"))</calculatedColumnFormula>
    </tableColumn>
    <tableColumn id="17" xr3:uid="{00000000-0010-0000-0200-000011000000}" name="Тип долга">
      <calculatedColumnFormula>IF(A7="","",IF(OR(C7="Выручка",C7="Начальная ДЗ"),"ДЗ","КЗ"))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counts" displayName="Accounts" ref="A6:F16">
  <autoFilter ref="A6:F16" xr:uid="{00000000-0009-0000-0100-000004000000}"/>
  <tableColumns count="6">
    <tableColumn id="1" xr3:uid="{00000000-0010-0000-0300-000001000000}" name="Счёт"/>
    <tableColumn id="2" xr3:uid="{00000000-0010-0000-0300-000002000000}" name="Начальный"/>
    <tableColumn id="3" xr3:uid="{00000000-0010-0000-0300-000003000000}" name="Поступления">
      <calculatedColumnFormula>IF(A7="","",SUMIFS(Cash[Поток],Cash[Счёт],A7,Cash[Поток],"&gt;0",Cash[Дата],"&lt;="&amp;ДатаОтчета)+SUMIFS(Cash[Сумма],Cash[Счёт получателя],A7,Cash[Тип],"Перевод",Cash[Статус],"Проведён",Cash[Дата],"&lt;="&amp;ДатаОтчета))</calculatedColumnFormula>
    </tableColumn>
    <tableColumn id="4" xr3:uid="{00000000-0010-0000-0300-000004000000}" name="Списания">
      <calculatedColumnFormula>IF(A7="","",-SUMIFS(Cash[Поток],Cash[Счёт],A7,Cash[Поток],"&lt;0",Cash[Дата],"&lt;="&amp;ДатаОтчета))</calculatedColumnFormula>
    </tableColumn>
    <tableColumn id="5" xr3:uid="{00000000-0010-0000-0300-000005000000}" name="Конечный">
      <calculatedColumnFormula>IF(A7="","",B7+C7-D7)</calculatedColumnFormula>
    </tableColumn>
    <tableColumn id="6" xr3:uid="{00000000-0010-0000-0300-000006000000}" name="Назнач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nalog.garant.ru/fns/nk/25251f9c341b4b29fabf5cb7957c5992/" TargetMode="External"/><Relationship Id="rId3" Type="http://schemas.openxmlformats.org/officeDocument/2006/relationships/hyperlink" Target="https://npd.nalog.ru/" TargetMode="External"/><Relationship Id="rId7" Type="http://schemas.openxmlformats.org/officeDocument/2006/relationships/hyperlink" Target="https://www.nalog.gov.ru/new2026/" TargetMode="External"/><Relationship Id="rId2" Type="http://schemas.openxmlformats.org/officeDocument/2006/relationships/hyperlink" Target="https://www.nalog.gov.ru/rn77/taxation/taxes/usn/" TargetMode="External"/><Relationship Id="rId1" Type="http://schemas.openxmlformats.org/officeDocument/2006/relationships/hyperlink" Target="https://www.nalog.gov.ru/rn77/taxation/taxes/usn/" TargetMode="External"/><Relationship Id="rId6" Type="http://schemas.openxmlformats.org/officeDocument/2006/relationships/hyperlink" Target="https://www.nalog.gov.ru/new2026/" TargetMode="External"/><Relationship Id="rId5" Type="http://schemas.openxmlformats.org/officeDocument/2006/relationships/hyperlink" Target="https://npd.nalog.ru/" TargetMode="External"/><Relationship Id="rId4" Type="http://schemas.openxmlformats.org/officeDocument/2006/relationships/hyperlink" Target="https://npd.nalog.ru/" TargetMode="External"/><Relationship Id="rId9" Type="http://schemas.openxmlformats.org/officeDocument/2006/relationships/hyperlink" Target="https://nalog.garant.ru/fns/nk/25251f9c341b4b29fabf5cb7957c5992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1B2D"/>
    <outlinePr summaryRight="0"/>
    <pageSetUpPr fitToPage="1"/>
  </sheetPr>
  <dimension ref="A1:N44"/>
  <sheetViews>
    <sheetView showGridLines="0" tabSelected="1" zoomScale="85" workbookViewId="0"/>
  </sheetViews>
  <sheetFormatPr defaultRowHeight="15" x14ac:dyDescent="0.25"/>
  <cols>
    <col min="1" max="14" width="13" customWidth="1"/>
  </cols>
  <sheetData>
    <row r="1" spans="1:14" x14ac:dyDescent="0.25">
      <c r="A1" s="1" t="s">
        <v>0</v>
      </c>
      <c r="D1" s="2" t="s">
        <v>1</v>
      </c>
      <c r="F1" s="2" t="s">
        <v>2</v>
      </c>
    </row>
    <row r="2" spans="1:14" ht="30" customHeight="1" x14ac:dyDescent="0.25">
      <c r="A2" s="36" t="s">
        <v>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x14ac:dyDescent="0.25">
      <c r="A4" s="42" t="s">
        <v>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x14ac:dyDescent="0.25">
      <c r="A5" s="40" t="str">
        <f>Форма&amp;" · "&amp;Режим</f>
        <v>ИП · УСН Доходы</v>
      </c>
      <c r="B5" s="37"/>
      <c r="C5" s="37"/>
      <c r="D5" s="37"/>
      <c r="F5" s="40" t="str">
        <f>TEXT(DAY(ДатаОтчета),"00")&amp;"."&amp;TEXT(MONTH(ДатаОтчета),"00")&amp;"."&amp;YEAR(ДатаОтчета)&amp;" · RUB"</f>
        <v>31.12.2026 · RUB</v>
      </c>
      <c r="G5" s="37"/>
      <c r="H5" s="37"/>
      <c r="I5" s="37"/>
      <c r="K5" s="40" t="str">
        <f>Сценарий</f>
        <v>Базовый</v>
      </c>
      <c r="L5" s="37"/>
      <c r="M5" s="37"/>
      <c r="N5" s="37"/>
    </row>
    <row r="6" spans="1:14" ht="35.1" customHeight="1" x14ac:dyDescent="0.25"/>
    <row r="7" spans="1:14" x14ac:dyDescent="0.25">
      <c r="A7" s="39" t="s">
        <v>5</v>
      </c>
      <c r="B7" s="37"/>
      <c r="C7" s="37"/>
      <c r="D7" s="37"/>
      <c r="F7" s="39" t="s">
        <v>6</v>
      </c>
      <c r="G7" s="37"/>
      <c r="H7" s="37"/>
      <c r="I7" s="37"/>
      <c r="K7" s="39" t="s">
        <v>7</v>
      </c>
      <c r="L7" s="37"/>
      <c r="M7" s="37"/>
      <c r="N7" s="37"/>
    </row>
    <row r="8" spans="1:14" x14ac:dyDescent="0.25">
      <c r="A8" s="38">
        <f>ОПиУ!N7</f>
        <v>6597000</v>
      </c>
      <c r="B8" s="37"/>
      <c r="C8" s="37"/>
      <c r="D8" s="37"/>
      <c r="F8" s="38">
        <f>ОПиУ!N16</f>
        <v>872197.8899999999</v>
      </c>
      <c r="G8" s="37"/>
      <c r="H8" s="37"/>
      <c r="I8" s="37"/>
      <c r="K8" s="38">
        <f>СЧЕТА!B19</f>
        <v>1675043.2399999993</v>
      </c>
      <c r="L8" s="37"/>
      <c r="M8" s="37"/>
      <c r="N8" s="37"/>
    </row>
    <row r="9" spans="1:14" x14ac:dyDescent="0.25">
      <c r="A9" s="37"/>
      <c r="B9" s="37"/>
      <c r="C9" s="37"/>
      <c r="D9" s="37"/>
      <c r="F9" s="37"/>
      <c r="G9" s="37"/>
      <c r="H9" s="37"/>
      <c r="I9" s="37"/>
      <c r="K9" s="37"/>
      <c r="L9" s="37"/>
      <c r="M9" s="37"/>
      <c r="N9" s="37"/>
    </row>
    <row r="11" spans="1:14" x14ac:dyDescent="0.25">
      <c r="A11" s="39" t="s">
        <v>8</v>
      </c>
      <c r="B11" s="37"/>
      <c r="C11" s="37"/>
      <c r="D11" s="37"/>
      <c r="F11" s="39" t="s">
        <v>9</v>
      </c>
      <c r="G11" s="37"/>
      <c r="H11" s="37"/>
      <c r="I11" s="37"/>
      <c r="K11" s="39" t="s">
        <v>10</v>
      </c>
      <c r="L11" s="37"/>
      <c r="M11" s="37"/>
      <c r="N11" s="37"/>
    </row>
    <row r="12" spans="1:14" x14ac:dyDescent="0.25">
      <c r="A12" s="38">
        <f>БАЛАНС!B8</f>
        <v>59040</v>
      </c>
      <c r="B12" s="37"/>
      <c r="C12" s="37"/>
      <c r="D12" s="37"/>
      <c r="F12" s="38">
        <f>БАЛАНС!B15</f>
        <v>136028.15000000002</v>
      </c>
      <c r="G12" s="37"/>
      <c r="H12" s="37"/>
      <c r="I12" s="37"/>
      <c r="K12" s="38">
        <f>БАЛАНС!B16</f>
        <v>319657.19999999995</v>
      </c>
      <c r="L12" s="37"/>
      <c r="M12" s="37"/>
      <c r="N12" s="37"/>
    </row>
    <row r="13" spans="1:14" x14ac:dyDescent="0.25">
      <c r="A13" s="37"/>
      <c r="B13" s="37"/>
      <c r="C13" s="37"/>
      <c r="D13" s="37"/>
      <c r="F13" s="37"/>
      <c r="G13" s="37"/>
      <c r="H13" s="37"/>
      <c r="I13" s="37"/>
      <c r="K13" s="37"/>
      <c r="L13" s="37"/>
      <c r="M13" s="37"/>
      <c r="N13" s="37"/>
    </row>
    <row r="33" spans="1:14" x14ac:dyDescent="0.25">
      <c r="A33" s="41" t="str">
        <f>БАЛАНС!B29&amp;". Резерв: "&amp;РЕЗЕРВЫ!B16</f>
        <v>Баланс сходится. Резерв: Резерв ниже цели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1:14" x14ac:dyDescent="0.25">
      <c r="A34" s="41" t="str">
        <f>НАЛОГИ!B4</f>
        <v>ПРЕДВАРИТЕЛЬНЫЙ РАСЧЁТ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5" spans="1:14" x14ac:dyDescent="0.25">
      <c r="A35" s="42" t="s">
        <v>11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7" spans="1:14" x14ac:dyDescent="0.25">
      <c r="A37" s="6" t="s">
        <v>12</v>
      </c>
      <c r="C37" s="6" t="s">
        <v>13</v>
      </c>
      <c r="E37" s="6" t="s">
        <v>14</v>
      </c>
      <c r="G37" s="6" t="s">
        <v>15</v>
      </c>
      <c r="I37" s="6" t="s">
        <v>16</v>
      </c>
      <c r="K37" s="6" t="s">
        <v>17</v>
      </c>
      <c r="M37" s="6" t="s">
        <v>18</v>
      </c>
    </row>
    <row r="38" spans="1:14" x14ac:dyDescent="0.25">
      <c r="A38" s="6" t="s">
        <v>19</v>
      </c>
      <c r="C38" s="6" t="s">
        <v>20</v>
      </c>
      <c r="E38" s="6" t="s">
        <v>21</v>
      </c>
      <c r="G38" s="6" t="s">
        <v>22</v>
      </c>
      <c r="I38" s="6" t="s">
        <v>23</v>
      </c>
      <c r="K38" s="6" t="s">
        <v>24</v>
      </c>
      <c r="M38" s="6" t="s">
        <v>25</v>
      </c>
    </row>
    <row r="39" spans="1:14" x14ac:dyDescent="0.25">
      <c r="A39" s="6" t="s">
        <v>26</v>
      </c>
      <c r="C39" s="6" t="s">
        <v>27</v>
      </c>
      <c r="E39" s="6" t="s">
        <v>28</v>
      </c>
      <c r="G39" s="6" t="s">
        <v>29</v>
      </c>
      <c r="I39" s="6" t="s">
        <v>30</v>
      </c>
      <c r="K39" s="6" t="s">
        <v>31</v>
      </c>
      <c r="M39" s="6" t="s">
        <v>32</v>
      </c>
    </row>
    <row r="41" spans="1:14" ht="33.950000000000003" customHeight="1" x14ac:dyDescent="0.25">
      <c r="A41" s="7" t="s">
        <v>33</v>
      </c>
      <c r="B41" s="8" t="str">
        <f>CHOOSE(MONTH(ОПиУ!B6),"янв","фев","мар","апр","май","июн","июл","авг","сен","окт","ноя","дек")</f>
        <v>янв</v>
      </c>
      <c r="C41" s="8" t="str">
        <f>CHOOSE(MONTH(ОПиУ!C6),"янв","фев","мар","апр","май","июн","июл","авг","сен","окт","ноя","дек")</f>
        <v>фев</v>
      </c>
      <c r="D41" s="8" t="str">
        <f>CHOOSE(MONTH(ОПиУ!D6),"янв","фев","мар","апр","май","июн","июл","авг","сен","окт","ноя","дек")</f>
        <v>мар</v>
      </c>
      <c r="E41" s="8" t="str">
        <f>CHOOSE(MONTH(ОПиУ!E6),"янв","фев","мар","апр","май","июн","июл","авг","сен","окт","ноя","дек")</f>
        <v>апр</v>
      </c>
      <c r="F41" s="8" t="str">
        <f>CHOOSE(MONTH(ОПиУ!F6),"янв","фев","мар","апр","май","июн","июл","авг","сен","окт","ноя","дек")</f>
        <v>май</v>
      </c>
      <c r="G41" s="8" t="str">
        <f>CHOOSE(MONTH(ОПиУ!G6),"янв","фев","мар","апр","май","июн","июл","авг","сен","окт","ноя","дек")</f>
        <v>июн</v>
      </c>
      <c r="H41" s="8" t="str">
        <f>CHOOSE(MONTH(ОПиУ!H6),"янв","фев","мар","апр","май","июн","июл","авг","сен","окт","ноя","дек")</f>
        <v>июл</v>
      </c>
      <c r="I41" s="8" t="str">
        <f>CHOOSE(MONTH(ОПиУ!I6),"янв","фев","мар","апр","май","июн","июл","авг","сен","окт","ноя","дек")</f>
        <v>авг</v>
      </c>
      <c r="J41" s="8" t="str">
        <f>CHOOSE(MONTH(ОПиУ!J6),"янв","фев","мар","апр","май","июн","июл","авг","сен","окт","ноя","дек")</f>
        <v>сен</v>
      </c>
      <c r="K41" s="8" t="str">
        <f>CHOOSE(MONTH(ОПиУ!K6),"янв","фев","мар","апр","май","июн","июл","авг","сен","окт","ноя","дек")</f>
        <v>окт</v>
      </c>
      <c r="L41" s="8" t="str">
        <f>CHOOSE(MONTH(ОПиУ!L6),"янв","фев","мар","апр","май","июн","июл","авг","сен","окт","ноя","дек")</f>
        <v>ноя</v>
      </c>
      <c r="M41" s="8" t="str">
        <f>CHOOSE(MONTH(ОПиУ!M6),"янв","фев","мар","апр","май","июн","июл","авг","сен","окт","ноя","дек")</f>
        <v>дек</v>
      </c>
    </row>
    <row r="42" spans="1:14" x14ac:dyDescent="0.25">
      <c r="A42" s="3" t="s">
        <v>5</v>
      </c>
      <c r="B42" s="5">
        <f>ОПиУ!B7</f>
        <v>420000</v>
      </c>
      <c r="C42" s="5">
        <f>ОПиУ!C7</f>
        <v>180000</v>
      </c>
      <c r="D42" s="5">
        <f>ОПиУ!D7</f>
        <v>507000</v>
      </c>
      <c r="E42" s="5">
        <f>ОПиУ!E7</f>
        <v>550000</v>
      </c>
      <c r="F42" s="5">
        <f>ОПиУ!F7</f>
        <v>580000</v>
      </c>
      <c r="G42" s="5">
        <f>ОПиУ!G7</f>
        <v>620000</v>
      </c>
      <c r="H42" s="5">
        <f>ОПиУ!H7</f>
        <v>590000</v>
      </c>
      <c r="I42" s="5">
        <f>ОПиУ!I7</f>
        <v>210000</v>
      </c>
      <c r="J42" s="5">
        <f>ОПиУ!J7</f>
        <v>650000</v>
      </c>
      <c r="K42" s="5">
        <f>ОПиУ!K7</f>
        <v>710000</v>
      </c>
      <c r="L42" s="5">
        <f>ОПиУ!L7</f>
        <v>760000</v>
      </c>
      <c r="M42" s="5">
        <f>ОПиУ!M7</f>
        <v>820000</v>
      </c>
    </row>
    <row r="43" spans="1:14" x14ac:dyDescent="0.25">
      <c r="A43" s="3" t="s">
        <v>34</v>
      </c>
      <c r="B43" s="5">
        <f>ОПиУ!B16</f>
        <v>4917.5</v>
      </c>
      <c r="C43" s="5">
        <f>ОПиУ!C16</f>
        <v>-149325.34</v>
      </c>
      <c r="D43" s="5">
        <f>ОПиУ!D16</f>
        <v>49344.17</v>
      </c>
      <c r="E43" s="5">
        <f>ОПиУ!E16</f>
        <v>76696.08</v>
      </c>
      <c r="F43" s="5">
        <f>ОПиУ!F16</f>
        <v>95160.42</v>
      </c>
      <c r="G43" s="5">
        <f>ОПиУ!G16</f>
        <v>119727.22</v>
      </c>
      <c r="H43" s="5">
        <f>ОПиУ!H16</f>
        <v>101971.53</v>
      </c>
      <c r="I43" s="5">
        <f>ОПиУ!I16</f>
        <v>-194651</v>
      </c>
      <c r="J43" s="5">
        <f>ОПиУ!J16</f>
        <v>138929.13</v>
      </c>
      <c r="K43" s="5">
        <f>ОПиУ!K16</f>
        <v>175711.96</v>
      </c>
      <c r="L43" s="5">
        <f>ОПиУ!L16</f>
        <v>206397.53</v>
      </c>
      <c r="M43" s="5">
        <f>ОПиУ!M16</f>
        <v>247318.69</v>
      </c>
    </row>
    <row r="44" spans="1:14" x14ac:dyDescent="0.25">
      <c r="A44" s="3" t="s">
        <v>35</v>
      </c>
      <c r="B44" s="5">
        <f>ДДС!B14</f>
        <v>645622.77</v>
      </c>
      <c r="C44" s="5">
        <f>ДДС!C14</f>
        <v>508045.54</v>
      </c>
      <c r="D44" s="5">
        <f>ДДС!D14</f>
        <v>566868.30999999994</v>
      </c>
      <c r="E44" s="5">
        <f>ДДС!E14</f>
        <v>635891.07999999996</v>
      </c>
      <c r="F44" s="5">
        <f>ДДС!F14</f>
        <v>770313.85</v>
      </c>
      <c r="G44" s="5">
        <f>ДДС!G14</f>
        <v>881936.62</v>
      </c>
      <c r="H44" s="5">
        <f>ДДС!H14</f>
        <v>978159.39</v>
      </c>
      <c r="I44" s="5">
        <f>ДДС!I14</f>
        <v>795982.16</v>
      </c>
      <c r="J44" s="5">
        <f>ДДС!J14</f>
        <v>953004.93</v>
      </c>
      <c r="K44" s="5">
        <f>ДДС!K14</f>
        <v>1130827.7000000002</v>
      </c>
      <c r="L44" s="5">
        <f>ДДС!L14</f>
        <v>1387650.4700000002</v>
      </c>
      <c r="M44" s="5">
        <f>ДДС!M14</f>
        <v>1675043.2400000002</v>
      </c>
    </row>
  </sheetData>
  <mergeCells count="20">
    <mergeCell ref="A33:N33"/>
    <mergeCell ref="F5:I5"/>
    <mergeCell ref="A35:N35"/>
    <mergeCell ref="A4:N4"/>
    <mergeCell ref="A5:D5"/>
    <mergeCell ref="A34:N34"/>
    <mergeCell ref="A2:N3"/>
    <mergeCell ref="F12:I13"/>
    <mergeCell ref="K7:N7"/>
    <mergeCell ref="F8:I9"/>
    <mergeCell ref="A12:D13"/>
    <mergeCell ref="F11:I11"/>
    <mergeCell ref="K12:N13"/>
    <mergeCell ref="A11:D11"/>
    <mergeCell ref="K5:N5"/>
    <mergeCell ref="A8:D9"/>
    <mergeCell ref="F7:I7"/>
    <mergeCell ref="K8:N9"/>
    <mergeCell ref="K11:N11"/>
    <mergeCell ref="A7:D7"/>
  </mergeCells>
  <hyperlinks>
    <hyperlink ref="A1" location="'ПАНЕЛЬ'!A1" display="Главная панель" xr:uid="{00000000-0004-0000-0000-000000000000}"/>
    <hyperlink ref="D1" location="'НАСТРОЙКИ'!A1" display="Настройки" xr:uid="{00000000-0004-0000-0000-000001000000}"/>
    <hyperlink ref="F1" location="'КОНТРОЛЬ'!A1" display="Контроль" xr:uid="{00000000-0004-0000-0000-000002000000}"/>
    <hyperlink ref="A37" location="'НАСТРОЙКИ'!A1" display="НАСТРОЙКИ" xr:uid="{00000000-0004-0000-0000-000003000000}"/>
    <hyperlink ref="C37" location="'ДДС'!A1" display="ДДС" xr:uid="{00000000-0004-0000-0000-000004000000}"/>
    <hyperlink ref="E37" location="'ОПиУ'!A1" display="ОПиУ" xr:uid="{00000000-0004-0000-0000-000005000000}"/>
    <hyperlink ref="G37" location="'БАЛАНС'!A1" display="БАЛАНС" xr:uid="{00000000-0004-0000-0000-000006000000}"/>
    <hyperlink ref="I37" location="'НАЛОГИ'!A1" display="НАЛОГИ" xr:uid="{00000000-0004-0000-0000-000007000000}"/>
    <hyperlink ref="K37" location="'БЮДЖЕТ'!A1" display="БЮДЖЕТ" xr:uid="{00000000-0004-0000-0000-000008000000}"/>
    <hyperlink ref="M37" location="'РЕЗЕРВЫ'!A1" display="РЕЗЕРВЫ" xr:uid="{00000000-0004-0000-0000-000009000000}"/>
    <hyperlink ref="A38" location="'РЕИНВЕСТИЦИИ'!A1" display="РЕИНВЕСТИЦИИ" xr:uid="{00000000-0004-0000-0000-00000A000000}"/>
    <hyperlink ref="C38" location="'ПРОГНОЗ'!A1" display="ПРОГНОЗ" xr:uid="{00000000-0004-0000-0000-00000B000000}"/>
    <hyperlink ref="E38" location="'РИСКИ'!A1" display="РИСКИ" xr:uid="{00000000-0004-0000-0000-00000C000000}"/>
    <hyperlink ref="G38" location="'ПОКАЗАТЕЛИ'!A1" display="ПОКАЗАТЕЛИ" xr:uid="{00000000-0004-0000-0000-00000D000000}"/>
    <hyperlink ref="I38" location="'АНАЛИТИКА'!A1" display="АНАЛИТИКА" xr:uid="{00000000-0004-0000-0000-00000E000000}"/>
    <hyperlink ref="K38" location="'КРЕДИТ'!A1" display="КРЕДИТ" xr:uid="{00000000-0004-0000-0000-00000F000000}"/>
    <hyperlink ref="M38" location="'АКТИВЫ'!A1" display="АКТИВЫ" xr:uid="{00000000-0004-0000-0000-000010000000}"/>
    <hyperlink ref="A39" location="'ИНВЕСТПРОЕКТ'!A1" display="ИНВЕСТПРОЕКТ" xr:uid="{00000000-0004-0000-0000-000011000000}"/>
    <hyperlink ref="C39" location="'ОПЕРАЦИИ'!A1" display="ОПЕРАЦИИ" xr:uid="{00000000-0004-0000-0000-000012000000}"/>
    <hyperlink ref="E39" location="'НАЧИСЛЕНИЯ'!A1" display="НАЧИСЛЕНИЯ" xr:uid="{00000000-0004-0000-0000-000013000000}"/>
    <hyperlink ref="G39" location="'СЧЕТА'!A1" display="СЧЕТА" xr:uid="{00000000-0004-0000-0000-000014000000}"/>
    <hyperlink ref="I39" location="'СПРАВОЧНИКИ'!A1" display="СПРАВОЧНИКИ" xr:uid="{00000000-0004-0000-0000-000015000000}"/>
    <hyperlink ref="K39" location="'КОНТРОЛЬ'!A1" display="КОНТРОЛЬ" xr:uid="{00000000-0004-0000-0000-000016000000}"/>
    <hyperlink ref="M39" location="'ИНСТРУКЦИЯ'!A1" display="ИНСТРУКЦИЯ" xr:uid="{00000000-0004-0000-0000-000017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1B2D"/>
    <outlinePr summaryRight="0"/>
    <pageSetUpPr fitToPage="1"/>
  </sheetPr>
  <dimension ref="A1:F40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9" customWidth="1"/>
    <col min="2" max="2" width="24" customWidth="1"/>
    <col min="3" max="3" width="83" customWidth="1"/>
    <col min="4" max="14" width="17" customWidth="1"/>
  </cols>
  <sheetData>
    <row r="1" spans="1:6" x14ac:dyDescent="0.25">
      <c r="A1" s="1" t="s">
        <v>0</v>
      </c>
      <c r="D1" s="2" t="s">
        <v>1</v>
      </c>
      <c r="F1" s="2" t="s">
        <v>2</v>
      </c>
    </row>
    <row r="2" spans="1:6" ht="30" customHeight="1" x14ac:dyDescent="0.25">
      <c r="A2" s="9" t="s">
        <v>12</v>
      </c>
    </row>
    <row r="3" spans="1:6" x14ac:dyDescent="0.25">
      <c r="A3" s="10" t="s">
        <v>36</v>
      </c>
    </row>
    <row r="6" spans="1:6" ht="35.1" customHeight="1" x14ac:dyDescent="0.25">
      <c r="A6" s="7" t="s">
        <v>37</v>
      </c>
      <c r="B6" s="7" t="s">
        <v>38</v>
      </c>
      <c r="C6" s="7" t="s">
        <v>39</v>
      </c>
    </row>
    <row r="7" spans="1:6" x14ac:dyDescent="0.25">
      <c r="A7" s="3" t="s">
        <v>40</v>
      </c>
      <c r="B7" s="11" t="s">
        <v>41</v>
      </c>
      <c r="C7" s="3" t="s">
        <v>42</v>
      </c>
    </row>
    <row r="8" spans="1:6" x14ac:dyDescent="0.25">
      <c r="A8" s="3" t="s">
        <v>43</v>
      </c>
      <c r="B8" s="11" t="s">
        <v>44</v>
      </c>
      <c r="C8" s="3" t="s">
        <v>45</v>
      </c>
    </row>
    <row r="9" spans="1:6" x14ac:dyDescent="0.25">
      <c r="A9" s="3" t="s">
        <v>46</v>
      </c>
      <c r="B9" s="12">
        <v>2026</v>
      </c>
      <c r="C9" s="3" t="s">
        <v>47</v>
      </c>
    </row>
    <row r="10" spans="1:6" x14ac:dyDescent="0.25">
      <c r="A10" s="3" t="s">
        <v>48</v>
      </c>
      <c r="B10" s="13">
        <v>46387</v>
      </c>
      <c r="C10" s="3" t="s">
        <v>49</v>
      </c>
    </row>
    <row r="11" spans="1:6" x14ac:dyDescent="0.25">
      <c r="A11" s="3" t="s">
        <v>50</v>
      </c>
      <c r="B11" s="13">
        <v>46023</v>
      </c>
      <c r="C11" s="3" t="s">
        <v>51</v>
      </c>
    </row>
    <row r="12" spans="1:6" x14ac:dyDescent="0.25">
      <c r="A12" s="3" t="s">
        <v>52</v>
      </c>
      <c r="B12" s="11" t="s">
        <v>53</v>
      </c>
      <c r="C12" s="3" t="s">
        <v>54</v>
      </c>
    </row>
    <row r="13" spans="1:6" x14ac:dyDescent="0.25">
      <c r="A13" s="3" t="s">
        <v>55</v>
      </c>
      <c r="B13" s="11" t="s">
        <v>56</v>
      </c>
      <c r="C13" s="3" t="s">
        <v>57</v>
      </c>
    </row>
    <row r="14" spans="1:6" x14ac:dyDescent="0.25">
      <c r="A14" s="3" t="s">
        <v>58</v>
      </c>
      <c r="B14" s="14">
        <v>0.06</v>
      </c>
      <c r="C14" s="3" t="s">
        <v>59</v>
      </c>
    </row>
    <row r="15" spans="1:6" x14ac:dyDescent="0.25">
      <c r="A15" s="3" t="s">
        <v>60</v>
      </c>
      <c r="B15" s="14">
        <v>0.15</v>
      </c>
      <c r="C15" s="3" t="s">
        <v>61</v>
      </c>
    </row>
    <row r="16" spans="1:6" x14ac:dyDescent="0.25">
      <c r="A16" s="3" t="s">
        <v>62</v>
      </c>
      <c r="B16" s="14">
        <v>0.04</v>
      </c>
      <c r="C16" s="3" t="s">
        <v>63</v>
      </c>
    </row>
    <row r="17" spans="1:3" x14ac:dyDescent="0.25">
      <c r="A17" s="3" t="s">
        <v>64</v>
      </c>
      <c r="B17" s="14">
        <v>0.06</v>
      </c>
      <c r="C17" s="3" t="s">
        <v>65</v>
      </c>
    </row>
    <row r="18" spans="1:3" x14ac:dyDescent="0.25">
      <c r="A18" s="3" t="s">
        <v>66</v>
      </c>
      <c r="B18" s="12">
        <v>10000</v>
      </c>
      <c r="C18" s="3" t="s">
        <v>67</v>
      </c>
    </row>
    <row r="19" spans="1:3" x14ac:dyDescent="0.25">
      <c r="A19" s="3" t="s">
        <v>68</v>
      </c>
      <c r="B19" s="12">
        <v>57390</v>
      </c>
      <c r="C19" s="3" t="s">
        <v>69</v>
      </c>
    </row>
    <row r="20" spans="1:3" x14ac:dyDescent="0.25">
      <c r="A20" s="3" t="s">
        <v>70</v>
      </c>
      <c r="B20" s="12">
        <v>321818</v>
      </c>
      <c r="C20" s="3" t="s">
        <v>71</v>
      </c>
    </row>
    <row r="21" spans="1:3" x14ac:dyDescent="0.25">
      <c r="A21" s="3" t="s">
        <v>72</v>
      </c>
      <c r="B21" s="12">
        <v>0</v>
      </c>
      <c r="C21" s="3" t="s">
        <v>73</v>
      </c>
    </row>
    <row r="22" spans="1:3" x14ac:dyDescent="0.25">
      <c r="A22" s="3" t="s">
        <v>74</v>
      </c>
      <c r="B22" s="12">
        <v>0</v>
      </c>
      <c r="C22" s="3" t="s">
        <v>75</v>
      </c>
    </row>
    <row r="23" spans="1:3" x14ac:dyDescent="0.25">
      <c r="A23" s="3" t="s">
        <v>76</v>
      </c>
      <c r="B23" s="11" t="s">
        <v>77</v>
      </c>
      <c r="C23" s="3" t="s">
        <v>78</v>
      </c>
    </row>
    <row r="24" spans="1:3" x14ac:dyDescent="0.25">
      <c r="A24" s="3" t="s">
        <v>79</v>
      </c>
      <c r="B24" s="12">
        <v>3</v>
      </c>
      <c r="C24" s="3" t="s">
        <v>80</v>
      </c>
    </row>
    <row r="25" spans="1:3" x14ac:dyDescent="0.25">
      <c r="A25" s="3" t="s">
        <v>81</v>
      </c>
      <c r="B25" s="12">
        <v>15000</v>
      </c>
      <c r="C25" s="3" t="s">
        <v>82</v>
      </c>
    </row>
    <row r="26" spans="1:3" x14ac:dyDescent="0.25">
      <c r="A26" s="3" t="s">
        <v>83</v>
      </c>
      <c r="B26" s="12">
        <v>0</v>
      </c>
      <c r="C26" s="3" t="s">
        <v>84</v>
      </c>
    </row>
    <row r="27" spans="1:3" x14ac:dyDescent="0.25">
      <c r="A27" s="3" t="s">
        <v>85</v>
      </c>
      <c r="B27" s="11" t="s">
        <v>86</v>
      </c>
      <c r="C27" s="3" t="s">
        <v>87</v>
      </c>
    </row>
    <row r="28" spans="1:3" x14ac:dyDescent="0.25">
      <c r="A28" s="3" t="s">
        <v>88</v>
      </c>
      <c r="B28" s="11" t="s">
        <v>53</v>
      </c>
      <c r="C28" s="3" t="s">
        <v>89</v>
      </c>
    </row>
    <row r="29" spans="1:3" x14ac:dyDescent="0.25">
      <c r="A29" s="3" t="s">
        <v>90</v>
      </c>
      <c r="B29" s="12">
        <v>0</v>
      </c>
      <c r="C29" s="3" t="s">
        <v>91</v>
      </c>
    </row>
    <row r="30" spans="1:3" x14ac:dyDescent="0.25">
      <c r="A30" s="3" t="s">
        <v>92</v>
      </c>
      <c r="B30" s="12">
        <v>0</v>
      </c>
      <c r="C30" s="3" t="s">
        <v>93</v>
      </c>
    </row>
    <row r="31" spans="1:3" x14ac:dyDescent="0.25">
      <c r="A31" s="3" t="s">
        <v>94</v>
      </c>
      <c r="B31" s="12">
        <v>0</v>
      </c>
      <c r="C31" s="3" t="s">
        <v>93</v>
      </c>
    </row>
    <row r="32" spans="1:3" x14ac:dyDescent="0.25">
      <c r="A32" s="3" t="s">
        <v>95</v>
      </c>
      <c r="B32" s="12">
        <v>0</v>
      </c>
      <c r="C32" s="3" t="s">
        <v>96</v>
      </c>
    </row>
    <row r="33" spans="1:3" x14ac:dyDescent="0.25">
      <c r="A33" s="3" t="s">
        <v>97</v>
      </c>
      <c r="B33" s="12">
        <v>0</v>
      </c>
      <c r="C33" s="3" t="s">
        <v>98</v>
      </c>
    </row>
    <row r="34" spans="1:3" x14ac:dyDescent="0.25">
      <c r="A34" s="3" t="s">
        <v>99</v>
      </c>
      <c r="B34" s="12">
        <v>0</v>
      </c>
      <c r="C34" s="3" t="s">
        <v>100</v>
      </c>
    </row>
    <row r="35" spans="1:3" x14ac:dyDescent="0.25">
      <c r="A35" s="3" t="s">
        <v>101</v>
      </c>
      <c r="B35" s="12">
        <v>0</v>
      </c>
      <c r="C35" s="3" t="s">
        <v>102</v>
      </c>
    </row>
    <row r="36" spans="1:3" x14ac:dyDescent="0.25">
      <c r="A36" s="3" t="s">
        <v>103</v>
      </c>
      <c r="B36" s="12">
        <v>0</v>
      </c>
      <c r="C36" s="3" t="s">
        <v>104</v>
      </c>
    </row>
    <row r="37" spans="1:3" x14ac:dyDescent="0.25">
      <c r="A37" s="3" t="s">
        <v>105</v>
      </c>
      <c r="B37" s="12">
        <v>0</v>
      </c>
      <c r="C37" s="3" t="s">
        <v>106</v>
      </c>
    </row>
    <row r="38" spans="1:3" x14ac:dyDescent="0.25">
      <c r="A38" s="3" t="s">
        <v>107</v>
      </c>
      <c r="B38" s="12">
        <v>0</v>
      </c>
      <c r="C38" s="3" t="s">
        <v>108</v>
      </c>
    </row>
    <row r="39" spans="1:3" x14ac:dyDescent="0.25">
      <c r="A39" s="3" t="s">
        <v>109</v>
      </c>
      <c r="B39" s="12">
        <v>0</v>
      </c>
      <c r="C39" s="3" t="s">
        <v>110</v>
      </c>
    </row>
    <row r="40" spans="1:3" x14ac:dyDescent="0.25">
      <c r="A40" s="3" t="s">
        <v>111</v>
      </c>
      <c r="B40" s="12">
        <v>0</v>
      </c>
      <c r="C40" s="3" t="s">
        <v>112</v>
      </c>
    </row>
  </sheetData>
  <dataValidations count="4">
    <dataValidation type="list" allowBlank="1" showErrorMessage="1" errorTitle="Проверьте ввод" error="Выберите значение из списка или исправьте число." sqref="B7" xr:uid="{00000000-0002-0000-0100-000000000000}">
      <formula1>"ИП,ООО"</formula1>
    </dataValidation>
    <dataValidation type="list" allowBlank="1" showErrorMessage="1" errorTitle="Проверьте ввод" error="Выберите значение из списка или исправьте число." sqref="B8" xr:uid="{00000000-0002-0000-0100-000001000000}">
      <formula1>INDIRECT(IF(Форма="ООО","РежимыООО","РежимыИП"))</formula1>
    </dataValidation>
    <dataValidation type="list" allowBlank="1" showErrorMessage="1" errorTitle="Проверьте ввод" error="Выберите значение из списка или исправьте число." sqref="B12 B27:B28" xr:uid="{00000000-0002-0000-0100-000002000000}">
      <formula1>"Да,Нет"</formula1>
    </dataValidation>
    <dataValidation type="list" allowBlank="1" showErrorMessage="1" errorTitle="Проверьте ввод" error="Выберите значение из списка или исправьте число." sqref="B23" xr:uid="{00000000-0002-0000-0100-000005000000}">
      <formula1>"Базовый,Оптимистичный,Пессимистичный,Кризисный"</formula1>
    </dataValidation>
  </dataValidations>
  <hyperlinks>
    <hyperlink ref="A1" location="'ПАНЕЛЬ'!A1" display="Главная панель" xr:uid="{00000000-0004-0000-0100-000000000000}"/>
    <hyperlink ref="D1" location="'НАСТРОЙКИ'!A1" display="Настройки" xr:uid="{00000000-0004-0000-0100-000001000000}"/>
    <hyperlink ref="F1" location="'КОНТРОЛЬ'!A1" display="Контроль" xr:uid="{00000000-0004-0000-01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1B2D"/>
    <outlinePr summaryRight="0"/>
    <pageSetUpPr fitToPage="1"/>
  </sheetPr>
  <dimension ref="A1:N18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9" customWidth="1"/>
    <col min="2" max="14" width="17" customWidth="1"/>
  </cols>
  <sheetData>
    <row r="1" spans="1:14" x14ac:dyDescent="0.25">
      <c r="A1" s="1" t="s">
        <v>0</v>
      </c>
      <c r="D1" s="2" t="s">
        <v>1</v>
      </c>
      <c r="F1" s="2" t="s">
        <v>2</v>
      </c>
    </row>
    <row r="2" spans="1:14" ht="30" customHeight="1" x14ac:dyDescent="0.25">
      <c r="A2" s="9" t="s">
        <v>13</v>
      </c>
    </row>
    <row r="3" spans="1:14" x14ac:dyDescent="0.25">
      <c r="A3" s="10" t="s">
        <v>36</v>
      </c>
    </row>
    <row r="6" spans="1:14" ht="35.1" customHeight="1" x14ac:dyDescent="0.25">
      <c r="A6" s="29" t="s">
        <v>33</v>
      </c>
      <c r="B6" s="30">
        <f>DATE(Год,1,1)</f>
        <v>46023</v>
      </c>
      <c r="C6" s="30">
        <f>DATE(Год,2,1)</f>
        <v>46054</v>
      </c>
      <c r="D6" s="30">
        <f>DATE(Год,3,1)</f>
        <v>46082</v>
      </c>
      <c r="E6" s="30">
        <f>DATE(Год,4,1)</f>
        <v>46113</v>
      </c>
      <c r="F6" s="30">
        <f>DATE(Год,5,1)</f>
        <v>46143</v>
      </c>
      <c r="G6" s="30">
        <f>DATE(Год,6,1)</f>
        <v>46174</v>
      </c>
      <c r="H6" s="30">
        <f>DATE(Год,7,1)</f>
        <v>46204</v>
      </c>
      <c r="I6" s="30">
        <f>DATE(Год,8,1)</f>
        <v>46235</v>
      </c>
      <c r="J6" s="30">
        <f>DATE(Год,9,1)</f>
        <v>46266</v>
      </c>
      <c r="K6" s="30">
        <f>DATE(Год,10,1)</f>
        <v>46296</v>
      </c>
      <c r="L6" s="30">
        <f>DATE(Год,11,1)</f>
        <v>46327</v>
      </c>
      <c r="M6" s="30">
        <f>DATE(Год,12,1)</f>
        <v>46357</v>
      </c>
      <c r="N6" s="29" t="s">
        <v>113</v>
      </c>
    </row>
    <row r="7" spans="1:14" x14ac:dyDescent="0.25">
      <c r="A7" s="15" t="s">
        <v>114</v>
      </c>
      <c r="B7" s="16">
        <f>SUM(Accounts[Начальный])</f>
        <v>0</v>
      </c>
      <c r="C7" s="16">
        <f t="shared" ref="C7:M7" si="0">B14</f>
        <v>645622.77</v>
      </c>
      <c r="D7" s="16">
        <f t="shared" si="0"/>
        <v>508045.54</v>
      </c>
      <c r="E7" s="16">
        <f t="shared" si="0"/>
        <v>566868.30999999994</v>
      </c>
      <c r="F7" s="16">
        <f t="shared" si="0"/>
        <v>635891.07999999996</v>
      </c>
      <c r="G7" s="16">
        <f t="shared" si="0"/>
        <v>770313.85</v>
      </c>
      <c r="H7" s="16">
        <f t="shared" si="0"/>
        <v>881936.62</v>
      </c>
      <c r="I7" s="16">
        <f t="shared" si="0"/>
        <v>978159.39</v>
      </c>
      <c r="J7" s="16">
        <f t="shared" si="0"/>
        <v>795982.16</v>
      </c>
      <c r="K7" s="16">
        <f t="shared" si="0"/>
        <v>953004.93</v>
      </c>
      <c r="L7" s="16">
        <f t="shared" si="0"/>
        <v>1130827.7000000002</v>
      </c>
      <c r="M7" s="16">
        <f t="shared" si="0"/>
        <v>1387650.4700000002</v>
      </c>
      <c r="N7" s="16">
        <f>B7</f>
        <v>0</v>
      </c>
    </row>
    <row r="8" spans="1:14" x14ac:dyDescent="0.25">
      <c r="A8" s="3" t="s">
        <v>115</v>
      </c>
      <c r="B8" s="4">
        <f>SUMIFS(Cash[Поток],Cash[Дата],"&lt;="&amp;ДатаОтчета,Cash[Статус],"Проведён",Cash[Дата],"&gt;="&amp;B$6,Cash[Дата],"&lt;"&amp;EDATE(B$6,1),Cash[Класс ДДС],"Операционный",Cash[Поток],"&gt;0")</f>
        <v>420000</v>
      </c>
      <c r="C8" s="4">
        <f>SUMIFS(Cash[Поток],Cash[Дата],"&lt;="&amp;ДатаОтчета,Cash[Статус],"Проведён",Cash[Дата],"&gt;="&amp;C$6,Cash[Дата],"&lt;"&amp;EDATE(C$6,1),Cash[Класс ДДС],"Операционный",Cash[Поток],"&gt;0")</f>
        <v>180000</v>
      </c>
      <c r="D8" s="4">
        <f>SUMIFS(Cash[Поток],Cash[Дата],"&lt;="&amp;ДатаОтчета,Cash[Статус],"Проведён",Cash[Дата],"&gt;="&amp;D$6,Cash[Дата],"&lt;"&amp;EDATE(D$6,1),Cash[Класс ДДС],"Операционный",Cash[Поток],"&gt;0")</f>
        <v>510000</v>
      </c>
      <c r="E8" s="4">
        <f>SUMIFS(Cash[Поток],Cash[Дата],"&lt;="&amp;ДатаОтчета,Cash[Статус],"Проведён",Cash[Дата],"&gt;="&amp;E$6,Cash[Дата],"&lt;"&amp;EDATE(E$6,1),Cash[Класс ДДС],"Операционный",Cash[Поток],"&gt;0")</f>
        <v>550000</v>
      </c>
      <c r="F8" s="4">
        <f>SUMIFS(Cash[Поток],Cash[Дата],"&lt;="&amp;ДатаОтчета,Cash[Статус],"Проведён",Cash[Дата],"&gt;="&amp;F$6,Cash[Дата],"&lt;"&amp;EDATE(F$6,1),Cash[Класс ДДС],"Операционный",Cash[Поток],"&gt;0")</f>
        <v>580000</v>
      </c>
      <c r="G8" s="4">
        <f>SUMIFS(Cash[Поток],Cash[Дата],"&lt;="&amp;ДатаОтчета,Cash[Статус],"Проведён",Cash[Дата],"&gt;="&amp;G$6,Cash[Дата],"&lt;"&amp;EDATE(G$6,1),Cash[Класс ДДС],"Операционный",Cash[Поток],"&gt;0")</f>
        <v>620000</v>
      </c>
      <c r="H8" s="4">
        <f>SUMIFS(Cash[Поток],Cash[Дата],"&lt;="&amp;ДатаОтчета,Cash[Статус],"Проведён",Cash[Дата],"&gt;="&amp;H$6,Cash[Дата],"&lt;"&amp;EDATE(H$6,1),Cash[Класс ДДС],"Операционный",Cash[Поток],"&gt;0")</f>
        <v>590000</v>
      </c>
      <c r="I8" s="4">
        <f>SUMIFS(Cash[Поток],Cash[Дата],"&lt;="&amp;ДатаОтчета,Cash[Статус],"Проведён",Cash[Дата],"&gt;="&amp;I$6,Cash[Дата],"&lt;"&amp;EDATE(I$6,1),Cash[Класс ДДС],"Операционный",Cash[Поток],"&gt;0")</f>
        <v>210000</v>
      </c>
      <c r="J8" s="4">
        <f>SUMIFS(Cash[Поток],Cash[Дата],"&lt;="&amp;ДатаОтчета,Cash[Статус],"Проведён",Cash[Дата],"&gt;="&amp;J$6,Cash[Дата],"&lt;"&amp;EDATE(J$6,1),Cash[Класс ДДС],"Операционный",Cash[Поток],"&gt;0")</f>
        <v>650000</v>
      </c>
      <c r="K8" s="4">
        <f>SUMIFS(Cash[Поток],Cash[Дата],"&lt;="&amp;ДатаОтчета,Cash[Статус],"Проведён",Cash[Дата],"&gt;="&amp;K$6,Cash[Дата],"&lt;"&amp;EDATE(K$6,1),Cash[Класс ДДС],"Операционный",Cash[Поток],"&gt;0")</f>
        <v>710000</v>
      </c>
      <c r="L8" s="4">
        <f>SUMIFS(Cash[Поток],Cash[Дата],"&lt;="&amp;ДатаОтчета,Cash[Статус],"Проведён",Cash[Дата],"&gt;="&amp;L$6,Cash[Дата],"&lt;"&amp;EDATE(L$6,1),Cash[Класс ДДС],"Операционный",Cash[Поток],"&gt;0")</f>
        <v>760000</v>
      </c>
      <c r="M8" s="4">
        <f>SUMIFS(Cash[Поток],Cash[Дата],"&lt;="&amp;ДатаОтчета,Cash[Статус],"Проведён",Cash[Дата],"&gt;="&amp;M$6,Cash[Дата],"&lt;"&amp;EDATE(M$6,1),Cash[Класс ДДС],"Операционный",Cash[Поток],"&gt;0")</f>
        <v>760960</v>
      </c>
      <c r="N8" s="4">
        <f t="shared" ref="N8:N13" si="1">SUM(B8:M8)</f>
        <v>6540960</v>
      </c>
    </row>
    <row r="9" spans="1:14" x14ac:dyDescent="0.25">
      <c r="A9" s="3" t="s">
        <v>116</v>
      </c>
      <c r="B9" s="4">
        <f>-SUMIFS(Cash[Поток],Cash[Дата],"&lt;="&amp;ДатаОтчета,Cash[Статус],"Проведён",Cash[Дата],"&gt;="&amp;B$6,Cash[Дата],"&lt;"&amp;EDATE(B$6,1),Cash[Класс ДДС],"Операционный",Cash[Поток],"&lt;0")</f>
        <v>383900</v>
      </c>
      <c r="C9" s="4">
        <f>-SUMIFS(Cash[Поток],Cash[Дата],"&lt;="&amp;ДатаОтчета,Cash[Статус],"Проведён",Cash[Дата],"&gt;="&amp;C$6,Cash[Дата],"&lt;"&amp;EDATE(C$6,1),Cash[Класс ДДС],"Операционный",Cash[Поток],"&lt;0")</f>
        <v>306942.84000000003</v>
      </c>
      <c r="D9" s="4">
        <f>-SUMIFS(Cash[Поток],Cash[Дата],"&lt;="&amp;ДатаОтчета,Cash[Статус],"Проведён",Cash[Дата],"&gt;="&amp;D$6,Cash[Дата],"&lt;"&amp;EDATE(D$6,1),Cash[Класс ДДС],"Операционный",Cash[Поток],"&lt;0")</f>
        <v>415383.33</v>
      </c>
      <c r="E9" s="4">
        <f>-SUMIFS(Cash[Поток],Cash[Дата],"&lt;="&amp;ДатаОтчета,Cash[Статус],"Проведён",Cash[Дата],"&gt;="&amp;E$6,Cash[Дата],"&lt;"&amp;EDATE(E$6,1),Cash[Класс ДДС],"Операционный",Cash[Поток],"&lt;0")</f>
        <v>470021.42</v>
      </c>
      <c r="F9" s="4">
        <f>-SUMIFS(Cash[Поток],Cash[Дата],"&lt;="&amp;ДатаОтчета,Cash[Статус],"Проведён",Cash[Дата],"&gt;="&amp;F$6,Cash[Дата],"&lt;"&amp;EDATE(F$6,1),Cash[Класс ДДС],"Операционный",Cash[Поток],"&lt;0")</f>
        <v>434457.08</v>
      </c>
      <c r="G9" s="4">
        <f>-SUMIFS(Cash[Поток],Cash[Дата],"&lt;="&amp;ДатаОтчета,Cash[Статус],"Проведён",Cash[Дата],"&gt;="&amp;G$6,Cash[Дата],"&lt;"&amp;EDATE(G$6,1),Cash[Класс ДДС],"Операционный",Cash[Поток],"&lt;0")</f>
        <v>447090.28</v>
      </c>
      <c r="H9" s="4">
        <f>-SUMIFS(Cash[Поток],Cash[Дата],"&lt;="&amp;ДатаОтчета,Cash[Статус],"Проведён",Cash[Дата],"&gt;="&amp;H$6,Cash[Дата],"&lt;"&amp;EDATE(H$6,1),Cash[Класс ДДС],"Операционный",Cash[Поток],"&lt;0")</f>
        <v>481945.97</v>
      </c>
      <c r="I9" s="4">
        <f>-SUMIFS(Cash[Поток],Cash[Дата],"&lt;="&amp;ДатаОтчета,Cash[Статус],"Проведён",Cash[Дата],"&gt;="&amp;I$6,Cash[Дата],"&lt;"&amp;EDATE(I$6,1),Cash[Класс ДДС],"Операционный",Cash[Поток],"&lt;0")</f>
        <v>380168.5</v>
      </c>
      <c r="J9" s="4">
        <f>-SUMIFS(Cash[Поток],Cash[Дата],"&lt;="&amp;ДатаОтчета,Cash[Статус],"Проведён",Cash[Дата],"&gt;="&amp;J$6,Cash[Дата],"&lt;"&amp;EDATE(J$6,1),Cash[Класс ДДС],"Операционный",Cash[Поток],"&lt;0")</f>
        <v>455788.37</v>
      </c>
      <c r="K9" s="4">
        <f>-SUMIFS(Cash[Поток],Cash[Дата],"&lt;="&amp;ДатаОтчета,Cash[Статус],"Проведён",Cash[Дата],"&gt;="&amp;K$6,Cash[Дата],"&lt;"&amp;EDATE(K$6,1),Cash[Класс ДДС],"Операционный",Cash[Поток],"&lt;0")</f>
        <v>519805.54</v>
      </c>
      <c r="L9" s="4">
        <f>-SUMIFS(Cash[Поток],Cash[Дата],"&lt;="&amp;ДатаОтчета,Cash[Статус],"Проведён",Cash[Дата],"&gt;="&amp;L$6,Cash[Дата],"&lt;"&amp;EDATE(L$6,1),Cash[Класс ДДС],"Операционный",Cash[Поток],"&lt;0")</f>
        <v>490619.97</v>
      </c>
      <c r="M9" s="4">
        <f>-SUMIFS(Cash[Поток],Cash[Дата],"&lt;="&amp;ДатаОтчета,Cash[Статус],"Проведён",Cash[Дата],"&gt;="&amp;M$6,Cash[Дата],"&lt;"&amp;EDATE(M$6,1),Cash[Класс ДДС],"Операционный",Cash[Поток],"&lt;0")</f>
        <v>435821.61</v>
      </c>
      <c r="N9" s="4">
        <f t="shared" si="1"/>
        <v>5221944.91</v>
      </c>
    </row>
    <row r="10" spans="1:14" x14ac:dyDescent="0.25">
      <c r="A10" s="15" t="s">
        <v>117</v>
      </c>
      <c r="B10" s="16">
        <f t="shared" ref="B10:M10" si="2">B8-B9</f>
        <v>36100</v>
      </c>
      <c r="C10" s="16">
        <f t="shared" si="2"/>
        <v>-126942.84000000003</v>
      </c>
      <c r="D10" s="16">
        <f t="shared" si="2"/>
        <v>94616.669999999984</v>
      </c>
      <c r="E10" s="16">
        <f t="shared" si="2"/>
        <v>79978.580000000016</v>
      </c>
      <c r="F10" s="16">
        <f t="shared" si="2"/>
        <v>145542.91999999998</v>
      </c>
      <c r="G10" s="16">
        <f t="shared" si="2"/>
        <v>172909.71999999997</v>
      </c>
      <c r="H10" s="16">
        <f t="shared" si="2"/>
        <v>108054.03000000003</v>
      </c>
      <c r="I10" s="16">
        <f t="shared" si="2"/>
        <v>-170168.5</v>
      </c>
      <c r="J10" s="16">
        <f t="shared" si="2"/>
        <v>194211.63</v>
      </c>
      <c r="K10" s="16">
        <f t="shared" si="2"/>
        <v>190194.46000000002</v>
      </c>
      <c r="L10" s="16">
        <f t="shared" si="2"/>
        <v>269380.03000000003</v>
      </c>
      <c r="M10" s="16">
        <f t="shared" si="2"/>
        <v>325138.39</v>
      </c>
      <c r="N10" s="16">
        <f t="shared" si="1"/>
        <v>1319015.0899999999</v>
      </c>
    </row>
    <row r="11" spans="1:14" x14ac:dyDescent="0.25">
      <c r="A11" s="3" t="s">
        <v>118</v>
      </c>
      <c r="B11" s="4">
        <f>SUMIFS(Cash[Поток],Cash[Дата],"&lt;="&amp;ДатаОтчета,Cash[Статус],"Проведён",Cash[Дата],"&gt;="&amp;B$6,Cash[Дата],"&lt;"&amp;EDATE(B$6,1),Cash[Класс ДДС],"Инвестиционный")</f>
        <v>-180000</v>
      </c>
      <c r="C11" s="4">
        <f>SUMIFS(Cash[Поток],Cash[Дата],"&lt;="&amp;ДатаОтчета,Cash[Статус],"Проведён",Cash[Дата],"&gt;="&amp;C$6,Cash[Дата],"&lt;"&amp;EDATE(C$6,1),Cash[Класс ДДС],"Инвестиционный")</f>
        <v>0</v>
      </c>
      <c r="D11" s="4">
        <f>SUMIFS(Cash[Поток],Cash[Дата],"&lt;="&amp;ДатаОтчета,Cash[Статус],"Проведён",Cash[Дата],"&gt;="&amp;D$6,Cash[Дата],"&lt;"&amp;EDATE(D$6,1),Cash[Класс ДДС],"Инвестиционный")</f>
        <v>0</v>
      </c>
      <c r="E11" s="4">
        <f>SUMIFS(Cash[Поток],Cash[Дата],"&lt;="&amp;ДатаОтчета,Cash[Статус],"Проведён",Cash[Дата],"&gt;="&amp;E$6,Cash[Дата],"&lt;"&amp;EDATE(E$6,1),Cash[Класс ДДС],"Инвестиционный")</f>
        <v>0</v>
      </c>
      <c r="F11" s="4">
        <f>SUMIFS(Cash[Поток],Cash[Дата],"&lt;="&amp;ДатаОтчета,Cash[Статус],"Проведён",Cash[Дата],"&gt;="&amp;F$6,Cash[Дата],"&lt;"&amp;EDATE(F$6,1),Cash[Класс ДДС],"Инвестиционный")</f>
        <v>0</v>
      </c>
      <c r="G11" s="4">
        <f>SUMIFS(Cash[Поток],Cash[Дата],"&lt;="&amp;ДатаОтчета,Cash[Статус],"Проведён",Cash[Дата],"&gt;="&amp;G$6,Cash[Дата],"&lt;"&amp;EDATE(G$6,1),Cash[Класс ДДС],"Инвестиционный")</f>
        <v>0</v>
      </c>
      <c r="H11" s="4">
        <f>SUMIFS(Cash[Поток],Cash[Дата],"&lt;="&amp;ДатаОтчета,Cash[Статус],"Проведён",Cash[Дата],"&gt;="&amp;H$6,Cash[Дата],"&lt;"&amp;EDATE(H$6,1),Cash[Класс ДДС],"Инвестиционный")</f>
        <v>0</v>
      </c>
      <c r="I11" s="4">
        <f>SUMIFS(Cash[Поток],Cash[Дата],"&lt;="&amp;ДатаОтчета,Cash[Статус],"Проведён",Cash[Дата],"&gt;="&amp;I$6,Cash[Дата],"&lt;"&amp;EDATE(I$6,1),Cash[Класс ДДС],"Инвестиционный")</f>
        <v>0</v>
      </c>
      <c r="J11" s="4">
        <f>SUMIFS(Cash[Поток],Cash[Дата],"&lt;="&amp;ДатаОтчета,Cash[Статус],"Проведён",Cash[Дата],"&gt;="&amp;J$6,Cash[Дата],"&lt;"&amp;EDATE(J$6,1),Cash[Класс ДДС],"Инвестиционный")</f>
        <v>0</v>
      </c>
      <c r="K11" s="4">
        <f>SUMIFS(Cash[Поток],Cash[Дата],"&lt;="&amp;ДатаОтчета,Cash[Статус],"Проведён",Cash[Дата],"&gt;="&amp;K$6,Cash[Дата],"&lt;"&amp;EDATE(K$6,1),Cash[Класс ДДС],"Инвестиционный")</f>
        <v>0</v>
      </c>
      <c r="L11" s="4">
        <f>SUMIFS(Cash[Поток],Cash[Дата],"&lt;="&amp;ДатаОтчета,Cash[Статус],"Проведён",Cash[Дата],"&gt;="&amp;L$6,Cash[Дата],"&lt;"&amp;EDATE(L$6,1),Cash[Класс ДДС],"Инвестиционный")</f>
        <v>0</v>
      </c>
      <c r="M11" s="4">
        <f>SUMIFS(Cash[Поток],Cash[Дата],"&lt;="&amp;ДатаОтчета,Cash[Статус],"Проведён",Cash[Дата],"&gt;="&amp;M$6,Cash[Дата],"&lt;"&amp;EDATE(M$6,1),Cash[Класс ДДС],"Инвестиционный")</f>
        <v>0</v>
      </c>
      <c r="N11" s="4">
        <f t="shared" si="1"/>
        <v>-180000</v>
      </c>
    </row>
    <row r="12" spans="1:14" x14ac:dyDescent="0.25">
      <c r="A12" s="3" t="s">
        <v>119</v>
      </c>
      <c r="B12" s="4">
        <f>SUMIFS(Cash[Поток],Cash[Дата],"&lt;="&amp;ДатаОтчета,Cash[Статус],"Проведён",Cash[Дата],"&gt;="&amp;B$6,Cash[Дата],"&lt;"&amp;EDATE(B$6,1),Cash[Класс ДДС],"Финансовый")</f>
        <v>789522.77</v>
      </c>
      <c r="C12" s="4">
        <f>SUMIFS(Cash[Поток],Cash[Дата],"&lt;="&amp;ДатаОтчета,Cash[Статус],"Проведён",Cash[Дата],"&gt;="&amp;C$6,Cash[Дата],"&lt;"&amp;EDATE(C$6,1),Cash[Класс ДДС],"Финансовый")</f>
        <v>-10634.39</v>
      </c>
      <c r="D12" s="4">
        <f>SUMIFS(Cash[Поток],Cash[Дата],"&lt;="&amp;ДатаОтчета,Cash[Статус],"Проведён",Cash[Дата],"&gt;="&amp;D$6,Cash[Дата],"&lt;"&amp;EDATE(D$6,1),Cash[Класс ДДС],"Финансовый")</f>
        <v>-35793.9</v>
      </c>
      <c r="E12" s="4">
        <f>SUMIFS(Cash[Поток],Cash[Дата],"&lt;="&amp;ДатаОтчета,Cash[Статус],"Проведён",Cash[Дата],"&gt;="&amp;E$6,Cash[Дата],"&lt;"&amp;EDATE(E$6,1),Cash[Класс ДДС],"Финансовый")</f>
        <v>-10955.81</v>
      </c>
      <c r="F12" s="4">
        <f>SUMIFS(Cash[Поток],Cash[Дата],"&lt;="&amp;ДатаОтчета,Cash[Статус],"Проведён",Cash[Дата],"&gt;="&amp;F$6,Cash[Дата],"&lt;"&amp;EDATE(F$6,1),Cash[Класс ДДС],"Финансовый")</f>
        <v>-11120.15</v>
      </c>
      <c r="G12" s="4">
        <f>SUMIFS(Cash[Поток],Cash[Дата],"&lt;="&amp;ДатаОтчета,Cash[Статус],"Проведён",Cash[Дата],"&gt;="&amp;G$6,Cash[Дата],"&lt;"&amp;EDATE(G$6,1),Cash[Класс ДДС],"Финансовый")</f>
        <v>-61286.95</v>
      </c>
      <c r="H12" s="4">
        <f>SUMIFS(Cash[Поток],Cash[Дата],"&lt;="&amp;ДатаОтчета,Cash[Статус],"Проведён",Cash[Дата],"&gt;="&amp;H$6,Cash[Дата],"&lt;"&amp;EDATE(H$6,1),Cash[Класс ДДС],"Финансовый")</f>
        <v>-11831.26</v>
      </c>
      <c r="I12" s="4">
        <f>SUMIFS(Cash[Поток],Cash[Дата],"&lt;="&amp;ДатаОтчета,Cash[Статус],"Проведён",Cash[Дата],"&gt;="&amp;I$6,Cash[Дата],"&lt;"&amp;EDATE(I$6,1),Cash[Класс ДДС],"Финансовый")</f>
        <v>-12008.73</v>
      </c>
      <c r="J12" s="4">
        <f>SUMIFS(Cash[Поток],Cash[Дата],"&lt;="&amp;ДатаОтчета,Cash[Статус],"Проведён",Cash[Дата],"&gt;="&amp;J$6,Cash[Дата],"&lt;"&amp;EDATE(J$6,1),Cash[Класс ДДС],"Финансовый")</f>
        <v>-37188.86</v>
      </c>
      <c r="K12" s="4">
        <f>SUMIFS(Cash[Поток],Cash[Дата],"&lt;="&amp;ДатаОтчета,Cash[Статус],"Проведён",Cash[Дата],"&gt;="&amp;K$6,Cash[Дата],"&lt;"&amp;EDATE(K$6,1),Cash[Класс ДДС],"Финансовый")</f>
        <v>-12371.69</v>
      </c>
      <c r="L12" s="4">
        <f>SUMIFS(Cash[Поток],Cash[Дата],"&lt;="&amp;ДатаОтчета,Cash[Статус],"Проведён",Cash[Дата],"&gt;="&amp;L$6,Cash[Дата],"&lt;"&amp;EDATE(L$6,1),Cash[Класс ДДС],"Финансовый")</f>
        <v>-12557.26</v>
      </c>
      <c r="M12" s="4">
        <f>SUMIFS(Cash[Поток],Cash[Дата],"&lt;="&amp;ДатаОтчета,Cash[Статус],"Проведён",Cash[Дата],"&gt;="&amp;M$6,Cash[Дата],"&lt;"&amp;EDATE(M$6,1),Cash[Класс ДДС],"Финансовый")</f>
        <v>-37745.620000000003</v>
      </c>
      <c r="N12" s="4">
        <f t="shared" si="1"/>
        <v>536028.15</v>
      </c>
    </row>
    <row r="13" spans="1:14" x14ac:dyDescent="0.25">
      <c r="A13" s="15" t="s">
        <v>120</v>
      </c>
      <c r="B13" s="16">
        <f t="shared" ref="B13:M13" si="3">SUM(B10:B12)</f>
        <v>645622.77</v>
      </c>
      <c r="C13" s="16">
        <f t="shared" si="3"/>
        <v>-137577.23000000004</v>
      </c>
      <c r="D13" s="16">
        <f t="shared" si="3"/>
        <v>58822.769999999982</v>
      </c>
      <c r="E13" s="16">
        <f t="shared" si="3"/>
        <v>69022.770000000019</v>
      </c>
      <c r="F13" s="16">
        <f t="shared" si="3"/>
        <v>134422.76999999999</v>
      </c>
      <c r="G13" s="16">
        <f t="shared" si="3"/>
        <v>111622.76999999997</v>
      </c>
      <c r="H13" s="16">
        <f t="shared" si="3"/>
        <v>96222.770000000033</v>
      </c>
      <c r="I13" s="16">
        <f t="shared" si="3"/>
        <v>-182177.23</v>
      </c>
      <c r="J13" s="16">
        <f t="shared" si="3"/>
        <v>157022.77000000002</v>
      </c>
      <c r="K13" s="16">
        <f t="shared" si="3"/>
        <v>177822.77000000002</v>
      </c>
      <c r="L13" s="16">
        <f t="shared" si="3"/>
        <v>256822.77000000002</v>
      </c>
      <c r="M13" s="16">
        <f t="shared" si="3"/>
        <v>287392.77</v>
      </c>
      <c r="N13" s="16">
        <f t="shared" si="1"/>
        <v>1675043.2400000002</v>
      </c>
    </row>
    <row r="14" spans="1:14" x14ac:dyDescent="0.25">
      <c r="A14" s="15" t="s">
        <v>121</v>
      </c>
      <c r="B14" s="16">
        <f t="shared" ref="B14:M14" si="4">B7+B13</f>
        <v>645622.77</v>
      </c>
      <c r="C14" s="16">
        <f t="shared" si="4"/>
        <v>508045.54</v>
      </c>
      <c r="D14" s="16">
        <f t="shared" si="4"/>
        <v>566868.30999999994</v>
      </c>
      <c r="E14" s="16">
        <f t="shared" si="4"/>
        <v>635891.07999999996</v>
      </c>
      <c r="F14" s="16">
        <f t="shared" si="4"/>
        <v>770313.85</v>
      </c>
      <c r="G14" s="16">
        <f t="shared" si="4"/>
        <v>881936.62</v>
      </c>
      <c r="H14" s="16">
        <f t="shared" si="4"/>
        <v>978159.39</v>
      </c>
      <c r="I14" s="16">
        <f t="shared" si="4"/>
        <v>795982.16</v>
      </c>
      <c r="J14" s="16">
        <f t="shared" si="4"/>
        <v>953004.93</v>
      </c>
      <c r="K14" s="16">
        <f t="shared" si="4"/>
        <v>1130827.7000000002</v>
      </c>
      <c r="L14" s="16">
        <f t="shared" si="4"/>
        <v>1387650.4700000002</v>
      </c>
      <c r="M14" s="16">
        <f t="shared" si="4"/>
        <v>1675043.2400000002</v>
      </c>
      <c r="N14" s="16">
        <f>M14</f>
        <v>1675043.2400000002</v>
      </c>
    </row>
    <row r="16" spans="1:14" x14ac:dyDescent="0.25">
      <c r="A16" s="3" t="s">
        <v>122</v>
      </c>
      <c r="B16" s="4">
        <f>SUMIFS(Cash[Поток],Cash[Дата],"&lt;="&amp;ДатаОтчета,Cash[Статус],"Проведён",Cash[Дата],"&gt;="&amp;B$6,Cash[Дата],"&lt;"&amp;EDATE(B$6,1),Cash[Класс ДДС],"&lt;&gt;Внутренний",Cash[Поток],"&gt;0")</f>
        <v>1220000</v>
      </c>
      <c r="C16" s="4">
        <f>SUMIFS(Cash[Поток],Cash[Дата],"&lt;="&amp;ДатаОтчета,Cash[Статус],"Проведён",Cash[Дата],"&gt;="&amp;C$6,Cash[Дата],"&lt;"&amp;EDATE(C$6,1),Cash[Класс ДДС],"&lt;&gt;Внутренний",Cash[Поток],"&gt;0")</f>
        <v>180000</v>
      </c>
      <c r="D16" s="4">
        <f>SUMIFS(Cash[Поток],Cash[Дата],"&lt;="&amp;ДатаОтчета,Cash[Статус],"Проведён",Cash[Дата],"&gt;="&amp;D$6,Cash[Дата],"&lt;"&amp;EDATE(D$6,1),Cash[Класс ДДС],"&lt;&gt;Внутренний",Cash[Поток],"&gt;0")</f>
        <v>510000</v>
      </c>
      <c r="E16" s="4">
        <f>SUMIFS(Cash[Поток],Cash[Дата],"&lt;="&amp;ДатаОтчета,Cash[Статус],"Проведён",Cash[Дата],"&gt;="&amp;E$6,Cash[Дата],"&lt;"&amp;EDATE(E$6,1),Cash[Класс ДДС],"&lt;&gt;Внутренний",Cash[Поток],"&gt;0")</f>
        <v>550000</v>
      </c>
      <c r="F16" s="4">
        <f>SUMIFS(Cash[Поток],Cash[Дата],"&lt;="&amp;ДатаОтчета,Cash[Статус],"Проведён",Cash[Дата],"&gt;="&amp;F$6,Cash[Дата],"&lt;"&amp;EDATE(F$6,1),Cash[Класс ДДС],"&lt;&gt;Внутренний",Cash[Поток],"&gt;0")</f>
        <v>580000</v>
      </c>
      <c r="G16" s="4">
        <f>SUMIFS(Cash[Поток],Cash[Дата],"&lt;="&amp;ДатаОтчета,Cash[Статус],"Проведён",Cash[Дата],"&gt;="&amp;G$6,Cash[Дата],"&lt;"&amp;EDATE(G$6,1),Cash[Класс ДДС],"&lt;&gt;Внутренний",Cash[Поток],"&gt;0")</f>
        <v>620000</v>
      </c>
      <c r="H16" s="4">
        <f>SUMIFS(Cash[Поток],Cash[Дата],"&lt;="&amp;ДатаОтчета,Cash[Статус],"Проведён",Cash[Дата],"&gt;="&amp;H$6,Cash[Дата],"&lt;"&amp;EDATE(H$6,1),Cash[Класс ДДС],"&lt;&gt;Внутренний",Cash[Поток],"&gt;0")</f>
        <v>590000</v>
      </c>
      <c r="I16" s="4">
        <f>SUMIFS(Cash[Поток],Cash[Дата],"&lt;="&amp;ДатаОтчета,Cash[Статус],"Проведён",Cash[Дата],"&gt;="&amp;I$6,Cash[Дата],"&lt;"&amp;EDATE(I$6,1),Cash[Класс ДДС],"&lt;&gt;Внутренний",Cash[Поток],"&gt;0")</f>
        <v>210000</v>
      </c>
      <c r="J16" s="4">
        <f>SUMIFS(Cash[Поток],Cash[Дата],"&lt;="&amp;ДатаОтчета,Cash[Статус],"Проведён",Cash[Дата],"&gt;="&amp;J$6,Cash[Дата],"&lt;"&amp;EDATE(J$6,1),Cash[Класс ДДС],"&lt;&gt;Внутренний",Cash[Поток],"&gt;0")</f>
        <v>650000</v>
      </c>
      <c r="K16" s="4">
        <f>SUMIFS(Cash[Поток],Cash[Дата],"&lt;="&amp;ДатаОтчета,Cash[Статус],"Проведён",Cash[Дата],"&gt;="&amp;K$6,Cash[Дата],"&lt;"&amp;EDATE(K$6,1),Cash[Класс ДДС],"&lt;&gt;Внутренний",Cash[Поток],"&gt;0")</f>
        <v>710000</v>
      </c>
      <c r="L16" s="4">
        <f>SUMIFS(Cash[Поток],Cash[Дата],"&lt;="&amp;ДатаОтчета,Cash[Статус],"Проведён",Cash[Дата],"&gt;="&amp;L$6,Cash[Дата],"&lt;"&amp;EDATE(L$6,1),Cash[Класс ДДС],"&lt;&gt;Внутренний",Cash[Поток],"&gt;0")</f>
        <v>760000</v>
      </c>
      <c r="M16" s="4">
        <f>SUMIFS(Cash[Поток],Cash[Дата],"&lt;="&amp;ДатаОтчета,Cash[Статус],"Проведён",Cash[Дата],"&gt;="&amp;M$6,Cash[Дата],"&lt;"&amp;EDATE(M$6,1),Cash[Класс ДДС],"&lt;&gt;Внутренний",Cash[Поток],"&gt;0")</f>
        <v>760960</v>
      </c>
      <c r="N16" s="4">
        <f>SUM(B16:M16)</f>
        <v>7340960</v>
      </c>
    </row>
    <row r="17" spans="1:14" x14ac:dyDescent="0.25">
      <c r="A17" s="3" t="s">
        <v>123</v>
      </c>
      <c r="B17" s="4">
        <f>-SUMIFS(Cash[Поток],Cash[Дата],"&lt;="&amp;ДатаОтчета,Cash[Статус],"Проведён",Cash[Дата],"&gt;="&amp;B$6,Cash[Дата],"&lt;"&amp;EDATE(B$6,1),Cash[Класс ДДС],"&lt;&gt;Внутренний",Cash[Поток],"&lt;0")</f>
        <v>574377.23</v>
      </c>
      <c r="C17" s="4">
        <f>-SUMIFS(Cash[Поток],Cash[Дата],"&lt;="&amp;ДатаОтчета,Cash[Статус],"Проведён",Cash[Дата],"&gt;="&amp;C$6,Cash[Дата],"&lt;"&amp;EDATE(C$6,1),Cash[Класс ДДС],"&lt;&gt;Внутренний",Cash[Поток],"&lt;0")</f>
        <v>317577.23000000004</v>
      </c>
      <c r="D17" s="4">
        <f>-SUMIFS(Cash[Поток],Cash[Дата],"&lt;="&amp;ДатаОтчета,Cash[Статус],"Проведён",Cash[Дата],"&gt;="&amp;D$6,Cash[Дата],"&lt;"&amp;EDATE(D$6,1),Cash[Класс ДДС],"&lt;&gt;Внутренний",Cash[Поток],"&lt;0")</f>
        <v>451177.23000000004</v>
      </c>
      <c r="E17" s="4">
        <f>-SUMIFS(Cash[Поток],Cash[Дата],"&lt;="&amp;ДатаОтчета,Cash[Статус],"Проведён",Cash[Дата],"&gt;="&amp;E$6,Cash[Дата],"&lt;"&amp;EDATE(E$6,1),Cash[Класс ДДС],"&lt;&gt;Внутренний",Cash[Поток],"&lt;0")</f>
        <v>480977.23</v>
      </c>
      <c r="F17" s="4">
        <f>-SUMIFS(Cash[Поток],Cash[Дата],"&lt;="&amp;ДатаОтчета,Cash[Статус],"Проведён",Cash[Дата],"&gt;="&amp;F$6,Cash[Дата],"&lt;"&amp;EDATE(F$6,1),Cash[Класс ДДС],"&lt;&gt;Внутренний",Cash[Поток],"&lt;0")</f>
        <v>445577.23000000004</v>
      </c>
      <c r="G17" s="4">
        <f>-SUMIFS(Cash[Поток],Cash[Дата],"&lt;="&amp;ДатаОтчета,Cash[Статус],"Проведён",Cash[Дата],"&gt;="&amp;G$6,Cash[Дата],"&lt;"&amp;EDATE(G$6,1),Cash[Класс ДДС],"&lt;&gt;Внутренний",Cash[Поток],"&lt;0")</f>
        <v>508377.23000000004</v>
      </c>
      <c r="H17" s="4">
        <f>-SUMIFS(Cash[Поток],Cash[Дата],"&lt;="&amp;ДатаОтчета,Cash[Статус],"Проведён",Cash[Дата],"&gt;="&amp;H$6,Cash[Дата],"&lt;"&amp;EDATE(H$6,1),Cash[Класс ДДС],"&lt;&gt;Внутренний",Cash[Поток],"&lt;0")</f>
        <v>493777.23</v>
      </c>
      <c r="I17" s="4">
        <f>-SUMIFS(Cash[Поток],Cash[Дата],"&lt;="&amp;ДатаОтчета,Cash[Статус],"Проведён",Cash[Дата],"&gt;="&amp;I$6,Cash[Дата],"&lt;"&amp;EDATE(I$6,1),Cash[Класс ДДС],"&lt;&gt;Внутренний",Cash[Поток],"&lt;0")</f>
        <v>392177.23</v>
      </c>
      <c r="J17" s="4">
        <f>-SUMIFS(Cash[Поток],Cash[Дата],"&lt;="&amp;ДатаОтчета,Cash[Статус],"Проведён",Cash[Дата],"&gt;="&amp;J$6,Cash[Дата],"&lt;"&amp;EDATE(J$6,1),Cash[Класс ДДС],"&lt;&gt;Внутренний",Cash[Поток],"&lt;0")</f>
        <v>492977.23</v>
      </c>
      <c r="K17" s="4">
        <f>-SUMIFS(Cash[Поток],Cash[Дата],"&lt;="&amp;ДатаОтчета,Cash[Статус],"Проведён",Cash[Дата],"&gt;="&amp;K$6,Cash[Дата],"&lt;"&amp;EDATE(K$6,1),Cash[Класс ДДС],"&lt;&gt;Внутренний",Cash[Поток],"&lt;0")</f>
        <v>532177.23</v>
      </c>
      <c r="L17" s="4">
        <f>-SUMIFS(Cash[Поток],Cash[Дата],"&lt;="&amp;ДатаОтчета,Cash[Статус],"Проведён",Cash[Дата],"&gt;="&amp;L$6,Cash[Дата],"&lt;"&amp;EDATE(L$6,1),Cash[Класс ДДС],"&lt;&gt;Внутренний",Cash[Поток],"&lt;0")</f>
        <v>503177.23</v>
      </c>
      <c r="M17" s="4">
        <f>-SUMIFS(Cash[Поток],Cash[Дата],"&lt;="&amp;ДатаОтчета,Cash[Статус],"Проведён",Cash[Дата],"&gt;="&amp;M$6,Cash[Дата],"&lt;"&amp;EDATE(M$6,1),Cash[Класс ДДС],"&lt;&gt;Внутренний",Cash[Поток],"&lt;0")</f>
        <v>473567.23</v>
      </c>
      <c r="N17" s="4">
        <f>SUM(B17:M17)</f>
        <v>5665916.7599999998</v>
      </c>
    </row>
    <row r="18" spans="1:14" x14ac:dyDescent="0.25">
      <c r="A18" s="3" t="s">
        <v>124</v>
      </c>
      <c r="B18" s="4">
        <f>SUMIFS(Cash[Сумма],Cash[Дата],"&lt;="&amp;ДатаОтчета,Cash[Статус],"Проведён",Cash[Тип],"Перевод",Cash[Дата],"&gt;="&amp;B$6,Cash[Дата],"&lt;"&amp;EDATE(B$6,1))</f>
        <v>15000</v>
      </c>
      <c r="C18" s="4">
        <f>SUMIFS(Cash[Сумма],Cash[Дата],"&lt;="&amp;ДатаОтчета,Cash[Статус],"Проведён",Cash[Тип],"Перевод",Cash[Дата],"&gt;="&amp;C$6,Cash[Дата],"&lt;"&amp;EDATE(C$6,1))</f>
        <v>15000</v>
      </c>
      <c r="D18" s="4">
        <f>SUMIFS(Cash[Сумма],Cash[Дата],"&lt;="&amp;ДатаОтчета,Cash[Статус],"Проведён",Cash[Тип],"Перевод",Cash[Дата],"&gt;="&amp;D$6,Cash[Дата],"&lt;"&amp;EDATE(D$6,1))</f>
        <v>15000</v>
      </c>
      <c r="E18" s="4">
        <f>SUMIFS(Cash[Сумма],Cash[Дата],"&lt;="&amp;ДатаОтчета,Cash[Статус],"Проведён",Cash[Тип],"Перевод",Cash[Дата],"&gt;="&amp;E$6,Cash[Дата],"&lt;"&amp;EDATE(E$6,1))</f>
        <v>15000</v>
      </c>
      <c r="F18" s="4">
        <f>SUMIFS(Cash[Сумма],Cash[Дата],"&lt;="&amp;ДатаОтчета,Cash[Статус],"Проведён",Cash[Тип],"Перевод",Cash[Дата],"&gt;="&amp;F$6,Cash[Дата],"&lt;"&amp;EDATE(F$6,1))</f>
        <v>15000</v>
      </c>
      <c r="G18" s="4">
        <f>SUMIFS(Cash[Сумма],Cash[Дата],"&lt;="&amp;ДатаОтчета,Cash[Статус],"Проведён",Cash[Тип],"Перевод",Cash[Дата],"&gt;="&amp;G$6,Cash[Дата],"&lt;"&amp;EDATE(G$6,1))</f>
        <v>15000</v>
      </c>
      <c r="H18" s="4">
        <f>SUMIFS(Cash[Сумма],Cash[Дата],"&lt;="&amp;ДатаОтчета,Cash[Статус],"Проведён",Cash[Тип],"Перевод",Cash[Дата],"&gt;="&amp;H$6,Cash[Дата],"&lt;"&amp;EDATE(H$6,1))</f>
        <v>15000</v>
      </c>
      <c r="I18" s="4">
        <f>SUMIFS(Cash[Сумма],Cash[Дата],"&lt;="&amp;ДатаОтчета,Cash[Статус],"Проведён",Cash[Тип],"Перевод",Cash[Дата],"&gt;="&amp;I$6,Cash[Дата],"&lt;"&amp;EDATE(I$6,1))</f>
        <v>15000</v>
      </c>
      <c r="J18" s="4">
        <f>SUMIFS(Cash[Сумма],Cash[Дата],"&lt;="&amp;ДатаОтчета,Cash[Статус],"Проведён",Cash[Тип],"Перевод",Cash[Дата],"&gt;="&amp;J$6,Cash[Дата],"&lt;"&amp;EDATE(J$6,1))</f>
        <v>15000</v>
      </c>
      <c r="K18" s="4">
        <f>SUMIFS(Cash[Сумма],Cash[Дата],"&lt;="&amp;ДатаОтчета,Cash[Статус],"Проведён",Cash[Тип],"Перевод",Cash[Дата],"&gt;="&amp;K$6,Cash[Дата],"&lt;"&amp;EDATE(K$6,1))</f>
        <v>15000</v>
      </c>
      <c r="L18" s="4">
        <f>SUMIFS(Cash[Сумма],Cash[Дата],"&lt;="&amp;ДатаОтчета,Cash[Статус],"Проведён",Cash[Тип],"Перевод",Cash[Дата],"&gt;="&amp;L$6,Cash[Дата],"&lt;"&amp;EDATE(L$6,1))</f>
        <v>15000</v>
      </c>
      <c r="M18" s="4">
        <f>SUMIFS(Cash[Сумма],Cash[Дата],"&lt;="&amp;ДатаОтчета,Cash[Статус],"Проведён",Cash[Тип],"Перевод",Cash[Дата],"&gt;="&amp;M$6,Cash[Дата],"&lt;"&amp;EDATE(M$6,1))</f>
        <v>15000</v>
      </c>
      <c r="N18" s="4">
        <f>SUM(B18:M18)</f>
        <v>180000</v>
      </c>
    </row>
  </sheetData>
  <conditionalFormatting sqref="B14:N14">
    <cfRule type="cellIs" dxfId="9" priority="1" operator="lessThan">
      <formula>0</formula>
    </cfRule>
  </conditionalFormatting>
  <hyperlinks>
    <hyperlink ref="A1" location="'ПАНЕЛЬ'!A1" display="Главная панель" xr:uid="{00000000-0004-0000-0200-000000000000}"/>
    <hyperlink ref="D1" location="'НАСТРОЙКИ'!A1" display="Настройки" xr:uid="{00000000-0004-0000-0200-000001000000}"/>
    <hyperlink ref="F1" location="'КОНТРОЛЬ'!A1" display="Контроль" xr:uid="{00000000-0004-0000-02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1B2D"/>
    <outlinePr summaryRight="0"/>
    <pageSetUpPr fitToPage="1"/>
  </sheetPr>
  <dimension ref="A1:N18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9" customWidth="1"/>
    <col min="2" max="14" width="17" customWidth="1"/>
  </cols>
  <sheetData>
    <row r="1" spans="1:14" x14ac:dyDescent="0.25">
      <c r="A1" s="1" t="s">
        <v>0</v>
      </c>
      <c r="D1" s="2" t="s">
        <v>1</v>
      </c>
      <c r="F1" s="2" t="s">
        <v>2</v>
      </c>
    </row>
    <row r="2" spans="1:14" ht="30" customHeight="1" x14ac:dyDescent="0.25">
      <c r="A2" s="9" t="s">
        <v>14</v>
      </c>
    </row>
    <row r="3" spans="1:14" x14ac:dyDescent="0.25">
      <c r="A3" s="10" t="s">
        <v>36</v>
      </c>
    </row>
    <row r="6" spans="1:14" ht="35.1" customHeight="1" x14ac:dyDescent="0.25">
      <c r="A6" s="29" t="s">
        <v>33</v>
      </c>
      <c r="B6" s="30">
        <f>DATE(Год,1,1)</f>
        <v>46023</v>
      </c>
      <c r="C6" s="30">
        <f>DATE(Год,2,1)</f>
        <v>46054</v>
      </c>
      <c r="D6" s="30">
        <f>DATE(Год,3,1)</f>
        <v>46082</v>
      </c>
      <c r="E6" s="30">
        <f>DATE(Год,4,1)</f>
        <v>46113</v>
      </c>
      <c r="F6" s="30">
        <f>DATE(Год,5,1)</f>
        <v>46143</v>
      </c>
      <c r="G6" s="30">
        <f>DATE(Год,6,1)</f>
        <v>46174</v>
      </c>
      <c r="H6" s="30">
        <f>DATE(Год,7,1)</f>
        <v>46204</v>
      </c>
      <c r="I6" s="30">
        <f>DATE(Год,8,1)</f>
        <v>46235</v>
      </c>
      <c r="J6" s="30">
        <f>DATE(Год,9,1)</f>
        <v>46266</v>
      </c>
      <c r="K6" s="30">
        <f>DATE(Год,10,1)</f>
        <v>46296</v>
      </c>
      <c r="L6" s="30">
        <f>DATE(Год,11,1)</f>
        <v>46327</v>
      </c>
      <c r="M6" s="30">
        <f>DATE(Год,12,1)</f>
        <v>46357</v>
      </c>
      <c r="N6" s="29" t="s">
        <v>113</v>
      </c>
    </row>
    <row r="7" spans="1:14" x14ac:dyDescent="0.25">
      <c r="A7" s="3" t="s">
        <v>5</v>
      </c>
      <c r="B7" s="4">
        <f>SUMIFS(Docs[Сумма],Docs[Дата],"&lt;="&amp;ДатаОтчета,Docs[Статус],"Проведён",Docs[Вид],"Выручка",Docs[Дата],"&gt;="&amp;B$6,Docs[Дата],"&lt;"&amp;EDATE(B$6,1))</f>
        <v>420000</v>
      </c>
      <c r="C7" s="4">
        <f>SUMIFS(Docs[Сумма],Docs[Дата],"&lt;="&amp;ДатаОтчета,Docs[Статус],"Проведён",Docs[Вид],"Выручка",Docs[Дата],"&gt;="&amp;C$6,Docs[Дата],"&lt;"&amp;EDATE(C$6,1))</f>
        <v>180000</v>
      </c>
      <c r="D7" s="4">
        <f>SUMIFS(Docs[Сумма],Docs[Дата],"&lt;="&amp;ДатаОтчета,Docs[Статус],"Проведён",Docs[Вид],"Выручка",Docs[Дата],"&gt;="&amp;D$6,Docs[Дата],"&lt;"&amp;EDATE(D$6,1))</f>
        <v>507000</v>
      </c>
      <c r="E7" s="4">
        <f>SUMIFS(Docs[Сумма],Docs[Дата],"&lt;="&amp;ДатаОтчета,Docs[Статус],"Проведён",Docs[Вид],"Выручка",Docs[Дата],"&gt;="&amp;E$6,Docs[Дата],"&lt;"&amp;EDATE(E$6,1))</f>
        <v>550000</v>
      </c>
      <c r="F7" s="4">
        <f>SUMIFS(Docs[Сумма],Docs[Дата],"&lt;="&amp;ДатаОтчета,Docs[Статус],"Проведён",Docs[Вид],"Выручка",Docs[Дата],"&gt;="&amp;F$6,Docs[Дата],"&lt;"&amp;EDATE(F$6,1))</f>
        <v>580000</v>
      </c>
      <c r="G7" s="4">
        <f>SUMIFS(Docs[Сумма],Docs[Дата],"&lt;="&amp;ДатаОтчета,Docs[Статус],"Проведён",Docs[Вид],"Выручка",Docs[Дата],"&gt;="&amp;G$6,Docs[Дата],"&lt;"&amp;EDATE(G$6,1))</f>
        <v>620000</v>
      </c>
      <c r="H7" s="4">
        <f>SUMIFS(Docs[Сумма],Docs[Дата],"&lt;="&amp;ДатаОтчета,Docs[Статус],"Проведён",Docs[Вид],"Выручка",Docs[Дата],"&gt;="&amp;H$6,Docs[Дата],"&lt;"&amp;EDATE(H$6,1))</f>
        <v>590000</v>
      </c>
      <c r="I7" s="4">
        <f>SUMIFS(Docs[Сумма],Docs[Дата],"&lt;="&amp;ДатаОтчета,Docs[Статус],"Проведён",Docs[Вид],"Выручка",Docs[Дата],"&gt;="&amp;I$6,Docs[Дата],"&lt;"&amp;EDATE(I$6,1))</f>
        <v>210000</v>
      </c>
      <c r="J7" s="4">
        <f>SUMIFS(Docs[Сумма],Docs[Дата],"&lt;="&amp;ДатаОтчета,Docs[Статус],"Проведён",Docs[Вид],"Выручка",Docs[Дата],"&gt;="&amp;J$6,Docs[Дата],"&lt;"&amp;EDATE(J$6,1))</f>
        <v>650000</v>
      </c>
      <c r="K7" s="4">
        <f>SUMIFS(Docs[Сумма],Docs[Дата],"&lt;="&amp;ДатаОтчета,Docs[Статус],"Проведён",Docs[Вид],"Выручка",Docs[Дата],"&gt;="&amp;K$6,Docs[Дата],"&lt;"&amp;EDATE(K$6,1))</f>
        <v>710000</v>
      </c>
      <c r="L7" s="4">
        <f>SUMIFS(Docs[Сумма],Docs[Дата],"&lt;="&amp;ДатаОтчета,Docs[Статус],"Проведён",Docs[Вид],"Выручка",Docs[Дата],"&gt;="&amp;L$6,Docs[Дата],"&lt;"&amp;EDATE(L$6,1))</f>
        <v>760000</v>
      </c>
      <c r="M7" s="4">
        <f>SUMIFS(Docs[Сумма],Docs[Дата],"&lt;="&amp;ДатаОтчета,Docs[Статус],"Проведён",Docs[Вид],"Выручка",Docs[Дата],"&gt;="&amp;M$6,Docs[Дата],"&lt;"&amp;EDATE(M$6,1))</f>
        <v>820000</v>
      </c>
      <c r="N7" s="4">
        <f t="shared" ref="N7:N16" si="0">SUM(B7:M7)</f>
        <v>6597000</v>
      </c>
    </row>
    <row r="8" spans="1:14" x14ac:dyDescent="0.25">
      <c r="A8" s="3" t="s">
        <v>125</v>
      </c>
      <c r="B8" s="4">
        <f>SUMIFS(Docs[Сумма],Docs[Дата],"&lt;="&amp;ДатаОтчета,Docs[Статус],"Проведён",Docs[Вид],"Себестоимость",Docs[Дата],"&gt;="&amp;B$6,Docs[Дата],"&lt;"&amp;EDATE(B$6,1))</f>
        <v>134400</v>
      </c>
      <c r="C8" s="4">
        <f>SUMIFS(Docs[Сумма],Docs[Дата],"&lt;="&amp;ДатаОтчета,Docs[Статус],"Проведён",Docs[Вид],"Себестоимость",Docs[Дата],"&gt;="&amp;C$6,Docs[Дата],"&lt;"&amp;EDATE(C$6,1))</f>
        <v>57600</v>
      </c>
      <c r="D8" s="4">
        <f>SUMIFS(Docs[Сумма],Docs[Дата],"&lt;="&amp;ДатаОтчета,Docs[Статус],"Проведён",Docs[Вид],"Себестоимость",Docs[Дата],"&gt;="&amp;D$6,Docs[Дата],"&lt;"&amp;EDATE(D$6,1))</f>
        <v>163200</v>
      </c>
      <c r="E8" s="4">
        <f>SUMIFS(Docs[Сумма],Docs[Дата],"&lt;="&amp;ДатаОтчета,Docs[Статус],"Проведён",Docs[Вид],"Себестоимость",Docs[Дата],"&gt;="&amp;E$6,Docs[Дата],"&lt;"&amp;EDATE(E$6,1))</f>
        <v>176000</v>
      </c>
      <c r="F8" s="4">
        <f>SUMIFS(Docs[Сумма],Docs[Дата],"&lt;="&amp;ДатаОтчета,Docs[Статус],"Проведён",Docs[Вид],"Себестоимость",Docs[Дата],"&gt;="&amp;F$6,Docs[Дата],"&lt;"&amp;EDATE(F$6,1))</f>
        <v>185600</v>
      </c>
      <c r="G8" s="4">
        <f>SUMIFS(Docs[Сумма],Docs[Дата],"&lt;="&amp;ДатаОтчета,Docs[Статус],"Проведён",Docs[Вид],"Себестоимость",Docs[Дата],"&gt;="&amp;G$6,Docs[Дата],"&lt;"&amp;EDATE(G$6,1))</f>
        <v>198400</v>
      </c>
      <c r="H8" s="4">
        <f>SUMIFS(Docs[Сумма],Docs[Дата],"&lt;="&amp;ДатаОтчета,Docs[Статус],"Проведён",Docs[Вид],"Себестоимость",Docs[Дата],"&gt;="&amp;H$6,Docs[Дата],"&lt;"&amp;EDATE(H$6,1))</f>
        <v>188800</v>
      </c>
      <c r="I8" s="4">
        <f>SUMIFS(Docs[Сумма],Docs[Дата],"&lt;="&amp;ДатаОтчета,Docs[Статус],"Проведён",Docs[Вид],"Себестоимость",Docs[Дата],"&gt;="&amp;I$6,Docs[Дата],"&lt;"&amp;EDATE(I$6,1))</f>
        <v>67200</v>
      </c>
      <c r="J8" s="4">
        <f>SUMIFS(Docs[Сумма],Docs[Дата],"&lt;="&amp;ДатаОтчета,Docs[Статус],"Проведён",Docs[Вид],"Себестоимость",Docs[Дата],"&gt;="&amp;J$6,Docs[Дата],"&lt;"&amp;EDATE(J$6,1))</f>
        <v>208000</v>
      </c>
      <c r="K8" s="4">
        <f>SUMIFS(Docs[Сумма],Docs[Дата],"&lt;="&amp;ДатаОтчета,Docs[Статус],"Проведён",Docs[Вид],"Себестоимость",Docs[Дата],"&gt;="&amp;K$6,Docs[Дата],"&lt;"&amp;EDATE(K$6,1))</f>
        <v>227200</v>
      </c>
      <c r="L8" s="4">
        <f>SUMIFS(Docs[Сумма],Docs[Дата],"&lt;="&amp;ДатаОтчета,Docs[Статус],"Проведён",Docs[Вид],"Себестоимость",Docs[Дата],"&gt;="&amp;L$6,Docs[Дата],"&lt;"&amp;EDATE(L$6,1))</f>
        <v>243200</v>
      </c>
      <c r="M8" s="4">
        <f>SUMIFS(Docs[Сумма],Docs[Дата],"&lt;="&amp;ДатаОтчета,Docs[Статус],"Проведён",Docs[Вид],"Себестоимость",Docs[Дата],"&gt;="&amp;M$6,Docs[Дата],"&lt;"&amp;EDATE(M$6,1))</f>
        <v>262400</v>
      </c>
      <c r="N8" s="4">
        <f t="shared" si="0"/>
        <v>2112000</v>
      </c>
    </row>
    <row r="9" spans="1:14" x14ac:dyDescent="0.25">
      <c r="A9" s="15" t="s">
        <v>126</v>
      </c>
      <c r="B9" s="16">
        <f t="shared" ref="B9:M9" si="1">B7-B8</f>
        <v>285600</v>
      </c>
      <c r="C9" s="16">
        <f t="shared" si="1"/>
        <v>122400</v>
      </c>
      <c r="D9" s="16">
        <f t="shared" si="1"/>
        <v>343800</v>
      </c>
      <c r="E9" s="16">
        <f t="shared" si="1"/>
        <v>374000</v>
      </c>
      <c r="F9" s="16">
        <f t="shared" si="1"/>
        <v>394400</v>
      </c>
      <c r="G9" s="16">
        <f t="shared" si="1"/>
        <v>421600</v>
      </c>
      <c r="H9" s="16">
        <f t="shared" si="1"/>
        <v>401200</v>
      </c>
      <c r="I9" s="16">
        <f t="shared" si="1"/>
        <v>142800</v>
      </c>
      <c r="J9" s="16">
        <f t="shared" si="1"/>
        <v>442000</v>
      </c>
      <c r="K9" s="16">
        <f t="shared" si="1"/>
        <v>482800</v>
      </c>
      <c r="L9" s="16">
        <f t="shared" si="1"/>
        <v>516800</v>
      </c>
      <c r="M9" s="16">
        <f t="shared" si="1"/>
        <v>557600</v>
      </c>
      <c r="N9" s="16">
        <f t="shared" si="0"/>
        <v>4485000</v>
      </c>
    </row>
    <row r="10" spans="1:14" x14ac:dyDescent="0.25">
      <c r="A10" s="3" t="s">
        <v>127</v>
      </c>
      <c r="B10" s="4">
        <f>SUMIFS(Docs[Сумма],Docs[Дата],"&lt;="&amp;ДатаОтчета,Docs[Статус],"Проведён",Docs[Вид],"Операционные",Docs[Дата],"&gt;="&amp;B$6,Docs[Дата],"&lt;"&amp;EDATE(B$6,1))</f>
        <v>245000</v>
      </c>
      <c r="C10" s="4">
        <f>SUMIFS(Docs[Сумма],Docs[Дата],"&lt;="&amp;ДатаОтчета,Docs[Статус],"Проведён",Docs[Вид],"Операционные",Docs[Дата],"&gt;="&amp;C$6,Docs[Дата],"&lt;"&amp;EDATE(C$6,1))</f>
        <v>245000</v>
      </c>
      <c r="D10" s="4">
        <f>SUMIFS(Docs[Сумма],Docs[Дата],"&lt;="&amp;ДатаОтчета,Docs[Статус],"Проведён",Docs[Вид],"Операционные",Docs[Дата],"&gt;="&amp;D$6,Docs[Дата],"&lt;"&amp;EDATE(D$6,1))</f>
        <v>245000</v>
      </c>
      <c r="E10" s="4">
        <f>SUMIFS(Docs[Сумма],Docs[Дата],"&lt;="&amp;ДатаОтчета,Docs[Статус],"Проведён",Docs[Вид],"Операционные",Docs[Дата],"&gt;="&amp;E$6,Docs[Дата],"&lt;"&amp;EDATE(E$6,1))</f>
        <v>245000</v>
      </c>
      <c r="F10" s="4">
        <f>SUMIFS(Docs[Сумма],Docs[Дата],"&lt;="&amp;ДатаОтчета,Docs[Статус],"Проведён",Docs[Вид],"Операционные",Docs[Дата],"&gt;="&amp;F$6,Docs[Дата],"&lt;"&amp;EDATE(F$6,1))</f>
        <v>245000</v>
      </c>
      <c r="G10" s="4">
        <f>SUMIFS(Docs[Сумма],Docs[Дата],"&lt;="&amp;ДатаОтчета,Docs[Статус],"Проведён",Docs[Вид],"Операционные",Docs[Дата],"&gt;="&amp;G$6,Docs[Дата],"&lt;"&amp;EDATE(G$6,1))</f>
        <v>245000</v>
      </c>
      <c r="H10" s="4">
        <f>SUMIFS(Docs[Сумма],Docs[Дата],"&lt;="&amp;ДатаОтчета,Docs[Статус],"Проведён",Docs[Вид],"Операционные",Docs[Дата],"&gt;="&amp;H$6,Docs[Дата],"&lt;"&amp;EDATE(H$6,1))</f>
        <v>245000</v>
      </c>
      <c r="I10" s="4">
        <f>SUMIFS(Docs[Сумма],Docs[Дата],"&lt;="&amp;ДатаОтчета,Docs[Статус],"Проведён",Docs[Вид],"Операционные",Docs[Дата],"&gt;="&amp;I$6,Docs[Дата],"&lt;"&amp;EDATE(I$6,1))</f>
        <v>310000</v>
      </c>
      <c r="J10" s="4">
        <f>SUMIFS(Docs[Сумма],Docs[Дата],"&lt;="&amp;ДатаОтчета,Docs[Статус],"Проведён",Docs[Вид],"Операционные",Docs[Дата],"&gt;="&amp;J$6,Docs[Дата],"&lt;"&amp;EDATE(J$6,1))</f>
        <v>245000</v>
      </c>
      <c r="K10" s="4">
        <f>SUMIFS(Docs[Сумма],Docs[Дата],"&lt;="&amp;ДатаОтчета,Docs[Статус],"Проведён",Docs[Вид],"Операционные",Docs[Дата],"&gt;="&amp;K$6,Docs[Дата],"&lt;"&amp;EDATE(K$6,1))</f>
        <v>245000</v>
      </c>
      <c r="L10" s="4">
        <f>SUMIFS(Docs[Сумма],Docs[Дата],"&lt;="&amp;ДатаОтчета,Docs[Статус],"Проведён",Docs[Вид],"Операционные",Docs[Дата],"&gt;="&amp;L$6,Docs[Дата],"&lt;"&amp;EDATE(L$6,1))</f>
        <v>245000</v>
      </c>
      <c r="M10" s="4">
        <f>SUMIFS(Docs[Сумма],Docs[Дата],"&lt;="&amp;ДатаОтчета,Docs[Статус],"Проведён",Docs[Вид],"Операционные",Docs[Дата],"&gt;="&amp;M$6,Docs[Дата],"&lt;"&amp;EDATE(M$6,1))</f>
        <v>245000</v>
      </c>
      <c r="N10" s="4">
        <f t="shared" si="0"/>
        <v>3005000</v>
      </c>
    </row>
    <row r="11" spans="1:14" x14ac:dyDescent="0.25">
      <c r="A11" s="3" t="s">
        <v>128</v>
      </c>
      <c r="B11" s="4">
        <f>SUM(АКТИВЫ!K7:K56)</f>
        <v>0</v>
      </c>
      <c r="C11" s="4">
        <f>SUM(АКТИВЫ!L7:L56)</f>
        <v>5000</v>
      </c>
      <c r="D11" s="4">
        <f>SUM(АКТИВЫ!M7:M56)</f>
        <v>5000</v>
      </c>
      <c r="E11" s="4">
        <f>SUM(АКТИВЫ!N7:N56)</f>
        <v>5000</v>
      </c>
      <c r="F11" s="4">
        <f>SUM(АКТИВЫ!O7:O56)</f>
        <v>5000</v>
      </c>
      <c r="G11" s="4">
        <f>SUM(АКТИВЫ!P7:P56)</f>
        <v>5000</v>
      </c>
      <c r="H11" s="4">
        <f>SUM(АКТИВЫ!Q7:Q56)</f>
        <v>5000</v>
      </c>
      <c r="I11" s="4">
        <f>SUM(АКТИВЫ!R7:R56)</f>
        <v>5000</v>
      </c>
      <c r="J11" s="4">
        <f>SUM(АКТИВЫ!S7:S56)</f>
        <v>5000</v>
      </c>
      <c r="K11" s="4">
        <f>SUM(АКТИВЫ!T7:T56)</f>
        <v>5000</v>
      </c>
      <c r="L11" s="4">
        <f>SUM(АКТИВЫ!U7:U56)</f>
        <v>5000</v>
      </c>
      <c r="M11" s="4">
        <f>SUM(АКТИВЫ!V7:V56)</f>
        <v>5000</v>
      </c>
      <c r="N11" s="4">
        <f t="shared" si="0"/>
        <v>55000</v>
      </c>
    </row>
    <row r="12" spans="1:14" x14ac:dyDescent="0.25">
      <c r="A12" s="15" t="s">
        <v>129</v>
      </c>
      <c r="B12" s="16">
        <f t="shared" ref="B12:M12" si="2">B9-B10-B11</f>
        <v>40600</v>
      </c>
      <c r="C12" s="16">
        <f t="shared" si="2"/>
        <v>-127600</v>
      </c>
      <c r="D12" s="16">
        <f t="shared" si="2"/>
        <v>93800</v>
      </c>
      <c r="E12" s="16">
        <f t="shared" si="2"/>
        <v>124000</v>
      </c>
      <c r="F12" s="16">
        <f t="shared" si="2"/>
        <v>144400</v>
      </c>
      <c r="G12" s="16">
        <f t="shared" si="2"/>
        <v>171600</v>
      </c>
      <c r="H12" s="16">
        <f t="shared" si="2"/>
        <v>151200</v>
      </c>
      <c r="I12" s="16">
        <f t="shared" si="2"/>
        <v>-172200</v>
      </c>
      <c r="J12" s="16">
        <f t="shared" si="2"/>
        <v>192000</v>
      </c>
      <c r="K12" s="16">
        <f t="shared" si="2"/>
        <v>232800</v>
      </c>
      <c r="L12" s="16">
        <f t="shared" si="2"/>
        <v>266800</v>
      </c>
      <c r="M12" s="16">
        <f t="shared" si="2"/>
        <v>307600</v>
      </c>
      <c r="N12" s="16">
        <f t="shared" si="0"/>
        <v>1425000</v>
      </c>
    </row>
    <row r="13" spans="1:14" x14ac:dyDescent="0.25">
      <c r="A13" s="3" t="s">
        <v>130</v>
      </c>
      <c r="B13" s="4">
        <f>SUMIFS(Docs[Сумма],Docs[Дата],"&lt;="&amp;ДатаОтчета,Docs[Статус],"Проведён",Docs[Вид],"Проценты",Docs[Дата],"&gt;="&amp;B$6,Docs[Дата],"&lt;"&amp;EDATE(B$6,1))</f>
        <v>4500</v>
      </c>
      <c r="C13" s="4">
        <f>SUMIFS(Docs[Сумма],Docs[Дата],"&lt;="&amp;ДатаОтчета,Docs[Статус],"Проведён",Docs[Вид],"Проценты",Docs[Дата],"&gt;="&amp;C$6,Docs[Дата],"&lt;"&amp;EDATE(C$6,1))</f>
        <v>4342.84</v>
      </c>
      <c r="D13" s="4">
        <f>SUMIFS(Docs[Сумма],Docs[Дата],"&lt;="&amp;ДатаОтчета,Docs[Статус],"Проведён",Docs[Вид],"Проценты",Docs[Дата],"&gt;="&amp;D$6,Docs[Дата],"&lt;"&amp;EDATE(D$6,1))</f>
        <v>4183.33</v>
      </c>
      <c r="E13" s="4">
        <f>SUMIFS(Docs[Сумма],Docs[Дата],"&lt;="&amp;ДатаОтчета,Docs[Статус],"Проведён",Docs[Вид],"Проценты",Docs[Дата],"&gt;="&amp;E$6,Docs[Дата],"&lt;"&amp;EDATE(E$6,1))</f>
        <v>4021.42</v>
      </c>
      <c r="F13" s="4">
        <f>SUMIFS(Docs[Сумма],Docs[Дата],"&lt;="&amp;ДатаОтчета,Docs[Статус],"Проведён",Docs[Вид],"Проценты",Docs[Дата],"&gt;="&amp;F$6,Docs[Дата],"&lt;"&amp;EDATE(F$6,1))</f>
        <v>3857.08</v>
      </c>
      <c r="G13" s="4">
        <f>SUMIFS(Docs[Сумма],Docs[Дата],"&lt;="&amp;ДатаОтчета,Docs[Статус],"Проведён",Docs[Вид],"Проценты",Docs[Дата],"&gt;="&amp;G$6,Docs[Дата],"&lt;"&amp;EDATE(G$6,1))</f>
        <v>3690.28</v>
      </c>
      <c r="H13" s="4">
        <f>SUMIFS(Docs[Сумма],Docs[Дата],"&lt;="&amp;ДатаОтчета,Docs[Статус],"Проведён",Docs[Вид],"Проценты",Docs[Дата],"&gt;="&amp;H$6,Docs[Дата],"&lt;"&amp;EDATE(H$6,1))</f>
        <v>3145.97</v>
      </c>
      <c r="I13" s="4">
        <f>SUMIFS(Docs[Сумма],Docs[Дата],"&lt;="&amp;ДатаОтчета,Docs[Статус],"Проведён",Docs[Вид],"Проценты",Docs[Дата],"&gt;="&amp;I$6,Docs[Дата],"&lt;"&amp;EDATE(I$6,1))</f>
        <v>2968.5</v>
      </c>
      <c r="J13" s="4">
        <f>SUMIFS(Docs[Сумма],Docs[Дата],"&lt;="&amp;ДатаОтчета,Docs[Статус],"Проведён",Docs[Вид],"Проценты",Docs[Дата],"&gt;="&amp;J$6,Docs[Дата],"&lt;"&amp;EDATE(J$6,1))</f>
        <v>2788.37</v>
      </c>
      <c r="K13" s="4">
        <f>SUMIFS(Docs[Сумма],Docs[Дата],"&lt;="&amp;ДатаОтчета,Docs[Статус],"Проведён",Docs[Вид],"Проценты",Docs[Дата],"&gt;="&amp;K$6,Docs[Дата],"&lt;"&amp;EDATE(K$6,1))</f>
        <v>2605.54</v>
      </c>
      <c r="L13" s="4">
        <f>SUMIFS(Docs[Сумма],Docs[Дата],"&lt;="&amp;ДатаОтчета,Docs[Статус],"Проведён",Docs[Вид],"Проценты",Docs[Дата],"&gt;="&amp;L$6,Docs[Дата],"&lt;"&amp;EDATE(L$6,1))</f>
        <v>2419.9699999999998</v>
      </c>
      <c r="M13" s="4">
        <f>SUMIFS(Docs[Сумма],Docs[Дата],"&lt;="&amp;ДатаОтчета,Docs[Статус],"Проведён",Docs[Вид],"Проценты",Docs[Дата],"&gt;="&amp;M$6,Docs[Дата],"&lt;"&amp;EDATE(M$6,1))</f>
        <v>2231.61</v>
      </c>
      <c r="N13" s="4">
        <f t="shared" si="0"/>
        <v>40754.910000000003</v>
      </c>
    </row>
    <row r="14" spans="1:14" x14ac:dyDescent="0.25">
      <c r="A14" s="3" t="s">
        <v>131</v>
      </c>
      <c r="B14" s="4">
        <f>НАЛОГИ!H7</f>
        <v>25200</v>
      </c>
      <c r="C14" s="4">
        <f>НАЛОГИ!H8</f>
        <v>10800</v>
      </c>
      <c r="D14" s="4">
        <f>НАЛОГИ!H9</f>
        <v>30420</v>
      </c>
      <c r="E14" s="4">
        <f>НАЛОГИ!H10</f>
        <v>33000</v>
      </c>
      <c r="F14" s="4">
        <f>НАЛОГИ!H11</f>
        <v>34800</v>
      </c>
      <c r="G14" s="4">
        <f>НАЛОГИ!H12</f>
        <v>37200</v>
      </c>
      <c r="H14" s="4">
        <f>НАЛОГИ!H13</f>
        <v>35400</v>
      </c>
      <c r="I14" s="4">
        <f>НАЛОГИ!H14</f>
        <v>12600</v>
      </c>
      <c r="J14" s="4">
        <f>НАЛОГИ!H15</f>
        <v>39000</v>
      </c>
      <c r="K14" s="4">
        <f>НАЛОГИ!H16</f>
        <v>42600</v>
      </c>
      <c r="L14" s="4">
        <f>НАЛОГИ!H17</f>
        <v>45600</v>
      </c>
      <c r="M14" s="4">
        <f>НАЛОГИ!H18</f>
        <v>45657.599999999977</v>
      </c>
      <c r="N14" s="4">
        <f t="shared" si="0"/>
        <v>392277.6</v>
      </c>
    </row>
    <row r="15" spans="1:14" x14ac:dyDescent="0.25">
      <c r="A15" s="3" t="s">
        <v>132</v>
      </c>
      <c r="B15" s="4">
        <f>НАЛОГИ!L7</f>
        <v>5982.5</v>
      </c>
      <c r="C15" s="4">
        <f>НАЛОГИ!L8</f>
        <v>6582.5</v>
      </c>
      <c r="D15" s="4">
        <f>НАЛОГИ!L9</f>
        <v>9852.5</v>
      </c>
      <c r="E15" s="4">
        <f>НАЛОГИ!L10</f>
        <v>10282.5</v>
      </c>
      <c r="F15" s="4">
        <f>НАЛОГИ!L11</f>
        <v>10582.5</v>
      </c>
      <c r="G15" s="4">
        <f>НАЛОГИ!L12</f>
        <v>10982.5</v>
      </c>
      <c r="H15" s="4">
        <f>НАЛОГИ!L13</f>
        <v>10682.5</v>
      </c>
      <c r="I15" s="4">
        <f>НАЛОГИ!L14</f>
        <v>6882.5</v>
      </c>
      <c r="J15" s="4">
        <f>НАЛОГИ!L15</f>
        <v>11282.5</v>
      </c>
      <c r="K15" s="4">
        <f>НАЛОГИ!L16</f>
        <v>11882.5</v>
      </c>
      <c r="L15" s="4">
        <f>НАЛОГИ!L17</f>
        <v>12382.5</v>
      </c>
      <c r="M15" s="4">
        <f>НАЛОГИ!L18</f>
        <v>12392.100000000006</v>
      </c>
      <c r="N15" s="4">
        <f t="shared" si="0"/>
        <v>119769.60000000001</v>
      </c>
    </row>
    <row r="16" spans="1:14" x14ac:dyDescent="0.25">
      <c r="A16" s="15" t="s">
        <v>133</v>
      </c>
      <c r="B16" s="16">
        <f t="shared" ref="B16:M16" si="3">B12-SUM(B13:B15)</f>
        <v>4917.5</v>
      </c>
      <c r="C16" s="16">
        <f t="shared" si="3"/>
        <v>-149325.34</v>
      </c>
      <c r="D16" s="16">
        <f t="shared" si="3"/>
        <v>49344.17</v>
      </c>
      <c r="E16" s="16">
        <f t="shared" si="3"/>
        <v>76696.08</v>
      </c>
      <c r="F16" s="16">
        <f t="shared" si="3"/>
        <v>95160.42</v>
      </c>
      <c r="G16" s="16">
        <f t="shared" si="3"/>
        <v>119727.22</v>
      </c>
      <c r="H16" s="16">
        <f t="shared" si="3"/>
        <v>101971.53</v>
      </c>
      <c r="I16" s="16">
        <f t="shared" si="3"/>
        <v>-194651</v>
      </c>
      <c r="J16" s="16">
        <f t="shared" si="3"/>
        <v>138929.13</v>
      </c>
      <c r="K16" s="16">
        <f t="shared" si="3"/>
        <v>175711.96</v>
      </c>
      <c r="L16" s="16">
        <f t="shared" si="3"/>
        <v>206397.53</v>
      </c>
      <c r="M16" s="16">
        <f t="shared" si="3"/>
        <v>247318.69</v>
      </c>
      <c r="N16" s="16">
        <f t="shared" si="0"/>
        <v>872197.8899999999</v>
      </c>
    </row>
    <row r="17" spans="1:14" x14ac:dyDescent="0.25">
      <c r="A17" s="3" t="s">
        <v>134</v>
      </c>
      <c r="B17" s="17">
        <f t="shared" ref="B17:N17" si="4">IF(B7=0,"н/д",B16/B7)</f>
        <v>1.1708333333333333E-2</v>
      </c>
      <c r="C17" s="17">
        <f t="shared" si="4"/>
        <v>-0.8295852222222222</v>
      </c>
      <c r="D17" s="17">
        <f t="shared" si="4"/>
        <v>9.7325779092702167E-2</v>
      </c>
      <c r="E17" s="17">
        <f t="shared" si="4"/>
        <v>0.13944741818181819</v>
      </c>
      <c r="F17" s="17">
        <f t="shared" si="4"/>
        <v>0.16406968965517241</v>
      </c>
      <c r="G17" s="17">
        <f t="shared" si="4"/>
        <v>0.19310841935483872</v>
      </c>
      <c r="H17" s="17">
        <f t="shared" si="4"/>
        <v>0.17283310169491525</v>
      </c>
      <c r="I17" s="17">
        <f t="shared" si="4"/>
        <v>-0.92690952380952385</v>
      </c>
      <c r="J17" s="17">
        <f t="shared" si="4"/>
        <v>0.21373712307692308</v>
      </c>
      <c r="K17" s="17">
        <f t="shared" si="4"/>
        <v>0.2474816338028169</v>
      </c>
      <c r="L17" s="17">
        <f t="shared" si="4"/>
        <v>0.27157569736842108</v>
      </c>
      <c r="M17" s="17">
        <f t="shared" si="4"/>
        <v>0.30160815853658535</v>
      </c>
      <c r="N17" s="31">
        <f t="shared" si="4"/>
        <v>0.13221129149613459</v>
      </c>
    </row>
    <row r="18" spans="1:14" x14ac:dyDescent="0.25">
      <c r="A18" s="3" t="s">
        <v>135</v>
      </c>
      <c r="B18" s="4" t="str">
        <f t="shared" ref="B18:M18" si="5">IF(B16&lt;0,"Убыток","Прибыль / ноль")</f>
        <v>Прибыль / ноль</v>
      </c>
      <c r="C18" s="4" t="str">
        <f t="shared" si="5"/>
        <v>Убыток</v>
      </c>
      <c r="D18" s="4" t="str">
        <f t="shared" si="5"/>
        <v>Прибыль / ноль</v>
      </c>
      <c r="E18" s="4" t="str">
        <f t="shared" si="5"/>
        <v>Прибыль / ноль</v>
      </c>
      <c r="F18" s="4" t="str">
        <f t="shared" si="5"/>
        <v>Прибыль / ноль</v>
      </c>
      <c r="G18" s="4" t="str">
        <f t="shared" si="5"/>
        <v>Прибыль / ноль</v>
      </c>
      <c r="H18" s="4" t="str">
        <f t="shared" si="5"/>
        <v>Прибыль / ноль</v>
      </c>
      <c r="I18" s="4" t="str">
        <f t="shared" si="5"/>
        <v>Убыток</v>
      </c>
      <c r="J18" s="4" t="str">
        <f t="shared" si="5"/>
        <v>Прибыль / ноль</v>
      </c>
      <c r="K18" s="4" t="str">
        <f t="shared" si="5"/>
        <v>Прибыль / ноль</v>
      </c>
      <c r="L18" s="4" t="str">
        <f t="shared" si="5"/>
        <v>Прибыль / ноль</v>
      </c>
      <c r="M18" s="4" t="str">
        <f t="shared" si="5"/>
        <v>Прибыль / ноль</v>
      </c>
      <c r="N18" s="4">
        <f>COUNTIF(B16:M16,"&lt;0")</f>
        <v>2</v>
      </c>
    </row>
  </sheetData>
  <conditionalFormatting sqref="B16:N16">
    <cfRule type="cellIs" dxfId="8" priority="1" operator="lessThan">
      <formula>0</formula>
    </cfRule>
  </conditionalFormatting>
  <hyperlinks>
    <hyperlink ref="A1" location="'ПАНЕЛЬ'!A1" display="Главная панель" xr:uid="{00000000-0004-0000-0300-000000000000}"/>
    <hyperlink ref="D1" location="'НАСТРОЙКИ'!A1" display="Настройки" xr:uid="{00000000-0004-0000-0300-000001000000}"/>
    <hyperlink ref="F1" location="'КОНТРОЛЬ'!A1" display="Контроль" xr:uid="{00000000-0004-0000-03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01B2D"/>
    <outlinePr summaryRight="0"/>
    <pageSetUpPr fitToPage="1"/>
  </sheetPr>
  <dimension ref="A1:F29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9" customWidth="1"/>
    <col min="2" max="2" width="22" customWidth="1"/>
    <col min="3" max="3" width="78" customWidth="1"/>
    <col min="4" max="14" width="17" customWidth="1"/>
  </cols>
  <sheetData>
    <row r="1" spans="1:6" x14ac:dyDescent="0.25">
      <c r="A1" s="1" t="s">
        <v>0</v>
      </c>
      <c r="D1" s="2" t="s">
        <v>1</v>
      </c>
      <c r="F1" s="2" t="s">
        <v>2</v>
      </c>
    </row>
    <row r="2" spans="1:6" ht="30" customHeight="1" x14ac:dyDescent="0.25">
      <c r="A2" s="9" t="s">
        <v>15</v>
      </c>
    </row>
    <row r="3" spans="1:6" x14ac:dyDescent="0.25">
      <c r="A3" s="10" t="s">
        <v>36</v>
      </c>
    </row>
    <row r="6" spans="1:6" ht="35.1" customHeight="1" x14ac:dyDescent="0.25">
      <c r="A6" s="7" t="s">
        <v>136</v>
      </c>
      <c r="B6" s="7" t="s">
        <v>137</v>
      </c>
      <c r="C6" s="7" t="s">
        <v>138</v>
      </c>
    </row>
    <row r="7" spans="1:6" x14ac:dyDescent="0.25">
      <c r="A7" s="3" t="s">
        <v>7</v>
      </c>
      <c r="B7" s="4">
        <f>СЧЕТА!B19</f>
        <v>1675043.2399999993</v>
      </c>
      <c r="C7" s="3" t="s">
        <v>139</v>
      </c>
    </row>
    <row r="8" spans="1:6" x14ac:dyDescent="0.25">
      <c r="A8" s="3" t="s">
        <v>8</v>
      </c>
      <c r="B8" s="4">
        <f>НАСТРОЙКИ!B36+SUMIFS(Docs[Остаток],Docs[Дата],"&lt;="&amp;ДатаОтчета,Docs[Статус],"Проведён",Docs[Тип долга],"ДЗ")</f>
        <v>59040</v>
      </c>
      <c r="C8" s="3" t="s">
        <v>140</v>
      </c>
    </row>
    <row r="9" spans="1:6" x14ac:dyDescent="0.25">
      <c r="A9" s="3" t="s">
        <v>141</v>
      </c>
      <c r="B9" s="4">
        <f>АКТИВЫ!B59</f>
        <v>125000</v>
      </c>
      <c r="C9" s="3" t="s">
        <v>142</v>
      </c>
    </row>
    <row r="10" spans="1:6" x14ac:dyDescent="0.25">
      <c r="A10" s="3" t="s">
        <v>143</v>
      </c>
      <c r="B10" s="4">
        <f>НАСТРОЙКИ!B38+MAX(0,-НАЛОГИ!J18)+MAX(0,НАЛОГИ!B26-НАЛОГИ!B25)+MAX(0,-НАЛОГИ!B30)</f>
        <v>0</v>
      </c>
      <c r="C10" s="3" t="s">
        <v>144</v>
      </c>
    </row>
    <row r="11" spans="1:6" x14ac:dyDescent="0.25">
      <c r="A11" s="15" t="s">
        <v>25</v>
      </c>
      <c r="B11" s="16">
        <f>SUM(B7:B10)</f>
        <v>1859083.2399999993</v>
      </c>
      <c r="C11" s="3"/>
    </row>
    <row r="14" spans="1:6" x14ac:dyDescent="0.25">
      <c r="A14" s="3" t="s">
        <v>145</v>
      </c>
      <c r="B14" s="4">
        <f>НАСТРОЙКИ!B37+SUMIFS(Docs[Остаток],Docs[Дата],"&lt;="&amp;ДатаОтчета,Docs[Статус],"Проведён",Docs[Тип долга],"КЗ")</f>
        <v>131200</v>
      </c>
      <c r="C14" s="3" t="s">
        <v>146</v>
      </c>
    </row>
    <row r="15" spans="1:6" x14ac:dyDescent="0.25">
      <c r="A15" s="3" t="s">
        <v>9</v>
      </c>
      <c r="B15" s="4">
        <f>НАСТРОЙКИ!B33+SUMIFS(Cash[Поток],Cash[Дата],"&lt;="&amp;ДатаОтчета,Cash[Статус],"Проведён",Cash[Тип],"Получение кредита")+SUMIFS(Cash[Поток],Cash[Дата],"&lt;="&amp;ДатаОтчета,Cash[Статус],"Проведён",Cash[Тип],"Тело кредита")+SUMIFS(Cash[Поток],Cash[Дата],"&lt;="&amp;ДатаОтчета,Cash[Статус],"Проведён",Cash[Тип],"Займ участника")+SUMIFS(Cash[Поток],Cash[Дата],"&lt;="&amp;ДатаОтчета,Cash[Статус],"Проведён",Cash[Тип],"Возврат займа")</f>
        <v>136028.15000000002</v>
      </c>
      <c r="C15" s="3" t="s">
        <v>147</v>
      </c>
    </row>
    <row r="16" spans="1:6" x14ac:dyDescent="0.25">
      <c r="A16" s="3" t="s">
        <v>148</v>
      </c>
      <c r="B16" s="4">
        <f>MAX(0,НАЛОГИ!J18)+НАЛОГИ!B27+MAX(0,НАЛОГИ!B30)</f>
        <v>319657.19999999995</v>
      </c>
      <c r="C16" s="3" t="s">
        <v>149</v>
      </c>
    </row>
    <row r="17" spans="1:3" x14ac:dyDescent="0.25">
      <c r="A17" s="3" t="s">
        <v>150</v>
      </c>
      <c r="B17" s="4">
        <f>НАСТРОЙКИ!B39</f>
        <v>0</v>
      </c>
      <c r="C17" s="3" t="s">
        <v>151</v>
      </c>
    </row>
    <row r="18" spans="1:3" x14ac:dyDescent="0.25">
      <c r="A18" s="15" t="s">
        <v>152</v>
      </c>
      <c r="B18" s="16">
        <f>SUM(B14:B17)</f>
        <v>586885.35</v>
      </c>
      <c r="C18" s="3"/>
    </row>
    <row r="21" spans="1:3" x14ac:dyDescent="0.25">
      <c r="A21" s="3" t="s">
        <v>95</v>
      </c>
      <c r="B21" s="4">
        <f>НАСТРОЙКИ!B32</f>
        <v>0</v>
      </c>
      <c r="C21" s="3" t="s">
        <v>153</v>
      </c>
    </row>
    <row r="22" spans="1:3" x14ac:dyDescent="0.25">
      <c r="A22" s="3" t="s">
        <v>154</v>
      </c>
      <c r="B22" s="4">
        <f>SUMIFS(Cash[Поток],Cash[Дата],"&lt;="&amp;ДатаОтчета,Cash[Статус],"Проведён",Cash[Тип],"Взнос собственника")</f>
        <v>500000</v>
      </c>
      <c r="C22" s="3" t="s">
        <v>155</v>
      </c>
    </row>
    <row r="23" spans="1:3" x14ac:dyDescent="0.25">
      <c r="A23" s="3" t="s">
        <v>156</v>
      </c>
      <c r="B23" s="4">
        <f>НАСТРОЙКИ!B35+ОПиУ!N16</f>
        <v>872197.8899999999</v>
      </c>
      <c r="C23" s="3" t="s">
        <v>157</v>
      </c>
    </row>
    <row r="24" spans="1:3" x14ac:dyDescent="0.25">
      <c r="A24" s="3" t="s">
        <v>158</v>
      </c>
      <c r="B24" s="4">
        <f>-SUMIFS(Cash[Поток],Cash[Дата],"&lt;="&amp;ДатаОтчета,Cash[Статус],"Проведён",Cash[Тип],"Вывод ИП")+SUMIFS(Docs[Сумма],Docs[Дата],"&lt;="&amp;ДатаОтчета,Docs[Статус],"Проведён",Docs[Вид],"Дивиденды")</f>
        <v>100000</v>
      </c>
      <c r="C24" s="3" t="s">
        <v>159</v>
      </c>
    </row>
    <row r="25" spans="1:3" x14ac:dyDescent="0.25">
      <c r="A25" s="15" t="s">
        <v>160</v>
      </c>
      <c r="B25" s="16">
        <f>B21+B22+B23-B24</f>
        <v>1272197.8899999999</v>
      </c>
      <c r="C25" s="3"/>
    </row>
    <row r="27" spans="1:3" x14ac:dyDescent="0.25">
      <c r="A27" s="15" t="s">
        <v>161</v>
      </c>
      <c r="B27" s="16">
        <f>B18+B25</f>
        <v>1859083.2399999998</v>
      </c>
      <c r="C27" s="3"/>
    </row>
    <row r="28" spans="1:3" x14ac:dyDescent="0.25">
      <c r="A28" s="3" t="s">
        <v>162</v>
      </c>
      <c r="B28" s="4">
        <f>B11-B27</f>
        <v>0</v>
      </c>
      <c r="C28" s="3" t="s">
        <v>163</v>
      </c>
    </row>
    <row r="29" spans="1:3" x14ac:dyDescent="0.25">
      <c r="A29" s="3" t="s">
        <v>164</v>
      </c>
      <c r="B29" s="4" t="str">
        <f>IF(ABS(B28)&lt;0.02,"Баланс сходится","ОШИБКА: баланс не сходится")</f>
        <v>Баланс сходится</v>
      </c>
      <c r="C29" s="3"/>
    </row>
  </sheetData>
  <conditionalFormatting sqref="B28">
    <cfRule type="cellIs" dxfId="7" priority="1" operator="notBetween">
      <formula>-0.02</formula>
      <formula>0.02</formula>
    </cfRule>
  </conditionalFormatting>
  <hyperlinks>
    <hyperlink ref="A1" location="'ПАНЕЛЬ'!A1" display="Главная панель" xr:uid="{00000000-0004-0000-0400-000000000000}"/>
    <hyperlink ref="D1" location="'НАСТРОЙКИ'!A1" display="Настройки" xr:uid="{00000000-0004-0000-0400-000001000000}"/>
    <hyperlink ref="F1" location="'КОНТРОЛЬ'!A1" display="Контроль" xr:uid="{00000000-0004-0000-04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01B2D"/>
    <outlinePr summaryRight="0"/>
    <pageSetUpPr fitToPage="1"/>
  </sheetPr>
  <dimension ref="A1:N56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" customWidth="1"/>
    <col min="2" max="5" width="17" customWidth="1"/>
    <col min="6" max="6" width="24" customWidth="1"/>
    <col min="7" max="14" width="17" customWidth="1"/>
  </cols>
  <sheetData>
    <row r="1" spans="1:14" x14ac:dyDescent="0.25">
      <c r="A1" s="1" t="s">
        <v>0</v>
      </c>
      <c r="D1" s="2" t="s">
        <v>1</v>
      </c>
      <c r="F1" s="2" t="s">
        <v>2</v>
      </c>
    </row>
    <row r="2" spans="1:14" ht="30" customHeight="1" x14ac:dyDescent="0.25">
      <c r="A2" s="9" t="s">
        <v>16</v>
      </c>
    </row>
    <row r="3" spans="1:14" x14ac:dyDescent="0.25">
      <c r="A3" s="10" t="s">
        <v>36</v>
      </c>
    </row>
    <row r="4" spans="1:14" x14ac:dyDescent="0.25">
      <c r="A4" s="3" t="s">
        <v>165</v>
      </c>
      <c r="B4" s="41" t="str">
        <f>IF(OR(AND(Форма&lt;&gt;"ИП",Форма&lt;&gt;"ООО"),AND(Режим&lt;&gt;"УСН Доходы",Режим&lt;&gt;"УСН Д-Р",Режим&lt;&gt;"НПД",Режим&lt;&gt;"Ручной")),"РУЧНОЙ: неизвестная форма или режим",IF(Год&lt;&gt;2026,"РУЧНОЙ: обновите правила года",IF(AND(Форма="ООО",Режим="НПД"),"ОШИБКА: ООО не вправе НПД",IF(Режим="Ручной","РУЧНОЙ РЕЖИМ",IF(AND(Режим="НПД",OR(Сотрудники="Да",НАСТРОЙКИ!B27&lt;&gt;"Да",SUM(Cash[Налоговый доход])&gt;ЛимитНПД)),"РУЧНОЙ: условия НПД",IF(AND(Режим&lt;&gt;"НПД",OR(ДоходПрошлыйГод&gt;ПорогНДС,SUM(Cash[Налоговый доход])&gt;ПорогНДС)),"РУЧНОЙ: возникновение НДС",IF(НАСТРОЙКИ!B28&lt;&gt;"Да","РУЧНОЙ: запрет автоналога","ПРЕДВАРИТЕЛЬНЫЙ РАСЧЁТ")))))))</f>
        <v>ПРЕДВАРИТЕЛЬНЫЙ РАСЧЁТ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6" spans="1:14" ht="35.1" customHeight="1" x14ac:dyDescent="0.25">
      <c r="A6" s="7" t="s">
        <v>166</v>
      </c>
      <c r="B6" s="7" t="s">
        <v>167</v>
      </c>
      <c r="C6" s="7" t="s">
        <v>168</v>
      </c>
      <c r="D6" s="7" t="s">
        <v>169</v>
      </c>
      <c r="E6" s="7" t="s">
        <v>170</v>
      </c>
      <c r="F6" s="7" t="s">
        <v>171</v>
      </c>
      <c r="G6" s="7" t="s">
        <v>172</v>
      </c>
      <c r="H6" s="7" t="s">
        <v>173</v>
      </c>
      <c r="I6" s="7" t="s">
        <v>174</v>
      </c>
      <c r="J6" s="7" t="s">
        <v>175</v>
      </c>
      <c r="K6" s="7" t="s">
        <v>176</v>
      </c>
      <c r="L6" s="7" t="s">
        <v>177</v>
      </c>
      <c r="M6" s="7" t="s">
        <v>178</v>
      </c>
      <c r="N6" s="7" t="s">
        <v>179</v>
      </c>
    </row>
    <row r="7" spans="1:14" x14ac:dyDescent="0.25">
      <c r="A7" s="18">
        <f>DATE(Год,1,1)</f>
        <v>46023</v>
      </c>
      <c r="B7" s="4">
        <f>SUMIFS(Cash[Налоговый доход],Cash[Дата],"&gt;="&amp;DATE(Год,1,1),Cash[Дата],"&lt;="&amp;MIN(EOMONTH(A7,0),ДатаОтчета),Cash[Тип лица],"ФЛ")</f>
        <v>42000</v>
      </c>
      <c r="C7" s="4">
        <f>SUMIFS(Cash[Налоговый доход],Cash[Дата],"&gt;="&amp;DATE(Год,1,1),Cash[Дата],"&lt;="&amp;MIN(EOMONTH(A7,0),ДатаОтчета),Cash[Тип лица],"&lt;&gt;ФЛ")</f>
        <v>378000</v>
      </c>
      <c r="D7" s="4">
        <f>SUMIFS(Cash[Налоговый расход],Cash[Дата],"&gt;="&amp;DATE(Год,1,1),Cash[Дата],"&lt;="&amp;MIN(EOMONTH(A7,0),ДатаОтчета),Cash[Статус],"Проведён",Cash[Тип],"&lt;&gt;Возврат поставщика")-SUMIFS(Cash[Налоговый расход],Cash[Дата],"&gt;="&amp;DATE(Год,1,1),Cash[Дата],"&lt;="&amp;MIN(EOMONTH(A7,0),ДатаОтчета),Cash[Статус],"Проведён",Cash[Тип],"Возврат поставщика")</f>
        <v>383900</v>
      </c>
      <c r="E7" s="4">
        <f t="shared" ref="E7:E18" si="0">MAX(0,B7+C7-D7)</f>
        <v>36100</v>
      </c>
      <c r="F7" s="12">
        <v>0</v>
      </c>
      <c r="G7" s="4">
        <f>IF(A7&gt;ДатаОтчета,0,IF($B$4="ПРЕДВАРИТЕЛЬНЫЙ РАСЧЁТ",ROUND(IF(Режим="УСН Доходы",MAX(0,(B7+C7)*СтавкаДоход-IF(OR(Форма="ООО",Сотрудники="Да"),MIN((B7+C7)*СтавкаДоход*0.5,SUM($F$7:F7)+IF(MONTH(A7)=12,ВычетУСН,0)),MIN((B7+C7)*СтавкаДоход,SUM($F$7:F7)+IF(MONTH(A7)=12,ВычетУСН,0)))),IF(Режим="УСН Д-Р",MAX(E7*СтавкаДР,IF(MONTH(A7)=12,(B7+C7)*0.01,0)),MAX(0,B7*СтавкаНПДФЛ+C7*СтавкаНПДЮЛ-MIN(БонусНПД,B7*0.01+C7*0.02)))),2),SUM($N$7:N7)))</f>
        <v>25200</v>
      </c>
      <c r="H7" s="4">
        <f>G7</f>
        <v>25200</v>
      </c>
      <c r="I7" s="4">
        <f>SUMIFS(Cash[Сумма],Cash[Дата],"&lt;="&amp;ДатаОтчета,Cash[Статус],"Проведён",Cash[Тип],"Налог",Cash[Дата],"&gt;="&amp;A7,Cash[Дата],"&lt;"&amp;EDATE(A7,1),Cash[Категория],"&lt;&gt;НДС")</f>
        <v>0</v>
      </c>
      <c r="J7" s="5">
        <f>НАСТРОЙКИ!$B$34+G7-SUM($I$7:I7)</f>
        <v>25200</v>
      </c>
      <c r="K7" s="5">
        <f>IF(A7&gt;ДатаОтчета,0,IF(AND(Форма="ИП",Режим&lt;&gt;"НПД",НАСТРОЙКИ!B28="Да"),IF(A7&gt;ДатаОтчета,0,ФиксВзносы*MONTH(A7)/12+MIN(МаксВзносы,MAX(0,IF(Режим="УСН Д-Р",E7,B7+C7)-300000)*0.01)),0))</f>
        <v>5982.5</v>
      </c>
      <c r="L7" s="4">
        <f>K7</f>
        <v>5982.5</v>
      </c>
      <c r="M7" s="12">
        <v>0</v>
      </c>
      <c r="N7" s="12">
        <v>0</v>
      </c>
    </row>
    <row r="8" spans="1:14" x14ac:dyDescent="0.25">
      <c r="A8" s="18">
        <f>DATE(Год,2,1)</f>
        <v>46054</v>
      </c>
      <c r="B8" s="4">
        <f>SUMIFS(Cash[Налоговый доход],Cash[Дата],"&gt;="&amp;DATE(Год,1,1),Cash[Дата],"&lt;="&amp;MIN(EOMONTH(A8,0),ДатаОтчета),Cash[Тип лица],"ФЛ")</f>
        <v>60000</v>
      </c>
      <c r="C8" s="4">
        <f>SUMIFS(Cash[Налоговый доход],Cash[Дата],"&gt;="&amp;DATE(Год,1,1),Cash[Дата],"&lt;="&amp;MIN(EOMONTH(A8,0),ДатаОтчета),Cash[Тип лица],"&lt;&gt;ФЛ")</f>
        <v>540000</v>
      </c>
      <c r="D8" s="4">
        <f>SUMIFS(Cash[Налоговый расход],Cash[Дата],"&gt;="&amp;DATE(Год,1,1),Cash[Дата],"&lt;="&amp;MIN(EOMONTH(A8,0),ДатаОтчета),Cash[Статус],"Проведён",Cash[Тип],"&lt;&gt;Возврат поставщика")-SUMIFS(Cash[Налоговый расход],Cash[Дата],"&gt;="&amp;DATE(Год,1,1),Cash[Дата],"&lt;="&amp;MIN(EOMONTH(A8,0),ДатаОтчета),Cash[Статус],"Проведён",Cash[Тип],"Возврат поставщика")</f>
        <v>690842.84</v>
      </c>
      <c r="E8" s="4">
        <f t="shared" si="0"/>
        <v>0</v>
      </c>
      <c r="F8" s="12">
        <v>0</v>
      </c>
      <c r="G8" s="4">
        <f>IF(A8&gt;ДатаОтчета,G7,IF($B$4="ПРЕДВАРИТЕЛЬНЫЙ РАСЧЁТ",ROUND(IF(Режим="УСН Доходы",MAX(0,(B8+C8)*СтавкаДоход-IF(OR(Форма="ООО",Сотрудники="Да"),MIN((B8+C8)*СтавкаДоход*0.5,SUM($F$7:F8)+IF(MONTH(A8)=12,ВычетУСН,0)),MIN((B8+C8)*СтавкаДоход,SUM($F$7:F8)+IF(MONTH(A8)=12,ВычетУСН,0)))),IF(Режим="УСН Д-Р",MAX(E8*СтавкаДР,IF(MONTH(A8)=12,(B8+C8)*0.01,0)),MAX(0,B8*СтавкаНПДФЛ+C8*СтавкаНПДЮЛ-MIN(БонусНПД,B8*0.01+C8*0.02)))),2),SUM($N$7:N8)))</f>
        <v>36000</v>
      </c>
      <c r="H8" s="4">
        <f t="shared" ref="H8:H18" si="1">G8-G7</f>
        <v>10800</v>
      </c>
      <c r="I8" s="4">
        <f>SUMIFS(Cash[Сумма],Cash[Дата],"&lt;="&amp;ДатаОтчета,Cash[Статус],"Проведён",Cash[Тип],"Налог",Cash[Дата],"&gt;="&amp;A8,Cash[Дата],"&lt;"&amp;EDATE(A8,1),Cash[Категория],"&lt;&gt;НДС")</f>
        <v>0</v>
      </c>
      <c r="J8" s="5">
        <f>НАСТРОЙКИ!$B$34+G8-SUM($I$7:I8)</f>
        <v>36000</v>
      </c>
      <c r="K8" s="5">
        <f>IF(A8&gt;ДатаОтчета,K7,IF(AND(Форма="ИП",Режим&lt;&gt;"НПД",НАСТРОЙКИ!B28="Да"),IF(A8&gt;ДатаОтчета,0,ФиксВзносы*MONTH(A8)/12+MIN(МаксВзносы,MAX(0,IF(Режим="УСН Д-Р",E8,B8+C8)-300000)*0.01)),0))</f>
        <v>12565</v>
      </c>
      <c r="L8" s="4">
        <f t="shared" ref="L8:L18" si="2">K8-K7</f>
        <v>6582.5</v>
      </c>
      <c r="M8" s="12">
        <v>0</v>
      </c>
      <c r="N8" s="12">
        <v>0</v>
      </c>
    </row>
    <row r="9" spans="1:14" x14ac:dyDescent="0.25">
      <c r="A9" s="18">
        <f>DATE(Год,3,1)</f>
        <v>46082</v>
      </c>
      <c r="B9" s="4">
        <f>SUMIFS(Cash[Налоговый доход],Cash[Дата],"&gt;="&amp;DATE(Год,1,1),Cash[Дата],"&lt;="&amp;MIN(EOMONTH(A9,0),ДатаОтчета),Cash[Тип лица],"ФЛ")</f>
        <v>111000</v>
      </c>
      <c r="C9" s="4">
        <f>SUMIFS(Cash[Налоговый доход],Cash[Дата],"&gt;="&amp;DATE(Год,1,1),Cash[Дата],"&lt;="&amp;MIN(EOMONTH(A9,0),ДатаОтчета),Cash[Тип лица],"&lt;&gt;ФЛ")</f>
        <v>996000</v>
      </c>
      <c r="D9" s="4">
        <f>SUMIFS(Cash[Налоговый расход],Cash[Дата],"&gt;="&amp;DATE(Год,1,1),Cash[Дата],"&lt;="&amp;MIN(EOMONTH(A9,0),ДатаОтчета),Cash[Статус],"Проведён",Cash[Тип],"&lt;&gt;Возврат поставщика")-SUMIFS(Cash[Налоговый расход],Cash[Дата],"&gt;="&amp;DATE(Год,1,1),Cash[Дата],"&lt;="&amp;MIN(EOMONTH(A9,0),ДатаОтчета),Cash[Статус],"Проведён",Cash[Тип],"Возврат поставщика")</f>
        <v>1103226.17</v>
      </c>
      <c r="E9" s="4">
        <f t="shared" si="0"/>
        <v>3773.8300000000745</v>
      </c>
      <c r="F9" s="12">
        <v>0</v>
      </c>
      <c r="G9" s="4">
        <f>IF(A9&gt;ДатаОтчета,G8,IF($B$4="ПРЕДВАРИТЕЛЬНЫЙ РАСЧЁТ",ROUND(IF(Режим="УСН Доходы",MAX(0,(B9+C9)*СтавкаДоход-IF(OR(Форма="ООО",Сотрудники="Да"),MIN((B9+C9)*СтавкаДоход*0.5,SUM($F$7:F9)+IF(MONTH(A9)=12,ВычетУСН,0)),MIN((B9+C9)*СтавкаДоход,SUM($F$7:F9)+IF(MONTH(A9)=12,ВычетУСН,0)))),IF(Режим="УСН Д-Р",MAX(E9*СтавкаДР,IF(MONTH(A9)=12,(B9+C9)*0.01,0)),MAX(0,B9*СтавкаНПДФЛ+C9*СтавкаНПДЮЛ-MIN(БонусНПД,B9*0.01+C9*0.02)))),2),SUM($N$7:N9)))</f>
        <v>66420</v>
      </c>
      <c r="H9" s="4">
        <f t="shared" si="1"/>
        <v>30420</v>
      </c>
      <c r="I9" s="4">
        <f>SUMIFS(Cash[Сумма],Cash[Дата],"&lt;="&amp;ДатаОтчета,Cash[Статус],"Проведён",Cash[Тип],"Налог",Cash[Дата],"&gt;="&amp;A9,Cash[Дата],"&lt;"&amp;EDATE(A9,1),Cash[Категория],"&lt;&gt;НДС")</f>
        <v>0</v>
      </c>
      <c r="J9" s="5">
        <f>НАСТРОЙКИ!$B$34+G9-SUM($I$7:I9)</f>
        <v>66420</v>
      </c>
      <c r="K9" s="5">
        <f>IF(A9&gt;ДатаОтчета,K8,IF(AND(Форма="ИП",Режим&lt;&gt;"НПД",НАСТРОЙКИ!B28="Да"),IF(A9&gt;ДатаОтчета,0,ФиксВзносы*MONTH(A9)/12+MIN(МаксВзносы,MAX(0,IF(Режим="УСН Д-Р",E9,B9+C9)-300000)*0.01)),0))</f>
        <v>22417.5</v>
      </c>
      <c r="L9" s="4">
        <f t="shared" si="2"/>
        <v>9852.5</v>
      </c>
      <c r="M9" s="12">
        <v>0</v>
      </c>
      <c r="N9" s="12">
        <v>0</v>
      </c>
    </row>
    <row r="10" spans="1:14" x14ac:dyDescent="0.25">
      <c r="A10" s="18">
        <f>DATE(Год,4,1)</f>
        <v>46113</v>
      </c>
      <c r="B10" s="4">
        <f>SUMIFS(Cash[Налоговый доход],Cash[Дата],"&gt;="&amp;DATE(Год,1,1),Cash[Дата],"&lt;="&amp;MIN(EOMONTH(A10,0),ДатаОтчета),Cash[Тип лица],"ФЛ")</f>
        <v>166000</v>
      </c>
      <c r="C10" s="4">
        <f>SUMIFS(Cash[Налоговый доход],Cash[Дата],"&gt;="&amp;DATE(Год,1,1),Cash[Дата],"&lt;="&amp;MIN(EOMONTH(A10,0),ДатаОтчета),Cash[Тип лица],"&lt;&gt;ФЛ")</f>
        <v>1491000</v>
      </c>
      <c r="D10" s="4">
        <f>SUMIFS(Cash[Налоговый расход],Cash[Дата],"&gt;="&amp;DATE(Год,1,1),Cash[Дата],"&lt;="&amp;MIN(EOMONTH(A10,0),ДатаОтчета),Cash[Статус],"Проведён",Cash[Тип],"&lt;&gt;Возврат поставщика")-SUMIFS(Cash[Налоговый расход],Cash[Дата],"&gt;="&amp;DATE(Год,1,1),Cash[Дата],"&lt;="&amp;MIN(EOMONTH(A10,0),ДатаОтчета),Cash[Статус],"Проведён",Cash[Тип],"Возврат поставщика")</f>
        <v>1528247.5899999999</v>
      </c>
      <c r="E10" s="4">
        <f t="shared" si="0"/>
        <v>128752.41000000015</v>
      </c>
      <c r="F10" s="12">
        <v>0</v>
      </c>
      <c r="G10" s="4">
        <f>IF(A10&gt;ДатаОтчета,G9,IF($B$4="ПРЕДВАРИТЕЛЬНЫЙ РАСЧЁТ",ROUND(IF(Режим="УСН Доходы",MAX(0,(B10+C10)*СтавкаДоход-IF(OR(Форма="ООО",Сотрудники="Да"),MIN((B10+C10)*СтавкаДоход*0.5,SUM($F$7:F10)+IF(MONTH(A10)=12,ВычетУСН,0)),MIN((B10+C10)*СтавкаДоход,SUM($F$7:F10)+IF(MONTH(A10)=12,ВычетУСН,0)))),IF(Режим="УСН Д-Р",MAX(E10*СтавкаДР,IF(MONTH(A10)=12,(B10+C10)*0.01,0)),MAX(0,B10*СтавкаНПДФЛ+C10*СтавкаНПДЮЛ-MIN(БонусНПД,B10*0.01+C10*0.02)))),2),SUM($N$7:N10)))</f>
        <v>99420</v>
      </c>
      <c r="H10" s="4">
        <f t="shared" si="1"/>
        <v>33000</v>
      </c>
      <c r="I10" s="4">
        <f>SUMIFS(Cash[Сумма],Cash[Дата],"&lt;="&amp;ДатаОтчета,Cash[Статус],"Проведён",Cash[Тип],"Налог",Cash[Дата],"&gt;="&amp;A10,Cash[Дата],"&lt;"&amp;EDATE(A10,1),Cash[Категория],"&lt;&gt;НДС")</f>
        <v>45000</v>
      </c>
      <c r="J10" s="5">
        <f>НАСТРОЙКИ!$B$34+G10-SUM($I$7:I10)</f>
        <v>54420</v>
      </c>
      <c r="K10" s="5">
        <f>IF(A10&gt;ДатаОтчета,K9,IF(AND(Форма="ИП",Режим&lt;&gt;"НПД",НАСТРОЙКИ!B28="Да"),IF(A10&gt;ДатаОтчета,0,ФиксВзносы*MONTH(A10)/12+MIN(МаксВзносы,MAX(0,IF(Режим="УСН Д-Р",E10,B10+C10)-300000)*0.01)),0))</f>
        <v>32700</v>
      </c>
      <c r="L10" s="4">
        <f t="shared" si="2"/>
        <v>10282.5</v>
      </c>
      <c r="M10" s="12">
        <v>0</v>
      </c>
      <c r="N10" s="12">
        <v>0</v>
      </c>
    </row>
    <row r="11" spans="1:14" x14ac:dyDescent="0.25">
      <c r="A11" s="18">
        <f>DATE(Год,5,1)</f>
        <v>46143</v>
      </c>
      <c r="B11" s="4">
        <f>SUMIFS(Cash[Налоговый доход],Cash[Дата],"&gt;="&amp;DATE(Год,1,1),Cash[Дата],"&lt;="&amp;MIN(EOMONTH(A11,0),ДатаОтчета),Cash[Тип лица],"ФЛ")</f>
        <v>224000</v>
      </c>
      <c r="C11" s="4">
        <f>SUMIFS(Cash[Налоговый доход],Cash[Дата],"&gt;="&amp;DATE(Год,1,1),Cash[Дата],"&lt;="&amp;MIN(EOMONTH(A11,0),ДатаОтчета),Cash[Тип лица],"&lt;&gt;ФЛ")</f>
        <v>2013000</v>
      </c>
      <c r="D11" s="4">
        <f>SUMIFS(Cash[Налоговый расход],Cash[Дата],"&gt;="&amp;DATE(Год,1,1),Cash[Дата],"&lt;="&amp;MIN(EOMONTH(A11,0),ДатаОтчета),Cash[Статус],"Проведён",Cash[Тип],"&lt;&gt;Возврат поставщика")-SUMIFS(Cash[Налоговый расход],Cash[Дата],"&gt;="&amp;DATE(Год,1,1),Cash[Дата],"&lt;="&amp;MIN(EOMONTH(A11,0),ДатаОтчета),Cash[Статус],"Проведён",Cash[Тип],"Возврат поставщика")</f>
        <v>1962704.67</v>
      </c>
      <c r="E11" s="4">
        <f t="shared" si="0"/>
        <v>274295.33000000007</v>
      </c>
      <c r="F11" s="12">
        <v>0</v>
      </c>
      <c r="G11" s="4">
        <f>IF(A11&gt;ДатаОтчета,G10,IF($B$4="ПРЕДВАРИТЕЛЬНЫЙ РАСЧЁТ",ROUND(IF(Режим="УСН Доходы",MAX(0,(B11+C11)*СтавкаДоход-IF(OR(Форма="ООО",Сотрудники="Да"),MIN((B11+C11)*СтавкаДоход*0.5,SUM($F$7:F11)+IF(MONTH(A11)=12,ВычетУСН,0)),MIN((B11+C11)*СтавкаДоход,SUM($F$7:F11)+IF(MONTH(A11)=12,ВычетУСН,0)))),IF(Режим="УСН Д-Р",MAX(E11*СтавкаДР,IF(MONTH(A11)=12,(B11+C11)*0.01,0)),MAX(0,B11*СтавкаНПДФЛ+C11*СтавкаНПДЮЛ-MIN(БонусНПД,B11*0.01+C11*0.02)))),2),SUM($N$7:N11)))</f>
        <v>134220</v>
      </c>
      <c r="H11" s="4">
        <f t="shared" si="1"/>
        <v>34800</v>
      </c>
      <c r="I11" s="4">
        <f>SUMIFS(Cash[Сумма],Cash[Дата],"&lt;="&amp;ДатаОтчета,Cash[Статус],"Проведён",Cash[Тип],"Налог",Cash[Дата],"&gt;="&amp;A11,Cash[Дата],"&lt;"&amp;EDATE(A11,1),Cash[Категория],"&lt;&gt;НДС")</f>
        <v>0</v>
      </c>
      <c r="J11" s="5">
        <f>НАСТРОЙКИ!$B$34+G11-SUM($I$7:I11)</f>
        <v>89220</v>
      </c>
      <c r="K11" s="5">
        <f>IF(A11&gt;ДатаОтчета,K10,IF(AND(Форма="ИП",Режим&lt;&gt;"НПД",НАСТРОЙКИ!B28="Да"),IF(A11&gt;ДатаОтчета,0,ФиксВзносы*MONTH(A11)/12+MIN(МаксВзносы,MAX(0,IF(Режим="УСН Д-Р",E11,B11+C11)-300000)*0.01)),0))</f>
        <v>43282.5</v>
      </c>
      <c r="L11" s="4">
        <f t="shared" si="2"/>
        <v>10582.5</v>
      </c>
      <c r="M11" s="12">
        <v>0</v>
      </c>
      <c r="N11" s="12">
        <v>0</v>
      </c>
    </row>
    <row r="12" spans="1:14" x14ac:dyDescent="0.25">
      <c r="A12" s="18">
        <f>DATE(Год,6,1)</f>
        <v>46174</v>
      </c>
      <c r="B12" s="4">
        <f>SUMIFS(Cash[Налоговый доход],Cash[Дата],"&gt;="&amp;DATE(Год,1,1),Cash[Дата],"&lt;="&amp;MIN(EOMONTH(A12,0),ДатаОтчета),Cash[Тип лица],"ФЛ")</f>
        <v>286000</v>
      </c>
      <c r="C12" s="4">
        <f>SUMIFS(Cash[Налоговый доход],Cash[Дата],"&gt;="&amp;DATE(Год,1,1),Cash[Дата],"&lt;="&amp;MIN(EOMONTH(A12,0),ДатаОтчета),Cash[Тип лица],"&lt;&gt;ФЛ")</f>
        <v>2571000</v>
      </c>
      <c r="D12" s="4">
        <f>SUMIFS(Cash[Налоговый расход],Cash[Дата],"&gt;="&amp;DATE(Год,1,1),Cash[Дата],"&lt;="&amp;MIN(EOMONTH(A12,0),ДатаОтчета),Cash[Статус],"Проведён",Cash[Тип],"&lt;&gt;Возврат поставщика")-SUMIFS(Cash[Налоговый расход],Cash[Дата],"&gt;="&amp;DATE(Год,1,1),Cash[Дата],"&lt;="&amp;MIN(EOMONTH(A12,0),ДатаОтчета),Cash[Статус],"Проведён",Cash[Тип],"Возврат поставщика")</f>
        <v>2409794.9499999997</v>
      </c>
      <c r="E12" s="4">
        <f t="shared" si="0"/>
        <v>447205.05000000028</v>
      </c>
      <c r="F12" s="12">
        <v>0</v>
      </c>
      <c r="G12" s="4">
        <f>IF(A12&gt;ДатаОтчета,G11,IF($B$4="ПРЕДВАРИТЕЛЬНЫЙ РАСЧЁТ",ROUND(IF(Режим="УСН Доходы",MAX(0,(B12+C12)*СтавкаДоход-IF(OR(Форма="ООО",Сотрудники="Да"),MIN((B12+C12)*СтавкаДоход*0.5,SUM($F$7:F12)+IF(MONTH(A12)=12,ВычетУСН,0)),MIN((B12+C12)*СтавкаДоход,SUM($F$7:F12)+IF(MONTH(A12)=12,ВычетУСН,0)))),IF(Режим="УСН Д-Р",MAX(E12*СтавкаДР,IF(MONTH(A12)=12,(B12+C12)*0.01,0)),MAX(0,B12*СтавкаНПДФЛ+C12*СтавкаНПДЮЛ-MIN(БонусНПД,B12*0.01+C12*0.02)))),2),SUM($N$7:N12)))</f>
        <v>171420</v>
      </c>
      <c r="H12" s="4">
        <f t="shared" si="1"/>
        <v>37200</v>
      </c>
      <c r="I12" s="4">
        <f>SUMIFS(Cash[Сумма],Cash[Дата],"&lt;="&amp;ДатаОтчета,Cash[Статус],"Проведён",Cash[Тип],"Налог",Cash[Дата],"&gt;="&amp;A12,Cash[Дата],"&lt;"&amp;EDATE(A12,1),Cash[Категория],"&lt;&gt;НДС")</f>
        <v>0</v>
      </c>
      <c r="J12" s="5">
        <f>НАСТРОЙКИ!$B$34+G12-SUM($I$7:I12)</f>
        <v>126420</v>
      </c>
      <c r="K12" s="5">
        <f>IF(A12&gt;ДатаОтчета,K11,IF(AND(Форма="ИП",Режим&lt;&gt;"НПД",НАСТРОЙКИ!B28="Да"),IF(A12&gt;ДатаОтчета,0,ФиксВзносы*MONTH(A12)/12+MIN(МаксВзносы,MAX(0,IF(Режим="УСН Д-Р",E12,B12+C12)-300000)*0.01)),0))</f>
        <v>54265</v>
      </c>
      <c r="L12" s="4">
        <f t="shared" si="2"/>
        <v>10982.5</v>
      </c>
      <c r="M12" s="12">
        <v>0</v>
      </c>
      <c r="N12" s="12">
        <v>0</v>
      </c>
    </row>
    <row r="13" spans="1:14" x14ac:dyDescent="0.25">
      <c r="A13" s="18">
        <f>DATE(Год,7,1)</f>
        <v>46204</v>
      </c>
      <c r="B13" s="4">
        <f>SUMIFS(Cash[Налоговый доход],Cash[Дата],"&gt;="&amp;DATE(Год,1,1),Cash[Дата],"&lt;="&amp;MIN(EOMONTH(A13,0),ДатаОтчета),Cash[Тип лица],"ФЛ")</f>
        <v>345000</v>
      </c>
      <c r="C13" s="4">
        <f>SUMIFS(Cash[Налоговый доход],Cash[Дата],"&gt;="&amp;DATE(Год,1,1),Cash[Дата],"&lt;="&amp;MIN(EOMONTH(A13,0),ДатаОтчета),Cash[Тип лица],"&lt;&gt;ФЛ")</f>
        <v>3102000</v>
      </c>
      <c r="D13" s="4">
        <f>SUMIFS(Cash[Налоговый расход],Cash[Дата],"&gt;="&amp;DATE(Год,1,1),Cash[Дата],"&lt;="&amp;MIN(EOMONTH(A13,0),ДатаОтчета),Cash[Статус],"Проведён",Cash[Тип],"&lt;&gt;Возврат поставщика")-SUMIFS(Cash[Налоговый расход],Cash[Дата],"&gt;="&amp;DATE(Год,1,1),Cash[Дата],"&lt;="&amp;MIN(EOMONTH(A13,0),ДатаОтчета),Cash[Статус],"Проведён",Cash[Тип],"Возврат поставщика")</f>
        <v>2846740.92</v>
      </c>
      <c r="E13" s="4">
        <f t="shared" si="0"/>
        <v>600259.08000000007</v>
      </c>
      <c r="F13" s="12">
        <v>0</v>
      </c>
      <c r="G13" s="4">
        <f>IF(A13&gt;ДатаОтчета,G12,IF($B$4="ПРЕДВАРИТЕЛЬНЫЙ РАСЧЁТ",ROUND(IF(Режим="УСН Доходы",MAX(0,(B13+C13)*СтавкаДоход-IF(OR(Форма="ООО",Сотрудники="Да"),MIN((B13+C13)*СтавкаДоход*0.5,SUM($F$7:F13)+IF(MONTH(A13)=12,ВычетУСН,0)),MIN((B13+C13)*СтавкаДоход,SUM($F$7:F13)+IF(MONTH(A13)=12,ВычетУСН,0)))),IF(Режим="УСН Д-Р",MAX(E13*СтавкаДР,IF(MONTH(A13)=12,(B13+C13)*0.01,0)),MAX(0,B13*СтавкаНПДФЛ+C13*СтавкаНПДЮЛ-MIN(БонусНПД,B13*0.01+C13*0.02)))),2),SUM($N$7:N13)))</f>
        <v>206820</v>
      </c>
      <c r="H13" s="4">
        <f t="shared" si="1"/>
        <v>35400</v>
      </c>
      <c r="I13" s="4">
        <f>SUMIFS(Cash[Сумма],Cash[Дата],"&lt;="&amp;ДатаОтчета,Cash[Статус],"Проведён",Cash[Тип],"Налог",Cash[Дата],"&gt;="&amp;A13,Cash[Дата],"&lt;"&amp;EDATE(A13,1),Cash[Категория],"&lt;&gt;НДС")</f>
        <v>45000</v>
      </c>
      <c r="J13" s="5">
        <f>НАСТРОЙКИ!$B$34+G13-SUM($I$7:I13)</f>
        <v>116820</v>
      </c>
      <c r="K13" s="5">
        <f>IF(A13&gt;ДатаОтчета,K12,IF(AND(Форма="ИП",Режим&lt;&gt;"НПД",НАСТРОЙКИ!B28="Да"),IF(A13&gt;ДатаОтчета,0,ФиксВзносы*MONTH(A13)/12+MIN(МаксВзносы,MAX(0,IF(Режим="УСН Д-Р",E13,B13+C13)-300000)*0.01)),0))</f>
        <v>64947.5</v>
      </c>
      <c r="L13" s="4">
        <f t="shared" si="2"/>
        <v>10682.5</v>
      </c>
      <c r="M13" s="12">
        <v>0</v>
      </c>
      <c r="N13" s="12">
        <v>0</v>
      </c>
    </row>
    <row r="14" spans="1:14" x14ac:dyDescent="0.25">
      <c r="A14" s="18">
        <f>DATE(Год,8,1)</f>
        <v>46235</v>
      </c>
      <c r="B14" s="4">
        <f>SUMIFS(Cash[Налоговый доход],Cash[Дата],"&gt;="&amp;DATE(Год,1,1),Cash[Дата],"&lt;="&amp;MIN(EOMONTH(A14,0),ДатаОтчета),Cash[Тип лица],"ФЛ")</f>
        <v>366000</v>
      </c>
      <c r="C14" s="4">
        <f>SUMIFS(Cash[Налоговый доход],Cash[Дата],"&gt;="&amp;DATE(Год,1,1),Cash[Дата],"&lt;="&amp;MIN(EOMONTH(A14,0),ДатаОтчета),Cash[Тип лица],"&lt;&gt;ФЛ")</f>
        <v>3291000</v>
      </c>
      <c r="D14" s="4">
        <f>SUMIFS(Cash[Налоговый расход],Cash[Дата],"&gt;="&amp;DATE(Год,1,1),Cash[Дата],"&lt;="&amp;MIN(EOMONTH(A14,0),ДатаОтчета),Cash[Статус],"Проведён",Cash[Тип],"&lt;&gt;Возврат поставщика")-SUMIFS(Cash[Налоговый расход],Cash[Дата],"&gt;="&amp;DATE(Год,1,1),Cash[Дата],"&lt;="&amp;MIN(EOMONTH(A14,0),ДатаОтчета),Cash[Статус],"Проведён",Cash[Тип],"Возврат поставщика")</f>
        <v>3226909.42</v>
      </c>
      <c r="E14" s="4">
        <f t="shared" si="0"/>
        <v>430090.58000000007</v>
      </c>
      <c r="F14" s="12">
        <v>0</v>
      </c>
      <c r="G14" s="4">
        <f>IF(A14&gt;ДатаОтчета,G13,IF($B$4="ПРЕДВАРИТЕЛЬНЫЙ РАСЧЁТ",ROUND(IF(Режим="УСН Доходы",MAX(0,(B14+C14)*СтавкаДоход-IF(OR(Форма="ООО",Сотрудники="Да"),MIN((B14+C14)*СтавкаДоход*0.5,SUM($F$7:F14)+IF(MONTH(A14)=12,ВычетУСН,0)),MIN((B14+C14)*СтавкаДоход,SUM($F$7:F14)+IF(MONTH(A14)=12,ВычетУСН,0)))),IF(Режим="УСН Д-Р",MAX(E14*СтавкаДР,IF(MONTH(A14)=12,(B14+C14)*0.01,0)),MAX(0,B14*СтавкаНПДФЛ+C14*СтавкаНПДЮЛ-MIN(БонусНПД,B14*0.01+C14*0.02)))),2),SUM($N$7:N14)))</f>
        <v>219420</v>
      </c>
      <c r="H14" s="4">
        <f t="shared" si="1"/>
        <v>12600</v>
      </c>
      <c r="I14" s="4">
        <f>SUMIFS(Cash[Сумма],Cash[Дата],"&lt;="&amp;ДатаОтчета,Cash[Статус],"Проведён",Cash[Тип],"Налог",Cash[Дата],"&gt;="&amp;A14,Cash[Дата],"&lt;"&amp;EDATE(A14,1),Cash[Категория],"&lt;&gt;НДС")</f>
        <v>0</v>
      </c>
      <c r="J14" s="5">
        <f>НАСТРОЙКИ!$B$34+G14-SUM($I$7:I14)</f>
        <v>129420</v>
      </c>
      <c r="K14" s="5">
        <f>IF(A14&gt;ДатаОтчета,K13,IF(AND(Форма="ИП",Режим&lt;&gt;"НПД",НАСТРОЙКИ!B28="Да"),IF(A14&gt;ДатаОтчета,0,ФиксВзносы*MONTH(A14)/12+MIN(МаксВзносы,MAX(0,IF(Режим="УСН Д-Р",E14,B14+C14)-300000)*0.01)),0))</f>
        <v>71830</v>
      </c>
      <c r="L14" s="4">
        <f t="shared" si="2"/>
        <v>6882.5</v>
      </c>
      <c r="M14" s="12">
        <v>0</v>
      </c>
      <c r="N14" s="12">
        <v>0</v>
      </c>
    </row>
    <row r="15" spans="1:14" x14ac:dyDescent="0.25">
      <c r="A15" s="18">
        <f>DATE(Год,9,1)</f>
        <v>46266</v>
      </c>
      <c r="B15" s="4">
        <f>SUMIFS(Cash[Налоговый доход],Cash[Дата],"&gt;="&amp;DATE(Год,1,1),Cash[Дата],"&lt;="&amp;MIN(EOMONTH(A15,0),ДатаОтчета),Cash[Тип лица],"ФЛ")</f>
        <v>431000</v>
      </c>
      <c r="C15" s="4">
        <f>SUMIFS(Cash[Налоговый доход],Cash[Дата],"&gt;="&amp;DATE(Год,1,1),Cash[Дата],"&lt;="&amp;MIN(EOMONTH(A15,0),ДатаОтчета),Cash[Тип лица],"&lt;&gt;ФЛ")</f>
        <v>3876000</v>
      </c>
      <c r="D15" s="4">
        <f>SUMIFS(Cash[Налоговый расход],Cash[Дата],"&gt;="&amp;DATE(Год,1,1),Cash[Дата],"&lt;="&amp;MIN(EOMONTH(A15,0),ДатаОтчета),Cash[Статус],"Проведён",Cash[Тип],"&lt;&gt;Возврат поставщика")-SUMIFS(Cash[Налоговый расход],Cash[Дата],"&gt;="&amp;DATE(Год,1,1),Cash[Дата],"&lt;="&amp;MIN(EOMONTH(A15,0),ДатаОтчета),Cash[Статус],"Проведён",Cash[Тип],"Возврат поставщика")</f>
        <v>3682697.79</v>
      </c>
      <c r="E15" s="4">
        <f t="shared" si="0"/>
        <v>624302.21</v>
      </c>
      <c r="F15" s="12">
        <v>0</v>
      </c>
      <c r="G15" s="4">
        <f>IF(A15&gt;ДатаОтчета,G14,IF($B$4="ПРЕДВАРИТЕЛЬНЫЙ РАСЧЁТ",ROUND(IF(Режим="УСН Доходы",MAX(0,(B15+C15)*СтавкаДоход-IF(OR(Форма="ООО",Сотрудники="Да"),MIN((B15+C15)*СтавкаДоход*0.5,SUM($F$7:F15)+IF(MONTH(A15)=12,ВычетУСН,0)),MIN((B15+C15)*СтавкаДоход,SUM($F$7:F15)+IF(MONTH(A15)=12,ВычетУСН,0)))),IF(Режим="УСН Д-Р",MAX(E15*СтавкаДР,IF(MONTH(A15)=12,(B15+C15)*0.01,0)),MAX(0,B15*СтавкаНПДФЛ+C15*СтавкаНПДЮЛ-MIN(БонусНПД,B15*0.01+C15*0.02)))),2),SUM($N$7:N15)))</f>
        <v>258420</v>
      </c>
      <c r="H15" s="4">
        <f t="shared" si="1"/>
        <v>39000</v>
      </c>
      <c r="I15" s="4">
        <f>SUMIFS(Cash[Сумма],Cash[Дата],"&lt;="&amp;ДатаОтчета,Cash[Статус],"Проведён",Cash[Тип],"Налог",Cash[Дата],"&gt;="&amp;A15,Cash[Дата],"&lt;"&amp;EDATE(A15,1),Cash[Категория],"&lt;&gt;НДС")</f>
        <v>0</v>
      </c>
      <c r="J15" s="5">
        <f>НАСТРОЙКИ!$B$34+G15-SUM($I$7:I15)</f>
        <v>168420</v>
      </c>
      <c r="K15" s="5">
        <f>IF(A15&gt;ДатаОтчета,K14,IF(AND(Форма="ИП",Режим&lt;&gt;"НПД",НАСТРОЙКИ!B28="Да"),IF(A15&gt;ДатаОтчета,0,ФиксВзносы*MONTH(A15)/12+MIN(МаксВзносы,MAX(0,IF(Режим="УСН Д-Р",E15,B15+C15)-300000)*0.01)),0))</f>
        <v>83112.5</v>
      </c>
      <c r="L15" s="4">
        <f t="shared" si="2"/>
        <v>11282.5</v>
      </c>
      <c r="M15" s="12">
        <v>0</v>
      </c>
      <c r="N15" s="12">
        <v>0</v>
      </c>
    </row>
    <row r="16" spans="1:14" x14ac:dyDescent="0.25">
      <c r="A16" s="18">
        <f>DATE(Год,10,1)</f>
        <v>46296</v>
      </c>
      <c r="B16" s="4">
        <f>SUMIFS(Cash[Налоговый доход],Cash[Дата],"&gt;="&amp;DATE(Год,1,1),Cash[Дата],"&lt;="&amp;MIN(EOMONTH(A16,0),ДатаОтчета),Cash[Тип лица],"ФЛ")</f>
        <v>502000</v>
      </c>
      <c r="C16" s="4">
        <f>SUMIFS(Cash[Налоговый доход],Cash[Дата],"&gt;="&amp;DATE(Год,1,1),Cash[Дата],"&lt;="&amp;MIN(EOMONTH(A16,0),ДатаОтчета),Cash[Тип лица],"&lt;&gt;ФЛ")</f>
        <v>4515000</v>
      </c>
      <c r="D16" s="4">
        <f>SUMIFS(Cash[Налоговый расход],Cash[Дата],"&gt;="&amp;DATE(Год,1,1),Cash[Дата],"&lt;="&amp;MIN(EOMONTH(A16,0),ДатаОтчета),Cash[Статус],"Проведён",Cash[Тип],"&lt;&gt;Возврат поставщика")-SUMIFS(Cash[Налоговый расход],Cash[Дата],"&gt;="&amp;DATE(Год,1,1),Cash[Дата],"&lt;="&amp;MIN(EOMONTH(A16,0),ДатаОтчета),Cash[Статус],"Проведён",Cash[Тип],"Возврат поставщика")</f>
        <v>4157503.33</v>
      </c>
      <c r="E16" s="4">
        <f t="shared" si="0"/>
        <v>859496.66999999993</v>
      </c>
      <c r="F16" s="12">
        <v>0</v>
      </c>
      <c r="G16" s="4">
        <f>IF(A16&gt;ДатаОтчета,G15,IF($B$4="ПРЕДВАРИТЕЛЬНЫЙ РАСЧЁТ",ROUND(IF(Режим="УСН Доходы",MAX(0,(B16+C16)*СтавкаДоход-IF(OR(Форма="ООО",Сотрудники="Да"),MIN((B16+C16)*СтавкаДоход*0.5,SUM($F$7:F16)+IF(MONTH(A16)=12,ВычетУСН,0)),MIN((B16+C16)*СтавкаДоход,SUM($F$7:F16)+IF(MONTH(A16)=12,ВычетУСН,0)))),IF(Режим="УСН Д-Р",MAX(E16*СтавкаДР,IF(MONTH(A16)=12,(B16+C16)*0.01,0)),MAX(0,B16*СтавкаНПДФЛ+C16*СтавкаНПДЮЛ-MIN(БонусНПД,B16*0.01+C16*0.02)))),2),SUM($N$7:N16)))</f>
        <v>301020</v>
      </c>
      <c r="H16" s="4">
        <f t="shared" si="1"/>
        <v>42600</v>
      </c>
      <c r="I16" s="4">
        <f>SUMIFS(Cash[Сумма],Cash[Дата],"&lt;="&amp;ДатаОтчета,Cash[Статус],"Проведён",Cash[Тип],"Налог",Cash[Дата],"&gt;="&amp;A16,Cash[Дата],"&lt;"&amp;EDATE(A16,1),Cash[Категория],"&lt;&gt;НДС")</f>
        <v>45000</v>
      </c>
      <c r="J16" s="5">
        <f>НАСТРОЙКИ!$B$34+G16-SUM($I$7:I16)</f>
        <v>166020</v>
      </c>
      <c r="K16" s="5">
        <f>IF(A16&gt;ДатаОтчета,K15,IF(AND(Форма="ИП",Режим&lt;&gt;"НПД",НАСТРОЙКИ!B28="Да"),IF(A16&gt;ДатаОтчета,0,ФиксВзносы*MONTH(A16)/12+MIN(МаксВзносы,MAX(0,IF(Режим="УСН Д-Р",E16,B16+C16)-300000)*0.01)),0))</f>
        <v>94995</v>
      </c>
      <c r="L16" s="4">
        <f t="shared" si="2"/>
        <v>11882.5</v>
      </c>
      <c r="M16" s="12">
        <v>0</v>
      </c>
      <c r="N16" s="12">
        <v>0</v>
      </c>
    </row>
    <row r="17" spans="1:14" x14ac:dyDescent="0.25">
      <c r="A17" s="18">
        <f>DATE(Год,11,1)</f>
        <v>46327</v>
      </c>
      <c r="B17" s="4">
        <f>SUMIFS(Cash[Налоговый доход],Cash[Дата],"&gt;="&amp;DATE(Год,1,1),Cash[Дата],"&lt;="&amp;MIN(EOMONTH(A17,0),ДатаОтчета),Cash[Тип лица],"ФЛ")</f>
        <v>578000</v>
      </c>
      <c r="C17" s="4">
        <f>SUMIFS(Cash[Налоговый доход],Cash[Дата],"&gt;="&amp;DATE(Год,1,1),Cash[Дата],"&lt;="&amp;MIN(EOMONTH(A17,0),ДатаОтчета),Cash[Тип лица],"&lt;&gt;ФЛ")</f>
        <v>5199000</v>
      </c>
      <c r="D17" s="4">
        <f>SUMIFS(Cash[Налоговый расход],Cash[Дата],"&gt;="&amp;DATE(Год,1,1),Cash[Дата],"&lt;="&amp;MIN(EOMONTH(A17,0),ДатаОтчета),Cash[Статус],"Проведён",Cash[Тип],"&lt;&gt;Возврат поставщика")-SUMIFS(Cash[Налоговый расход],Cash[Дата],"&gt;="&amp;DATE(Год,1,1),Cash[Дата],"&lt;="&amp;MIN(EOMONTH(A17,0),ДатаОтчета),Cash[Статус],"Проведён",Cash[Тип],"Возврат поставщика")</f>
        <v>4648123.3</v>
      </c>
      <c r="E17" s="4">
        <f t="shared" si="0"/>
        <v>1128876.7000000002</v>
      </c>
      <c r="F17" s="12">
        <v>0</v>
      </c>
      <c r="G17" s="4">
        <f>IF(A17&gt;ДатаОтчета,G16,IF($B$4="ПРЕДВАРИТЕЛЬНЫЙ РАСЧЁТ",ROUND(IF(Режим="УСН Доходы",MAX(0,(B17+C17)*СтавкаДоход-IF(OR(Форма="ООО",Сотрудники="Да"),MIN((B17+C17)*СтавкаДоход*0.5,SUM($F$7:F17)+IF(MONTH(A17)=12,ВычетУСН,0)),MIN((B17+C17)*СтавкаДоход,SUM($F$7:F17)+IF(MONTH(A17)=12,ВычетУСН,0)))),IF(Режим="УСН Д-Р",MAX(E17*СтавкаДР,IF(MONTH(A17)=12,(B17+C17)*0.01,0)),MAX(0,B17*СтавкаНПДФЛ+C17*СтавкаНПДЮЛ-MIN(БонусНПД,B17*0.01+C17*0.02)))),2),SUM($N$7:N17)))</f>
        <v>346620</v>
      </c>
      <c r="H17" s="4">
        <f t="shared" si="1"/>
        <v>45600</v>
      </c>
      <c r="I17" s="4">
        <f>SUMIFS(Cash[Сумма],Cash[Дата],"&lt;="&amp;ДатаОтчета,Cash[Статус],"Проведён",Cash[Тип],"Налог",Cash[Дата],"&gt;="&amp;A17,Cash[Дата],"&lt;"&amp;EDATE(A17,1),Cash[Категория],"&lt;&gt;НДС")</f>
        <v>0</v>
      </c>
      <c r="J17" s="5">
        <f>НАСТРОЙКИ!$B$34+G17-SUM($I$7:I17)</f>
        <v>211620</v>
      </c>
      <c r="K17" s="5">
        <f>IF(A17&gt;ДатаОтчета,K16,IF(AND(Форма="ИП",Режим&lt;&gt;"НПД",НАСТРОЙКИ!B28="Да"),IF(A17&gt;ДатаОтчета,0,ФиксВзносы*MONTH(A17)/12+MIN(МаксВзносы,MAX(0,IF(Режим="УСН Д-Р",E17,B17+C17)-300000)*0.01)),0))</f>
        <v>107377.5</v>
      </c>
      <c r="L17" s="4">
        <f t="shared" si="2"/>
        <v>12382.5</v>
      </c>
      <c r="M17" s="12">
        <v>0</v>
      </c>
      <c r="N17" s="12">
        <v>0</v>
      </c>
    </row>
    <row r="18" spans="1:14" x14ac:dyDescent="0.25">
      <c r="A18" s="18">
        <f>DATE(Год,12,1)</f>
        <v>46357</v>
      </c>
      <c r="B18" s="4">
        <f>SUMIFS(Cash[Налоговый доход],Cash[Дата],"&gt;="&amp;DATE(Год,1,1),Cash[Дата],"&lt;="&amp;MIN(EOMONTH(A18,0),ДатаОтчета),Cash[Тип лица],"ФЛ")</f>
        <v>627200</v>
      </c>
      <c r="C18" s="4">
        <f>SUMIFS(Cash[Налоговый доход],Cash[Дата],"&gt;="&amp;DATE(Год,1,1),Cash[Дата],"&lt;="&amp;MIN(EOMONTH(A18,0),ДатаОтчета),Cash[Тип лица],"&lt;&gt;ФЛ")</f>
        <v>5910760</v>
      </c>
      <c r="D18" s="4">
        <f>SUMIFS(Cash[Налоговый расход],Cash[Дата],"&gt;="&amp;DATE(Год,1,1),Cash[Дата],"&lt;="&amp;MIN(EOMONTH(A18,0),ДатаОтчета),Cash[Статус],"Проведён",Cash[Тип],"&lt;&gt;Возврат поставщика")-SUMIFS(Cash[Налоговый расход],Cash[Дата],"&gt;="&amp;DATE(Год,1,1),Cash[Дата],"&lt;="&amp;MIN(EOMONTH(A18,0),ДатаОтчета),Cash[Статус],"Проведён",Cash[Тип],"Возврат поставщика")</f>
        <v>5026554.91</v>
      </c>
      <c r="E18" s="4">
        <f t="shared" si="0"/>
        <v>1511405.0899999999</v>
      </c>
      <c r="F18" s="12">
        <v>0</v>
      </c>
      <c r="G18" s="4">
        <f>IF(A18&gt;ДатаОтчета,G17,IF($B$4="ПРЕДВАРИТЕЛЬНЫЙ РАСЧЁТ",ROUND(IF(Режим="УСН Доходы",MAX(0,(B18+C18)*СтавкаДоход-IF(OR(Форма="ООО",Сотрудники="Да"),MIN((B18+C18)*СтавкаДоход*0.5,SUM($F$7:F18)+IF(MONTH(A18)=12,ВычетУСН,0)),MIN((B18+C18)*СтавкаДоход,SUM($F$7:F18)+IF(MONTH(A18)=12,ВычетУСН,0)))),IF(Режим="УСН Д-Р",MAX(E18*СтавкаДР,IF(MONTH(A18)=12,(B18+C18)*0.01,0)),MAX(0,B18*СтавкаНПДФЛ+C18*СтавкаНПДЮЛ-MIN(БонусНПД,B18*0.01+C18*0.02)))),2),SUM($N$7:N18)))</f>
        <v>392277.6</v>
      </c>
      <c r="H18" s="4">
        <f t="shared" si="1"/>
        <v>45657.599999999977</v>
      </c>
      <c r="I18" s="4">
        <f>SUMIFS(Cash[Сумма],Cash[Дата],"&lt;="&amp;ДатаОтчета,Cash[Статус],"Проведён",Cash[Тип],"Налог",Cash[Дата],"&gt;="&amp;A18,Cash[Дата],"&lt;"&amp;EDATE(A18,1),Cash[Категория],"&lt;&gt;НДС")</f>
        <v>0</v>
      </c>
      <c r="J18" s="5">
        <f>НАСТРОЙКИ!$B$34+G18-SUM($I$7:I18)</f>
        <v>257277.59999999998</v>
      </c>
      <c r="K18" s="5">
        <f>IF(A18&gt;ДатаОтчета,K17,IF(AND(Форма="ИП",Режим&lt;&gt;"НПД",НАСТРОЙКИ!B28="Да"),IF(A18&gt;ДатаОтчета,0,ФиксВзносы*MONTH(A18)/12+MIN(МаксВзносы,MAX(0,IF(Режим="УСН Д-Р",E18,B18+C18)-300000)*0.01)),0))</f>
        <v>119769.60000000001</v>
      </c>
      <c r="L18" s="4">
        <f t="shared" si="2"/>
        <v>12392.100000000006</v>
      </c>
      <c r="M18" s="12">
        <v>0</v>
      </c>
      <c r="N18" s="12">
        <v>0</v>
      </c>
    </row>
    <row r="21" spans="1:14" x14ac:dyDescent="0.25">
      <c r="A21" s="3" t="s">
        <v>180</v>
      </c>
      <c r="B21" s="4">
        <f>G18</f>
        <v>392277.6</v>
      </c>
    </row>
    <row r="22" spans="1:14" x14ac:dyDescent="0.25">
      <c r="A22" s="3" t="s">
        <v>181</v>
      </c>
      <c r="B22" s="4">
        <f>SUM(I7:I18)</f>
        <v>135000</v>
      </c>
    </row>
    <row r="23" spans="1:14" x14ac:dyDescent="0.25">
      <c r="A23" s="3" t="s">
        <v>182</v>
      </c>
      <c r="B23" s="4">
        <f>MAX(0,J18)</f>
        <v>257277.59999999998</v>
      </c>
    </row>
    <row r="24" spans="1:14" x14ac:dyDescent="0.25">
      <c r="A24" s="3" t="s">
        <v>183</v>
      </c>
      <c r="B24" s="4">
        <f>MAX(0,-J18)</f>
        <v>0</v>
      </c>
    </row>
    <row r="25" spans="1:14" x14ac:dyDescent="0.25">
      <c r="A25" s="3" t="s">
        <v>184</v>
      </c>
      <c r="B25" s="4">
        <f>K18</f>
        <v>119769.60000000001</v>
      </c>
    </row>
    <row r="26" spans="1:14" x14ac:dyDescent="0.25">
      <c r="A26" s="3" t="s">
        <v>185</v>
      </c>
      <c r="B26" s="4">
        <f>SUMIFS(Cash[Сумма],Cash[Дата],"&lt;="&amp;ДатаОтчета,Cash[Статус],"Проведён",Cash[Тип],"Взносы ИП")</f>
        <v>57390</v>
      </c>
    </row>
    <row r="27" spans="1:14" x14ac:dyDescent="0.25">
      <c r="A27" s="3" t="s">
        <v>186</v>
      </c>
      <c r="B27" s="4">
        <f>MAX(0,B25-B26)</f>
        <v>62379.600000000006</v>
      </c>
    </row>
    <row r="28" spans="1:14" x14ac:dyDescent="0.25">
      <c r="A28" s="3" t="s">
        <v>187</v>
      </c>
      <c r="B28" s="4">
        <f>SUM(M7:M18)</f>
        <v>0</v>
      </c>
    </row>
    <row r="29" spans="1:14" x14ac:dyDescent="0.25">
      <c r="A29" s="3" t="s">
        <v>188</v>
      </c>
      <c r="B29" s="4">
        <f>SUMIFS(Cash[Сумма],Cash[Дата],"&lt;="&amp;ДатаОтчета,Cash[Статус],"Проведён",Cash[Тип],"Налог",Cash[Категория],"НДС")</f>
        <v>0</v>
      </c>
    </row>
    <row r="30" spans="1:14" x14ac:dyDescent="0.25">
      <c r="A30" s="3" t="s">
        <v>189</v>
      </c>
      <c r="B30" s="4">
        <f>B28-B29</f>
        <v>0</v>
      </c>
    </row>
    <row r="31" spans="1:14" x14ac:dyDescent="0.25">
      <c r="A31" s="3" t="s">
        <v>190</v>
      </c>
      <c r="B31" s="17">
        <f>IF(SUM(B18:C18)=0,"н/д",(B21+B25+B28)/SUM(B18:C18))</f>
        <v>7.831910871280949E-2</v>
      </c>
    </row>
    <row r="34" spans="1:6" ht="33.950000000000003" customHeight="1" x14ac:dyDescent="0.25">
      <c r="A34" s="7" t="s">
        <v>37</v>
      </c>
      <c r="B34" s="7" t="s">
        <v>38</v>
      </c>
      <c r="C34" s="7" t="s">
        <v>191</v>
      </c>
      <c r="D34" s="7" t="s">
        <v>192</v>
      </c>
      <c r="E34" s="7" t="s">
        <v>193</v>
      </c>
      <c r="F34" s="7" t="s">
        <v>194</v>
      </c>
    </row>
    <row r="35" spans="1:6" x14ac:dyDescent="0.25">
      <c r="A35" s="3" t="s">
        <v>195</v>
      </c>
      <c r="B35" s="32">
        <f>НАСТРОЙКИ!B14</f>
        <v>0.06</v>
      </c>
      <c r="C35" s="12">
        <v>2026</v>
      </c>
      <c r="D35" s="19">
        <v>46310</v>
      </c>
      <c r="E35" s="3" t="s">
        <v>196</v>
      </c>
      <c r="F35" s="3" t="s">
        <v>197</v>
      </c>
    </row>
    <row r="36" spans="1:6" x14ac:dyDescent="0.25">
      <c r="A36" s="3" t="s">
        <v>198</v>
      </c>
      <c r="B36" s="32">
        <f>НАСТРОЙКИ!B15</f>
        <v>0.15</v>
      </c>
      <c r="C36" s="12">
        <v>2026</v>
      </c>
      <c r="D36" s="19">
        <v>46310</v>
      </c>
      <c r="E36" s="3" t="s">
        <v>199</v>
      </c>
      <c r="F36" s="3" t="s">
        <v>197</v>
      </c>
    </row>
    <row r="37" spans="1:6" x14ac:dyDescent="0.25">
      <c r="A37" s="3" t="s">
        <v>62</v>
      </c>
      <c r="B37" s="32">
        <f>НАСТРОЙКИ!B16</f>
        <v>0.04</v>
      </c>
      <c r="C37" s="12">
        <v>2026</v>
      </c>
      <c r="D37" s="19">
        <v>46310</v>
      </c>
      <c r="E37" s="3" t="s">
        <v>200</v>
      </c>
      <c r="F37" s="3" t="s">
        <v>201</v>
      </c>
    </row>
    <row r="38" spans="1:6" x14ac:dyDescent="0.25">
      <c r="A38" s="3" t="s">
        <v>202</v>
      </c>
      <c r="B38" s="32">
        <f>НАСТРОЙКИ!B17</f>
        <v>0.06</v>
      </c>
      <c r="C38" s="12">
        <v>2026</v>
      </c>
      <c r="D38" s="19">
        <v>46310</v>
      </c>
      <c r="E38" s="3" t="s">
        <v>203</v>
      </c>
      <c r="F38" s="3" t="s">
        <v>201</v>
      </c>
    </row>
    <row r="39" spans="1:6" x14ac:dyDescent="0.25">
      <c r="A39" s="3" t="s">
        <v>204</v>
      </c>
      <c r="B39" s="12">
        <v>2400000</v>
      </c>
      <c r="C39" s="12">
        <v>2026</v>
      </c>
      <c r="D39" s="19">
        <v>46310</v>
      </c>
      <c r="E39" s="3" t="s">
        <v>205</v>
      </c>
      <c r="F39" s="3" t="s">
        <v>201</v>
      </c>
    </row>
    <row r="40" spans="1:6" x14ac:dyDescent="0.25">
      <c r="A40" s="3" t="s">
        <v>206</v>
      </c>
      <c r="B40" s="12">
        <v>20000000</v>
      </c>
      <c r="C40" s="12">
        <v>2026</v>
      </c>
      <c r="D40" s="19">
        <v>46310</v>
      </c>
      <c r="E40" s="3" t="s">
        <v>207</v>
      </c>
      <c r="F40" s="3" t="s">
        <v>208</v>
      </c>
    </row>
    <row r="41" spans="1:6" x14ac:dyDescent="0.25">
      <c r="A41" s="3" t="s">
        <v>209</v>
      </c>
      <c r="B41" s="12">
        <v>490500000</v>
      </c>
      <c r="C41" s="12">
        <v>2026</v>
      </c>
      <c r="D41" s="19">
        <v>46310</v>
      </c>
      <c r="E41" s="3" t="s">
        <v>210</v>
      </c>
      <c r="F41" s="3" t="s">
        <v>208</v>
      </c>
    </row>
    <row r="42" spans="1:6" x14ac:dyDescent="0.25">
      <c r="A42" s="3" t="s">
        <v>211</v>
      </c>
      <c r="B42" s="4">
        <f>ФиксВзносы</f>
        <v>57390</v>
      </c>
      <c r="C42" s="12">
        <v>2026</v>
      </c>
      <c r="D42" s="19">
        <v>46310</v>
      </c>
      <c r="E42" s="3" t="s">
        <v>212</v>
      </c>
      <c r="F42" s="3" t="s">
        <v>213</v>
      </c>
    </row>
    <row r="43" spans="1:6" x14ac:dyDescent="0.25">
      <c r="A43" s="3" t="s">
        <v>214</v>
      </c>
      <c r="B43" s="4">
        <f>МаксВзносы</f>
        <v>321818</v>
      </c>
      <c r="C43" s="12">
        <v>2026</v>
      </c>
      <c r="D43" s="19">
        <v>46310</v>
      </c>
      <c r="E43" s="3" t="s">
        <v>215</v>
      </c>
      <c r="F43" s="3" t="s">
        <v>213</v>
      </c>
    </row>
    <row r="46" spans="1:6" ht="33.950000000000003" customHeight="1" x14ac:dyDescent="0.25">
      <c r="A46" s="7" t="s">
        <v>216</v>
      </c>
      <c r="B46" s="7" t="s">
        <v>217</v>
      </c>
      <c r="C46" s="7" t="s">
        <v>218</v>
      </c>
      <c r="D46" s="7" t="s">
        <v>219</v>
      </c>
    </row>
    <row r="47" spans="1:6" x14ac:dyDescent="0.25">
      <c r="A47" s="3" t="s">
        <v>220</v>
      </c>
      <c r="B47" s="20">
        <f>DATE(Год,4,28)</f>
        <v>46140</v>
      </c>
      <c r="C47" s="4">
        <f>MAX(0,G9-SUM($I$7:I9))</f>
        <v>66420</v>
      </c>
      <c r="D47" s="3" t="s">
        <v>221</v>
      </c>
    </row>
    <row r="48" spans="1:6" x14ac:dyDescent="0.25">
      <c r="A48" s="3" t="s">
        <v>222</v>
      </c>
      <c r="B48" s="20">
        <f>DATE(Год,7,28)</f>
        <v>46231</v>
      </c>
      <c r="C48" s="4">
        <f>MAX(0,G12-SUM($I$7:I12))</f>
        <v>126420</v>
      </c>
      <c r="D48" s="3" t="s">
        <v>221</v>
      </c>
    </row>
    <row r="49" spans="1:4" x14ac:dyDescent="0.25">
      <c r="A49" s="3" t="s">
        <v>223</v>
      </c>
      <c r="B49" s="20">
        <f>DATE(Год,10,28)</f>
        <v>46323</v>
      </c>
      <c r="C49" s="4">
        <f>MAX(0,G15-SUM($I$7:I15))</f>
        <v>168420</v>
      </c>
      <c r="D49" s="3" t="s">
        <v>221</v>
      </c>
    </row>
    <row r="50" spans="1:4" x14ac:dyDescent="0.25">
      <c r="A50" s="3" t="s">
        <v>224</v>
      </c>
      <c r="B50" s="20">
        <f>DATE(Год+1,IF(Форма="ООО",3,4),28)</f>
        <v>46505</v>
      </c>
      <c r="C50" s="4">
        <f>MAX(0,G18-SUM($I$7:I18))</f>
        <v>257277.59999999998</v>
      </c>
      <c r="D50" s="3" t="s">
        <v>221</v>
      </c>
    </row>
    <row r="52" spans="1:4" x14ac:dyDescent="0.25">
      <c r="A52" s="3" t="s">
        <v>225</v>
      </c>
      <c r="B52" s="20">
        <f>DATE(Год,12,28)</f>
        <v>46384</v>
      </c>
      <c r="C52" s="5">
        <f>IF(AND(Форма="ИП",Режим&lt;&gt;"НПД",НАСТРОЙКИ!B28="Да"),MAX(0,ФиксВзносы-B26),0)</f>
        <v>0</v>
      </c>
    </row>
    <row r="53" spans="1:4" x14ac:dyDescent="0.25">
      <c r="A53" s="3" t="s">
        <v>226</v>
      </c>
      <c r="B53" s="20">
        <f>DATE(Год+1,7,1)</f>
        <v>46569</v>
      </c>
      <c r="C53" s="5">
        <f>IF(AND(Форма="ИП",Режим&lt;&gt;"НПД",НАСТРОЙКИ!B28="Да"),MAX(0,K18-ФиксВзносы-MAX(0,B26-ФиксВзносы)),0)</f>
        <v>62379.600000000006</v>
      </c>
    </row>
    <row r="55" spans="1:4" x14ac:dyDescent="0.25">
      <c r="A55" s="3" t="s">
        <v>227</v>
      </c>
    </row>
    <row r="56" spans="1:4" x14ac:dyDescent="0.25">
      <c r="A56" s="3" t="s">
        <v>228</v>
      </c>
    </row>
  </sheetData>
  <mergeCells count="1">
    <mergeCell ref="B4:N4"/>
  </mergeCells>
  <hyperlinks>
    <hyperlink ref="A1" location="'ПАНЕЛЬ'!A1" display="Главная панель" xr:uid="{00000000-0004-0000-0500-000000000000}"/>
    <hyperlink ref="D1" location="'НАСТРОЙКИ'!A1" display="Настройки" xr:uid="{00000000-0004-0000-0500-000001000000}"/>
    <hyperlink ref="F1" location="'КОНТРОЛЬ'!A1" display="Контроль" xr:uid="{00000000-0004-0000-0500-000002000000}"/>
    <hyperlink ref="F35" r:id="rId1" xr:uid="{00000000-0004-0000-0500-000003000000}"/>
    <hyperlink ref="F36" r:id="rId2" xr:uid="{00000000-0004-0000-0500-000004000000}"/>
    <hyperlink ref="F37" r:id="rId3" xr:uid="{00000000-0004-0000-0500-000005000000}"/>
    <hyperlink ref="F38" r:id="rId4" xr:uid="{00000000-0004-0000-0500-000006000000}"/>
    <hyperlink ref="F39" r:id="rId5" xr:uid="{00000000-0004-0000-0500-000007000000}"/>
    <hyperlink ref="F40" r:id="rId6" xr:uid="{00000000-0004-0000-0500-000008000000}"/>
    <hyperlink ref="F41" r:id="rId7" xr:uid="{00000000-0004-0000-0500-000009000000}"/>
    <hyperlink ref="F42" r:id="rId8" xr:uid="{00000000-0004-0000-0500-00000A000000}"/>
    <hyperlink ref="F43" r:id="rId9" xr:uid="{00000000-0004-0000-0500-00000B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Right="0"/>
    <pageSetUpPr fitToPage="1"/>
  </sheetPr>
  <dimension ref="A1:N40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9" customWidth="1"/>
    <col min="2" max="14" width="17" customWidth="1"/>
  </cols>
  <sheetData>
    <row r="1" spans="1:14" x14ac:dyDescent="0.25">
      <c r="A1" s="1" t="s">
        <v>0</v>
      </c>
      <c r="D1" s="2" t="s">
        <v>1</v>
      </c>
      <c r="F1" s="2" t="s">
        <v>2</v>
      </c>
    </row>
    <row r="2" spans="1:14" ht="30" customHeight="1" x14ac:dyDescent="0.25">
      <c r="A2" s="9" t="s">
        <v>17</v>
      </c>
    </row>
    <row r="3" spans="1:14" x14ac:dyDescent="0.25">
      <c r="A3" s="10" t="s">
        <v>36</v>
      </c>
    </row>
    <row r="6" spans="1:14" ht="35.1" customHeight="1" x14ac:dyDescent="0.25">
      <c r="A6" s="29" t="s">
        <v>33</v>
      </c>
      <c r="B6" s="30">
        <f>DATE(Год,1,1)</f>
        <v>46023</v>
      </c>
      <c r="C6" s="30">
        <f>DATE(Год,2,1)</f>
        <v>46054</v>
      </c>
      <c r="D6" s="30">
        <f>DATE(Год,3,1)</f>
        <v>46082</v>
      </c>
      <c r="E6" s="30">
        <f>DATE(Год,4,1)</f>
        <v>46113</v>
      </c>
      <c r="F6" s="30">
        <f>DATE(Год,5,1)</f>
        <v>46143</v>
      </c>
      <c r="G6" s="30">
        <f>DATE(Год,6,1)</f>
        <v>46174</v>
      </c>
      <c r="H6" s="30">
        <f>DATE(Год,7,1)</f>
        <v>46204</v>
      </c>
      <c r="I6" s="30">
        <f>DATE(Год,8,1)</f>
        <v>46235</v>
      </c>
      <c r="J6" s="30">
        <f>DATE(Год,9,1)</f>
        <v>46266</v>
      </c>
      <c r="K6" s="30">
        <f>DATE(Год,10,1)</f>
        <v>46296</v>
      </c>
      <c r="L6" s="30">
        <f>DATE(Год,11,1)</f>
        <v>46327</v>
      </c>
      <c r="M6" s="30">
        <f>DATE(Год,12,1)</f>
        <v>46357</v>
      </c>
      <c r="N6" s="29" t="s">
        <v>113</v>
      </c>
    </row>
    <row r="7" spans="1:14" x14ac:dyDescent="0.25">
      <c r="A7" s="3" t="s">
        <v>229</v>
      </c>
      <c r="B7" s="12">
        <v>540000</v>
      </c>
      <c r="C7" s="12">
        <v>540000</v>
      </c>
      <c r="D7" s="12">
        <v>540000</v>
      </c>
      <c r="E7" s="12">
        <v>540000</v>
      </c>
      <c r="F7" s="12">
        <v>540000</v>
      </c>
      <c r="G7" s="12">
        <v>540000</v>
      </c>
      <c r="H7" s="12">
        <v>540000</v>
      </c>
      <c r="I7" s="12">
        <v>540000</v>
      </c>
      <c r="J7" s="12">
        <v>540000</v>
      </c>
      <c r="K7" s="12">
        <v>540000</v>
      </c>
      <c r="L7" s="12">
        <v>540000</v>
      </c>
      <c r="M7" s="12">
        <v>540000</v>
      </c>
      <c r="N7" s="4">
        <f t="shared" ref="N7:N14" si="0">SUM(B7:M7)</f>
        <v>6480000</v>
      </c>
    </row>
    <row r="8" spans="1:14" x14ac:dyDescent="0.25">
      <c r="A8" s="3" t="s">
        <v>230</v>
      </c>
      <c r="B8" s="12">
        <v>175000</v>
      </c>
      <c r="C8" s="12">
        <v>175000</v>
      </c>
      <c r="D8" s="12">
        <v>175000</v>
      </c>
      <c r="E8" s="12">
        <v>175000</v>
      </c>
      <c r="F8" s="12">
        <v>175000</v>
      </c>
      <c r="G8" s="12">
        <v>175000</v>
      </c>
      <c r="H8" s="12">
        <v>175000</v>
      </c>
      <c r="I8" s="12">
        <v>175000</v>
      </c>
      <c r="J8" s="12">
        <v>175000</v>
      </c>
      <c r="K8" s="12">
        <v>175000</v>
      </c>
      <c r="L8" s="12">
        <v>175000</v>
      </c>
      <c r="M8" s="12">
        <v>175000</v>
      </c>
      <c r="N8" s="4">
        <f t="shared" si="0"/>
        <v>2100000</v>
      </c>
    </row>
    <row r="9" spans="1:14" x14ac:dyDescent="0.25">
      <c r="A9" s="3" t="s">
        <v>231</v>
      </c>
      <c r="B9" s="12">
        <v>260000</v>
      </c>
      <c r="C9" s="12">
        <v>260000</v>
      </c>
      <c r="D9" s="12">
        <v>260000</v>
      </c>
      <c r="E9" s="12">
        <v>260000</v>
      </c>
      <c r="F9" s="12">
        <v>260000</v>
      </c>
      <c r="G9" s="12">
        <v>260000</v>
      </c>
      <c r="H9" s="12">
        <v>260000</v>
      </c>
      <c r="I9" s="12">
        <v>260000</v>
      </c>
      <c r="J9" s="12">
        <v>260000</v>
      </c>
      <c r="K9" s="12">
        <v>260000</v>
      </c>
      <c r="L9" s="12">
        <v>260000</v>
      </c>
      <c r="M9" s="12">
        <v>260000</v>
      </c>
      <c r="N9" s="4">
        <f t="shared" si="0"/>
        <v>3120000</v>
      </c>
    </row>
    <row r="10" spans="1:14" x14ac:dyDescent="0.25">
      <c r="A10" s="3" t="s">
        <v>232</v>
      </c>
      <c r="B10" s="12">
        <v>30000</v>
      </c>
      <c r="C10" s="12">
        <v>30000</v>
      </c>
      <c r="D10" s="12">
        <v>30000</v>
      </c>
      <c r="E10" s="12">
        <v>30000</v>
      </c>
      <c r="F10" s="12">
        <v>30000</v>
      </c>
      <c r="G10" s="12">
        <v>30000</v>
      </c>
      <c r="H10" s="12">
        <v>30000</v>
      </c>
      <c r="I10" s="12">
        <v>30000</v>
      </c>
      <c r="J10" s="12">
        <v>30000</v>
      </c>
      <c r="K10" s="12">
        <v>30000</v>
      </c>
      <c r="L10" s="12">
        <v>30000</v>
      </c>
      <c r="M10" s="12">
        <v>30000</v>
      </c>
      <c r="N10" s="4">
        <f t="shared" si="0"/>
        <v>360000</v>
      </c>
    </row>
    <row r="11" spans="1:14" x14ac:dyDescent="0.25">
      <c r="A11" s="3" t="s">
        <v>233</v>
      </c>
      <c r="B11" s="12">
        <v>180000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4">
        <f t="shared" si="0"/>
        <v>180000</v>
      </c>
    </row>
    <row r="12" spans="1:14" x14ac:dyDescent="0.25">
      <c r="A12" s="3" t="s">
        <v>234</v>
      </c>
      <c r="B12" s="12">
        <v>15000</v>
      </c>
      <c r="C12" s="12">
        <v>15000</v>
      </c>
      <c r="D12" s="12">
        <v>15000</v>
      </c>
      <c r="E12" s="12">
        <v>15000</v>
      </c>
      <c r="F12" s="12">
        <v>15000</v>
      </c>
      <c r="G12" s="12">
        <v>15000</v>
      </c>
      <c r="H12" s="12">
        <v>15000</v>
      </c>
      <c r="I12" s="12">
        <v>15000</v>
      </c>
      <c r="J12" s="12">
        <v>15000</v>
      </c>
      <c r="K12" s="12">
        <v>15000</v>
      </c>
      <c r="L12" s="12">
        <v>15000</v>
      </c>
      <c r="M12" s="12">
        <v>15000</v>
      </c>
      <c r="N12" s="4">
        <f t="shared" si="0"/>
        <v>180000</v>
      </c>
    </row>
    <row r="13" spans="1:14" x14ac:dyDescent="0.25">
      <c r="A13" s="3" t="s">
        <v>235</v>
      </c>
      <c r="B13" s="12">
        <v>530000</v>
      </c>
      <c r="C13" s="12">
        <v>530000</v>
      </c>
      <c r="D13" s="12">
        <v>530000</v>
      </c>
      <c r="E13" s="12">
        <v>530000</v>
      </c>
      <c r="F13" s="12">
        <v>530000</v>
      </c>
      <c r="G13" s="12">
        <v>530000</v>
      </c>
      <c r="H13" s="12">
        <v>530000</v>
      </c>
      <c r="I13" s="12">
        <v>530000</v>
      </c>
      <c r="J13" s="12">
        <v>530000</v>
      </c>
      <c r="K13" s="12">
        <v>530000</v>
      </c>
      <c r="L13" s="12">
        <v>530000</v>
      </c>
      <c r="M13" s="12">
        <v>530000</v>
      </c>
      <c r="N13" s="4">
        <f t="shared" si="0"/>
        <v>6360000</v>
      </c>
    </row>
    <row r="14" spans="1:14" x14ac:dyDescent="0.25">
      <c r="A14" s="3" t="s">
        <v>236</v>
      </c>
      <c r="B14" s="12">
        <v>470000</v>
      </c>
      <c r="C14" s="12">
        <v>470000</v>
      </c>
      <c r="D14" s="12">
        <v>470000</v>
      </c>
      <c r="E14" s="12">
        <v>470000</v>
      </c>
      <c r="F14" s="12">
        <v>470000</v>
      </c>
      <c r="G14" s="12">
        <v>470000</v>
      </c>
      <c r="H14" s="12">
        <v>470000</v>
      </c>
      <c r="I14" s="12">
        <v>470000</v>
      </c>
      <c r="J14" s="12">
        <v>470000</v>
      </c>
      <c r="K14" s="12">
        <v>470000</v>
      </c>
      <c r="L14" s="12">
        <v>470000</v>
      </c>
      <c r="M14" s="12">
        <v>470000</v>
      </c>
      <c r="N14" s="4">
        <f t="shared" si="0"/>
        <v>5640000</v>
      </c>
    </row>
    <row r="15" spans="1:14" x14ac:dyDescent="0.25">
      <c r="A15" s="15" t="s">
        <v>237</v>
      </c>
      <c r="B15" s="16">
        <f>SUM(Accounts[Начальный])+B13-B14</f>
        <v>60000</v>
      </c>
      <c r="C15" s="16">
        <f t="shared" ref="C15:M15" si="1">B15+C13-C14</f>
        <v>120000</v>
      </c>
      <c r="D15" s="16">
        <f t="shared" si="1"/>
        <v>180000</v>
      </c>
      <c r="E15" s="16">
        <f t="shared" si="1"/>
        <v>240000</v>
      </c>
      <c r="F15" s="16">
        <f t="shared" si="1"/>
        <v>300000</v>
      </c>
      <c r="G15" s="16">
        <f t="shared" si="1"/>
        <v>360000</v>
      </c>
      <c r="H15" s="16">
        <f t="shared" si="1"/>
        <v>420000</v>
      </c>
      <c r="I15" s="16">
        <f t="shared" si="1"/>
        <v>480000</v>
      </c>
      <c r="J15" s="16">
        <f t="shared" si="1"/>
        <v>540000</v>
      </c>
      <c r="K15" s="16">
        <f t="shared" si="1"/>
        <v>600000</v>
      </c>
      <c r="L15" s="16">
        <f t="shared" si="1"/>
        <v>660000</v>
      </c>
      <c r="M15" s="16">
        <f t="shared" si="1"/>
        <v>720000</v>
      </c>
      <c r="N15" s="16">
        <f>M15</f>
        <v>720000</v>
      </c>
    </row>
    <row r="18" spans="1:14" x14ac:dyDescent="0.25">
      <c r="A18" s="15" t="s">
        <v>238</v>
      </c>
      <c r="B18" s="16">
        <f>ОПиУ!B7</f>
        <v>420000</v>
      </c>
      <c r="C18" s="16">
        <f>ОПиУ!C7</f>
        <v>180000</v>
      </c>
      <c r="D18" s="16">
        <f>ОПиУ!D7</f>
        <v>507000</v>
      </c>
      <c r="E18" s="16">
        <f>ОПиУ!E7</f>
        <v>550000</v>
      </c>
      <c r="F18" s="16">
        <f>ОПиУ!F7</f>
        <v>580000</v>
      </c>
      <c r="G18" s="16">
        <f>ОПиУ!G7</f>
        <v>620000</v>
      </c>
      <c r="H18" s="16">
        <f>ОПиУ!H7</f>
        <v>590000</v>
      </c>
      <c r="I18" s="16">
        <f>ОПиУ!I7</f>
        <v>210000</v>
      </c>
      <c r="J18" s="16">
        <f>ОПиУ!J7</f>
        <v>650000</v>
      </c>
      <c r="K18" s="16">
        <f>ОПиУ!K7</f>
        <v>710000</v>
      </c>
      <c r="L18" s="16">
        <f>ОПиУ!L7</f>
        <v>760000</v>
      </c>
      <c r="M18" s="16">
        <f>ОПиУ!M7</f>
        <v>820000</v>
      </c>
      <c r="N18" s="16">
        <f>SUM(B18:M18)</f>
        <v>6597000</v>
      </c>
    </row>
    <row r="19" spans="1:14" x14ac:dyDescent="0.25">
      <c r="A19" s="3" t="s">
        <v>239</v>
      </c>
      <c r="B19" s="4">
        <f t="shared" ref="B19:M19" si="2">B18-B7</f>
        <v>-120000</v>
      </c>
      <c r="C19" s="4">
        <f t="shared" si="2"/>
        <v>-360000</v>
      </c>
      <c r="D19" s="4">
        <f t="shared" si="2"/>
        <v>-33000</v>
      </c>
      <c r="E19" s="4">
        <f t="shared" si="2"/>
        <v>10000</v>
      </c>
      <c r="F19" s="4">
        <f t="shared" si="2"/>
        <v>40000</v>
      </c>
      <c r="G19" s="4">
        <f t="shared" si="2"/>
        <v>80000</v>
      </c>
      <c r="H19" s="4">
        <f t="shared" si="2"/>
        <v>50000</v>
      </c>
      <c r="I19" s="4">
        <f t="shared" si="2"/>
        <v>-330000</v>
      </c>
      <c r="J19" s="4">
        <f t="shared" si="2"/>
        <v>110000</v>
      </c>
      <c r="K19" s="4">
        <f t="shared" si="2"/>
        <v>170000</v>
      </c>
      <c r="L19" s="4">
        <f t="shared" si="2"/>
        <v>220000</v>
      </c>
      <c r="M19" s="4">
        <f t="shared" si="2"/>
        <v>280000</v>
      </c>
      <c r="N19" s="4">
        <f>SUM(B19:M19)</f>
        <v>117000</v>
      </c>
    </row>
    <row r="20" spans="1:14" x14ac:dyDescent="0.25">
      <c r="A20" s="3" t="s">
        <v>240</v>
      </c>
      <c r="B20" s="17">
        <f t="shared" ref="B20:N20" si="3">IF(B7=0,"н/д",B19/B7)</f>
        <v>-0.22222222222222221</v>
      </c>
      <c r="C20" s="17">
        <f t="shared" si="3"/>
        <v>-0.66666666666666663</v>
      </c>
      <c r="D20" s="17">
        <f t="shared" si="3"/>
        <v>-6.1111111111111109E-2</v>
      </c>
      <c r="E20" s="17">
        <f t="shared" si="3"/>
        <v>1.8518518518518517E-2</v>
      </c>
      <c r="F20" s="17">
        <f t="shared" si="3"/>
        <v>7.407407407407407E-2</v>
      </c>
      <c r="G20" s="17">
        <f t="shared" si="3"/>
        <v>0.14814814814814814</v>
      </c>
      <c r="H20" s="17">
        <f t="shared" si="3"/>
        <v>9.2592592592592587E-2</v>
      </c>
      <c r="I20" s="17">
        <f t="shared" si="3"/>
        <v>-0.61111111111111116</v>
      </c>
      <c r="J20" s="17">
        <f t="shared" si="3"/>
        <v>0.20370370370370369</v>
      </c>
      <c r="K20" s="17">
        <f t="shared" si="3"/>
        <v>0.31481481481481483</v>
      </c>
      <c r="L20" s="17">
        <f t="shared" si="3"/>
        <v>0.40740740740740738</v>
      </c>
      <c r="M20" s="17">
        <f t="shared" si="3"/>
        <v>0.51851851851851849</v>
      </c>
      <c r="N20" s="31">
        <f t="shared" si="3"/>
        <v>1.8055555555555554E-2</v>
      </c>
    </row>
    <row r="22" spans="1:14" x14ac:dyDescent="0.25">
      <c r="A22" s="3" t="s">
        <v>241</v>
      </c>
      <c r="B22" s="5">
        <f>ОПиУ!B8</f>
        <v>134400</v>
      </c>
      <c r="C22" s="5">
        <f>ОПиУ!C8</f>
        <v>57600</v>
      </c>
      <c r="D22" s="5">
        <f>ОПиУ!D8</f>
        <v>163200</v>
      </c>
      <c r="E22" s="5">
        <f>ОПиУ!E8</f>
        <v>176000</v>
      </c>
      <c r="F22" s="5">
        <f>ОПиУ!F8</f>
        <v>185600</v>
      </c>
      <c r="G22" s="5">
        <f>ОПиУ!G8</f>
        <v>198400</v>
      </c>
      <c r="H22" s="5">
        <f>ОПиУ!H8</f>
        <v>188800</v>
      </c>
      <c r="I22" s="5">
        <f>ОПиУ!I8</f>
        <v>67200</v>
      </c>
      <c r="J22" s="5">
        <f>ОПиУ!J8</f>
        <v>208000</v>
      </c>
      <c r="K22" s="5">
        <f>ОПиУ!K8</f>
        <v>227200</v>
      </c>
      <c r="L22" s="5">
        <f>ОПиУ!L8</f>
        <v>243200</v>
      </c>
      <c r="M22" s="5">
        <f>ОПиУ!M8</f>
        <v>262400</v>
      </c>
      <c r="N22" s="4">
        <f t="shared" ref="N22:N31" si="4">SUM(B22:M22)</f>
        <v>2112000</v>
      </c>
    </row>
    <row r="23" spans="1:14" x14ac:dyDescent="0.25">
      <c r="A23" s="3" t="s">
        <v>242</v>
      </c>
      <c r="B23" s="4">
        <f t="shared" ref="B23:M23" si="5">B22-B8</f>
        <v>-40600</v>
      </c>
      <c r="C23" s="4">
        <f t="shared" si="5"/>
        <v>-117400</v>
      </c>
      <c r="D23" s="4">
        <f t="shared" si="5"/>
        <v>-11800</v>
      </c>
      <c r="E23" s="4">
        <f t="shared" si="5"/>
        <v>1000</v>
      </c>
      <c r="F23" s="4">
        <f t="shared" si="5"/>
        <v>10600</v>
      </c>
      <c r="G23" s="4">
        <f t="shared" si="5"/>
        <v>23400</v>
      </c>
      <c r="H23" s="4">
        <f t="shared" si="5"/>
        <v>13800</v>
      </c>
      <c r="I23" s="4">
        <f t="shared" si="5"/>
        <v>-107800</v>
      </c>
      <c r="J23" s="4">
        <f t="shared" si="5"/>
        <v>33000</v>
      </c>
      <c r="K23" s="4">
        <f t="shared" si="5"/>
        <v>52200</v>
      </c>
      <c r="L23" s="4">
        <f t="shared" si="5"/>
        <v>68200</v>
      </c>
      <c r="M23" s="4">
        <f t="shared" si="5"/>
        <v>87400</v>
      </c>
      <c r="N23" s="4">
        <f t="shared" si="4"/>
        <v>12000</v>
      </c>
    </row>
    <row r="24" spans="1:14" x14ac:dyDescent="0.25">
      <c r="A24" s="3" t="s">
        <v>243</v>
      </c>
      <c r="B24" s="5">
        <f>ОПиУ!B10</f>
        <v>245000</v>
      </c>
      <c r="C24" s="5">
        <f>ОПиУ!C10</f>
        <v>245000</v>
      </c>
      <c r="D24" s="5">
        <f>ОПиУ!D10</f>
        <v>245000</v>
      </c>
      <c r="E24" s="5">
        <f>ОПиУ!E10</f>
        <v>245000</v>
      </c>
      <c r="F24" s="5">
        <f>ОПиУ!F10</f>
        <v>245000</v>
      </c>
      <c r="G24" s="5">
        <f>ОПиУ!G10</f>
        <v>245000</v>
      </c>
      <c r="H24" s="5">
        <f>ОПиУ!H10</f>
        <v>245000</v>
      </c>
      <c r="I24" s="5">
        <f>ОПиУ!I10</f>
        <v>310000</v>
      </c>
      <c r="J24" s="5">
        <f>ОПиУ!J10</f>
        <v>245000</v>
      </c>
      <c r="K24" s="5">
        <f>ОПиУ!K10</f>
        <v>245000</v>
      </c>
      <c r="L24" s="5">
        <f>ОПиУ!L10</f>
        <v>245000</v>
      </c>
      <c r="M24" s="5">
        <f>ОПиУ!M10</f>
        <v>245000</v>
      </c>
      <c r="N24" s="4">
        <f t="shared" si="4"/>
        <v>3005000</v>
      </c>
    </row>
    <row r="25" spans="1:14" x14ac:dyDescent="0.25">
      <c r="A25" s="3" t="s">
        <v>244</v>
      </c>
      <c r="B25" s="4">
        <f t="shared" ref="B25:M25" si="6">B24-B9</f>
        <v>-15000</v>
      </c>
      <c r="C25" s="4">
        <f t="shared" si="6"/>
        <v>-15000</v>
      </c>
      <c r="D25" s="4">
        <f t="shared" si="6"/>
        <v>-15000</v>
      </c>
      <c r="E25" s="4">
        <f t="shared" si="6"/>
        <v>-15000</v>
      </c>
      <c r="F25" s="4">
        <f t="shared" si="6"/>
        <v>-15000</v>
      </c>
      <c r="G25" s="4">
        <f t="shared" si="6"/>
        <v>-15000</v>
      </c>
      <c r="H25" s="4">
        <f t="shared" si="6"/>
        <v>-15000</v>
      </c>
      <c r="I25" s="4">
        <f t="shared" si="6"/>
        <v>50000</v>
      </c>
      <c r="J25" s="4">
        <f t="shared" si="6"/>
        <v>-15000</v>
      </c>
      <c r="K25" s="4">
        <f t="shared" si="6"/>
        <v>-15000</v>
      </c>
      <c r="L25" s="4">
        <f t="shared" si="6"/>
        <v>-15000</v>
      </c>
      <c r="M25" s="4">
        <f t="shared" si="6"/>
        <v>-15000</v>
      </c>
      <c r="N25" s="4">
        <f t="shared" si="4"/>
        <v>-115000</v>
      </c>
    </row>
    <row r="26" spans="1:14" x14ac:dyDescent="0.25">
      <c r="A26" s="3" t="s">
        <v>245</v>
      </c>
      <c r="B26" s="5">
        <f>ОПиУ!B14+ОПиУ!B15</f>
        <v>31182.5</v>
      </c>
      <c r="C26" s="5">
        <f>ОПиУ!C14+ОПиУ!C15</f>
        <v>17382.5</v>
      </c>
      <c r="D26" s="5">
        <f>ОПиУ!D14+ОПиУ!D15</f>
        <v>40272.5</v>
      </c>
      <c r="E26" s="5">
        <f>ОПиУ!E14+ОПиУ!E15</f>
        <v>43282.5</v>
      </c>
      <c r="F26" s="5">
        <f>ОПиУ!F14+ОПиУ!F15</f>
        <v>45382.5</v>
      </c>
      <c r="G26" s="5">
        <f>ОПиУ!G14+ОПиУ!G15</f>
        <v>48182.5</v>
      </c>
      <c r="H26" s="5">
        <f>ОПиУ!H14+ОПиУ!H15</f>
        <v>46082.5</v>
      </c>
      <c r="I26" s="5">
        <f>ОПиУ!I14+ОПиУ!I15</f>
        <v>19482.5</v>
      </c>
      <c r="J26" s="5">
        <f>ОПиУ!J14+ОПиУ!J15</f>
        <v>50282.5</v>
      </c>
      <c r="K26" s="5">
        <f>ОПиУ!K14+ОПиУ!K15</f>
        <v>54482.5</v>
      </c>
      <c r="L26" s="5">
        <f>ОПиУ!L14+ОПиУ!L15</f>
        <v>57982.5</v>
      </c>
      <c r="M26" s="5">
        <f>ОПиУ!M14+ОПиУ!M15</f>
        <v>58049.699999999983</v>
      </c>
      <c r="N26" s="4">
        <f t="shared" si="4"/>
        <v>512047.19999999995</v>
      </c>
    </row>
    <row r="27" spans="1:14" x14ac:dyDescent="0.25">
      <c r="A27" s="3" t="s">
        <v>246</v>
      </c>
      <c r="B27" s="4">
        <f t="shared" ref="B27:M27" si="7">B26-B10</f>
        <v>1182.5</v>
      </c>
      <c r="C27" s="4">
        <f t="shared" si="7"/>
        <v>-12617.5</v>
      </c>
      <c r="D27" s="4">
        <f t="shared" si="7"/>
        <v>10272.5</v>
      </c>
      <c r="E27" s="4">
        <f t="shared" si="7"/>
        <v>13282.5</v>
      </c>
      <c r="F27" s="4">
        <f t="shared" si="7"/>
        <v>15382.5</v>
      </c>
      <c r="G27" s="4">
        <f t="shared" si="7"/>
        <v>18182.5</v>
      </c>
      <c r="H27" s="4">
        <f t="shared" si="7"/>
        <v>16082.5</v>
      </c>
      <c r="I27" s="4">
        <f t="shared" si="7"/>
        <v>-10517.5</v>
      </c>
      <c r="J27" s="4">
        <f t="shared" si="7"/>
        <v>20282.5</v>
      </c>
      <c r="K27" s="4">
        <f t="shared" si="7"/>
        <v>24482.5</v>
      </c>
      <c r="L27" s="4">
        <f t="shared" si="7"/>
        <v>27982.5</v>
      </c>
      <c r="M27" s="4">
        <f t="shared" si="7"/>
        <v>28049.699999999983</v>
      </c>
      <c r="N27" s="4">
        <f t="shared" si="4"/>
        <v>152047.19999999998</v>
      </c>
    </row>
    <row r="28" spans="1:14" x14ac:dyDescent="0.25">
      <c r="A28" s="3" t="s">
        <v>247</v>
      </c>
      <c r="B28" s="4">
        <f>-SUMIFS(Cash[Поток],Cash[Дата],"&lt;="&amp;ДатаОтчета,Cash[Статус],"Проведён",Cash[Тип],"Покупка ОС",Cash[Дата],"&gt;="&amp;B$6,Cash[Дата],"&lt;"&amp;EDATE(B$6,1))</f>
        <v>180000</v>
      </c>
      <c r="C28" s="4">
        <f>-SUMIFS(Cash[Поток],Cash[Дата],"&lt;="&amp;ДатаОтчета,Cash[Статус],"Проведён",Cash[Тип],"Покупка ОС",Cash[Дата],"&gt;="&amp;C$6,Cash[Дата],"&lt;"&amp;EDATE(C$6,1))</f>
        <v>0</v>
      </c>
      <c r="D28" s="4">
        <f>-SUMIFS(Cash[Поток],Cash[Дата],"&lt;="&amp;ДатаОтчета,Cash[Статус],"Проведён",Cash[Тип],"Покупка ОС",Cash[Дата],"&gt;="&amp;D$6,Cash[Дата],"&lt;"&amp;EDATE(D$6,1))</f>
        <v>0</v>
      </c>
      <c r="E28" s="4">
        <f>-SUMIFS(Cash[Поток],Cash[Дата],"&lt;="&amp;ДатаОтчета,Cash[Статус],"Проведён",Cash[Тип],"Покупка ОС",Cash[Дата],"&gt;="&amp;E$6,Cash[Дата],"&lt;"&amp;EDATE(E$6,1))</f>
        <v>0</v>
      </c>
      <c r="F28" s="4">
        <f>-SUMIFS(Cash[Поток],Cash[Дата],"&lt;="&amp;ДатаОтчета,Cash[Статус],"Проведён",Cash[Тип],"Покупка ОС",Cash[Дата],"&gt;="&amp;F$6,Cash[Дата],"&lt;"&amp;EDATE(F$6,1))</f>
        <v>0</v>
      </c>
      <c r="G28" s="4">
        <f>-SUMIFS(Cash[Поток],Cash[Дата],"&lt;="&amp;ДатаОтчета,Cash[Статус],"Проведён",Cash[Тип],"Покупка ОС",Cash[Дата],"&gt;="&amp;G$6,Cash[Дата],"&lt;"&amp;EDATE(G$6,1))</f>
        <v>0</v>
      </c>
      <c r="H28" s="4">
        <f>-SUMIFS(Cash[Поток],Cash[Дата],"&lt;="&amp;ДатаОтчета,Cash[Статус],"Проведён",Cash[Тип],"Покупка ОС",Cash[Дата],"&gt;="&amp;H$6,Cash[Дата],"&lt;"&amp;EDATE(H$6,1))</f>
        <v>0</v>
      </c>
      <c r="I28" s="4">
        <f>-SUMIFS(Cash[Поток],Cash[Дата],"&lt;="&amp;ДатаОтчета,Cash[Статус],"Проведён",Cash[Тип],"Покупка ОС",Cash[Дата],"&gt;="&amp;I$6,Cash[Дата],"&lt;"&amp;EDATE(I$6,1))</f>
        <v>0</v>
      </c>
      <c r="J28" s="4">
        <f>-SUMIFS(Cash[Поток],Cash[Дата],"&lt;="&amp;ДатаОтчета,Cash[Статус],"Проведён",Cash[Тип],"Покупка ОС",Cash[Дата],"&gt;="&amp;J$6,Cash[Дата],"&lt;"&amp;EDATE(J$6,1))</f>
        <v>0</v>
      </c>
      <c r="K28" s="4">
        <f>-SUMIFS(Cash[Поток],Cash[Дата],"&lt;="&amp;ДатаОтчета,Cash[Статус],"Проведён",Cash[Тип],"Покупка ОС",Cash[Дата],"&gt;="&amp;K$6,Cash[Дата],"&lt;"&amp;EDATE(K$6,1))</f>
        <v>0</v>
      </c>
      <c r="L28" s="4">
        <f>-SUMIFS(Cash[Поток],Cash[Дата],"&lt;="&amp;ДатаОтчета,Cash[Статус],"Проведён",Cash[Тип],"Покупка ОС",Cash[Дата],"&gt;="&amp;L$6,Cash[Дата],"&lt;"&amp;EDATE(L$6,1))</f>
        <v>0</v>
      </c>
      <c r="M28" s="4">
        <f>-SUMIFS(Cash[Поток],Cash[Дата],"&lt;="&amp;ДатаОтчета,Cash[Статус],"Проведён",Cash[Тип],"Покупка ОС",Cash[Дата],"&gt;="&amp;M$6,Cash[Дата],"&lt;"&amp;EDATE(M$6,1))</f>
        <v>0</v>
      </c>
      <c r="N28" s="4">
        <f t="shared" si="4"/>
        <v>180000</v>
      </c>
    </row>
    <row r="29" spans="1:14" x14ac:dyDescent="0.25">
      <c r="A29" s="3" t="s">
        <v>248</v>
      </c>
      <c r="B29" s="4">
        <f t="shared" ref="B29:M29" si="8">B28-B11</f>
        <v>0</v>
      </c>
      <c r="C29" s="4">
        <f t="shared" si="8"/>
        <v>0</v>
      </c>
      <c r="D29" s="4">
        <f t="shared" si="8"/>
        <v>0</v>
      </c>
      <c r="E29" s="4">
        <f t="shared" si="8"/>
        <v>0</v>
      </c>
      <c r="F29" s="4">
        <f t="shared" si="8"/>
        <v>0</v>
      </c>
      <c r="G29" s="4">
        <f t="shared" si="8"/>
        <v>0</v>
      </c>
      <c r="H29" s="4">
        <f t="shared" si="8"/>
        <v>0</v>
      </c>
      <c r="I29" s="4">
        <f t="shared" si="8"/>
        <v>0</v>
      </c>
      <c r="J29" s="4">
        <f t="shared" si="8"/>
        <v>0</v>
      </c>
      <c r="K29" s="4">
        <f t="shared" si="8"/>
        <v>0</v>
      </c>
      <c r="L29" s="4">
        <f t="shared" si="8"/>
        <v>0</v>
      </c>
      <c r="M29" s="4">
        <f t="shared" si="8"/>
        <v>0</v>
      </c>
      <c r="N29" s="4">
        <f t="shared" si="4"/>
        <v>0</v>
      </c>
    </row>
    <row r="30" spans="1:14" x14ac:dyDescent="0.25">
      <c r="A30" s="3" t="s">
        <v>249</v>
      </c>
      <c r="B30" s="4">
        <f>-SUMIFS(Cash[Поток],Cash[Дата],"&lt;="&amp;ДатаОтчета,Cash[Статус],"Проведён",Cash[Тип],"Тело кредита",Cash[Дата],"&gt;="&amp;B$6,Cash[Дата],"&lt;"&amp;EDATE(B$6,1))-SUMIFS(Cash[Поток],Cash[Дата],"&lt;="&amp;ДатаОтчета,Cash[Статус],"Проведён",Cash[Тип],"Проценты",Cash[Дата],"&gt;="&amp;B$6,Cash[Дата],"&lt;"&amp;EDATE(B$6,1))</f>
        <v>14977.23</v>
      </c>
      <c r="C30" s="4">
        <f>-SUMIFS(Cash[Поток],Cash[Дата],"&lt;="&amp;ДатаОтчета,Cash[Статус],"Проведён",Cash[Тип],"Тело кредита",Cash[Дата],"&gt;="&amp;C$6,Cash[Дата],"&lt;"&amp;EDATE(C$6,1))-SUMIFS(Cash[Поток],Cash[Дата],"&lt;="&amp;ДатаОтчета,Cash[Статус],"Проведён",Cash[Тип],"Проценты",Cash[Дата],"&gt;="&amp;C$6,Cash[Дата],"&lt;"&amp;EDATE(C$6,1))</f>
        <v>14977.23</v>
      </c>
      <c r="D30" s="4">
        <f>-SUMIFS(Cash[Поток],Cash[Дата],"&lt;="&amp;ДатаОтчета,Cash[Статус],"Проведён",Cash[Тип],"Тело кредита",Cash[Дата],"&gt;="&amp;D$6,Cash[Дата],"&lt;"&amp;EDATE(D$6,1))-SUMIFS(Cash[Поток],Cash[Дата],"&lt;="&amp;ДатаОтчета,Cash[Статус],"Проведён",Cash[Тип],"Проценты",Cash[Дата],"&gt;="&amp;D$6,Cash[Дата],"&lt;"&amp;EDATE(D$6,1))</f>
        <v>14977.23</v>
      </c>
      <c r="E30" s="4">
        <f>-SUMIFS(Cash[Поток],Cash[Дата],"&lt;="&amp;ДатаОтчета,Cash[Статус],"Проведён",Cash[Тип],"Тело кредита",Cash[Дата],"&gt;="&amp;E$6,Cash[Дата],"&lt;"&amp;EDATE(E$6,1))-SUMIFS(Cash[Поток],Cash[Дата],"&lt;="&amp;ДатаОтчета,Cash[Статус],"Проведён",Cash[Тип],"Проценты",Cash[Дата],"&gt;="&amp;E$6,Cash[Дата],"&lt;"&amp;EDATE(E$6,1))</f>
        <v>14977.23</v>
      </c>
      <c r="F30" s="4">
        <f>-SUMIFS(Cash[Поток],Cash[Дата],"&lt;="&amp;ДатаОтчета,Cash[Статус],"Проведён",Cash[Тип],"Тело кредита",Cash[Дата],"&gt;="&amp;F$6,Cash[Дата],"&lt;"&amp;EDATE(F$6,1))-SUMIFS(Cash[Поток],Cash[Дата],"&lt;="&amp;ДатаОтчета,Cash[Статус],"Проведён",Cash[Тип],"Проценты",Cash[Дата],"&gt;="&amp;F$6,Cash[Дата],"&lt;"&amp;EDATE(F$6,1))</f>
        <v>14977.23</v>
      </c>
      <c r="G30" s="4">
        <f>-SUMIFS(Cash[Поток],Cash[Дата],"&lt;="&amp;ДатаОтчета,Cash[Статус],"Проведён",Cash[Тип],"Тело кредита",Cash[Дата],"&gt;="&amp;G$6,Cash[Дата],"&lt;"&amp;EDATE(G$6,1))-SUMIFS(Cash[Поток],Cash[Дата],"&lt;="&amp;ДатаОтчета,Cash[Статус],"Проведён",Cash[Тип],"Проценты",Cash[Дата],"&gt;="&amp;G$6,Cash[Дата],"&lt;"&amp;EDATE(G$6,1))</f>
        <v>39977.229999999996</v>
      </c>
      <c r="H30" s="4">
        <f>-SUMIFS(Cash[Поток],Cash[Дата],"&lt;="&amp;ДатаОтчета,Cash[Статус],"Проведён",Cash[Тип],"Тело кредита",Cash[Дата],"&gt;="&amp;H$6,Cash[Дата],"&lt;"&amp;EDATE(H$6,1))-SUMIFS(Cash[Поток],Cash[Дата],"&lt;="&amp;ДатаОтчета,Cash[Статус],"Проведён",Cash[Тип],"Проценты",Cash[Дата],"&gt;="&amp;H$6,Cash[Дата],"&lt;"&amp;EDATE(H$6,1))</f>
        <v>14977.23</v>
      </c>
      <c r="I30" s="4">
        <f>-SUMIFS(Cash[Поток],Cash[Дата],"&lt;="&amp;ДатаОтчета,Cash[Статус],"Проведён",Cash[Тип],"Тело кредита",Cash[Дата],"&gt;="&amp;I$6,Cash[Дата],"&lt;"&amp;EDATE(I$6,1))-SUMIFS(Cash[Поток],Cash[Дата],"&lt;="&amp;ДатаОтчета,Cash[Статус],"Проведён",Cash[Тип],"Проценты",Cash[Дата],"&gt;="&amp;I$6,Cash[Дата],"&lt;"&amp;EDATE(I$6,1))</f>
        <v>14977.23</v>
      </c>
      <c r="J30" s="4">
        <f>-SUMIFS(Cash[Поток],Cash[Дата],"&lt;="&amp;ДатаОтчета,Cash[Статус],"Проведён",Cash[Тип],"Тело кредита",Cash[Дата],"&gt;="&amp;J$6,Cash[Дата],"&lt;"&amp;EDATE(J$6,1))-SUMIFS(Cash[Поток],Cash[Дата],"&lt;="&amp;ДатаОтчета,Cash[Статус],"Проведён",Cash[Тип],"Проценты",Cash[Дата],"&gt;="&amp;J$6,Cash[Дата],"&lt;"&amp;EDATE(J$6,1))</f>
        <v>14977.23</v>
      </c>
      <c r="K30" s="4">
        <f>-SUMIFS(Cash[Поток],Cash[Дата],"&lt;="&amp;ДатаОтчета,Cash[Статус],"Проведён",Cash[Тип],"Тело кредита",Cash[Дата],"&gt;="&amp;K$6,Cash[Дата],"&lt;"&amp;EDATE(K$6,1))-SUMIFS(Cash[Поток],Cash[Дата],"&lt;="&amp;ДатаОтчета,Cash[Статус],"Проведён",Cash[Тип],"Проценты",Cash[Дата],"&gt;="&amp;K$6,Cash[Дата],"&lt;"&amp;EDATE(K$6,1))</f>
        <v>14977.23</v>
      </c>
      <c r="L30" s="4">
        <f>-SUMIFS(Cash[Поток],Cash[Дата],"&lt;="&amp;ДатаОтчета,Cash[Статус],"Проведён",Cash[Тип],"Тело кредита",Cash[Дата],"&gt;="&amp;L$6,Cash[Дата],"&lt;"&amp;EDATE(L$6,1))-SUMIFS(Cash[Поток],Cash[Дата],"&lt;="&amp;ДатаОтчета,Cash[Статус],"Проведён",Cash[Тип],"Проценты",Cash[Дата],"&gt;="&amp;L$6,Cash[Дата],"&lt;"&amp;EDATE(L$6,1))</f>
        <v>14977.23</v>
      </c>
      <c r="M30" s="4">
        <f>-SUMIFS(Cash[Поток],Cash[Дата],"&lt;="&amp;ДатаОтчета,Cash[Статус],"Проведён",Cash[Тип],"Тело кредита",Cash[Дата],"&gt;="&amp;M$6,Cash[Дата],"&lt;"&amp;EDATE(M$6,1))-SUMIFS(Cash[Поток],Cash[Дата],"&lt;="&amp;ДатаОтчета,Cash[Статус],"Проведён",Cash[Тип],"Проценты",Cash[Дата],"&gt;="&amp;M$6,Cash[Дата],"&lt;"&amp;EDATE(M$6,1))</f>
        <v>14977.230000000001</v>
      </c>
      <c r="N30" s="4">
        <f t="shared" si="4"/>
        <v>204726.76000000004</v>
      </c>
    </row>
    <row r="31" spans="1:14" x14ac:dyDescent="0.25">
      <c r="A31" s="3" t="s">
        <v>250</v>
      </c>
      <c r="B31" s="4">
        <f t="shared" ref="B31:M31" si="9">B30-B12</f>
        <v>-22.770000000000437</v>
      </c>
      <c r="C31" s="4">
        <f t="shared" si="9"/>
        <v>-22.770000000000437</v>
      </c>
      <c r="D31" s="4">
        <f t="shared" si="9"/>
        <v>-22.770000000000437</v>
      </c>
      <c r="E31" s="4">
        <f t="shared" si="9"/>
        <v>-22.770000000000437</v>
      </c>
      <c r="F31" s="4">
        <f t="shared" si="9"/>
        <v>-22.770000000000437</v>
      </c>
      <c r="G31" s="4">
        <f t="shared" si="9"/>
        <v>24977.229999999996</v>
      </c>
      <c r="H31" s="4">
        <f t="shared" si="9"/>
        <v>-22.770000000000437</v>
      </c>
      <c r="I31" s="4">
        <f t="shared" si="9"/>
        <v>-22.770000000000437</v>
      </c>
      <c r="J31" s="4">
        <f t="shared" si="9"/>
        <v>-22.770000000000437</v>
      </c>
      <c r="K31" s="4">
        <f t="shared" si="9"/>
        <v>-22.770000000000437</v>
      </c>
      <c r="L31" s="4">
        <f t="shared" si="9"/>
        <v>-22.770000000000437</v>
      </c>
      <c r="M31" s="4">
        <f t="shared" si="9"/>
        <v>-22.769999999998618</v>
      </c>
      <c r="N31" s="4">
        <f t="shared" si="4"/>
        <v>24726.759999999995</v>
      </c>
    </row>
    <row r="32" spans="1:14" x14ac:dyDescent="0.25">
      <c r="A32" s="15" t="s">
        <v>251</v>
      </c>
      <c r="B32" s="16">
        <f>ДДС!B14</f>
        <v>645622.77</v>
      </c>
      <c r="C32" s="16">
        <f>ДДС!C14</f>
        <v>508045.54</v>
      </c>
      <c r="D32" s="16">
        <f>ДДС!D14</f>
        <v>566868.30999999994</v>
      </c>
      <c r="E32" s="16">
        <f>ДДС!E14</f>
        <v>635891.07999999996</v>
      </c>
      <c r="F32" s="16">
        <f>ДДС!F14</f>
        <v>770313.85</v>
      </c>
      <c r="G32" s="16">
        <f>ДДС!G14</f>
        <v>881936.62</v>
      </c>
      <c r="H32" s="16">
        <f>ДДС!H14</f>
        <v>978159.39</v>
      </c>
      <c r="I32" s="16">
        <f>ДДС!I14</f>
        <v>795982.16</v>
      </c>
      <c r="J32" s="16">
        <f>ДДС!J14</f>
        <v>953004.93</v>
      </c>
      <c r="K32" s="16">
        <f>ДДС!K14</f>
        <v>1130827.7000000002</v>
      </c>
      <c r="L32" s="16">
        <f>ДДС!L14</f>
        <v>1387650.4700000002</v>
      </c>
      <c r="M32" s="16">
        <f>ДДС!M14</f>
        <v>1675043.2400000002</v>
      </c>
      <c r="N32" s="16">
        <f>M32</f>
        <v>1675043.2400000002</v>
      </c>
    </row>
    <row r="33" spans="1:14" x14ac:dyDescent="0.25">
      <c r="A33" s="3" t="s">
        <v>252</v>
      </c>
      <c r="B33" s="4">
        <f t="shared" ref="B33:M33" si="10">B32-B15</f>
        <v>585622.77</v>
      </c>
      <c r="C33" s="4">
        <f t="shared" si="10"/>
        <v>388045.54</v>
      </c>
      <c r="D33" s="4">
        <f t="shared" si="10"/>
        <v>386868.30999999994</v>
      </c>
      <c r="E33" s="4">
        <f t="shared" si="10"/>
        <v>395891.07999999996</v>
      </c>
      <c r="F33" s="4">
        <f t="shared" si="10"/>
        <v>470313.85</v>
      </c>
      <c r="G33" s="4">
        <f t="shared" si="10"/>
        <v>521936.62</v>
      </c>
      <c r="H33" s="4">
        <f t="shared" si="10"/>
        <v>558159.39</v>
      </c>
      <c r="I33" s="4">
        <f t="shared" si="10"/>
        <v>315982.16000000003</v>
      </c>
      <c r="J33" s="4">
        <f t="shared" si="10"/>
        <v>413004.93000000005</v>
      </c>
      <c r="K33" s="4">
        <f t="shared" si="10"/>
        <v>530827.70000000019</v>
      </c>
      <c r="L33" s="4">
        <f t="shared" si="10"/>
        <v>727650.4700000002</v>
      </c>
      <c r="M33" s="4">
        <f t="shared" si="10"/>
        <v>955043.24000000022</v>
      </c>
      <c r="N33" s="4">
        <f>M33</f>
        <v>955043.24000000022</v>
      </c>
    </row>
    <row r="35" spans="1:14" x14ac:dyDescent="0.25">
      <c r="A35" s="3" t="s">
        <v>253</v>
      </c>
      <c r="B35" s="17">
        <f t="shared" ref="B35:N35" si="11">IF(B8=0,"н/д",(B22-B8)/B8)</f>
        <v>-0.23200000000000001</v>
      </c>
      <c r="C35" s="17">
        <f t="shared" si="11"/>
        <v>-0.67085714285714282</v>
      </c>
      <c r="D35" s="17">
        <f t="shared" si="11"/>
        <v>-6.7428571428571435E-2</v>
      </c>
      <c r="E35" s="17">
        <f t="shared" si="11"/>
        <v>5.7142857142857143E-3</v>
      </c>
      <c r="F35" s="17">
        <f t="shared" si="11"/>
        <v>6.0571428571428575E-2</v>
      </c>
      <c r="G35" s="17">
        <f t="shared" si="11"/>
        <v>0.1337142857142857</v>
      </c>
      <c r="H35" s="17">
        <f t="shared" si="11"/>
        <v>7.8857142857142862E-2</v>
      </c>
      <c r="I35" s="17">
        <f t="shared" si="11"/>
        <v>-0.61599999999999999</v>
      </c>
      <c r="J35" s="17">
        <f t="shared" si="11"/>
        <v>0.18857142857142858</v>
      </c>
      <c r="K35" s="17">
        <f t="shared" si="11"/>
        <v>0.29828571428571427</v>
      </c>
      <c r="L35" s="17">
        <f t="shared" si="11"/>
        <v>0.38971428571428574</v>
      </c>
      <c r="M35" s="17">
        <f t="shared" si="11"/>
        <v>0.49942857142857144</v>
      </c>
      <c r="N35" s="17">
        <f t="shared" si="11"/>
        <v>5.7142857142857143E-3</v>
      </c>
    </row>
    <row r="36" spans="1:14" x14ac:dyDescent="0.25">
      <c r="A36" s="3" t="s">
        <v>254</v>
      </c>
      <c r="B36" s="17">
        <f t="shared" ref="B36:N36" si="12">IF(B9=0,"н/д",(B24-B9)/B9)</f>
        <v>-5.7692307692307696E-2</v>
      </c>
      <c r="C36" s="17">
        <f t="shared" si="12"/>
        <v>-5.7692307692307696E-2</v>
      </c>
      <c r="D36" s="17">
        <f t="shared" si="12"/>
        <v>-5.7692307692307696E-2</v>
      </c>
      <c r="E36" s="17">
        <f t="shared" si="12"/>
        <v>-5.7692307692307696E-2</v>
      </c>
      <c r="F36" s="17">
        <f t="shared" si="12"/>
        <v>-5.7692307692307696E-2</v>
      </c>
      <c r="G36" s="17">
        <f t="shared" si="12"/>
        <v>-5.7692307692307696E-2</v>
      </c>
      <c r="H36" s="17">
        <f t="shared" si="12"/>
        <v>-5.7692307692307696E-2</v>
      </c>
      <c r="I36" s="17">
        <f t="shared" si="12"/>
        <v>0.19230769230769232</v>
      </c>
      <c r="J36" s="17">
        <f t="shared" si="12"/>
        <v>-5.7692307692307696E-2</v>
      </c>
      <c r="K36" s="17">
        <f t="shared" si="12"/>
        <v>-5.7692307692307696E-2</v>
      </c>
      <c r="L36" s="17">
        <f t="shared" si="12"/>
        <v>-5.7692307692307696E-2</v>
      </c>
      <c r="M36" s="17">
        <f t="shared" si="12"/>
        <v>-5.7692307692307696E-2</v>
      </c>
      <c r="N36" s="17">
        <f t="shared" si="12"/>
        <v>-3.685897435897436E-2</v>
      </c>
    </row>
    <row r="37" spans="1:14" x14ac:dyDescent="0.25">
      <c r="A37" s="3" t="s">
        <v>255</v>
      </c>
      <c r="B37" s="17">
        <f t="shared" ref="B37:N37" si="13">IF(B10=0,"н/д",(B26-B10)/B10)</f>
        <v>3.9416666666666669E-2</v>
      </c>
      <c r="C37" s="17">
        <f t="shared" si="13"/>
        <v>-0.42058333333333331</v>
      </c>
      <c r="D37" s="17">
        <f t="shared" si="13"/>
        <v>0.34241666666666665</v>
      </c>
      <c r="E37" s="17">
        <f t="shared" si="13"/>
        <v>0.44274999999999998</v>
      </c>
      <c r="F37" s="17">
        <f t="shared" si="13"/>
        <v>0.51275000000000004</v>
      </c>
      <c r="G37" s="17">
        <f t="shared" si="13"/>
        <v>0.60608333333333331</v>
      </c>
      <c r="H37" s="17">
        <f t="shared" si="13"/>
        <v>0.53608333333333336</v>
      </c>
      <c r="I37" s="17">
        <f t="shared" si="13"/>
        <v>-0.35058333333333336</v>
      </c>
      <c r="J37" s="17">
        <f t="shared" si="13"/>
        <v>0.67608333333333337</v>
      </c>
      <c r="K37" s="17">
        <f t="shared" si="13"/>
        <v>0.81608333333333338</v>
      </c>
      <c r="L37" s="17">
        <f t="shared" si="13"/>
        <v>0.93274999999999997</v>
      </c>
      <c r="M37" s="17">
        <f t="shared" si="13"/>
        <v>0.93498999999999943</v>
      </c>
      <c r="N37" s="17">
        <f t="shared" si="13"/>
        <v>0.42235333333333319</v>
      </c>
    </row>
    <row r="38" spans="1:14" x14ac:dyDescent="0.25">
      <c r="A38" s="3" t="s">
        <v>256</v>
      </c>
      <c r="B38" s="17">
        <f t="shared" ref="B38:N38" si="14">IF(B11=0,"н/д",(B28-B11)/B11)</f>
        <v>0</v>
      </c>
      <c r="C38" s="17" t="str">
        <f t="shared" si="14"/>
        <v>н/д</v>
      </c>
      <c r="D38" s="17" t="str">
        <f t="shared" si="14"/>
        <v>н/д</v>
      </c>
      <c r="E38" s="17" t="str">
        <f t="shared" si="14"/>
        <v>н/д</v>
      </c>
      <c r="F38" s="17" t="str">
        <f t="shared" si="14"/>
        <v>н/д</v>
      </c>
      <c r="G38" s="17" t="str">
        <f t="shared" si="14"/>
        <v>н/д</v>
      </c>
      <c r="H38" s="17" t="str">
        <f t="shared" si="14"/>
        <v>н/д</v>
      </c>
      <c r="I38" s="17" t="str">
        <f t="shared" si="14"/>
        <v>н/д</v>
      </c>
      <c r="J38" s="17" t="str">
        <f t="shared" si="14"/>
        <v>н/д</v>
      </c>
      <c r="K38" s="17" t="str">
        <f t="shared" si="14"/>
        <v>н/д</v>
      </c>
      <c r="L38" s="17" t="str">
        <f t="shared" si="14"/>
        <v>н/д</v>
      </c>
      <c r="M38" s="17" t="str">
        <f t="shared" si="14"/>
        <v>н/д</v>
      </c>
      <c r="N38" s="17">
        <f t="shared" si="14"/>
        <v>0</v>
      </c>
    </row>
    <row r="39" spans="1:14" x14ac:dyDescent="0.25">
      <c r="A39" s="3" t="s">
        <v>257</v>
      </c>
      <c r="B39" s="17">
        <f t="shared" ref="B39:N39" si="15">IF(B12=0,"н/д",(B30-B12)/B12)</f>
        <v>-1.5180000000000291E-3</v>
      </c>
      <c r="C39" s="17">
        <f t="shared" si="15"/>
        <v>-1.5180000000000291E-3</v>
      </c>
      <c r="D39" s="17">
        <f t="shared" si="15"/>
        <v>-1.5180000000000291E-3</v>
      </c>
      <c r="E39" s="17">
        <f t="shared" si="15"/>
        <v>-1.5180000000000291E-3</v>
      </c>
      <c r="F39" s="17">
        <f t="shared" si="15"/>
        <v>-1.5180000000000291E-3</v>
      </c>
      <c r="G39" s="17">
        <f t="shared" si="15"/>
        <v>1.6651486666666664</v>
      </c>
      <c r="H39" s="17">
        <f t="shared" si="15"/>
        <v>-1.5180000000000291E-3</v>
      </c>
      <c r="I39" s="17">
        <f t="shared" si="15"/>
        <v>-1.5180000000000291E-3</v>
      </c>
      <c r="J39" s="17">
        <f t="shared" si="15"/>
        <v>-1.5180000000000291E-3</v>
      </c>
      <c r="K39" s="17">
        <f t="shared" si="15"/>
        <v>-1.5180000000000291E-3</v>
      </c>
      <c r="L39" s="17">
        <f t="shared" si="15"/>
        <v>-1.5180000000000291E-3</v>
      </c>
      <c r="M39" s="17">
        <f t="shared" si="15"/>
        <v>-1.5179999999999079E-3</v>
      </c>
      <c r="N39" s="17">
        <f t="shared" si="15"/>
        <v>0.1373708888888891</v>
      </c>
    </row>
    <row r="40" spans="1:14" x14ac:dyDescent="0.25">
      <c r="A40" s="3" t="s">
        <v>258</v>
      </c>
      <c r="B40" s="17">
        <f t="shared" ref="B40:N40" si="16">IF(B15=0,"н/д",(B32-B15)/B15)</f>
        <v>9.7603795000000009</v>
      </c>
      <c r="C40" s="17">
        <f t="shared" si="16"/>
        <v>3.2337128333333331</v>
      </c>
      <c r="D40" s="17">
        <f t="shared" si="16"/>
        <v>2.1492683888888884</v>
      </c>
      <c r="E40" s="17">
        <f t="shared" si="16"/>
        <v>1.6495461666666664</v>
      </c>
      <c r="F40" s="17">
        <f t="shared" si="16"/>
        <v>1.5677128333333332</v>
      </c>
      <c r="G40" s="17">
        <f t="shared" si="16"/>
        <v>1.4498239444444445</v>
      </c>
      <c r="H40" s="17">
        <f t="shared" si="16"/>
        <v>1.3289509285714287</v>
      </c>
      <c r="I40" s="17">
        <f t="shared" si="16"/>
        <v>0.65829616666666668</v>
      </c>
      <c r="J40" s="17">
        <f t="shared" si="16"/>
        <v>0.76482394444444457</v>
      </c>
      <c r="K40" s="17">
        <f t="shared" si="16"/>
        <v>0.88471283333333361</v>
      </c>
      <c r="L40" s="17">
        <f t="shared" si="16"/>
        <v>1.1025007121212125</v>
      </c>
      <c r="M40" s="17">
        <f t="shared" si="16"/>
        <v>1.3264489444444447</v>
      </c>
      <c r="N40" s="17">
        <f t="shared" si="16"/>
        <v>1.3264489444444447</v>
      </c>
    </row>
  </sheetData>
  <hyperlinks>
    <hyperlink ref="A1" location="'ПАНЕЛЬ'!A1" display="Главная панель" xr:uid="{00000000-0004-0000-0600-000000000000}"/>
    <hyperlink ref="D1" location="'НАСТРОЙКИ'!A1" display="Настройки" xr:uid="{00000000-0004-0000-0600-000001000000}"/>
    <hyperlink ref="F1" location="'КОНТРОЛЬ'!A1" display="Контроль" xr:uid="{00000000-0004-0000-06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Right="0"/>
    <pageSetUpPr fitToPage="1"/>
  </sheetPr>
  <dimension ref="A1:F16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3" customWidth="1"/>
    <col min="2" max="2" width="17" customWidth="1"/>
    <col min="3" max="3" width="76" customWidth="1"/>
    <col min="4" max="14" width="17" customWidth="1"/>
  </cols>
  <sheetData>
    <row r="1" spans="1:6" x14ac:dyDescent="0.25">
      <c r="A1" s="1" t="s">
        <v>0</v>
      </c>
      <c r="D1" s="2" t="s">
        <v>1</v>
      </c>
      <c r="F1" s="2" t="s">
        <v>2</v>
      </c>
    </row>
    <row r="2" spans="1:6" ht="30" customHeight="1" x14ac:dyDescent="0.25">
      <c r="A2" s="9" t="s">
        <v>18</v>
      </c>
    </row>
    <row r="3" spans="1:6" x14ac:dyDescent="0.25">
      <c r="A3" s="10" t="s">
        <v>36</v>
      </c>
    </row>
    <row r="6" spans="1:6" ht="35.1" customHeight="1" x14ac:dyDescent="0.25">
      <c r="A6" s="7" t="s">
        <v>33</v>
      </c>
      <c r="B6" s="7" t="s">
        <v>38</v>
      </c>
      <c r="C6" s="7" t="s">
        <v>39</v>
      </c>
    </row>
    <row r="7" spans="1:6" x14ac:dyDescent="0.25">
      <c r="A7" s="3" t="s">
        <v>259</v>
      </c>
      <c r="B7" s="5">
        <f>IF(НАСТРОЙКИ!B26&gt;0,НАСТРОЙКИ!B26,SUM(ОПиУ!B10:M10)/MAX(1,MONTH(ДатаОтчета)))</f>
        <v>250416.66666666666</v>
      </c>
      <c r="C7" s="3" t="s">
        <v>260</v>
      </c>
    </row>
    <row r="8" spans="1:6" x14ac:dyDescent="0.25">
      <c r="A8" s="3" t="s">
        <v>261</v>
      </c>
      <c r="B8" s="4">
        <f>МесяцыРезерва</f>
        <v>3</v>
      </c>
      <c r="C8" s="3" t="s">
        <v>262</v>
      </c>
    </row>
    <row r="9" spans="1:6" x14ac:dyDescent="0.25">
      <c r="A9" s="3" t="s">
        <v>263</v>
      </c>
      <c r="B9" s="4">
        <f>B7*B8</f>
        <v>751250</v>
      </c>
      <c r="C9" s="3" t="s">
        <v>264</v>
      </c>
    </row>
    <row r="10" spans="1:6" x14ac:dyDescent="0.25">
      <c r="A10" s="3" t="s">
        <v>265</v>
      </c>
      <c r="B10" s="5">
        <f>СЧЕТА!B21</f>
        <v>180000</v>
      </c>
      <c r="C10" s="3" t="s">
        <v>266</v>
      </c>
    </row>
    <row r="11" spans="1:6" x14ac:dyDescent="0.25">
      <c r="A11" s="3" t="s">
        <v>267</v>
      </c>
      <c r="B11" s="4">
        <f>MAX(0,B9-B10)</f>
        <v>571250</v>
      </c>
      <c r="C11" s="3" t="s">
        <v>268</v>
      </c>
    </row>
    <row r="12" spans="1:6" x14ac:dyDescent="0.25">
      <c r="A12" s="3" t="s">
        <v>269</v>
      </c>
      <c r="B12" s="17">
        <f>IF(B9=0,"н/д",B10/B9)</f>
        <v>0.23960066555740434</v>
      </c>
      <c r="C12" s="3" t="s">
        <v>270</v>
      </c>
    </row>
    <row r="13" spans="1:6" x14ac:dyDescent="0.25">
      <c r="A13" s="3" t="s">
        <v>271</v>
      </c>
      <c r="B13" s="33">
        <f>IF(B7=0,"н/д",B10/B7)</f>
        <v>0.71880199667221301</v>
      </c>
      <c r="C13" s="3" t="s">
        <v>272</v>
      </c>
    </row>
    <row r="14" spans="1:6" x14ac:dyDescent="0.25">
      <c r="A14" s="3" t="s">
        <v>273</v>
      </c>
      <c r="B14" s="5">
        <f>НАСТРОЙКИ!B25</f>
        <v>15000</v>
      </c>
      <c r="C14" s="3" t="s">
        <v>274</v>
      </c>
    </row>
    <row r="15" spans="1:6" x14ac:dyDescent="0.25">
      <c r="A15" s="3" t="s">
        <v>275</v>
      </c>
      <c r="B15" s="4">
        <f>IF(B11=0,0,IF(B14&lt;=0,"н/д",ROUNDUP(B11/B14,0)))</f>
        <v>39</v>
      </c>
      <c r="C15" s="3" t="s">
        <v>276</v>
      </c>
    </row>
    <row r="16" spans="1:6" x14ac:dyDescent="0.25">
      <c r="A16" s="3" t="s">
        <v>277</v>
      </c>
      <c r="B16" s="4" t="str">
        <f>IF(B10&gt;=B9,"Резерв достаточен","Резерв ниже цели")</f>
        <v>Резерв ниже цели</v>
      </c>
      <c r="C16" s="3"/>
    </row>
  </sheetData>
  <hyperlinks>
    <hyperlink ref="A1" location="'ПАНЕЛЬ'!A1" display="Главная панель" xr:uid="{00000000-0004-0000-0700-000000000000}"/>
    <hyperlink ref="D1" location="'НАСТРОЙКИ'!A1" display="Настройки" xr:uid="{00000000-0004-0000-0700-000001000000}"/>
    <hyperlink ref="F1" location="'КОНТРОЛЬ'!A1" display="Контроль" xr:uid="{00000000-0004-0000-07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Right="0"/>
    <pageSetUpPr fitToPage="1"/>
  </sheetPr>
  <dimension ref="A1:F26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3" customWidth="1"/>
    <col min="2" max="2" width="17" customWidth="1"/>
    <col min="3" max="3" width="23" customWidth="1"/>
    <col min="4" max="14" width="17" customWidth="1"/>
  </cols>
  <sheetData>
    <row r="1" spans="1:6" x14ac:dyDescent="0.25">
      <c r="A1" s="1" t="s">
        <v>0</v>
      </c>
      <c r="D1" s="2" t="s">
        <v>1</v>
      </c>
      <c r="F1" s="2" t="s">
        <v>2</v>
      </c>
    </row>
    <row r="2" spans="1:6" ht="30" customHeight="1" x14ac:dyDescent="0.25">
      <c r="A2" s="9" t="s">
        <v>19</v>
      </c>
    </row>
    <row r="3" spans="1:6" x14ac:dyDescent="0.25">
      <c r="A3" s="10" t="s">
        <v>36</v>
      </c>
    </row>
    <row r="6" spans="1:6" ht="35.1" customHeight="1" x14ac:dyDescent="0.25">
      <c r="A6" s="7" t="s">
        <v>33</v>
      </c>
      <c r="B6" s="7" t="s">
        <v>137</v>
      </c>
      <c r="C6" s="7" t="s">
        <v>138</v>
      </c>
    </row>
    <row r="7" spans="1:6" x14ac:dyDescent="0.25">
      <c r="A7" s="3" t="s">
        <v>7</v>
      </c>
      <c r="B7" s="5">
        <f>СЧЕТА!B19</f>
        <v>1675043.2399999993</v>
      </c>
      <c r="C7" s="3" t="s">
        <v>278</v>
      </c>
    </row>
    <row r="8" spans="1:6" x14ac:dyDescent="0.25">
      <c r="A8" s="3" t="s">
        <v>148</v>
      </c>
      <c r="B8" s="5">
        <f>БАЛАНС!B16</f>
        <v>319657.19999999995</v>
      </c>
      <c r="C8" s="3" t="s">
        <v>279</v>
      </c>
    </row>
    <row r="9" spans="1:6" x14ac:dyDescent="0.25">
      <c r="A9" s="3" t="s">
        <v>145</v>
      </c>
      <c r="B9" s="5">
        <f>БАЛАНС!B14</f>
        <v>131200</v>
      </c>
      <c r="C9" s="3" t="s">
        <v>280</v>
      </c>
    </row>
    <row r="10" spans="1:6" x14ac:dyDescent="0.25">
      <c r="A10" s="3" t="s">
        <v>281</v>
      </c>
      <c r="B10" s="5">
        <f>MAX(РЕЗЕРВЫ!B9,РЕЗЕРВЫ!B10)</f>
        <v>751250</v>
      </c>
      <c r="C10" s="3" t="s">
        <v>282</v>
      </c>
    </row>
    <row r="11" spans="1:6" x14ac:dyDescent="0.25">
      <c r="A11" s="3" t="s">
        <v>283</v>
      </c>
      <c r="B11" s="5">
        <f>SUMIFS(КРЕДИТ!D20:D79,КРЕДИТ!A20:A79,"&gt;"&amp;ДатаОтчета,КРЕДИТ!A20:A79,"&lt;="&amp;ДатаОтчета+30)</f>
        <v>14977.23</v>
      </c>
      <c r="C11" s="3" t="s">
        <v>284</v>
      </c>
    </row>
    <row r="12" spans="1:6" x14ac:dyDescent="0.25">
      <c r="A12" s="3" t="s">
        <v>285</v>
      </c>
      <c r="B12" s="12">
        <v>0</v>
      </c>
      <c r="C12" s="3" t="s">
        <v>286</v>
      </c>
    </row>
    <row r="13" spans="1:6" x14ac:dyDescent="0.25">
      <c r="A13" s="3" t="s">
        <v>287</v>
      </c>
      <c r="B13" s="4">
        <f>MAX(0,B7-SUM(B8:B12))</f>
        <v>457958.80999999936</v>
      </c>
      <c r="C13" s="3" t="s">
        <v>288</v>
      </c>
    </row>
    <row r="16" spans="1:6" ht="33.950000000000003" customHeight="1" x14ac:dyDescent="0.25">
      <c r="A16" s="7" t="s">
        <v>289</v>
      </c>
      <c r="B16" s="7" t="s">
        <v>290</v>
      </c>
      <c r="C16" s="7" t="s">
        <v>291</v>
      </c>
      <c r="D16" s="7" t="s">
        <v>292</v>
      </c>
      <c r="E16" s="7" t="s">
        <v>293</v>
      </c>
    </row>
    <row r="17" spans="1:5" x14ac:dyDescent="0.25">
      <c r="A17" s="3" t="s">
        <v>294</v>
      </c>
      <c r="B17" s="14">
        <v>0.2</v>
      </c>
      <c r="C17" s="4">
        <f t="shared" ref="C17:C23" si="0">IF(ABS(SUM($B$17:$B$23)-1)&gt;0.000001,0,$B$13*B17)</f>
        <v>91591.761999999871</v>
      </c>
      <c r="D17" s="4">
        <f>-SUMIFS(Cash[Поток],Cash[Дата],"&lt;="&amp;ДатаОтчета,Cash[Статус],"Проведён",Cash[Распределение],A17,Cash[Поток],"&lt;0")</f>
        <v>0</v>
      </c>
      <c r="E17" s="4">
        <f t="shared" ref="E17:E23" si="1">D17-C17</f>
        <v>-91591.761999999871</v>
      </c>
    </row>
    <row r="18" spans="1:5" x14ac:dyDescent="0.25">
      <c r="A18" s="3" t="s">
        <v>295</v>
      </c>
      <c r="B18" s="14">
        <v>0.2</v>
      </c>
      <c r="C18" s="4">
        <f t="shared" si="0"/>
        <v>91591.761999999871</v>
      </c>
      <c r="D18" s="4">
        <f>-SUMIFS(Cash[Поток],Cash[Дата],"&lt;="&amp;ДатаОтчета,Cash[Статус],"Проведён",Cash[Распределение],A18,Cash[Поток],"&lt;0")</f>
        <v>605000</v>
      </c>
      <c r="E18" s="4">
        <f t="shared" si="1"/>
        <v>513408.23800000013</v>
      </c>
    </row>
    <row r="19" spans="1:5" x14ac:dyDescent="0.25">
      <c r="A19" s="3" t="s">
        <v>296</v>
      </c>
      <c r="B19" s="14">
        <v>0.15</v>
      </c>
      <c r="C19" s="4">
        <f t="shared" si="0"/>
        <v>68693.821499999904</v>
      </c>
      <c r="D19" s="4">
        <f>-SUMIFS(Cash[Поток],Cash[Дата],"&lt;="&amp;ДатаОтчета,Cash[Статус],"Проведён",Cash[Распределение],A19,Cash[Поток],"&lt;0")</f>
        <v>180000</v>
      </c>
      <c r="E19" s="4">
        <f t="shared" si="1"/>
        <v>111306.1785000001</v>
      </c>
    </row>
    <row r="20" spans="1:5" x14ac:dyDescent="0.25">
      <c r="A20" s="3" t="s">
        <v>297</v>
      </c>
      <c r="B20" s="14">
        <v>0.1</v>
      </c>
      <c r="C20" s="4">
        <f t="shared" si="0"/>
        <v>45795.880999999936</v>
      </c>
      <c r="D20" s="4">
        <f>-SUMIFS(Cash[Поток],Cash[Дата],"&lt;="&amp;ДатаОтчета,Cash[Статус],"Проведён",Cash[Распределение],A20,Cash[Поток],"&lt;0")</f>
        <v>0</v>
      </c>
      <c r="E20" s="4">
        <f t="shared" si="1"/>
        <v>-45795.880999999936</v>
      </c>
    </row>
    <row r="21" spans="1:5" x14ac:dyDescent="0.25">
      <c r="A21" s="3" t="s">
        <v>298</v>
      </c>
      <c r="B21" s="14">
        <v>0.1</v>
      </c>
      <c r="C21" s="4">
        <f t="shared" si="0"/>
        <v>45795.880999999936</v>
      </c>
      <c r="D21" s="4">
        <f>-SUMIFS(Cash[Поток],Cash[Дата],"&lt;="&amp;ДатаОтчета,Cash[Статус],"Проведён",Cash[Распределение],A21,Cash[Поток],"&lt;0")</f>
        <v>0</v>
      </c>
      <c r="E21" s="4">
        <f t="shared" si="1"/>
        <v>-45795.880999999936</v>
      </c>
    </row>
    <row r="22" spans="1:5" x14ac:dyDescent="0.25">
      <c r="A22" s="3" t="s">
        <v>299</v>
      </c>
      <c r="B22" s="14">
        <v>0.15</v>
      </c>
      <c r="C22" s="4">
        <f t="shared" si="0"/>
        <v>68693.821499999904</v>
      </c>
      <c r="D22" s="4">
        <f>SUMIFS(Cash[Сумма],Cash[Дата],"&lt;="&amp;ДатаОтчета,Cash[Статус],"Проведён",Cash[Тип],"Перевод",Cash[Счёт получателя],"Резерв")</f>
        <v>180000</v>
      </c>
      <c r="E22" s="4">
        <f t="shared" si="1"/>
        <v>111306.1785000001</v>
      </c>
    </row>
    <row r="23" spans="1:5" x14ac:dyDescent="0.25">
      <c r="A23" s="3" t="s">
        <v>300</v>
      </c>
      <c r="B23" s="14">
        <v>0.1</v>
      </c>
      <c r="C23" s="4">
        <f t="shared" si="0"/>
        <v>45795.880999999936</v>
      </c>
      <c r="D23" s="4">
        <f>-SUMIFS(Cash[Поток],Cash[Дата],"&lt;="&amp;ДатаОтчета,Cash[Статус],"Проведён",Cash[Распределение],A23,Cash[Поток],"&lt;0")</f>
        <v>100000</v>
      </c>
      <c r="E23" s="4">
        <f t="shared" si="1"/>
        <v>54204.119000000064</v>
      </c>
    </row>
    <row r="25" spans="1:5" x14ac:dyDescent="0.25">
      <c r="A25" s="3" t="s">
        <v>301</v>
      </c>
      <c r="B25" s="17">
        <f>SUM(B17:B23)</f>
        <v>1</v>
      </c>
    </row>
    <row r="26" spans="1:5" x14ac:dyDescent="0.25">
      <c r="A26" s="3" t="s">
        <v>302</v>
      </c>
      <c r="B26" s="4" t="str">
        <f>IF(ABS(B25-1)&lt;0.000001,"ОК","ОШИБКА: доли должны дать 100%")</f>
        <v>ОК</v>
      </c>
    </row>
  </sheetData>
  <dataValidations count="1">
    <dataValidation type="decimal" allowBlank="1" showErrorMessage="1" errorTitle="Проверьте ввод" error="Выберите значение из списка или исправьте число." sqref="B17:B23" xr:uid="{00000000-0002-0000-0800-000000000000}">
      <formula1>0</formula1>
      <formula2>1</formula2>
    </dataValidation>
  </dataValidations>
  <hyperlinks>
    <hyperlink ref="A1" location="'ПАНЕЛЬ'!A1" display="Главная панель" xr:uid="{00000000-0004-0000-0800-000000000000}"/>
    <hyperlink ref="D1" location="'НАСТРОЙКИ'!A1" display="Настройки" xr:uid="{00000000-0004-0000-0800-000001000000}"/>
    <hyperlink ref="F1" location="'КОНТРОЛЬ'!A1" display="Контроль" xr:uid="{00000000-0004-0000-08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Right="0"/>
    <pageSetUpPr fitToPage="1"/>
  </sheetPr>
  <dimension ref="A1:N30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9" customWidth="1"/>
    <col min="2" max="14" width="17" customWidth="1"/>
  </cols>
  <sheetData>
    <row r="1" spans="1:14" x14ac:dyDescent="0.25">
      <c r="A1" s="1" t="s">
        <v>0</v>
      </c>
      <c r="D1" s="2" t="s">
        <v>1</v>
      </c>
      <c r="F1" s="2" t="s">
        <v>2</v>
      </c>
    </row>
    <row r="2" spans="1:14" ht="30" customHeight="1" x14ac:dyDescent="0.25">
      <c r="A2" s="9" t="s">
        <v>20</v>
      </c>
    </row>
    <row r="3" spans="1:14" x14ac:dyDescent="0.25">
      <c r="A3" s="10" t="s">
        <v>36</v>
      </c>
    </row>
    <row r="4" spans="1:14" x14ac:dyDescent="0.25">
      <c r="A4" s="3" t="s">
        <v>303</v>
      </c>
      <c r="B4" s="4" t="str">
        <f>Сценарий</f>
        <v>Базовый</v>
      </c>
    </row>
    <row r="6" spans="1:14" ht="35.1" customHeight="1" x14ac:dyDescent="0.25">
      <c r="A6" s="29" t="s">
        <v>33</v>
      </c>
      <c r="B6" s="30">
        <f>EDATE(DATE(YEAR(ДатаОтчета),MONTH(ДатаОтчета),1),1)</f>
        <v>46388</v>
      </c>
      <c r="C6" s="30">
        <f>EDATE(DATE(YEAR(ДатаОтчета),MONTH(ДатаОтчета),1),2)</f>
        <v>46419</v>
      </c>
      <c r="D6" s="30">
        <f>EDATE(DATE(YEAR(ДатаОтчета),MONTH(ДатаОтчета),1),3)</f>
        <v>46447</v>
      </c>
      <c r="E6" s="30">
        <f>EDATE(DATE(YEAR(ДатаОтчета),MONTH(ДатаОтчета),1),4)</f>
        <v>46478</v>
      </c>
      <c r="F6" s="30">
        <f>EDATE(DATE(YEAR(ДатаОтчета),MONTH(ДатаОтчета),1),5)</f>
        <v>46508</v>
      </c>
      <c r="G6" s="30">
        <f>EDATE(DATE(YEAR(ДатаОтчета),MONTH(ДатаОтчета),1),6)</f>
        <v>46539</v>
      </c>
      <c r="H6" s="30">
        <f>EDATE(DATE(YEAR(ДатаОтчета),MONTH(ДатаОтчета),1),7)</f>
        <v>46569</v>
      </c>
      <c r="I6" s="30">
        <f>EDATE(DATE(YEAR(ДатаОтчета),MONTH(ДатаОтчета),1),8)</f>
        <v>46600</v>
      </c>
      <c r="J6" s="30">
        <f>EDATE(DATE(YEAR(ДатаОтчета),MONTH(ДатаОтчета),1),9)</f>
        <v>46631</v>
      </c>
      <c r="K6" s="30">
        <f>EDATE(DATE(YEAR(ДатаОтчета),MONTH(ДатаОтчета),1),10)</f>
        <v>46661</v>
      </c>
      <c r="L6" s="30">
        <f>EDATE(DATE(YEAR(ДатаОтчета),MONTH(ДатаОтчета),1),11)</f>
        <v>46692</v>
      </c>
      <c r="M6" s="30">
        <f>EDATE(DATE(YEAR(ДатаОтчета),MONTH(ДатаОтчета),1),12)</f>
        <v>46722</v>
      </c>
      <c r="N6" s="29" t="s">
        <v>113</v>
      </c>
    </row>
    <row r="7" spans="1:14" x14ac:dyDescent="0.25">
      <c r="A7" s="3" t="s">
        <v>5</v>
      </c>
      <c r="B7" s="5">
        <f>(SUMIFS(ОПиУ!$B$7:$M$7,ОПиУ!$B$6:$M$6,"&gt;="&amp;EDATE(DATE(Год,MONTH(ДатаОтчета),1),-2),ОПиУ!$B$6:$M$6,"&lt;="&amp;ДатаОтчета)/MIN(3,MONTH(ДатаОтчета)))*(1-РИСКИ!$F$10)*(1+РИСКИ!$F$7)</f>
        <v>778600</v>
      </c>
      <c r="C7" s="5">
        <f>B7*(1+РИСКИ!$F$7)</f>
        <v>794172</v>
      </c>
      <c r="D7" s="5">
        <f>C7*(1+РИСКИ!$F$7)</f>
        <v>810055.44000000006</v>
      </c>
      <c r="E7" s="5">
        <f>D7*(1+РИСКИ!$F$7)</f>
        <v>826256.54880000011</v>
      </c>
      <c r="F7" s="5">
        <f>E7*(1+РИСКИ!$F$7)</f>
        <v>842781.67977600009</v>
      </c>
      <c r="G7" s="5">
        <f>F7*(1+РИСКИ!$F$7)</f>
        <v>859637.31337152014</v>
      </c>
      <c r="H7" s="5">
        <f>G7*(1+РИСКИ!$F$7)</f>
        <v>876830.05963895051</v>
      </c>
      <c r="I7" s="5">
        <f>H7*(1+РИСКИ!$F$7)</f>
        <v>894366.66083172953</v>
      </c>
      <c r="J7" s="5">
        <f>I7*(1+РИСКИ!$F$7)</f>
        <v>912253.99404836411</v>
      </c>
      <c r="K7" s="5">
        <f>J7*(1+РИСКИ!$F$7)</f>
        <v>930499.07392933138</v>
      </c>
      <c r="L7" s="5">
        <f>K7*(1+РИСКИ!$F$7)</f>
        <v>949109.05540791806</v>
      </c>
      <c r="M7" s="5">
        <f>L7*(1+РИСКИ!$F$7)</f>
        <v>968091.23651607649</v>
      </c>
      <c r="N7" s="4">
        <f t="shared" ref="N7:N13" si="0">SUM(B7:M7)</f>
        <v>10442653.062319893</v>
      </c>
    </row>
    <row r="8" spans="1:14" x14ac:dyDescent="0.25">
      <c r="A8" s="3" t="s">
        <v>304</v>
      </c>
      <c r="B8" s="5">
        <f>B7*IF(ОПиУ!$N$7=0,0,ОПиУ!$N$8/ОПиУ!$N$7)</f>
        <v>249265.30241018644</v>
      </c>
      <c r="C8" s="5">
        <f>C7*IF(ОПиУ!$N$7=0,0,ОПиУ!$N$8/ОПиУ!$N$7)</f>
        <v>254250.60845839017</v>
      </c>
      <c r="D8" s="5">
        <f>D7*IF(ОПиУ!$N$7=0,0,ОПиУ!$N$8/ОПиУ!$N$7)</f>
        <v>259335.62062755798</v>
      </c>
      <c r="E8" s="5">
        <f>E7*IF(ОПиУ!$N$7=0,0,ОПиУ!$N$8/ОПиУ!$N$7)</f>
        <v>264522.33304010914</v>
      </c>
      <c r="F8" s="5">
        <f>F7*IF(ОПиУ!$N$7=0,0,ОПиУ!$N$8/ОПиУ!$N$7)</f>
        <v>269812.77970091131</v>
      </c>
      <c r="G8" s="5">
        <f>G7*IF(ОПиУ!$N$7=0,0,ОПиУ!$N$8/ОПиУ!$N$7)</f>
        <v>275209.03529492958</v>
      </c>
      <c r="H8" s="5">
        <f>H7*IF(ОПиУ!$N$7=0,0,ОПиУ!$N$8/ОПиУ!$N$7)</f>
        <v>280713.21600082814</v>
      </c>
      <c r="I8" s="5">
        <f>I7*IF(ОПиУ!$N$7=0,0,ОПиУ!$N$8/ОПиУ!$N$7)</f>
        <v>286327.48032084474</v>
      </c>
      <c r="J8" s="5">
        <f>J7*IF(ОПиУ!$N$7=0,0,ОПиУ!$N$8/ОПиУ!$N$7)</f>
        <v>292054.02992726164</v>
      </c>
      <c r="K8" s="5">
        <f>K7*IF(ОПиУ!$N$7=0,0,ОПиУ!$N$8/ОПиУ!$N$7)</f>
        <v>297895.11052580684</v>
      </c>
      <c r="L8" s="5">
        <f>L7*IF(ОПиУ!$N$7=0,0,ОПиУ!$N$8/ОПиУ!$N$7)</f>
        <v>303853.012736323</v>
      </c>
      <c r="M8" s="5">
        <f>M7*IF(ОПиУ!$N$7=0,0,ОПиУ!$N$8/ОПиУ!$N$7)</f>
        <v>309930.0729910495</v>
      </c>
      <c r="N8" s="4">
        <f t="shared" si="0"/>
        <v>3343168.6020341981</v>
      </c>
    </row>
    <row r="9" spans="1:14" x14ac:dyDescent="0.25">
      <c r="A9" s="3" t="s">
        <v>305</v>
      </c>
      <c r="B9" s="5">
        <f>IF(НАСТРОЙКИ!$B$29=0,(SUMIFS(ОПиУ!$B$10:$M$10,ОПиУ!$B$6:$M$6,"&gt;="&amp;EDATE(DATE(Год,MONTH(ДатаОтчета),1),-2),ОПиУ!$B$6:$M$6,"&lt;="&amp;ДатаОтчета)/MIN(3,MONTH(ДатаОтчета))),НАСТРОЙКИ!$B$29)*(1+РИСКИ!$F$8)</f>
        <v>246224.99999999997</v>
      </c>
      <c r="C9" s="5">
        <f>B9*(1+РИСКИ!$F$8)</f>
        <v>247456.12499999994</v>
      </c>
      <c r="D9" s="5">
        <f>C9*(1+РИСКИ!$F$8)</f>
        <v>248693.40562499993</v>
      </c>
      <c r="E9" s="5">
        <f>D9*(1+РИСКИ!$F$8)</f>
        <v>249936.87265312491</v>
      </c>
      <c r="F9" s="5">
        <f>E9*(1+РИСКИ!$F$8)</f>
        <v>251186.55701639052</v>
      </c>
      <c r="G9" s="5">
        <f>F9*(1+РИСКИ!$F$8)</f>
        <v>252442.48980147246</v>
      </c>
      <c r="H9" s="5">
        <f>G9*(1+РИСКИ!$F$8)</f>
        <v>253704.70225047981</v>
      </c>
      <c r="I9" s="5">
        <f>H9*(1+РИСКИ!$F$8)</f>
        <v>254973.22576173217</v>
      </c>
      <c r="J9" s="5">
        <f>I9*(1+РИСКИ!$F$8)</f>
        <v>256248.09189054082</v>
      </c>
      <c r="K9" s="5">
        <f>J9*(1+РИСКИ!$F$8)</f>
        <v>257529.33234999349</v>
      </c>
      <c r="L9" s="5">
        <f>K9*(1+РИСКИ!$F$8)</f>
        <v>258816.97901174345</v>
      </c>
      <c r="M9" s="5">
        <f>L9*(1+РИСКИ!$F$8)</f>
        <v>260111.06390680213</v>
      </c>
      <c r="N9" s="4">
        <f t="shared" si="0"/>
        <v>3037323.8452672795</v>
      </c>
    </row>
    <row r="10" spans="1:14" x14ac:dyDescent="0.25">
      <c r="A10" s="3" t="s">
        <v>128</v>
      </c>
      <c r="B10" s="5">
        <f>(SUMIFS(ОПиУ!$B$11:$M$11,ОПиУ!$B$6:$M$6,"&gt;="&amp;EDATE(DATE(Год,MONTH(ДатаОтчета),1),-2),ОПиУ!$B$6:$M$6,"&lt;="&amp;ДатаОтчета)/MIN(3,MONTH(ДатаОтчета)))</f>
        <v>5000</v>
      </c>
      <c r="C10" s="5">
        <f>(SUMIFS(ОПиУ!$B$11:$M$11,ОПиУ!$B$6:$M$6,"&gt;="&amp;EDATE(DATE(Год,MONTH(ДатаОтчета),1),-2),ОПиУ!$B$6:$M$6,"&lt;="&amp;ДатаОтчета)/MIN(3,MONTH(ДатаОтчета)))</f>
        <v>5000</v>
      </c>
      <c r="D10" s="5">
        <f>(SUMIFS(ОПиУ!$B$11:$M$11,ОПиУ!$B$6:$M$6,"&gt;="&amp;EDATE(DATE(Год,MONTH(ДатаОтчета),1),-2),ОПиУ!$B$6:$M$6,"&lt;="&amp;ДатаОтчета)/MIN(3,MONTH(ДатаОтчета)))</f>
        <v>5000</v>
      </c>
      <c r="E10" s="5">
        <f>(SUMIFS(ОПиУ!$B$11:$M$11,ОПиУ!$B$6:$M$6,"&gt;="&amp;EDATE(DATE(Год,MONTH(ДатаОтчета),1),-2),ОПиУ!$B$6:$M$6,"&lt;="&amp;ДатаОтчета)/MIN(3,MONTH(ДатаОтчета)))</f>
        <v>5000</v>
      </c>
      <c r="F10" s="5">
        <f>(SUMIFS(ОПиУ!$B$11:$M$11,ОПиУ!$B$6:$M$6,"&gt;="&amp;EDATE(DATE(Год,MONTH(ДатаОтчета),1),-2),ОПиУ!$B$6:$M$6,"&lt;="&amp;ДатаОтчета)/MIN(3,MONTH(ДатаОтчета)))</f>
        <v>5000</v>
      </c>
      <c r="G10" s="5">
        <f>(SUMIFS(ОПиУ!$B$11:$M$11,ОПиУ!$B$6:$M$6,"&gt;="&amp;EDATE(DATE(Год,MONTH(ДатаОтчета),1),-2),ОПиУ!$B$6:$M$6,"&lt;="&amp;ДатаОтчета)/MIN(3,MONTH(ДатаОтчета)))</f>
        <v>5000</v>
      </c>
      <c r="H10" s="5">
        <f>(SUMIFS(ОПиУ!$B$11:$M$11,ОПиУ!$B$6:$M$6,"&gt;="&amp;EDATE(DATE(Год,MONTH(ДатаОтчета),1),-2),ОПиУ!$B$6:$M$6,"&lt;="&amp;ДатаОтчета)/MIN(3,MONTH(ДатаОтчета)))</f>
        <v>5000</v>
      </c>
      <c r="I10" s="5">
        <f>(SUMIFS(ОПиУ!$B$11:$M$11,ОПиУ!$B$6:$M$6,"&gt;="&amp;EDATE(DATE(Год,MONTH(ДатаОтчета),1),-2),ОПиУ!$B$6:$M$6,"&lt;="&amp;ДатаОтчета)/MIN(3,MONTH(ДатаОтчета)))</f>
        <v>5000</v>
      </c>
      <c r="J10" s="5">
        <f>(SUMIFS(ОПиУ!$B$11:$M$11,ОПиУ!$B$6:$M$6,"&gt;="&amp;EDATE(DATE(Год,MONTH(ДатаОтчета),1),-2),ОПиУ!$B$6:$M$6,"&lt;="&amp;ДатаОтчета)/MIN(3,MONTH(ДатаОтчета)))</f>
        <v>5000</v>
      </c>
      <c r="K10" s="5">
        <f>(SUMIFS(ОПиУ!$B$11:$M$11,ОПиУ!$B$6:$M$6,"&gt;="&amp;EDATE(DATE(Год,MONTH(ДатаОтчета),1),-2),ОПиУ!$B$6:$M$6,"&lt;="&amp;ДатаОтчета)/MIN(3,MONTH(ДатаОтчета)))</f>
        <v>5000</v>
      </c>
      <c r="L10" s="5">
        <f>(SUMIFS(ОПиУ!$B$11:$M$11,ОПиУ!$B$6:$M$6,"&gt;="&amp;EDATE(DATE(Год,MONTH(ДатаОтчета),1),-2),ОПиУ!$B$6:$M$6,"&lt;="&amp;ДатаОтчета)/MIN(3,MONTH(ДатаОтчета)))</f>
        <v>5000</v>
      </c>
      <c r="M10" s="5">
        <f>(SUMIFS(ОПиУ!$B$11:$M$11,ОПиУ!$B$6:$M$6,"&gt;="&amp;EDATE(DATE(Год,MONTH(ДатаОтчета),1),-2),ОПиУ!$B$6:$M$6,"&lt;="&amp;ДатаОтчета)/MIN(3,MONTH(ДатаОтчета)))</f>
        <v>5000</v>
      </c>
      <c r="N10" s="4">
        <f t="shared" si="0"/>
        <v>60000</v>
      </c>
    </row>
    <row r="11" spans="1:14" x14ac:dyDescent="0.25">
      <c r="A11" s="3" t="s">
        <v>130</v>
      </c>
      <c r="B11" s="5">
        <f>SUMIFS(КРЕДИТ!$C$20:$C$79,КРЕДИТ!$A$20:$A$79,"&gt;="&amp;B$6,КРЕДИТ!$A$20:$A$79,"&lt;"&amp;EDATE(B$6,1))+БАЛАНС!$B$15*РИСКИ!$F$12/12</f>
        <v>2040.42</v>
      </c>
      <c r="C11" s="5">
        <f>SUMIFS(КРЕДИТ!$C$20:$C$79,КРЕДИТ!$A$20:$A$79,"&gt;="&amp;C$6,КРЕДИТ!$A$20:$A$79,"&lt;"&amp;EDATE(C$6,1))+БАЛАНС!$B$15*РИСКИ!$F$12/12</f>
        <v>1846.37</v>
      </c>
      <c r="D11" s="5">
        <f>SUMIFS(КРЕДИТ!$C$20:$C$79,КРЕДИТ!$A$20:$A$79,"&gt;="&amp;D$6,КРЕДИТ!$A$20:$A$79,"&lt;"&amp;EDATE(D$6,1))+БАЛАНС!$B$15*РИСКИ!$F$12/12</f>
        <v>1649.41</v>
      </c>
      <c r="E11" s="5">
        <f>SUMIFS(КРЕДИТ!$C$20:$C$79,КРЕДИТ!$A$20:$A$79,"&gt;="&amp;E$6,КРЕДИТ!$A$20:$A$79,"&lt;"&amp;EDATE(E$6,1))+БАЛАНС!$B$15*РИСКИ!$F$12/12</f>
        <v>1449.49</v>
      </c>
      <c r="F11" s="5">
        <f>SUMIFS(КРЕДИТ!$C$20:$C$79,КРЕДИТ!$A$20:$A$79,"&gt;="&amp;F$6,КРЕДИТ!$A$20:$A$79,"&lt;"&amp;EDATE(F$6,1))+БАЛАНС!$B$15*РИСКИ!$F$12/12</f>
        <v>1246.57</v>
      </c>
      <c r="G11" s="5">
        <f>SUMIFS(КРЕДИТ!$C$20:$C$79,КРЕДИТ!$A$20:$A$79,"&gt;="&amp;G$6,КРЕДИТ!$A$20:$A$79,"&lt;"&amp;EDATE(G$6,1))+БАЛАНС!$B$15*РИСКИ!$F$12/12</f>
        <v>1040.6099999999999</v>
      </c>
      <c r="H11" s="5">
        <f>SUMIFS(КРЕДИТ!$C$20:$C$79,КРЕДИТ!$A$20:$A$79,"&gt;="&amp;H$6,КРЕДИТ!$A$20:$A$79,"&lt;"&amp;EDATE(H$6,1))+БАЛАНС!$B$15*РИСКИ!$F$12/12</f>
        <v>831.56</v>
      </c>
      <c r="I11" s="5">
        <f>SUMIFS(КРЕДИТ!$C$20:$C$79,КРЕДИТ!$A$20:$A$79,"&gt;="&amp;I$6,КРЕДИТ!$A$20:$A$79,"&lt;"&amp;EDATE(I$6,1))+БАЛАНС!$B$15*РИСКИ!$F$12/12</f>
        <v>619.38</v>
      </c>
      <c r="J11" s="5">
        <f>SUMIFS(КРЕДИТ!$C$20:$C$79,КРЕДИТ!$A$20:$A$79,"&gt;="&amp;J$6,КРЕДИТ!$A$20:$A$79,"&lt;"&amp;EDATE(J$6,1))+БАЛАНС!$B$15*РИСКИ!$F$12/12</f>
        <v>404.01</v>
      </c>
      <c r="K11" s="5">
        <f>SUMIFS(КРЕДИТ!$C$20:$C$79,КРЕДИТ!$A$20:$A$79,"&gt;="&amp;K$6,КРЕДИТ!$A$20:$A$79,"&lt;"&amp;EDATE(K$6,1))+БАЛАНС!$B$15*РИСКИ!$F$12/12</f>
        <v>185.41</v>
      </c>
      <c r="L11" s="5">
        <f>SUMIFS(КРЕДИТ!$C$20:$C$79,КРЕДИТ!$A$20:$A$79,"&gt;="&amp;L$6,КРЕДИТ!$A$20:$A$79,"&lt;"&amp;EDATE(L$6,1))+БАЛАНС!$B$15*РИСКИ!$F$12/12</f>
        <v>0</v>
      </c>
      <c r="M11" s="5">
        <f>SUMIFS(КРЕДИТ!$C$20:$C$79,КРЕДИТ!$A$20:$A$79,"&gt;="&amp;M$6,КРЕДИТ!$A$20:$A$79,"&lt;"&amp;EDATE(M$6,1))+БАЛАНС!$B$15*РИСКИ!$F$12/12</f>
        <v>0</v>
      </c>
      <c r="N11" s="4">
        <f t="shared" si="0"/>
        <v>11313.23</v>
      </c>
    </row>
    <row r="12" spans="1:14" x14ac:dyDescent="0.25">
      <c r="A12" s="3" t="s">
        <v>306</v>
      </c>
      <c r="B12" s="5">
        <f>B7*(РИСКИ!$F$14+РИСКИ!$F$11)</f>
        <v>46716</v>
      </c>
      <c r="C12" s="5">
        <f>C7*(РИСКИ!$F$14+РИСКИ!$F$11)</f>
        <v>47650.32</v>
      </c>
      <c r="D12" s="5">
        <f>D7*(РИСКИ!$F$14+РИСКИ!$F$11)</f>
        <v>48603.326400000005</v>
      </c>
      <c r="E12" s="5">
        <f>E7*(РИСКИ!$F$14+РИСКИ!$F$11)</f>
        <v>49575.392928000001</v>
      </c>
      <c r="F12" s="5">
        <f>F7*(РИСКИ!$F$14+РИСКИ!$F$11)</f>
        <v>50566.900786560007</v>
      </c>
      <c r="G12" s="5">
        <f>G7*(РИСКИ!$F$14+РИСКИ!$F$11)</f>
        <v>51578.238802291206</v>
      </c>
      <c r="H12" s="5">
        <f>H7*(РИСКИ!$F$14+РИСКИ!$F$11)</f>
        <v>52609.803578337029</v>
      </c>
      <c r="I12" s="5">
        <f>I7*(РИСКИ!$F$14+РИСКИ!$F$11)</f>
        <v>53661.999649903773</v>
      </c>
      <c r="J12" s="5">
        <f>J7*(РИСКИ!$F$14+РИСКИ!$F$11)</f>
        <v>54735.239642901848</v>
      </c>
      <c r="K12" s="5">
        <f>K7*(РИСКИ!$F$14+РИСКИ!$F$11)</f>
        <v>55829.944435759884</v>
      </c>
      <c r="L12" s="5">
        <f>L7*(РИСКИ!$F$14+РИСКИ!$F$11)</f>
        <v>56946.543324475082</v>
      </c>
      <c r="M12" s="5">
        <f>M7*(РИСКИ!$F$14+РИСКИ!$F$11)</f>
        <v>58085.474190964589</v>
      </c>
      <c r="N12" s="4">
        <f t="shared" si="0"/>
        <v>626559.18373919348</v>
      </c>
    </row>
    <row r="13" spans="1:14" x14ac:dyDescent="0.25">
      <c r="A13" s="3" t="s">
        <v>307</v>
      </c>
      <c r="B13" s="5">
        <f>РИСКИ!$F$13</f>
        <v>0</v>
      </c>
      <c r="C13" s="5">
        <f>РИСКИ!$F$13</f>
        <v>0</v>
      </c>
      <c r="D13" s="5">
        <f>РИСКИ!$F$13</f>
        <v>0</v>
      </c>
      <c r="E13" s="5">
        <f>РИСКИ!$F$13</f>
        <v>0</v>
      </c>
      <c r="F13" s="5">
        <f>РИСКИ!$F$13</f>
        <v>0</v>
      </c>
      <c r="G13" s="5">
        <f>РИСКИ!$F$13</f>
        <v>0</v>
      </c>
      <c r="H13" s="5">
        <f>РИСКИ!$F$13</f>
        <v>0</v>
      </c>
      <c r="I13" s="5">
        <f>РИСКИ!$F$13</f>
        <v>0</v>
      </c>
      <c r="J13" s="5">
        <f>РИСКИ!$F$13</f>
        <v>0</v>
      </c>
      <c r="K13" s="5">
        <f>РИСКИ!$F$13</f>
        <v>0</v>
      </c>
      <c r="L13" s="5">
        <f>РИСКИ!$F$13</f>
        <v>0</v>
      </c>
      <c r="M13" s="5">
        <f>РИСКИ!$F$13</f>
        <v>0</v>
      </c>
      <c r="N13" s="4">
        <f t="shared" si="0"/>
        <v>0</v>
      </c>
    </row>
    <row r="15" spans="1:14" x14ac:dyDescent="0.25">
      <c r="A15" s="15" t="s">
        <v>308</v>
      </c>
      <c r="B15" s="16">
        <f t="shared" ref="B15:M15" si="1">B7-SUM(B8:B13)</f>
        <v>229353.27758981357</v>
      </c>
      <c r="C15" s="16">
        <f t="shared" si="1"/>
        <v>237968.57654160995</v>
      </c>
      <c r="D15" s="16">
        <f t="shared" si="1"/>
        <v>246773.67734744225</v>
      </c>
      <c r="E15" s="16">
        <f t="shared" si="1"/>
        <v>255772.46017876605</v>
      </c>
      <c r="F15" s="16">
        <f t="shared" si="1"/>
        <v>264968.87227213825</v>
      </c>
      <c r="G15" s="16">
        <f t="shared" si="1"/>
        <v>274366.9394728269</v>
      </c>
      <c r="H15" s="16">
        <f t="shared" si="1"/>
        <v>283970.77780930547</v>
      </c>
      <c r="I15" s="16">
        <f t="shared" si="1"/>
        <v>293784.5750992489</v>
      </c>
      <c r="J15" s="16">
        <f t="shared" si="1"/>
        <v>303812.62258765986</v>
      </c>
      <c r="K15" s="16">
        <f t="shared" si="1"/>
        <v>314059.27661777113</v>
      </c>
      <c r="L15" s="16">
        <f t="shared" si="1"/>
        <v>324492.52033537661</v>
      </c>
      <c r="M15" s="16">
        <f t="shared" si="1"/>
        <v>334964.6254272603</v>
      </c>
      <c r="N15" s="16">
        <f t="shared" ref="N15:N20" si="2">SUM(B15:M15)</f>
        <v>3364288.2012792192</v>
      </c>
    </row>
    <row r="16" spans="1:14" x14ac:dyDescent="0.25">
      <c r="A16" s="3" t="s">
        <v>309</v>
      </c>
      <c r="B16" s="5">
        <f>B7*(1-РИСКИ!$F$9/30)+НАСТРОЙКИ!$B$30</f>
        <v>648833.33333333337</v>
      </c>
      <c r="C16" s="5">
        <f>C7*(1-РИСКИ!$F$9/30)+B7*РИСКИ!$F$9/30</f>
        <v>791576.66666666663</v>
      </c>
      <c r="D16" s="5">
        <f>D7*(1-РИСКИ!$F$9/30)+C7*РИСКИ!$F$9/30</f>
        <v>807408.20000000007</v>
      </c>
      <c r="E16" s="5">
        <f>E7*(1-РИСКИ!$F$9/30)+D7*РИСКИ!$F$9/30</f>
        <v>823556.36400000006</v>
      </c>
      <c r="F16" s="5">
        <f>F7*(1-РИСКИ!$F$9/30)+E7*РИСКИ!$F$9/30</f>
        <v>840027.49128000019</v>
      </c>
      <c r="G16" s="5">
        <f>G7*(1-РИСКИ!$F$9/30)+F7*РИСКИ!$F$9/30</f>
        <v>856828.04110560007</v>
      </c>
      <c r="H16" s="5">
        <f>H7*(1-РИСКИ!$F$9/30)+G7*РИСКИ!$F$9/30</f>
        <v>873964.60192771209</v>
      </c>
      <c r="I16" s="5">
        <f>I7*(1-РИСКИ!$F$9/30)+H7*РИСКИ!$F$9/30</f>
        <v>891443.89396626642</v>
      </c>
      <c r="J16" s="5">
        <f>J7*(1-РИСКИ!$F$9/30)+I7*РИСКИ!$F$9/30</f>
        <v>909272.77184559172</v>
      </c>
      <c r="K16" s="5">
        <f>K7*(1-РИСКИ!$F$9/30)+J7*РИСКИ!$F$9/30</f>
        <v>927458.2272825035</v>
      </c>
      <c r="L16" s="5">
        <f>L7*(1-РИСКИ!$F$9/30)+K7*РИСКИ!$F$9/30</f>
        <v>946007.39182815363</v>
      </c>
      <c r="M16" s="5">
        <f>M7*(1-РИСКИ!$F$9/30)+L7*РИСКИ!$F$9/30</f>
        <v>964927.53966471681</v>
      </c>
      <c r="N16" s="4">
        <f t="shared" si="2"/>
        <v>10281304.522900546</v>
      </c>
    </row>
    <row r="17" spans="1:14" x14ac:dyDescent="0.25">
      <c r="A17" s="3" t="s">
        <v>310</v>
      </c>
      <c r="B17" s="4">
        <f t="shared" ref="B17:M17" si="3">B8+B9+B11+B13</f>
        <v>497530.72241018637</v>
      </c>
      <c r="C17" s="4">
        <f t="shared" si="3"/>
        <v>503553.10345839011</v>
      </c>
      <c r="D17" s="4">
        <f t="shared" si="3"/>
        <v>509678.43625255785</v>
      </c>
      <c r="E17" s="4">
        <f t="shared" si="3"/>
        <v>515908.69569323404</v>
      </c>
      <c r="F17" s="4">
        <f t="shared" si="3"/>
        <v>522245.90671730187</v>
      </c>
      <c r="G17" s="4">
        <f t="shared" si="3"/>
        <v>528692.13509640202</v>
      </c>
      <c r="H17" s="4">
        <f t="shared" si="3"/>
        <v>535249.47825130797</v>
      </c>
      <c r="I17" s="4">
        <f t="shared" si="3"/>
        <v>541920.08608257689</v>
      </c>
      <c r="J17" s="4">
        <f t="shared" si="3"/>
        <v>548706.13181780244</v>
      </c>
      <c r="K17" s="4">
        <f t="shared" si="3"/>
        <v>555609.85287580034</v>
      </c>
      <c r="L17" s="4">
        <f t="shared" si="3"/>
        <v>562669.99174806639</v>
      </c>
      <c r="M17" s="4">
        <f t="shared" si="3"/>
        <v>570041.1368978516</v>
      </c>
      <c r="N17" s="4">
        <f t="shared" si="2"/>
        <v>6391805.6773014786</v>
      </c>
    </row>
    <row r="18" spans="1:14" x14ac:dyDescent="0.25">
      <c r="A18" s="3" t="s">
        <v>311</v>
      </c>
      <c r="B18" s="4">
        <f t="shared" ref="B18:M18" si="4">B12</f>
        <v>46716</v>
      </c>
      <c r="C18" s="4">
        <f t="shared" si="4"/>
        <v>47650.32</v>
      </c>
      <c r="D18" s="4">
        <f t="shared" si="4"/>
        <v>48603.326400000005</v>
      </c>
      <c r="E18" s="4">
        <f t="shared" si="4"/>
        <v>49575.392928000001</v>
      </c>
      <c r="F18" s="4">
        <f t="shared" si="4"/>
        <v>50566.900786560007</v>
      </c>
      <c r="G18" s="4">
        <f t="shared" si="4"/>
        <v>51578.238802291206</v>
      </c>
      <c r="H18" s="4">
        <f t="shared" si="4"/>
        <v>52609.803578337029</v>
      </c>
      <c r="I18" s="4">
        <f t="shared" si="4"/>
        <v>53661.999649903773</v>
      </c>
      <c r="J18" s="4">
        <f t="shared" si="4"/>
        <v>54735.239642901848</v>
      </c>
      <c r="K18" s="4">
        <f t="shared" si="4"/>
        <v>55829.944435759884</v>
      </c>
      <c r="L18" s="4">
        <f t="shared" si="4"/>
        <v>56946.543324475082</v>
      </c>
      <c r="M18" s="4">
        <f t="shared" si="4"/>
        <v>58085.474190964589</v>
      </c>
      <c r="N18" s="4">
        <f t="shared" si="2"/>
        <v>626559.18373919348</v>
      </c>
    </row>
    <row r="19" spans="1:14" x14ac:dyDescent="0.25">
      <c r="A19" s="3" t="s">
        <v>312</v>
      </c>
      <c r="B19" s="5">
        <f>SUMIFS(КРЕДИТ!$E$20:$E$79,КРЕДИТ!$A$20:$A$79,"&gt;="&amp;B$6,КРЕДИТ!$A$20:$A$79,"&lt;"&amp;EDATE(B$6,1))+SUMIFS(КРЕДИТ!$F$20:$F$79,КРЕДИТ!$A$20:$A$79,"&gt;="&amp;B$6,КРЕДИТ!$A$20:$A$79,"&lt;"&amp;EDATE(B$6,1))</f>
        <v>12936.81</v>
      </c>
      <c r="C19" s="5">
        <f>SUMIFS(КРЕДИТ!$E$20:$E$79,КРЕДИТ!$A$20:$A$79,"&gt;="&amp;C$6,КРЕДИТ!$A$20:$A$79,"&lt;"&amp;EDATE(C$6,1))+SUMIFS(КРЕДИТ!$F$20:$F$79,КРЕДИТ!$A$20:$A$79,"&gt;="&amp;C$6,КРЕДИТ!$A$20:$A$79,"&lt;"&amp;EDATE(C$6,1))</f>
        <v>13130.86</v>
      </c>
      <c r="D19" s="5">
        <f>SUMIFS(КРЕДИТ!$E$20:$E$79,КРЕДИТ!$A$20:$A$79,"&gt;="&amp;D$6,КРЕДИТ!$A$20:$A$79,"&lt;"&amp;EDATE(D$6,1))+SUMIFS(КРЕДИТ!$F$20:$F$79,КРЕДИТ!$A$20:$A$79,"&gt;="&amp;D$6,КРЕДИТ!$A$20:$A$79,"&lt;"&amp;EDATE(D$6,1))</f>
        <v>13327.82</v>
      </c>
      <c r="E19" s="5">
        <f>SUMIFS(КРЕДИТ!$E$20:$E$79,КРЕДИТ!$A$20:$A$79,"&gt;="&amp;E$6,КРЕДИТ!$A$20:$A$79,"&lt;"&amp;EDATE(E$6,1))+SUMIFS(КРЕДИТ!$F$20:$F$79,КРЕДИТ!$A$20:$A$79,"&gt;="&amp;E$6,КРЕДИТ!$A$20:$A$79,"&lt;"&amp;EDATE(E$6,1))</f>
        <v>13527.74</v>
      </c>
      <c r="F19" s="5">
        <f>SUMIFS(КРЕДИТ!$E$20:$E$79,КРЕДИТ!$A$20:$A$79,"&gt;="&amp;F$6,КРЕДИТ!$A$20:$A$79,"&lt;"&amp;EDATE(F$6,1))+SUMIFS(КРЕДИТ!$F$20:$F$79,КРЕДИТ!$A$20:$A$79,"&gt;="&amp;F$6,КРЕДИТ!$A$20:$A$79,"&lt;"&amp;EDATE(F$6,1))</f>
        <v>13730.66</v>
      </c>
      <c r="G19" s="5">
        <f>SUMIFS(КРЕДИТ!$E$20:$E$79,КРЕДИТ!$A$20:$A$79,"&gt;="&amp;G$6,КРЕДИТ!$A$20:$A$79,"&lt;"&amp;EDATE(G$6,1))+SUMIFS(КРЕДИТ!$F$20:$F$79,КРЕДИТ!$A$20:$A$79,"&gt;="&amp;G$6,КРЕДИТ!$A$20:$A$79,"&lt;"&amp;EDATE(G$6,1))</f>
        <v>13936.619999999999</v>
      </c>
      <c r="H19" s="5">
        <f>SUMIFS(КРЕДИТ!$E$20:$E$79,КРЕДИТ!$A$20:$A$79,"&gt;="&amp;H$6,КРЕДИТ!$A$20:$A$79,"&lt;"&amp;EDATE(H$6,1))+SUMIFS(КРЕДИТ!$F$20:$F$79,КРЕДИТ!$A$20:$A$79,"&gt;="&amp;H$6,КРЕДИТ!$A$20:$A$79,"&lt;"&amp;EDATE(H$6,1))</f>
        <v>14145.67</v>
      </c>
      <c r="I19" s="5">
        <f>SUMIFS(КРЕДИТ!$E$20:$E$79,КРЕДИТ!$A$20:$A$79,"&gt;="&amp;I$6,КРЕДИТ!$A$20:$A$79,"&lt;"&amp;EDATE(I$6,1))+SUMIFS(КРЕДИТ!$F$20:$F$79,КРЕДИТ!$A$20:$A$79,"&gt;="&amp;I$6,КРЕДИТ!$A$20:$A$79,"&lt;"&amp;EDATE(I$6,1))</f>
        <v>14357.85</v>
      </c>
      <c r="J19" s="5">
        <f>SUMIFS(КРЕДИТ!$E$20:$E$79,КРЕДИТ!$A$20:$A$79,"&gt;="&amp;J$6,КРЕДИТ!$A$20:$A$79,"&lt;"&amp;EDATE(J$6,1))+SUMIFS(КРЕДИТ!$F$20:$F$79,КРЕДИТ!$A$20:$A$79,"&gt;="&amp;J$6,КРЕДИТ!$A$20:$A$79,"&lt;"&amp;EDATE(J$6,1))</f>
        <v>14573.22</v>
      </c>
      <c r="K19" s="5">
        <f>SUMIFS(КРЕДИТ!$E$20:$E$79,КРЕДИТ!$A$20:$A$79,"&gt;="&amp;K$6,КРЕДИТ!$A$20:$A$79,"&lt;"&amp;EDATE(K$6,1))+SUMIFS(КРЕДИТ!$F$20:$F$79,КРЕДИТ!$A$20:$A$79,"&gt;="&amp;K$6,КРЕДИТ!$A$20:$A$79,"&lt;"&amp;EDATE(K$6,1))</f>
        <v>12360.9</v>
      </c>
      <c r="L19" s="5">
        <f>SUMIFS(КРЕДИТ!$E$20:$E$79,КРЕДИТ!$A$20:$A$79,"&gt;="&amp;L$6,КРЕДИТ!$A$20:$A$79,"&lt;"&amp;EDATE(L$6,1))+SUMIFS(КРЕДИТ!$F$20:$F$79,КРЕДИТ!$A$20:$A$79,"&gt;="&amp;L$6,КРЕДИТ!$A$20:$A$79,"&lt;"&amp;EDATE(L$6,1))</f>
        <v>0</v>
      </c>
      <c r="M19" s="5">
        <f>SUMIFS(КРЕДИТ!$E$20:$E$79,КРЕДИТ!$A$20:$A$79,"&gt;="&amp;M$6,КРЕДИТ!$A$20:$A$79,"&lt;"&amp;EDATE(M$6,1))+SUMIFS(КРЕДИТ!$F$20:$F$79,КРЕДИТ!$A$20:$A$79,"&gt;="&amp;M$6,КРЕДИТ!$A$20:$A$79,"&lt;"&amp;EDATE(M$6,1))</f>
        <v>0</v>
      </c>
      <c r="N19" s="4">
        <f t="shared" si="2"/>
        <v>136028.15</v>
      </c>
    </row>
    <row r="20" spans="1:14" x14ac:dyDescent="0.25">
      <c r="A20" s="3" t="s">
        <v>313</v>
      </c>
      <c r="B20" s="5">
        <f>НАСТРОЙКИ!$B$31+БАЛАНС!$B$16</f>
        <v>319657.19999999995</v>
      </c>
      <c r="C20" s="4">
        <f>0</f>
        <v>0</v>
      </c>
      <c r="D20" s="4">
        <f>0</f>
        <v>0</v>
      </c>
      <c r="E20" s="4">
        <f>0</f>
        <v>0</v>
      </c>
      <c r="F20" s="4">
        <f>0</f>
        <v>0</v>
      </c>
      <c r="G20" s="4">
        <f>0</f>
        <v>0</v>
      </c>
      <c r="H20" s="4">
        <f>0</f>
        <v>0</v>
      </c>
      <c r="I20" s="4">
        <f>0</f>
        <v>0</v>
      </c>
      <c r="J20" s="4">
        <f>0</f>
        <v>0</v>
      </c>
      <c r="K20" s="4">
        <f>0</f>
        <v>0</v>
      </c>
      <c r="L20" s="4">
        <f>0</f>
        <v>0</v>
      </c>
      <c r="M20" s="4">
        <f>0</f>
        <v>0</v>
      </c>
      <c r="N20" s="4">
        <f t="shared" si="2"/>
        <v>319657.19999999995</v>
      </c>
    </row>
    <row r="21" spans="1:14" x14ac:dyDescent="0.25">
      <c r="A21" s="3" t="s">
        <v>314</v>
      </c>
      <c r="B21" s="5">
        <f>СЧЕТА!$B$19</f>
        <v>1675043.2399999993</v>
      </c>
      <c r="C21" s="4">
        <f t="shared" ref="C21:M21" si="5">B22</f>
        <v>1447035.8409231463</v>
      </c>
      <c r="D21" s="4">
        <f t="shared" si="5"/>
        <v>1674278.2241314228</v>
      </c>
      <c r="E21" s="4">
        <f t="shared" si="5"/>
        <v>1910076.8414788651</v>
      </c>
      <c r="F21" s="4">
        <f t="shared" si="5"/>
        <v>2154621.3768576309</v>
      </c>
      <c r="G21" s="4">
        <f t="shared" si="5"/>
        <v>2408105.4006337691</v>
      </c>
      <c r="H21" s="4">
        <f t="shared" si="5"/>
        <v>2670726.4478406757</v>
      </c>
      <c r="I21" s="4">
        <f t="shared" si="5"/>
        <v>2942686.0979387425</v>
      </c>
      <c r="J21" s="4">
        <f t="shared" si="5"/>
        <v>3224190.0561725283</v>
      </c>
      <c r="K21" s="4">
        <f t="shared" si="5"/>
        <v>3515448.2365574157</v>
      </c>
      <c r="L21" s="4">
        <f t="shared" si="5"/>
        <v>3819105.7665283591</v>
      </c>
      <c r="M21" s="4">
        <f t="shared" si="5"/>
        <v>4145496.6232839716</v>
      </c>
      <c r="N21" s="4">
        <f>M21</f>
        <v>4145496.6232839716</v>
      </c>
    </row>
    <row r="22" spans="1:14" x14ac:dyDescent="0.25">
      <c r="A22" s="15" t="s">
        <v>315</v>
      </c>
      <c r="B22" s="16">
        <f t="shared" ref="B22:M22" si="6">B21+B16-SUM(B17:B20)</f>
        <v>1447035.8409231463</v>
      </c>
      <c r="C22" s="16">
        <f t="shared" si="6"/>
        <v>1674278.2241314228</v>
      </c>
      <c r="D22" s="16">
        <f t="shared" si="6"/>
        <v>1910076.8414788651</v>
      </c>
      <c r="E22" s="16">
        <f t="shared" si="6"/>
        <v>2154621.3768576309</v>
      </c>
      <c r="F22" s="16">
        <f t="shared" si="6"/>
        <v>2408105.4006337691</v>
      </c>
      <c r="G22" s="16">
        <f t="shared" si="6"/>
        <v>2670726.4478406757</v>
      </c>
      <c r="H22" s="16">
        <f t="shared" si="6"/>
        <v>2942686.0979387425</v>
      </c>
      <c r="I22" s="16">
        <f t="shared" si="6"/>
        <v>3224190.0561725283</v>
      </c>
      <c r="J22" s="16">
        <f t="shared" si="6"/>
        <v>3515448.2365574157</v>
      </c>
      <c r="K22" s="16">
        <f t="shared" si="6"/>
        <v>3819105.7665283591</v>
      </c>
      <c r="L22" s="16">
        <f t="shared" si="6"/>
        <v>4145496.6232839716</v>
      </c>
      <c r="M22" s="16">
        <f t="shared" si="6"/>
        <v>4482297.5518598724</v>
      </c>
      <c r="N22" s="16">
        <f>M22</f>
        <v>4482297.5518598724</v>
      </c>
    </row>
    <row r="23" spans="1:14" x14ac:dyDescent="0.25">
      <c r="A23" s="3" t="s">
        <v>316</v>
      </c>
      <c r="B23" s="17">
        <f t="shared" ref="B23:N23" si="7">IF(B7=0,"н/д",B15/B7)</f>
        <v>0.29457138144080858</v>
      </c>
      <c r="C23" s="17">
        <f t="shared" si="7"/>
        <v>0.29964362448135912</v>
      </c>
      <c r="D23" s="17">
        <f t="shared" si="7"/>
        <v>0.30463801014340725</v>
      </c>
      <c r="E23" s="17">
        <f t="shared" si="7"/>
        <v>0.30955574337078828</v>
      </c>
      <c r="F23" s="17">
        <f t="shared" si="7"/>
        <v>0.31439799728746282</v>
      </c>
      <c r="G23" s="17">
        <f t="shared" si="7"/>
        <v>0.31916592637975721</v>
      </c>
      <c r="H23" s="17">
        <f t="shared" si="7"/>
        <v>0.32386067823249032</v>
      </c>
      <c r="I23" s="17">
        <f t="shared" si="7"/>
        <v>0.32848337037299624</v>
      </c>
      <c r="J23" s="17">
        <f t="shared" si="7"/>
        <v>0.33303512461415752</v>
      </c>
      <c r="K23" s="17">
        <f t="shared" si="7"/>
        <v>0.33751702222717417</v>
      </c>
      <c r="L23" s="17">
        <f t="shared" si="7"/>
        <v>0.34189171253445982</v>
      </c>
      <c r="M23" s="17">
        <f t="shared" si="7"/>
        <v>0.3460052242934416</v>
      </c>
      <c r="N23" s="31">
        <f t="shared" si="7"/>
        <v>0.32216795685940597</v>
      </c>
    </row>
    <row r="24" spans="1:14" x14ac:dyDescent="0.25">
      <c r="A24" s="3" t="s">
        <v>317</v>
      </c>
      <c r="B24" s="5">
        <f>B22-РЕЗЕРВЫ!$B$9</f>
        <v>695785.84092314634</v>
      </c>
      <c r="C24" s="5">
        <f>C22-РЕЗЕРВЫ!$B$9</f>
        <v>923028.22413142282</v>
      </c>
      <c r="D24" s="5">
        <f>D22-РЕЗЕРВЫ!$B$9</f>
        <v>1158826.8414788651</v>
      </c>
      <c r="E24" s="5">
        <f>E22-РЕЗЕРВЫ!$B$9</f>
        <v>1403371.3768576309</v>
      </c>
      <c r="F24" s="5">
        <f>F22-РЕЗЕРВЫ!$B$9</f>
        <v>1656855.4006337691</v>
      </c>
      <c r="G24" s="5">
        <f>G22-РЕЗЕРВЫ!$B$9</f>
        <v>1919476.4478406757</v>
      </c>
      <c r="H24" s="5">
        <f>H22-РЕЗЕРВЫ!$B$9</f>
        <v>2191436.0979387425</v>
      </c>
      <c r="I24" s="5">
        <f>I22-РЕЗЕРВЫ!$B$9</f>
        <v>2472940.0561725283</v>
      </c>
      <c r="J24" s="5">
        <f>J22-РЕЗЕРВЫ!$B$9</f>
        <v>2764198.2365574157</v>
      </c>
      <c r="K24" s="5">
        <f>K22-РЕЗЕРВЫ!$B$9</f>
        <v>3067855.7665283591</v>
      </c>
      <c r="L24" s="5">
        <f>L22-РЕЗЕРВЫ!$B$9</f>
        <v>3394246.6232839716</v>
      </c>
      <c r="M24" s="5">
        <f>M22-РЕЗЕРВЫ!$B$9</f>
        <v>3731047.5518598724</v>
      </c>
      <c r="N24" s="4">
        <f>M24</f>
        <v>3731047.5518598724</v>
      </c>
    </row>
    <row r="27" spans="1:14" ht="33.950000000000003" customHeight="1" x14ac:dyDescent="0.25">
      <c r="A27" s="7" t="s">
        <v>318</v>
      </c>
      <c r="B27" s="7" t="s">
        <v>319</v>
      </c>
      <c r="C27" s="7" t="s">
        <v>35</v>
      </c>
      <c r="D27" s="7" t="s">
        <v>39</v>
      </c>
    </row>
    <row r="28" spans="1:14" x14ac:dyDescent="0.25">
      <c r="A28" s="3" t="s">
        <v>320</v>
      </c>
      <c r="B28" s="4">
        <f>SUM(B15:D15)</f>
        <v>714095.53147886577</v>
      </c>
      <c r="C28" s="4">
        <f>D22</f>
        <v>1910076.8414788651</v>
      </c>
      <c r="D28" s="3" t="s">
        <v>321</v>
      </c>
    </row>
    <row r="29" spans="1:14" x14ac:dyDescent="0.25">
      <c r="A29" s="3" t="s">
        <v>322</v>
      </c>
      <c r="B29" s="4">
        <f>SUM(B15:G15)</f>
        <v>1509203.8034025969</v>
      </c>
      <c r="C29" s="4">
        <f>G22</f>
        <v>2670726.4478406757</v>
      </c>
      <c r="D29" s="3" t="s">
        <v>321</v>
      </c>
    </row>
    <row r="30" spans="1:14" x14ac:dyDescent="0.25">
      <c r="A30" s="3" t="s">
        <v>323</v>
      </c>
      <c r="B30" s="4">
        <f>SUM(B15:M15)</f>
        <v>3364288.2012792192</v>
      </c>
      <c r="C30" s="4">
        <f>M22</f>
        <v>4482297.5518598724</v>
      </c>
      <c r="D30" s="3" t="s">
        <v>321</v>
      </c>
    </row>
  </sheetData>
  <conditionalFormatting sqref="B22:M22">
    <cfRule type="cellIs" dxfId="6" priority="1" operator="lessThan">
      <formula>0</formula>
    </cfRule>
  </conditionalFormatting>
  <hyperlinks>
    <hyperlink ref="A1" location="'ПАНЕЛЬ'!A1" display="Главная панель" xr:uid="{00000000-0004-0000-0900-000000000000}"/>
    <hyperlink ref="D1" location="'НАСТРОЙКИ'!A1" display="Настройки" xr:uid="{00000000-0004-0000-0900-000001000000}"/>
    <hyperlink ref="F1" location="'КОНТРОЛЬ'!A1" display="Контроль" xr:uid="{00000000-0004-0000-09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Right="0"/>
    <pageSetUpPr fitToPage="1"/>
  </sheetPr>
  <dimension ref="A1:F25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3" customWidth="1"/>
    <col min="2" max="2" width="22" customWidth="1"/>
    <col min="3" max="14" width="17" customWidth="1"/>
  </cols>
  <sheetData>
    <row r="1" spans="1:6" x14ac:dyDescent="0.25">
      <c r="A1" s="1" t="s">
        <v>0</v>
      </c>
      <c r="D1" s="2" t="s">
        <v>1</v>
      </c>
      <c r="F1" s="2" t="s">
        <v>2</v>
      </c>
    </row>
    <row r="2" spans="1:6" ht="30" customHeight="1" x14ac:dyDescent="0.25">
      <c r="A2" s="9" t="s">
        <v>21</v>
      </c>
    </row>
    <row r="3" spans="1:6" x14ac:dyDescent="0.25">
      <c r="A3" s="10" t="s">
        <v>36</v>
      </c>
    </row>
    <row r="6" spans="1:6" ht="35.1" customHeight="1" x14ac:dyDescent="0.25">
      <c r="A6" s="7" t="s">
        <v>324</v>
      </c>
      <c r="B6" s="7" t="s">
        <v>77</v>
      </c>
      <c r="C6" s="7" t="s">
        <v>325</v>
      </c>
      <c r="D6" s="7" t="s">
        <v>326</v>
      </c>
      <c r="E6" s="7" t="s">
        <v>327</v>
      </c>
      <c r="F6" s="7" t="s">
        <v>328</v>
      </c>
    </row>
    <row r="7" spans="1:6" x14ac:dyDescent="0.25">
      <c r="A7" s="3" t="s">
        <v>329</v>
      </c>
      <c r="B7" s="14">
        <v>0.02</v>
      </c>
      <c r="C7" s="14">
        <v>0.04</v>
      </c>
      <c r="D7" s="14">
        <v>-0.03</v>
      </c>
      <c r="E7" s="14">
        <v>-0.08</v>
      </c>
      <c r="F7" s="17">
        <f t="shared" ref="F7:F14" si="0">INDEX(B7:E7,1,MATCH(Сценарий,$B$6:$E$6,0))</f>
        <v>0.02</v>
      </c>
    </row>
    <row r="8" spans="1:6" x14ac:dyDescent="0.25">
      <c r="A8" s="3" t="s">
        <v>330</v>
      </c>
      <c r="B8" s="14">
        <v>5.0000000000000001E-3</v>
      </c>
      <c r="C8" s="14">
        <v>3.0000000000000001E-3</v>
      </c>
      <c r="D8" s="14">
        <v>1.4999999999999999E-2</v>
      </c>
      <c r="E8" s="14">
        <v>2.5000000000000001E-2</v>
      </c>
      <c r="F8" s="17">
        <f t="shared" si="0"/>
        <v>5.0000000000000001E-3</v>
      </c>
    </row>
    <row r="9" spans="1:6" x14ac:dyDescent="0.25">
      <c r="A9" s="3" t="s">
        <v>331</v>
      </c>
      <c r="B9" s="12">
        <v>5</v>
      </c>
      <c r="C9" s="12">
        <v>0</v>
      </c>
      <c r="D9" s="12">
        <v>15</v>
      </c>
      <c r="E9" s="12">
        <v>30</v>
      </c>
      <c r="F9" s="4">
        <f t="shared" si="0"/>
        <v>5</v>
      </c>
    </row>
    <row r="10" spans="1:6" x14ac:dyDescent="0.25">
      <c r="A10" s="3" t="s">
        <v>332</v>
      </c>
      <c r="B10" s="14">
        <v>0</v>
      </c>
      <c r="C10" s="14">
        <v>0</v>
      </c>
      <c r="D10" s="14">
        <v>0.15</v>
      </c>
      <c r="E10" s="14">
        <v>0.3</v>
      </c>
      <c r="F10" s="17">
        <f t="shared" si="0"/>
        <v>0</v>
      </c>
    </row>
    <row r="11" spans="1:6" x14ac:dyDescent="0.25">
      <c r="A11" s="3" t="s">
        <v>333</v>
      </c>
      <c r="B11" s="14">
        <v>0</v>
      </c>
      <c r="C11" s="14">
        <v>0</v>
      </c>
      <c r="D11" s="14">
        <v>0.02</v>
      </c>
      <c r="E11" s="14">
        <v>0.04</v>
      </c>
      <c r="F11" s="17">
        <f t="shared" si="0"/>
        <v>0</v>
      </c>
    </row>
    <row r="12" spans="1:6" x14ac:dyDescent="0.25">
      <c r="A12" s="3" t="s">
        <v>334</v>
      </c>
      <c r="B12" s="14">
        <v>0</v>
      </c>
      <c r="C12" s="14">
        <v>0</v>
      </c>
      <c r="D12" s="14">
        <v>0.03</v>
      </c>
      <c r="E12" s="14">
        <v>0.08</v>
      </c>
      <c r="F12" s="17">
        <f t="shared" si="0"/>
        <v>0</v>
      </c>
    </row>
    <row r="13" spans="1:6" x14ac:dyDescent="0.25">
      <c r="A13" s="3" t="s">
        <v>335</v>
      </c>
      <c r="B13" s="12">
        <v>0</v>
      </c>
      <c r="C13" s="12">
        <v>0</v>
      </c>
      <c r="D13" s="12">
        <v>30000</v>
      </c>
      <c r="E13" s="12">
        <v>100000</v>
      </c>
      <c r="F13" s="4">
        <f t="shared" si="0"/>
        <v>0</v>
      </c>
    </row>
    <row r="14" spans="1:6" x14ac:dyDescent="0.25">
      <c r="A14" s="3" t="s">
        <v>336</v>
      </c>
      <c r="B14" s="14">
        <v>0.06</v>
      </c>
      <c r="C14" s="14">
        <v>0.06</v>
      </c>
      <c r="D14" s="14">
        <v>0.06</v>
      </c>
      <c r="E14" s="14">
        <v>0.06</v>
      </c>
      <c r="F14" s="17">
        <f t="shared" si="0"/>
        <v>0.06</v>
      </c>
    </row>
    <row r="16" spans="1:6" x14ac:dyDescent="0.25">
      <c r="A16" s="3" t="s">
        <v>303</v>
      </c>
      <c r="B16" s="4" t="str">
        <f>Сценарий</f>
        <v>Базовый</v>
      </c>
    </row>
    <row r="17" spans="1:2" x14ac:dyDescent="0.25">
      <c r="A17" s="3" t="s">
        <v>337</v>
      </c>
      <c r="B17" s="5">
        <f>MIN(ПРОГНОЗ!B22:M22)</f>
        <v>1447035.8409231463</v>
      </c>
    </row>
    <row r="18" spans="1:2" x14ac:dyDescent="0.25">
      <c r="A18" s="3" t="s">
        <v>338</v>
      </c>
      <c r="B18" s="5" t="str">
        <f>IF(COUNTIF(ПРОГНОЗ!B22:M22,"&lt;0")=0,"Не выявлен",MONTH(INDEX(ПРОГНОЗ!B6:M6,1,MATCH(TRUE,INDEX(ПРОГНОЗ!B22:M22&lt;0,0),0)))&amp;" / "&amp;YEAR(INDEX(ПРОГНОЗ!B6:M6,1,MATCH(TRUE,INDEX(ПРОГНОЗ!B22:M22&lt;0,0),0))))</f>
        <v>Не выявлен</v>
      </c>
    </row>
    <row r="19" spans="1:2" x14ac:dyDescent="0.25">
      <c r="A19" s="3" t="s">
        <v>339</v>
      </c>
      <c r="B19" s="5">
        <f>SUM(ПРОГНОЗ!B15:M15)</f>
        <v>3364288.2012792192</v>
      </c>
    </row>
    <row r="20" spans="1:2" x14ac:dyDescent="0.25">
      <c r="A20" s="3" t="s">
        <v>340</v>
      </c>
      <c r="B20" s="5">
        <f>ПРОГНОЗ!M22-РЕЗЕРВЫ!B9</f>
        <v>3731047.5518598724</v>
      </c>
    </row>
    <row r="21" spans="1:2" x14ac:dyDescent="0.25">
      <c r="A21" s="3" t="s">
        <v>341</v>
      </c>
      <c r="B21" s="4" t="str">
        <f>IF(B17&lt;0,"Риск кассового разрыва","По сценарию деньги неотрицательны")</f>
        <v>По сценарию деньги неотрицательны</v>
      </c>
    </row>
    <row r="24" spans="1:2" x14ac:dyDescent="0.25">
      <c r="A24" s="3" t="s">
        <v>342</v>
      </c>
    </row>
    <row r="25" spans="1:2" x14ac:dyDescent="0.25">
      <c r="A25" s="3" t="s">
        <v>343</v>
      </c>
    </row>
  </sheetData>
  <conditionalFormatting sqref="B17:B20">
    <cfRule type="cellIs" dxfId="5" priority="1" operator="lessThan">
      <formula>0</formula>
    </cfRule>
  </conditionalFormatting>
  <dataValidations count="2">
    <dataValidation type="decimal" allowBlank="1" showErrorMessage="1" errorTitle="Проверьте ввод" error="Выберите значение из списка или исправьте число." sqref="B9:E9" xr:uid="{00000000-0002-0000-0A00-000000000000}">
      <formula1>0</formula1>
      <formula2>30</formula2>
    </dataValidation>
    <dataValidation type="decimal" allowBlank="1" showErrorMessage="1" errorTitle="Проверьте ввод" error="Выберите значение из списка или исправьте число." sqref="B10:E10" xr:uid="{00000000-0002-0000-0A00-000001000000}">
      <formula1>0</formula1>
      <formula2>1</formula2>
    </dataValidation>
  </dataValidations>
  <hyperlinks>
    <hyperlink ref="A1" location="'ПАНЕЛЬ'!A1" display="Главная панель" xr:uid="{00000000-0004-0000-0A00-000000000000}"/>
    <hyperlink ref="D1" location="'НАСТРОЙКИ'!A1" display="Настройки" xr:uid="{00000000-0004-0000-0A00-000001000000}"/>
    <hyperlink ref="F1" location="'КОНТРОЛЬ'!A1" display="Контроль" xr:uid="{00000000-0004-0000-0A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Right="0"/>
    <pageSetUpPr fitToPage="1"/>
  </sheetPr>
  <dimension ref="A1:F20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6" customWidth="1"/>
    <col min="2" max="2" width="23" customWidth="1"/>
    <col min="3" max="3" width="86" customWidth="1"/>
    <col min="4" max="14" width="17" customWidth="1"/>
  </cols>
  <sheetData>
    <row r="1" spans="1:6" x14ac:dyDescent="0.25">
      <c r="A1" s="1" t="s">
        <v>0</v>
      </c>
      <c r="D1" s="2" t="s">
        <v>1</v>
      </c>
      <c r="F1" s="2" t="s">
        <v>2</v>
      </c>
    </row>
    <row r="2" spans="1:6" ht="30" customHeight="1" x14ac:dyDescent="0.25">
      <c r="A2" s="9" t="s">
        <v>22</v>
      </c>
    </row>
    <row r="3" spans="1:6" x14ac:dyDescent="0.25">
      <c r="A3" s="10" t="s">
        <v>36</v>
      </c>
    </row>
    <row r="6" spans="1:6" ht="35.1" customHeight="1" x14ac:dyDescent="0.25">
      <c r="A6" s="7" t="s">
        <v>33</v>
      </c>
      <c r="B6" s="7" t="s">
        <v>38</v>
      </c>
      <c r="C6" s="7" t="s">
        <v>344</v>
      </c>
    </row>
    <row r="7" spans="1:6" x14ac:dyDescent="0.25">
      <c r="A7" s="3" t="s">
        <v>345</v>
      </c>
      <c r="B7" s="17">
        <f>IF(ОПиУ!N7=0,"н/д",ОПиУ!N9/ОПиУ!N7)</f>
        <v>0.67985447930877674</v>
      </c>
      <c r="C7" s="3" t="s">
        <v>346</v>
      </c>
    </row>
    <row r="8" spans="1:6" x14ac:dyDescent="0.25">
      <c r="A8" s="3" t="s">
        <v>347</v>
      </c>
      <c r="B8" s="17">
        <f>IF(ОПиУ!N7=0,"н/д",ОПиУ!N12/ОПиУ!N7)</f>
        <v>0.21600727603456116</v>
      </c>
      <c r="C8" s="3" t="s">
        <v>348</v>
      </c>
    </row>
    <row r="9" spans="1:6" x14ac:dyDescent="0.25">
      <c r="A9" s="3" t="s">
        <v>134</v>
      </c>
      <c r="B9" s="17">
        <f>ОПиУ!N17</f>
        <v>0.13221129149613459</v>
      </c>
      <c r="C9" s="3" t="s">
        <v>349</v>
      </c>
    </row>
    <row r="10" spans="1:6" x14ac:dyDescent="0.25">
      <c r="A10" s="3" t="s">
        <v>350</v>
      </c>
      <c r="B10" s="17">
        <f>IF(ОПиУ!N7=0,"н/д",(ОПиУ!N7-ОПиУ!N16)/ОПиУ!N7)</f>
        <v>0.86778870850386547</v>
      </c>
      <c r="C10" s="3" t="s">
        <v>351</v>
      </c>
    </row>
    <row r="11" spans="1:6" x14ac:dyDescent="0.25">
      <c r="A11" s="3" t="s">
        <v>352</v>
      </c>
      <c r="B11" s="34">
        <f>IF(OR(НАСТРОЙКИ!B33&lt;&gt;0,НАСТРОЙКИ!B38&lt;&gt;0,НАСТРОЙКИ!B39&lt;&gt;0,SUMIFS(Cash[Поток],Cash[Дата],"&lt;="&amp;ДатаОтчета,Cash[Статус],"Проведён",Cash[Тип],"Займ участника")+SUMIFS(Cash[Поток],Cash[Дата],"&lt;="&amp;ДатаОтчета,Cash[Статус],"Проведён",Cash[Тип],"Возврат займа")&lt;&gt;0,(БАЛАНС!B14+БАЛАНС!B16+MIN(БАЛАНС!B15,SUMIFS(КРЕДИТ!E20:E79,КРЕДИТ!A20:A79,"&gt;"&amp;ДатаОтчета,КРЕДИТ!A20:A79,"&lt;="&amp;EDATE(ДатаОтчета,12))+SUMIFS(КРЕДИТ!F20:F79,КРЕДИТ!A20:A79,"&gt;"&amp;ДатаОтчета,КРЕДИТ!A20:A79,"&lt;="&amp;EDATE(ДатаОтчета,12))))=0),"н/д",(БАЛАНС!B7+БАЛАНС!B8+БАЛАНС!B10)/(БАЛАНС!B14+БАЛАНС!B16+MIN(БАЛАНС!B15,SUMIFS(КРЕДИТ!E20:E79,КРЕДИТ!A20:A79,"&gt;"&amp;ДатаОтчета,КРЕДИТ!A20:A79,"&lt;="&amp;EDATE(ДатаОтчета,12))+SUMIFS(КРЕДИТ!F20:F79,КРЕДИТ!A20:A79,"&gt;"&amp;ДатаОтчета,КРЕДИТ!A20:A79,"&lt;="&amp;EDATE(ДатаОтчета,12)))))</f>
        <v>2.9547223150143367</v>
      </c>
      <c r="C11" s="3" t="s">
        <v>353</v>
      </c>
    </row>
    <row r="12" spans="1:6" x14ac:dyDescent="0.25">
      <c r="A12" s="3" t="s">
        <v>354</v>
      </c>
      <c r="B12" s="17">
        <f>IF(БАЛАНС!B11=0,"н/д",БАЛАНС!B18/БАЛАНС!B11)</f>
        <v>0.3156853536047155</v>
      </c>
      <c r="C12" s="3" t="s">
        <v>355</v>
      </c>
    </row>
    <row r="13" spans="1:6" x14ac:dyDescent="0.25">
      <c r="A13" s="3" t="s">
        <v>356</v>
      </c>
      <c r="B13" s="35">
        <f>IF(РЕЗЕРВЫ!B7=0,"н/д",СЧЕТА!B19/РЕЗЕРВЫ!B7)</f>
        <v>6.6890245856905128</v>
      </c>
      <c r="C13" s="3" t="s">
        <v>357</v>
      </c>
    </row>
    <row r="14" spans="1:6" x14ac:dyDescent="0.25">
      <c r="A14" s="3" t="s">
        <v>358</v>
      </c>
      <c r="B14" s="34">
        <f>IF((НАСТРОЙКИ!B36+SUMIFS(Docs[Сумма],Docs[Вид],"Начальная ДЗ",Docs[Статус],"Проведён",Docs[Дата],"&lt;="&amp;ДатаОтчета)+БАЛАНС!B8)/2=0,"н/д",ОПиУ!N7/((НАСТРОЙКИ!B36+SUMIFS(Docs[Сумма],Docs[Вид],"Начальная ДЗ",Docs[Статус],"Проведён",Docs[Дата],"&lt;="&amp;ДатаОтчета)+БАЛАНС!B8)/2))</f>
        <v>223.47560975609755</v>
      </c>
      <c r="C14" s="3" t="s">
        <v>359</v>
      </c>
    </row>
    <row r="15" spans="1:6" x14ac:dyDescent="0.25">
      <c r="A15" s="3" t="s">
        <v>360</v>
      </c>
      <c r="B15" s="4">
        <f>ОПиУ!N10+ОПиУ!N11</f>
        <v>3060000</v>
      </c>
      <c r="C15" s="3" t="s">
        <v>361</v>
      </c>
    </row>
    <row r="16" spans="1:6" x14ac:dyDescent="0.25">
      <c r="A16" s="3" t="s">
        <v>362</v>
      </c>
      <c r="B16" s="4">
        <f>ОПиУ!N8</f>
        <v>2112000</v>
      </c>
      <c r="C16" s="3" t="s">
        <v>363</v>
      </c>
    </row>
    <row r="17" spans="1:3" x14ac:dyDescent="0.25">
      <c r="A17" s="3" t="s">
        <v>364</v>
      </c>
      <c r="B17" s="4">
        <f>ОПиУ!N7-B16</f>
        <v>4485000</v>
      </c>
      <c r="C17" s="3" t="s">
        <v>365</v>
      </c>
    </row>
    <row r="18" spans="1:3" x14ac:dyDescent="0.25">
      <c r="A18" s="3" t="s">
        <v>366</v>
      </c>
      <c r="B18" s="17">
        <f>IF(ОПиУ!N7=0,"н/д",B17/ОПиУ!N7)</f>
        <v>0.67985447930877674</v>
      </c>
      <c r="C18" s="3" t="s">
        <v>367</v>
      </c>
    </row>
    <row r="19" spans="1:3" x14ac:dyDescent="0.25">
      <c r="A19" s="3" t="s">
        <v>368</v>
      </c>
      <c r="B19" s="4">
        <f>IF(NOT(ISNUMBER(B18)),"н/д",IF(B18&lt;=0,"н/д",B15/B18))</f>
        <v>4500963.210702341</v>
      </c>
      <c r="C19" s="3" t="s">
        <v>369</v>
      </c>
    </row>
    <row r="20" spans="1:3" x14ac:dyDescent="0.25">
      <c r="A20" s="3" t="s">
        <v>370</v>
      </c>
      <c r="B20" s="17">
        <f>IF(OR(ОПиУ!N7=0,NOT(ISNUMBER(B19))),"н/д",(ОПиУ!N7-B19)/ОПиУ!N7)</f>
        <v>0.31772575250836121</v>
      </c>
      <c r="C20" s="3" t="s">
        <v>371</v>
      </c>
    </row>
  </sheetData>
  <hyperlinks>
    <hyperlink ref="A1" location="'ПАНЕЛЬ'!A1" display="Главная панель" xr:uid="{00000000-0004-0000-0B00-000000000000}"/>
    <hyperlink ref="D1" location="'НАСТРОЙКИ'!A1" display="Настройки" xr:uid="{00000000-0004-0000-0B00-000001000000}"/>
    <hyperlink ref="F1" location="'КОНТРОЛЬ'!A1" display="Контроль" xr:uid="{00000000-0004-0000-0B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Right="0"/>
    <pageSetUpPr fitToPage="1"/>
  </sheetPr>
  <dimension ref="A1:F88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3" customWidth="1"/>
    <col min="2" max="14" width="17" customWidth="1"/>
  </cols>
  <sheetData>
    <row r="1" spans="1:6" x14ac:dyDescent="0.25">
      <c r="A1" s="1" t="s">
        <v>0</v>
      </c>
      <c r="D1" s="2" t="s">
        <v>1</v>
      </c>
      <c r="F1" s="2" t="s">
        <v>2</v>
      </c>
    </row>
    <row r="2" spans="1:6" ht="30" customHeight="1" x14ac:dyDescent="0.25">
      <c r="A2" s="9" t="s">
        <v>23</v>
      </c>
    </row>
    <row r="3" spans="1:6" x14ac:dyDescent="0.25">
      <c r="A3" s="10" t="s">
        <v>36</v>
      </c>
    </row>
    <row r="6" spans="1:6" ht="35.1" customHeight="1" x14ac:dyDescent="0.25">
      <c r="A6" s="7" t="s">
        <v>372</v>
      </c>
      <c r="B6" s="7" t="s">
        <v>5</v>
      </c>
      <c r="C6" s="7" t="s">
        <v>373</v>
      </c>
      <c r="D6" s="7" t="s">
        <v>374</v>
      </c>
      <c r="E6" s="7" t="s">
        <v>375</v>
      </c>
      <c r="F6" s="7" t="s">
        <v>376</v>
      </c>
    </row>
    <row r="7" spans="1:6" x14ac:dyDescent="0.25">
      <c r="A7" s="5" t="str">
        <f>IF(СПРАВОЧНИКИ!G7="","",СПРАВОЧНИКИ!G7)</f>
        <v>Клиент Альфа</v>
      </c>
      <c r="B7" s="4">
        <f>IF(A7="","",SUMIFS(Docs[Сумма],Docs[Дата],"&lt;="&amp;ДатаОтчета,Docs[Статус],"Проведён",Docs[Вид],"Выручка",Docs[Контрагент],A7))</f>
        <v>1845000</v>
      </c>
      <c r="C7" s="21">
        <f>IF(A7="","",IF(ОПиУ!$N$7=0,"н/д",B7/ОПиУ!$N$7))</f>
        <v>0.27967257844474763</v>
      </c>
      <c r="D7" s="4">
        <f>IF(A7="","",SUMIFS(Cash[Поток],Cash[Дата],"&lt;="&amp;ДатаОтчета,Cash[Статус],"Проведён",Cash[Тип],"Оплата клиента",Cash[Контрагент],A7)+SUMIFS(Cash[Поток],Cash[Дата],"&lt;="&amp;ДатаОтчета,Cash[Статус],"Проведён",Cash[Тип],"Возврат клиенту",Cash[Контрагент],A7))</f>
        <v>1845000</v>
      </c>
      <c r="E7" s="4">
        <f>IF(A7="","",SUMIFS(Docs[Остаток],Docs[Дата],"&lt;="&amp;ДатаОтчета,Docs[Статус],"Проведён",Docs[Тип долга],"ДЗ",Docs[Контрагент],A7))</f>
        <v>0</v>
      </c>
      <c r="F7" s="4">
        <f>IF(A7="","",SUMIFS(Docs[Остаток],Docs[Дата],"&lt;="&amp;ДатаОтчета,Docs[Статус],"Проведён",Docs[Контрагент],A7,Docs[Тип долга],"КЗ"))</f>
        <v>0</v>
      </c>
    </row>
    <row r="8" spans="1:6" x14ac:dyDescent="0.25">
      <c r="A8" s="5" t="str">
        <f>IF(СПРАВОЧНИКИ!G8="","",СПРАВОЧНИКИ!G8)</f>
        <v>Клиент Вектор</v>
      </c>
      <c r="B8" s="4">
        <f>IF(A8="","",SUMIFS(Docs[Сумма],Docs[Дата],"&lt;="&amp;ДатаОтчета,Docs[Статус],"Проведён",Docs[Вид],"Выручка",Docs[Контрагент],A8))</f>
        <v>1452000</v>
      </c>
      <c r="C8" s="21">
        <f>IF(A8="","",IF(ОПиУ!$N$7=0,"н/д",B8/ОПиУ!$N$7))</f>
        <v>0.220100045475216</v>
      </c>
      <c r="D8" s="4">
        <f>IF(A8="","",SUMIFS(Cash[Поток],Cash[Дата],"&lt;="&amp;ДатаОтчета,Cash[Статус],"Проведён",Cash[Тип],"Оплата клиента",Cash[Контрагент],A8)+SUMIFS(Cash[Поток],Cash[Дата],"&lt;="&amp;ДатаОтчета,Cash[Статус],"Проведён",Cash[Тип],"Возврат клиенту",Cash[Контрагент],A8))</f>
        <v>1452000</v>
      </c>
      <c r="E8" s="4">
        <f>IF(A8="","",SUMIFS(Docs[Остаток],Docs[Дата],"&lt;="&amp;ДатаОтчета,Docs[Статус],"Проведён",Docs[Тип долга],"ДЗ",Docs[Контрагент],A8))</f>
        <v>0</v>
      </c>
      <c r="F8" s="4">
        <f>IF(A8="","",SUMIFS(Docs[Остаток],Docs[Дата],"&lt;="&amp;ДатаОтчета,Docs[Статус],"Проведён",Docs[Контрагент],A8,Docs[Тип долга],"КЗ"))</f>
        <v>0</v>
      </c>
    </row>
    <row r="9" spans="1:6" x14ac:dyDescent="0.25">
      <c r="A9" s="5" t="str">
        <f>IF(СПРАВОЧНИКИ!G9="","",СПРАВОЧНИКИ!G9)</f>
        <v>Клиент Гамма</v>
      </c>
      <c r="B9" s="4">
        <f>IF(A9="","",SUMIFS(Docs[Сумма],Docs[Дата],"&lt;="&amp;ДатаОтчета,Docs[Статус],"Проведён",Docs[Вид],"Выручка",Docs[Контрагент],A9))</f>
        <v>1188000</v>
      </c>
      <c r="C9" s="21">
        <f>IF(A9="","",IF(ОПиУ!$N$7=0,"н/д",B9/ОПиУ!$N$7))</f>
        <v>0.18008185538881311</v>
      </c>
      <c r="D9" s="4">
        <f>IF(A9="","",SUMIFS(Cash[Поток],Cash[Дата],"&lt;="&amp;ДатаОтчета,Cash[Статус],"Проведён",Cash[Тип],"Оплата клиента",Cash[Контрагент],A9)+SUMIFS(Cash[Поток],Cash[Дата],"&lt;="&amp;ДатаОтчета,Cash[Статус],"Проведён",Cash[Тип],"Возврат клиенту",Cash[Контрагент],A9))</f>
        <v>1188000</v>
      </c>
      <c r="E9" s="4">
        <f>IF(A9="","",SUMIFS(Docs[Остаток],Docs[Дата],"&lt;="&amp;ДатаОтчета,Docs[Статус],"Проведён",Docs[Тип долга],"ДЗ",Docs[Контрагент],A9))</f>
        <v>0</v>
      </c>
      <c r="F9" s="4">
        <f>IF(A9="","",SUMIFS(Docs[Остаток],Docs[Дата],"&lt;="&amp;ДатаОтчета,Docs[Статус],"Проведён",Docs[Контрагент],A9,Docs[Тип долга],"КЗ"))</f>
        <v>0</v>
      </c>
    </row>
    <row r="10" spans="1:6" x14ac:dyDescent="0.25">
      <c r="A10" s="5" t="str">
        <f>IF(СПРАВОЧНИКИ!G10="","",СПРАВОЧНИКИ!G10)</f>
        <v>Клиент Дельта</v>
      </c>
      <c r="B10" s="4">
        <f>IF(A10="","",SUMIFS(Docs[Сумма],Docs[Дата],"&lt;="&amp;ДатаОтчета,Docs[Статус],"Проведён",Docs[Вид],"Выручка",Docs[Контрагент],A10))</f>
        <v>924000</v>
      </c>
      <c r="C10" s="21">
        <f>IF(A10="","",IF(ОПиУ!$N$7=0,"н/д",B10/ОПиУ!$N$7))</f>
        <v>0.14006366530241018</v>
      </c>
      <c r="D10" s="4">
        <f>IF(A10="","",SUMIFS(Cash[Поток],Cash[Дата],"&lt;="&amp;ДатаОтчета,Cash[Статус],"Проведён",Cash[Тип],"Оплата клиента",Cash[Контрагент],A10)+SUMIFS(Cash[Поток],Cash[Дата],"&lt;="&amp;ДатаОтчета,Cash[Статус],"Проведён",Cash[Тип],"Возврат клиенту",Cash[Контрагент],A10))</f>
        <v>924000</v>
      </c>
      <c r="E10" s="4">
        <f>IF(A10="","",SUMIFS(Docs[Остаток],Docs[Дата],"&lt;="&amp;ДатаОтчета,Docs[Статус],"Проведён",Docs[Тип долга],"ДЗ",Docs[Контрагент],A10))</f>
        <v>0</v>
      </c>
      <c r="F10" s="4">
        <f>IF(A10="","",SUMIFS(Docs[Остаток],Docs[Дата],"&lt;="&amp;ДатаОтчета,Docs[Статус],"Проведён",Docs[Контрагент],A10,Docs[Тип долга],"КЗ"))</f>
        <v>0</v>
      </c>
    </row>
    <row r="11" spans="1:6" x14ac:dyDescent="0.25">
      <c r="A11" s="5" t="str">
        <f>IF(СПРАВОЧНИКИ!G11="","",СПРАВОЧНИКИ!G11)</f>
        <v>Клиент Елена</v>
      </c>
      <c r="B11" s="4">
        <f>IF(A11="","",SUMIFS(Docs[Сумма],Docs[Дата],"&lt;="&amp;ДатаОтчета,Docs[Статус],"Проведён",Docs[Вид],"Выручка",Docs[Контрагент],A11))</f>
        <v>660000</v>
      </c>
      <c r="C11" s="21">
        <f>IF(A11="","",IF(ОПиУ!$N$7=0,"н/д",B11/ОПиУ!$N$7))</f>
        <v>0.10004547521600728</v>
      </c>
      <c r="D11" s="4">
        <f>IF(A11="","",SUMIFS(Cash[Поток],Cash[Дата],"&lt;="&amp;ДатаОтчета,Cash[Статус],"Проведён",Cash[Тип],"Оплата клиента",Cash[Контрагент],A11)+SUMIFS(Cash[Поток],Cash[Дата],"&lt;="&amp;ДатаОтчета,Cash[Статус],"Проведён",Cash[Тип],"Возврат клиенту",Cash[Контрагент],A11))</f>
        <v>627200</v>
      </c>
      <c r="E11" s="4">
        <f>IF(A11="","",SUMIFS(Docs[Остаток],Docs[Дата],"&lt;="&amp;ДатаОтчета,Docs[Статус],"Проведён",Docs[Тип долга],"ДЗ",Docs[Контрагент],A11))</f>
        <v>32800</v>
      </c>
      <c r="F11" s="4">
        <f>IF(A11="","",SUMIFS(Docs[Остаток],Docs[Дата],"&lt;="&amp;ДатаОтчета,Docs[Статус],"Проведён",Docs[Контрагент],A11,Docs[Тип долга],"КЗ"))</f>
        <v>0</v>
      </c>
    </row>
    <row r="12" spans="1:6" x14ac:dyDescent="0.25">
      <c r="A12" s="5" t="str">
        <f>IF(СПРАВОЧНИКИ!G12="","",СПРАВОЧНИКИ!G12)</f>
        <v>Клиент Фокус</v>
      </c>
      <c r="B12" s="4">
        <f>IF(A12="","",SUMIFS(Docs[Сумма],Docs[Дата],"&lt;="&amp;ДатаОтчета,Docs[Статус],"Проведён",Docs[Вид],"Выручка",Docs[Контрагент],A12))</f>
        <v>528000</v>
      </c>
      <c r="C12" s="21">
        <f>IF(A12="","",IF(ОПиУ!$N$7=0,"н/д",B12/ОПиУ!$N$7))</f>
        <v>8.0036380172805816E-2</v>
      </c>
      <c r="D12" s="4">
        <f>IF(A12="","",SUMIFS(Cash[Поток],Cash[Дата],"&lt;="&amp;ДатаОтчета,Cash[Статус],"Проведён",Cash[Тип],"Оплата клиента",Cash[Контрагент],A12)+SUMIFS(Cash[Поток],Cash[Дата],"&lt;="&amp;ДатаОтчета,Cash[Статус],"Проведён",Cash[Тип],"Возврат клиенту",Cash[Контрагент],A12))</f>
        <v>501760</v>
      </c>
      <c r="E12" s="4">
        <f>IF(A12="","",SUMIFS(Docs[Остаток],Docs[Дата],"&lt;="&amp;ДатаОтчета,Docs[Статус],"Проведён",Docs[Тип долга],"ДЗ",Docs[Контрагент],A12))</f>
        <v>26240</v>
      </c>
      <c r="F12" s="4">
        <f>IF(A12="","",SUMIFS(Docs[Остаток],Docs[Дата],"&lt;="&amp;ДатаОтчета,Docs[Статус],"Проведён",Docs[Контрагент],A12,Docs[Тип долга],"КЗ"))</f>
        <v>0</v>
      </c>
    </row>
    <row r="13" spans="1:6" x14ac:dyDescent="0.25">
      <c r="A13" s="5" t="str">
        <f>IF(СПРАВОЧНИКИ!G13="","",СПРАВОЧНИКИ!G13)</f>
        <v>Подрядчик Север</v>
      </c>
      <c r="B13" s="4">
        <f>IF(A13="","",SUMIFS(Docs[Сумма],Docs[Дата],"&lt;="&amp;ДатаОтчета,Docs[Статус],"Проведён",Docs[Вид],"Выручка",Docs[Контрагент],A13))</f>
        <v>0</v>
      </c>
      <c r="C13" s="21">
        <f>IF(A13="","",IF(ОПиУ!$N$7=0,"н/д",B13/ОПиУ!$N$7))</f>
        <v>0</v>
      </c>
      <c r="D13" s="4">
        <f>IF(A13="","",SUMIFS(Cash[Поток],Cash[Дата],"&lt;="&amp;ДатаОтчета,Cash[Статус],"Проведён",Cash[Тип],"Оплата клиента",Cash[Контрагент],A13)+SUMIFS(Cash[Поток],Cash[Дата],"&lt;="&amp;ДатаОтчета,Cash[Статус],"Проведён",Cash[Тип],"Возврат клиенту",Cash[Контрагент],A13))</f>
        <v>0</v>
      </c>
      <c r="E13" s="4">
        <f>IF(A13="","",SUMIFS(Docs[Остаток],Docs[Дата],"&lt;="&amp;ДатаОтчета,Docs[Статус],"Проведён",Docs[Тип долга],"ДЗ",Docs[Контрагент],A13))</f>
        <v>0</v>
      </c>
      <c r="F13" s="4">
        <f>IF(A13="","",SUMIFS(Docs[Остаток],Docs[Дата],"&lt;="&amp;ДатаОтчета,Docs[Статус],"Проведён",Docs[Контрагент],A13,Docs[Тип долга],"КЗ"))</f>
        <v>131200</v>
      </c>
    </row>
    <row r="14" spans="1:6" x14ac:dyDescent="0.25">
      <c r="A14" s="5" t="str">
        <f>IF(СПРАВОЧНИКИ!G14="","",СПРАВОЧНИКИ!G14)</f>
        <v>Арендодатель</v>
      </c>
      <c r="B14" s="4">
        <f>IF(A14="","",SUMIFS(Docs[Сумма],Docs[Дата],"&lt;="&amp;ДатаОтчета,Docs[Статус],"Проведён",Docs[Вид],"Выручка",Docs[Контрагент],A14))</f>
        <v>0</v>
      </c>
      <c r="C14" s="21">
        <f>IF(A14="","",IF(ОПиУ!$N$7=0,"н/д",B14/ОПиУ!$N$7))</f>
        <v>0</v>
      </c>
      <c r="D14" s="4">
        <f>IF(A14="","",SUMIFS(Cash[Поток],Cash[Дата],"&lt;="&amp;ДатаОтчета,Cash[Статус],"Проведён",Cash[Тип],"Оплата клиента",Cash[Контрагент],A14)+SUMIFS(Cash[Поток],Cash[Дата],"&lt;="&amp;ДатаОтчета,Cash[Статус],"Проведён",Cash[Тип],"Возврат клиенту",Cash[Контрагент],A14))</f>
        <v>0</v>
      </c>
      <c r="E14" s="4">
        <f>IF(A14="","",SUMIFS(Docs[Остаток],Docs[Дата],"&lt;="&amp;ДатаОтчета,Docs[Статус],"Проведён",Docs[Тип долга],"ДЗ",Docs[Контрагент],A14))</f>
        <v>0</v>
      </c>
      <c r="F14" s="4">
        <f>IF(A14="","",SUMIFS(Docs[Остаток],Docs[Дата],"&lt;="&amp;ДатаОтчета,Docs[Статус],"Проведён",Docs[Контрагент],A14,Docs[Тип долга],"КЗ"))</f>
        <v>0</v>
      </c>
    </row>
    <row r="15" spans="1:6" x14ac:dyDescent="0.25">
      <c r="A15" s="5" t="str">
        <f>IF(СПРАВОЧНИКИ!G15="","",СПРАВОЧНИКИ!G15)</f>
        <v>Рекламная площадка</v>
      </c>
      <c r="B15" s="4">
        <f>IF(A15="","",SUMIFS(Docs[Сумма],Docs[Дата],"&lt;="&amp;ДатаОтчета,Docs[Статус],"Проведён",Docs[Вид],"Выручка",Docs[Контрагент],A15))</f>
        <v>0</v>
      </c>
      <c r="C15" s="21">
        <f>IF(A15="","",IF(ОПиУ!$N$7=0,"н/д",B15/ОПиУ!$N$7))</f>
        <v>0</v>
      </c>
      <c r="D15" s="4">
        <f>IF(A15="","",SUMIFS(Cash[Поток],Cash[Дата],"&lt;="&amp;ДатаОтчета,Cash[Статус],"Проведён",Cash[Тип],"Оплата клиента",Cash[Контрагент],A15)+SUMIFS(Cash[Поток],Cash[Дата],"&lt;="&amp;ДатаОтчета,Cash[Статус],"Проведён",Cash[Тип],"Возврат клиенту",Cash[Контрагент],A15))</f>
        <v>0</v>
      </c>
      <c r="E15" s="4">
        <f>IF(A15="","",SUMIFS(Docs[Остаток],Docs[Дата],"&lt;="&amp;ДатаОтчета,Docs[Статус],"Проведён",Docs[Тип долга],"ДЗ",Docs[Контрагент],A15))</f>
        <v>0</v>
      </c>
      <c r="F15" s="4">
        <f>IF(A15="","",SUMIFS(Docs[Остаток],Docs[Дата],"&lt;="&amp;ДатаОтчета,Docs[Статус],"Проведён",Docs[Контрагент],A15,Docs[Тип долга],"КЗ"))</f>
        <v>0</v>
      </c>
    </row>
    <row r="16" spans="1:6" x14ac:dyDescent="0.25">
      <c r="A16" s="5" t="str">
        <f>IF(СПРАВОЧНИКИ!G16="","",СПРАВОЧНИКИ!G16)</f>
        <v>Облачные сервисы</v>
      </c>
      <c r="B16" s="4">
        <f>IF(A16="","",SUMIFS(Docs[Сумма],Docs[Дата],"&lt;="&amp;ДатаОтчета,Docs[Статус],"Проведён",Docs[Вид],"Выручка",Docs[Контрагент],A16))</f>
        <v>0</v>
      </c>
      <c r="C16" s="21">
        <f>IF(A16="","",IF(ОПиУ!$N$7=0,"н/д",B16/ОПиУ!$N$7))</f>
        <v>0</v>
      </c>
      <c r="D16" s="4">
        <f>IF(A16="","",SUMIFS(Cash[Поток],Cash[Дата],"&lt;="&amp;ДатаОтчета,Cash[Статус],"Проведён",Cash[Тип],"Оплата клиента",Cash[Контрагент],A16)+SUMIFS(Cash[Поток],Cash[Дата],"&lt;="&amp;ДатаОтчета,Cash[Статус],"Проведён",Cash[Тип],"Возврат клиенту",Cash[Контрагент],A16))</f>
        <v>0</v>
      </c>
      <c r="E16" s="4">
        <f>IF(A16="","",SUMIFS(Docs[Остаток],Docs[Дата],"&lt;="&amp;ДатаОтчета,Docs[Статус],"Проведён",Docs[Тип долга],"ДЗ",Docs[Контрагент],A16))</f>
        <v>0</v>
      </c>
      <c r="F16" s="4">
        <f>IF(A16="","",SUMIFS(Docs[Остаток],Docs[Дата],"&lt;="&amp;ДатаОтчета,Docs[Статус],"Проведён",Docs[Контрагент],A16,Docs[Тип долга],"КЗ"))</f>
        <v>0</v>
      </c>
    </row>
    <row r="17" spans="1:6" x14ac:dyDescent="0.25">
      <c r="A17" s="5" t="str">
        <f>IF(СПРАВОЧНИКИ!G17="","",СПРАВОЧНИКИ!G17)</f>
        <v>Сотрудники</v>
      </c>
      <c r="B17" s="4">
        <f>IF(A17="","",SUMIFS(Docs[Сумма],Docs[Дата],"&lt;="&amp;ДатаОтчета,Docs[Статус],"Проведён",Docs[Вид],"Выручка",Docs[Контрагент],A17))</f>
        <v>0</v>
      </c>
      <c r="C17" s="21">
        <f>IF(A17="","",IF(ОПиУ!$N$7=0,"н/д",B17/ОПиУ!$N$7))</f>
        <v>0</v>
      </c>
      <c r="D17" s="4">
        <f>IF(A17="","",SUMIFS(Cash[Поток],Cash[Дата],"&lt;="&amp;ДатаОтчета,Cash[Статус],"Проведён",Cash[Тип],"Оплата клиента",Cash[Контрагент],A17)+SUMIFS(Cash[Поток],Cash[Дата],"&lt;="&amp;ДатаОтчета,Cash[Статус],"Проведён",Cash[Тип],"Возврат клиенту",Cash[Контрагент],A17))</f>
        <v>0</v>
      </c>
      <c r="E17" s="4">
        <f>IF(A17="","",SUMIFS(Docs[Остаток],Docs[Дата],"&lt;="&amp;ДатаОтчета,Docs[Статус],"Проведён",Docs[Тип долга],"ДЗ",Docs[Контрагент],A17))</f>
        <v>0</v>
      </c>
      <c r="F17" s="4">
        <f>IF(A17="","",SUMIFS(Docs[Остаток],Docs[Дата],"&lt;="&amp;ДатаОтчета,Docs[Статус],"Проведён",Docs[Контрагент],A17,Docs[Тип долга],"КЗ"))</f>
        <v>0</v>
      </c>
    </row>
    <row r="18" spans="1:6" x14ac:dyDescent="0.25">
      <c r="A18" s="5" t="str">
        <f>IF(СПРАВОЧНИКИ!G18="","",СПРАВОЧНИКИ!G18)</f>
        <v>Бюджет</v>
      </c>
      <c r="B18" s="4">
        <f>IF(A18="","",SUMIFS(Docs[Сумма],Docs[Дата],"&lt;="&amp;ДатаОтчета,Docs[Статус],"Проведён",Docs[Вид],"Выручка",Docs[Контрагент],A18))</f>
        <v>0</v>
      </c>
      <c r="C18" s="21">
        <f>IF(A18="","",IF(ОПиУ!$N$7=0,"н/д",B18/ОПиУ!$N$7))</f>
        <v>0</v>
      </c>
      <c r="D18" s="4">
        <f>IF(A18="","",SUMIFS(Cash[Поток],Cash[Дата],"&lt;="&amp;ДатаОтчета,Cash[Статус],"Проведён",Cash[Тип],"Оплата клиента",Cash[Контрагент],A18)+SUMIFS(Cash[Поток],Cash[Дата],"&lt;="&amp;ДатаОтчета,Cash[Статус],"Проведён",Cash[Тип],"Возврат клиенту",Cash[Контрагент],A18))</f>
        <v>0</v>
      </c>
      <c r="E18" s="4">
        <f>IF(A18="","",SUMIFS(Docs[Остаток],Docs[Дата],"&lt;="&amp;ДатаОтчета,Docs[Статус],"Проведён",Docs[Тип долга],"ДЗ",Docs[Контрагент],A18))</f>
        <v>0</v>
      </c>
      <c r="F18" s="4">
        <f>IF(A18="","",SUMIFS(Docs[Остаток],Docs[Дата],"&lt;="&amp;ДатаОтчета,Docs[Статус],"Проведён",Docs[Контрагент],A18,Docs[Тип долга],"КЗ"))</f>
        <v>0</v>
      </c>
    </row>
    <row r="19" spans="1:6" x14ac:dyDescent="0.25">
      <c r="A19" s="5" t="str">
        <f>IF(СПРАВОЧНИКИ!G19="","",СПРАВОЧНИКИ!G19)</f>
        <v>Банк</v>
      </c>
      <c r="B19" s="4">
        <f>IF(A19="","",SUMIFS(Docs[Сумма],Docs[Дата],"&lt;="&amp;ДатаОтчета,Docs[Статус],"Проведён",Docs[Вид],"Выручка",Docs[Контрагент],A19))</f>
        <v>0</v>
      </c>
      <c r="C19" s="21">
        <f>IF(A19="","",IF(ОПиУ!$N$7=0,"н/д",B19/ОПиУ!$N$7))</f>
        <v>0</v>
      </c>
      <c r="D19" s="4">
        <f>IF(A19="","",SUMIFS(Cash[Поток],Cash[Дата],"&lt;="&amp;ДатаОтчета,Cash[Статус],"Проведён",Cash[Тип],"Оплата клиента",Cash[Контрагент],A19)+SUMIFS(Cash[Поток],Cash[Дата],"&lt;="&amp;ДатаОтчета,Cash[Статус],"Проведён",Cash[Тип],"Возврат клиенту",Cash[Контрагент],A19))</f>
        <v>0</v>
      </c>
      <c r="E19" s="4">
        <f>IF(A19="","",SUMIFS(Docs[Остаток],Docs[Дата],"&lt;="&amp;ДатаОтчета,Docs[Статус],"Проведён",Docs[Тип долга],"ДЗ",Docs[Контрагент],A19))</f>
        <v>0</v>
      </c>
      <c r="F19" s="4">
        <f>IF(A19="","",SUMIFS(Docs[Остаток],Docs[Дата],"&lt;="&amp;ДатаОтчета,Docs[Статус],"Проведён",Docs[Контрагент],A19,Docs[Тип долга],"КЗ"))</f>
        <v>0</v>
      </c>
    </row>
    <row r="20" spans="1:6" x14ac:dyDescent="0.25">
      <c r="A20" s="5" t="str">
        <f>IF(СПРАВОЧНИКИ!G20="","",СПРАВОЧНИКИ!G20)</f>
        <v>Участник</v>
      </c>
      <c r="B20" s="4">
        <f>IF(A20="","",SUMIFS(Docs[Сумма],Docs[Дата],"&lt;="&amp;ДатаОтчета,Docs[Статус],"Проведён",Docs[Вид],"Выручка",Docs[Контрагент],A20))</f>
        <v>0</v>
      </c>
      <c r="C20" s="21">
        <f>IF(A20="","",IF(ОПиУ!$N$7=0,"н/д",B20/ОПиУ!$N$7))</f>
        <v>0</v>
      </c>
      <c r="D20" s="4">
        <f>IF(A20="","",SUMIFS(Cash[Поток],Cash[Дата],"&lt;="&amp;ДатаОтчета,Cash[Статус],"Проведён",Cash[Тип],"Оплата клиента",Cash[Контрагент],A20)+SUMIFS(Cash[Поток],Cash[Дата],"&lt;="&amp;ДатаОтчета,Cash[Статус],"Проведён",Cash[Тип],"Возврат клиенту",Cash[Контрагент],A20))</f>
        <v>0</v>
      </c>
      <c r="E20" s="4">
        <f>IF(A20="","",SUMIFS(Docs[Остаток],Docs[Дата],"&lt;="&amp;ДатаОтчета,Docs[Статус],"Проведён",Docs[Тип долга],"ДЗ",Docs[Контрагент],A20))</f>
        <v>0</v>
      </c>
      <c r="F20" s="4">
        <f>IF(A20="","",SUMIFS(Docs[Остаток],Docs[Дата],"&lt;="&amp;ДатаОтчета,Docs[Статус],"Проведён",Docs[Контрагент],A20,Docs[Тип долга],"КЗ"))</f>
        <v>0</v>
      </c>
    </row>
    <row r="21" spans="1:6" x14ac:dyDescent="0.25">
      <c r="A21" s="5" t="str">
        <f>IF(СПРАВОЧНИКИ!G21="","",СПРАВОЧНИКИ!G21)</f>
        <v>Поставщик ОС</v>
      </c>
      <c r="B21" s="4">
        <f>IF(A21="","",SUMIFS(Docs[Сумма],Docs[Дата],"&lt;="&amp;ДатаОтчета,Docs[Статус],"Проведён",Docs[Вид],"Выручка",Docs[Контрагент],A21))</f>
        <v>0</v>
      </c>
      <c r="C21" s="21">
        <f>IF(A21="","",IF(ОПиУ!$N$7=0,"н/д",B21/ОПиУ!$N$7))</f>
        <v>0</v>
      </c>
      <c r="D21" s="4">
        <f>IF(A21="","",SUMIFS(Cash[Поток],Cash[Дата],"&lt;="&amp;ДатаОтчета,Cash[Статус],"Проведён",Cash[Тип],"Оплата клиента",Cash[Контрагент],A21)+SUMIFS(Cash[Поток],Cash[Дата],"&lt;="&amp;ДатаОтчета,Cash[Статус],"Проведён",Cash[Тип],"Возврат клиенту",Cash[Контрагент],A21))</f>
        <v>0</v>
      </c>
      <c r="E21" s="4">
        <f>IF(A21="","",SUMIFS(Docs[Остаток],Docs[Дата],"&lt;="&amp;ДатаОтчета,Docs[Статус],"Проведён",Docs[Тип долга],"ДЗ",Docs[Контрагент],A21))</f>
        <v>0</v>
      </c>
      <c r="F21" s="4">
        <f>IF(A21="","",SUMIFS(Docs[Остаток],Docs[Дата],"&lt;="&amp;ДатаОтчета,Docs[Статус],"Проведён",Docs[Контрагент],A21,Docs[Тип долга],"КЗ"))</f>
        <v>0</v>
      </c>
    </row>
    <row r="22" spans="1:6" x14ac:dyDescent="0.25">
      <c r="A22" s="5" t="str">
        <f>IF(СПРАВОЧНИКИ!G22="","",СПРАВОЧНИКИ!G22)</f>
        <v/>
      </c>
      <c r="B22" s="4" t="str">
        <f>IF(A22="","",SUMIFS(Docs[Сумма],Docs[Дата],"&lt;="&amp;ДатаОтчета,Docs[Статус],"Проведён",Docs[Вид],"Выручка",Docs[Контрагент],A22))</f>
        <v/>
      </c>
      <c r="C22" s="21" t="str">
        <f>IF(A22="","",IF(ОПиУ!$N$7=0,"н/д",B22/ОПиУ!$N$7))</f>
        <v/>
      </c>
      <c r="D22" s="4" t="str">
        <f>IF(A22="","",SUMIFS(Cash[Поток],Cash[Дата],"&lt;="&amp;ДатаОтчета,Cash[Статус],"Проведён",Cash[Тип],"Оплата клиента",Cash[Контрагент],A22)+SUMIFS(Cash[Поток],Cash[Дата],"&lt;="&amp;ДатаОтчета,Cash[Статус],"Проведён",Cash[Тип],"Возврат клиенту",Cash[Контрагент],A22))</f>
        <v/>
      </c>
      <c r="E22" s="4" t="str">
        <f>IF(A22="","",SUMIFS(Docs[Остаток],Docs[Дата],"&lt;="&amp;ДатаОтчета,Docs[Статус],"Проведён",Docs[Тип долга],"ДЗ",Docs[Контрагент],A22))</f>
        <v/>
      </c>
      <c r="F22" s="4" t="str">
        <f>IF(A22="","",SUMIFS(Docs[Остаток],Docs[Дата],"&lt;="&amp;ДатаОтчета,Docs[Статус],"Проведён",Docs[Контрагент],A22,Docs[Тип долга],"КЗ"))</f>
        <v/>
      </c>
    </row>
    <row r="23" spans="1:6" x14ac:dyDescent="0.25">
      <c r="A23" s="5" t="str">
        <f>IF(СПРАВОЧНИКИ!G23="","",СПРАВОЧНИКИ!G23)</f>
        <v/>
      </c>
      <c r="B23" s="4" t="str">
        <f>IF(A23="","",SUMIFS(Docs[Сумма],Docs[Дата],"&lt;="&amp;ДатаОтчета,Docs[Статус],"Проведён",Docs[Вид],"Выручка",Docs[Контрагент],A23))</f>
        <v/>
      </c>
      <c r="C23" s="21" t="str">
        <f>IF(A23="","",IF(ОПиУ!$N$7=0,"н/д",B23/ОПиУ!$N$7))</f>
        <v/>
      </c>
      <c r="D23" s="4" t="str">
        <f>IF(A23="","",SUMIFS(Cash[Поток],Cash[Дата],"&lt;="&amp;ДатаОтчета,Cash[Статус],"Проведён",Cash[Тип],"Оплата клиента",Cash[Контрагент],A23)+SUMIFS(Cash[Поток],Cash[Дата],"&lt;="&amp;ДатаОтчета,Cash[Статус],"Проведён",Cash[Тип],"Возврат клиенту",Cash[Контрагент],A23))</f>
        <v/>
      </c>
      <c r="E23" s="4" t="str">
        <f>IF(A23="","",SUMIFS(Docs[Остаток],Docs[Дата],"&lt;="&amp;ДатаОтчета,Docs[Статус],"Проведён",Docs[Тип долга],"ДЗ",Docs[Контрагент],A23))</f>
        <v/>
      </c>
      <c r="F23" s="4" t="str">
        <f>IF(A23="","",SUMIFS(Docs[Остаток],Docs[Дата],"&lt;="&amp;ДатаОтчета,Docs[Статус],"Проведён",Docs[Контрагент],A23,Docs[Тип долга],"КЗ"))</f>
        <v/>
      </c>
    </row>
    <row r="24" spans="1:6" x14ac:dyDescent="0.25">
      <c r="A24" s="5" t="str">
        <f>IF(СПРАВОЧНИКИ!G24="","",СПРАВОЧНИКИ!G24)</f>
        <v/>
      </c>
      <c r="B24" s="4" t="str">
        <f>IF(A24="","",SUMIFS(Docs[Сумма],Docs[Дата],"&lt;="&amp;ДатаОтчета,Docs[Статус],"Проведён",Docs[Вид],"Выручка",Docs[Контрагент],A24))</f>
        <v/>
      </c>
      <c r="C24" s="21" t="str">
        <f>IF(A24="","",IF(ОПиУ!$N$7=0,"н/д",B24/ОПиУ!$N$7))</f>
        <v/>
      </c>
      <c r="D24" s="4" t="str">
        <f>IF(A24="","",SUMIFS(Cash[Поток],Cash[Дата],"&lt;="&amp;ДатаОтчета,Cash[Статус],"Проведён",Cash[Тип],"Оплата клиента",Cash[Контрагент],A24)+SUMIFS(Cash[Поток],Cash[Дата],"&lt;="&amp;ДатаОтчета,Cash[Статус],"Проведён",Cash[Тип],"Возврат клиенту",Cash[Контрагент],A24))</f>
        <v/>
      </c>
      <c r="E24" s="4" t="str">
        <f>IF(A24="","",SUMIFS(Docs[Остаток],Docs[Дата],"&lt;="&amp;ДатаОтчета,Docs[Статус],"Проведён",Docs[Тип долга],"ДЗ",Docs[Контрагент],A24))</f>
        <v/>
      </c>
      <c r="F24" s="4" t="str">
        <f>IF(A24="","",SUMIFS(Docs[Остаток],Docs[Дата],"&lt;="&amp;ДатаОтчета,Docs[Статус],"Проведён",Docs[Контрагент],A24,Docs[Тип долга],"КЗ"))</f>
        <v/>
      </c>
    </row>
    <row r="25" spans="1:6" x14ac:dyDescent="0.25">
      <c r="A25" s="5" t="str">
        <f>IF(СПРАВОЧНИКИ!G25="","",СПРАВОЧНИКИ!G25)</f>
        <v/>
      </c>
      <c r="B25" s="4" t="str">
        <f>IF(A25="","",SUMIFS(Docs[Сумма],Docs[Дата],"&lt;="&amp;ДатаОтчета,Docs[Статус],"Проведён",Docs[Вид],"Выручка",Docs[Контрагент],A25))</f>
        <v/>
      </c>
      <c r="C25" s="21" t="str">
        <f>IF(A25="","",IF(ОПиУ!$N$7=0,"н/д",B25/ОПиУ!$N$7))</f>
        <v/>
      </c>
      <c r="D25" s="4" t="str">
        <f>IF(A25="","",SUMIFS(Cash[Поток],Cash[Дата],"&lt;="&amp;ДатаОтчета,Cash[Статус],"Проведён",Cash[Тип],"Оплата клиента",Cash[Контрагент],A25)+SUMIFS(Cash[Поток],Cash[Дата],"&lt;="&amp;ДатаОтчета,Cash[Статус],"Проведён",Cash[Тип],"Возврат клиенту",Cash[Контрагент],A25))</f>
        <v/>
      </c>
      <c r="E25" s="4" t="str">
        <f>IF(A25="","",SUMIFS(Docs[Остаток],Docs[Дата],"&lt;="&amp;ДатаОтчета,Docs[Статус],"Проведён",Docs[Тип долга],"ДЗ",Docs[Контрагент],A25))</f>
        <v/>
      </c>
      <c r="F25" s="4" t="str">
        <f>IF(A25="","",SUMIFS(Docs[Остаток],Docs[Дата],"&lt;="&amp;ДатаОтчета,Docs[Статус],"Проведён",Docs[Контрагент],A25,Docs[Тип долга],"КЗ"))</f>
        <v/>
      </c>
    </row>
    <row r="26" spans="1:6" x14ac:dyDescent="0.25">
      <c r="A26" s="5" t="str">
        <f>IF(СПРАВОЧНИКИ!G26="","",СПРАВОЧНИКИ!G26)</f>
        <v/>
      </c>
      <c r="B26" s="4" t="str">
        <f>IF(A26="","",SUMIFS(Docs[Сумма],Docs[Дата],"&lt;="&amp;ДатаОтчета,Docs[Статус],"Проведён",Docs[Вид],"Выручка",Docs[Контрагент],A26))</f>
        <v/>
      </c>
      <c r="C26" s="21" t="str">
        <f>IF(A26="","",IF(ОПиУ!$N$7=0,"н/д",B26/ОПиУ!$N$7))</f>
        <v/>
      </c>
      <c r="D26" s="4" t="str">
        <f>IF(A26="","",SUMIFS(Cash[Поток],Cash[Дата],"&lt;="&amp;ДатаОтчета,Cash[Статус],"Проведён",Cash[Тип],"Оплата клиента",Cash[Контрагент],A26)+SUMIFS(Cash[Поток],Cash[Дата],"&lt;="&amp;ДатаОтчета,Cash[Статус],"Проведён",Cash[Тип],"Возврат клиенту",Cash[Контрагент],A26))</f>
        <v/>
      </c>
      <c r="E26" s="4" t="str">
        <f>IF(A26="","",SUMIFS(Docs[Остаток],Docs[Дата],"&lt;="&amp;ДатаОтчета,Docs[Статус],"Проведён",Docs[Тип долга],"ДЗ",Docs[Контрагент],A26))</f>
        <v/>
      </c>
      <c r="F26" s="4" t="str">
        <f>IF(A26="","",SUMIFS(Docs[Остаток],Docs[Дата],"&lt;="&amp;ДатаОтчета,Docs[Статус],"Проведён",Docs[Контрагент],A26,Docs[Тип долга],"КЗ"))</f>
        <v/>
      </c>
    </row>
    <row r="27" spans="1:6" x14ac:dyDescent="0.25">
      <c r="A27" s="5" t="str">
        <f>IF(СПРАВОЧНИКИ!G27="","",СПРАВОЧНИКИ!G27)</f>
        <v/>
      </c>
      <c r="B27" s="4" t="str">
        <f>IF(A27="","",SUMIFS(Docs[Сумма],Docs[Дата],"&lt;="&amp;ДатаОтчета,Docs[Статус],"Проведён",Docs[Вид],"Выручка",Docs[Контрагент],A27))</f>
        <v/>
      </c>
      <c r="C27" s="21" t="str">
        <f>IF(A27="","",IF(ОПиУ!$N$7=0,"н/д",B27/ОПиУ!$N$7))</f>
        <v/>
      </c>
      <c r="D27" s="4" t="str">
        <f>IF(A27="","",SUMIFS(Cash[Поток],Cash[Дата],"&lt;="&amp;ДатаОтчета,Cash[Статус],"Проведён",Cash[Тип],"Оплата клиента",Cash[Контрагент],A27)+SUMIFS(Cash[Поток],Cash[Дата],"&lt;="&amp;ДатаОтчета,Cash[Статус],"Проведён",Cash[Тип],"Возврат клиенту",Cash[Контрагент],A27))</f>
        <v/>
      </c>
      <c r="E27" s="4" t="str">
        <f>IF(A27="","",SUMIFS(Docs[Остаток],Docs[Дата],"&lt;="&amp;ДатаОтчета,Docs[Статус],"Проведён",Docs[Тип долга],"ДЗ",Docs[Контрагент],A27))</f>
        <v/>
      </c>
      <c r="F27" s="4" t="str">
        <f>IF(A27="","",SUMIFS(Docs[Остаток],Docs[Дата],"&lt;="&amp;ДатаОтчета,Docs[Статус],"Проведён",Docs[Контрагент],A27,Docs[Тип долга],"КЗ"))</f>
        <v/>
      </c>
    </row>
    <row r="28" spans="1:6" x14ac:dyDescent="0.25">
      <c r="A28" s="5" t="str">
        <f>IF(СПРАВОЧНИКИ!G28="","",СПРАВОЧНИКИ!G28)</f>
        <v/>
      </c>
      <c r="B28" s="4" t="str">
        <f>IF(A28="","",SUMIFS(Docs[Сумма],Docs[Дата],"&lt;="&amp;ДатаОтчета,Docs[Статус],"Проведён",Docs[Вид],"Выручка",Docs[Контрагент],A28))</f>
        <v/>
      </c>
      <c r="C28" s="21" t="str">
        <f>IF(A28="","",IF(ОПиУ!$N$7=0,"н/д",B28/ОПиУ!$N$7))</f>
        <v/>
      </c>
      <c r="D28" s="4" t="str">
        <f>IF(A28="","",SUMIFS(Cash[Поток],Cash[Дата],"&lt;="&amp;ДатаОтчета,Cash[Статус],"Проведён",Cash[Тип],"Оплата клиента",Cash[Контрагент],A28)+SUMIFS(Cash[Поток],Cash[Дата],"&lt;="&amp;ДатаОтчета,Cash[Статус],"Проведён",Cash[Тип],"Возврат клиенту",Cash[Контрагент],A28))</f>
        <v/>
      </c>
      <c r="E28" s="4" t="str">
        <f>IF(A28="","",SUMIFS(Docs[Остаток],Docs[Дата],"&lt;="&amp;ДатаОтчета,Docs[Статус],"Проведён",Docs[Тип долга],"ДЗ",Docs[Контрагент],A28))</f>
        <v/>
      </c>
      <c r="F28" s="4" t="str">
        <f>IF(A28="","",SUMIFS(Docs[Остаток],Docs[Дата],"&lt;="&amp;ДатаОтчета,Docs[Статус],"Проведён",Docs[Контрагент],A28,Docs[Тип долга],"КЗ"))</f>
        <v/>
      </c>
    </row>
    <row r="29" spans="1:6" x14ac:dyDescent="0.25">
      <c r="A29" s="5" t="str">
        <f>IF(СПРАВОЧНИКИ!G29="","",СПРАВОЧНИКИ!G29)</f>
        <v/>
      </c>
      <c r="B29" s="4" t="str">
        <f>IF(A29="","",SUMIFS(Docs[Сумма],Docs[Дата],"&lt;="&amp;ДатаОтчета,Docs[Статус],"Проведён",Docs[Вид],"Выручка",Docs[Контрагент],A29))</f>
        <v/>
      </c>
      <c r="C29" s="21" t="str">
        <f>IF(A29="","",IF(ОПиУ!$N$7=0,"н/д",B29/ОПиУ!$N$7))</f>
        <v/>
      </c>
      <c r="D29" s="4" t="str">
        <f>IF(A29="","",SUMIFS(Cash[Поток],Cash[Дата],"&lt;="&amp;ДатаОтчета,Cash[Статус],"Проведён",Cash[Тип],"Оплата клиента",Cash[Контрагент],A29)+SUMIFS(Cash[Поток],Cash[Дата],"&lt;="&amp;ДатаОтчета,Cash[Статус],"Проведён",Cash[Тип],"Возврат клиенту",Cash[Контрагент],A29))</f>
        <v/>
      </c>
      <c r="E29" s="4" t="str">
        <f>IF(A29="","",SUMIFS(Docs[Остаток],Docs[Дата],"&lt;="&amp;ДатаОтчета,Docs[Статус],"Проведён",Docs[Тип долга],"ДЗ",Docs[Контрагент],A29))</f>
        <v/>
      </c>
      <c r="F29" s="4" t="str">
        <f>IF(A29="","",SUMIFS(Docs[Остаток],Docs[Дата],"&lt;="&amp;ДатаОтчета,Docs[Статус],"Проведён",Docs[Контрагент],A29,Docs[Тип долга],"КЗ"))</f>
        <v/>
      </c>
    </row>
    <row r="30" spans="1:6" x14ac:dyDescent="0.25">
      <c r="A30" s="5" t="str">
        <f>IF(СПРАВОЧНИКИ!G30="","",СПРАВОЧНИКИ!G30)</f>
        <v/>
      </c>
      <c r="B30" s="4" t="str">
        <f>IF(A30="","",SUMIFS(Docs[Сумма],Docs[Дата],"&lt;="&amp;ДатаОтчета,Docs[Статус],"Проведён",Docs[Вид],"Выручка",Docs[Контрагент],A30))</f>
        <v/>
      </c>
      <c r="C30" s="21" t="str">
        <f>IF(A30="","",IF(ОПиУ!$N$7=0,"н/д",B30/ОПиУ!$N$7))</f>
        <v/>
      </c>
      <c r="D30" s="4" t="str">
        <f>IF(A30="","",SUMIFS(Cash[Поток],Cash[Дата],"&lt;="&amp;ДатаОтчета,Cash[Статус],"Проведён",Cash[Тип],"Оплата клиента",Cash[Контрагент],A30)+SUMIFS(Cash[Поток],Cash[Дата],"&lt;="&amp;ДатаОтчета,Cash[Статус],"Проведён",Cash[Тип],"Возврат клиенту",Cash[Контрагент],A30))</f>
        <v/>
      </c>
      <c r="E30" s="4" t="str">
        <f>IF(A30="","",SUMIFS(Docs[Остаток],Docs[Дата],"&lt;="&amp;ДатаОтчета,Docs[Статус],"Проведён",Docs[Тип долга],"ДЗ",Docs[Контрагент],A30))</f>
        <v/>
      </c>
      <c r="F30" s="4" t="str">
        <f>IF(A30="","",SUMIFS(Docs[Остаток],Docs[Дата],"&lt;="&amp;ДатаОтчета,Docs[Статус],"Проведён",Docs[Контрагент],A30,Docs[Тип долга],"КЗ"))</f>
        <v/>
      </c>
    </row>
    <row r="31" spans="1:6" x14ac:dyDescent="0.25">
      <c r="A31" s="5" t="str">
        <f>IF(СПРАВОЧНИКИ!G31="","",СПРАВОЧНИКИ!G31)</f>
        <v/>
      </c>
      <c r="B31" s="4" t="str">
        <f>IF(A31="","",SUMIFS(Docs[Сумма],Docs[Дата],"&lt;="&amp;ДатаОтчета,Docs[Статус],"Проведён",Docs[Вид],"Выручка",Docs[Контрагент],A31))</f>
        <v/>
      </c>
      <c r="C31" s="21" t="str">
        <f>IF(A31="","",IF(ОПиУ!$N$7=0,"н/д",B31/ОПиУ!$N$7))</f>
        <v/>
      </c>
      <c r="D31" s="4" t="str">
        <f>IF(A31="","",SUMIFS(Cash[Поток],Cash[Дата],"&lt;="&amp;ДатаОтчета,Cash[Статус],"Проведён",Cash[Тип],"Оплата клиента",Cash[Контрагент],A31)+SUMIFS(Cash[Поток],Cash[Дата],"&lt;="&amp;ДатаОтчета,Cash[Статус],"Проведён",Cash[Тип],"Возврат клиенту",Cash[Контрагент],A31))</f>
        <v/>
      </c>
      <c r="E31" s="4" t="str">
        <f>IF(A31="","",SUMIFS(Docs[Остаток],Docs[Дата],"&lt;="&amp;ДатаОтчета,Docs[Статус],"Проведён",Docs[Тип долга],"ДЗ",Docs[Контрагент],A31))</f>
        <v/>
      </c>
      <c r="F31" s="4" t="str">
        <f>IF(A31="","",SUMIFS(Docs[Остаток],Docs[Дата],"&lt;="&amp;ДатаОтчета,Docs[Статус],"Проведён",Docs[Контрагент],A31,Docs[Тип долга],"КЗ"))</f>
        <v/>
      </c>
    </row>
    <row r="32" spans="1:6" x14ac:dyDescent="0.25">
      <c r="A32" s="5" t="str">
        <f>IF(СПРАВОЧНИКИ!G32="","",СПРАВОЧНИКИ!G32)</f>
        <v/>
      </c>
      <c r="B32" s="4" t="str">
        <f>IF(A32="","",SUMIFS(Docs[Сумма],Docs[Дата],"&lt;="&amp;ДатаОтчета,Docs[Статус],"Проведён",Docs[Вид],"Выручка",Docs[Контрагент],A32))</f>
        <v/>
      </c>
      <c r="C32" s="21" t="str">
        <f>IF(A32="","",IF(ОПиУ!$N$7=0,"н/д",B32/ОПиУ!$N$7))</f>
        <v/>
      </c>
      <c r="D32" s="4" t="str">
        <f>IF(A32="","",SUMIFS(Cash[Поток],Cash[Дата],"&lt;="&amp;ДатаОтчета,Cash[Статус],"Проведён",Cash[Тип],"Оплата клиента",Cash[Контрагент],A32)+SUMIFS(Cash[Поток],Cash[Дата],"&lt;="&amp;ДатаОтчета,Cash[Статус],"Проведён",Cash[Тип],"Возврат клиенту",Cash[Контрагент],A32))</f>
        <v/>
      </c>
      <c r="E32" s="4" t="str">
        <f>IF(A32="","",SUMIFS(Docs[Остаток],Docs[Дата],"&lt;="&amp;ДатаОтчета,Docs[Статус],"Проведён",Docs[Тип долга],"ДЗ",Docs[Контрагент],A32))</f>
        <v/>
      </c>
      <c r="F32" s="4" t="str">
        <f>IF(A32="","",SUMIFS(Docs[Остаток],Docs[Дата],"&lt;="&amp;ДатаОтчета,Docs[Статус],"Проведён",Docs[Контрагент],A32,Docs[Тип долга],"КЗ"))</f>
        <v/>
      </c>
    </row>
    <row r="33" spans="1:6" x14ac:dyDescent="0.25">
      <c r="A33" s="5" t="str">
        <f>IF(СПРАВОЧНИКИ!G33="","",СПРАВОЧНИКИ!G33)</f>
        <v/>
      </c>
      <c r="B33" s="4" t="str">
        <f>IF(A33="","",SUMIFS(Docs[Сумма],Docs[Дата],"&lt;="&amp;ДатаОтчета,Docs[Статус],"Проведён",Docs[Вид],"Выручка",Docs[Контрагент],A33))</f>
        <v/>
      </c>
      <c r="C33" s="21" t="str">
        <f>IF(A33="","",IF(ОПиУ!$N$7=0,"н/д",B33/ОПиУ!$N$7))</f>
        <v/>
      </c>
      <c r="D33" s="4" t="str">
        <f>IF(A33="","",SUMIFS(Cash[Поток],Cash[Дата],"&lt;="&amp;ДатаОтчета,Cash[Статус],"Проведён",Cash[Тип],"Оплата клиента",Cash[Контрагент],A33)+SUMIFS(Cash[Поток],Cash[Дата],"&lt;="&amp;ДатаОтчета,Cash[Статус],"Проведён",Cash[Тип],"Возврат клиенту",Cash[Контрагент],A33))</f>
        <v/>
      </c>
      <c r="E33" s="4" t="str">
        <f>IF(A33="","",SUMIFS(Docs[Остаток],Docs[Дата],"&lt;="&amp;ДатаОтчета,Docs[Статус],"Проведён",Docs[Тип долга],"ДЗ",Docs[Контрагент],A33))</f>
        <v/>
      </c>
      <c r="F33" s="4" t="str">
        <f>IF(A33="","",SUMIFS(Docs[Остаток],Docs[Дата],"&lt;="&amp;ДатаОтчета,Docs[Статус],"Проведён",Docs[Контрагент],A33,Docs[Тип долга],"КЗ"))</f>
        <v/>
      </c>
    </row>
    <row r="34" spans="1:6" x14ac:dyDescent="0.25">
      <c r="A34" s="5" t="str">
        <f>IF(СПРАВОЧНИКИ!G34="","",СПРАВОЧНИКИ!G34)</f>
        <v/>
      </c>
      <c r="B34" s="4" t="str">
        <f>IF(A34="","",SUMIFS(Docs[Сумма],Docs[Дата],"&lt;="&amp;ДатаОтчета,Docs[Статус],"Проведён",Docs[Вид],"Выручка",Docs[Контрагент],A34))</f>
        <v/>
      </c>
      <c r="C34" s="21" t="str">
        <f>IF(A34="","",IF(ОПиУ!$N$7=0,"н/д",B34/ОПиУ!$N$7))</f>
        <v/>
      </c>
      <c r="D34" s="4" t="str">
        <f>IF(A34="","",SUMIFS(Cash[Поток],Cash[Дата],"&lt;="&amp;ДатаОтчета,Cash[Статус],"Проведён",Cash[Тип],"Оплата клиента",Cash[Контрагент],A34)+SUMIFS(Cash[Поток],Cash[Дата],"&lt;="&amp;ДатаОтчета,Cash[Статус],"Проведён",Cash[Тип],"Возврат клиенту",Cash[Контрагент],A34))</f>
        <v/>
      </c>
      <c r="E34" s="4" t="str">
        <f>IF(A34="","",SUMIFS(Docs[Остаток],Docs[Дата],"&lt;="&amp;ДатаОтчета,Docs[Статус],"Проведён",Docs[Тип долга],"ДЗ",Docs[Контрагент],A34))</f>
        <v/>
      </c>
      <c r="F34" s="4" t="str">
        <f>IF(A34="","",SUMIFS(Docs[Остаток],Docs[Дата],"&lt;="&amp;ДатаОтчета,Docs[Статус],"Проведён",Docs[Контрагент],A34,Docs[Тип долга],"КЗ"))</f>
        <v/>
      </c>
    </row>
    <row r="35" spans="1:6" x14ac:dyDescent="0.25">
      <c r="A35" s="5" t="str">
        <f>IF(СПРАВОЧНИКИ!G35="","",СПРАВОЧНИКИ!G35)</f>
        <v/>
      </c>
      <c r="B35" s="4" t="str">
        <f>IF(A35="","",SUMIFS(Docs[Сумма],Docs[Дата],"&lt;="&amp;ДатаОтчета,Docs[Статус],"Проведён",Docs[Вид],"Выручка",Docs[Контрагент],A35))</f>
        <v/>
      </c>
      <c r="C35" s="21" t="str">
        <f>IF(A35="","",IF(ОПиУ!$N$7=0,"н/д",B35/ОПиУ!$N$7))</f>
        <v/>
      </c>
      <c r="D35" s="4" t="str">
        <f>IF(A35="","",SUMIFS(Cash[Поток],Cash[Дата],"&lt;="&amp;ДатаОтчета,Cash[Статус],"Проведён",Cash[Тип],"Оплата клиента",Cash[Контрагент],A35)+SUMIFS(Cash[Поток],Cash[Дата],"&lt;="&amp;ДатаОтчета,Cash[Статус],"Проведён",Cash[Тип],"Возврат клиенту",Cash[Контрагент],A35))</f>
        <v/>
      </c>
      <c r="E35" s="4" t="str">
        <f>IF(A35="","",SUMIFS(Docs[Остаток],Docs[Дата],"&lt;="&amp;ДатаОтчета,Docs[Статус],"Проведён",Docs[Тип долга],"ДЗ",Docs[Контрагент],A35))</f>
        <v/>
      </c>
      <c r="F35" s="4" t="str">
        <f>IF(A35="","",SUMIFS(Docs[Остаток],Docs[Дата],"&lt;="&amp;ДатаОтчета,Docs[Статус],"Проведён",Docs[Контрагент],A35,Docs[Тип долга],"КЗ"))</f>
        <v/>
      </c>
    </row>
    <row r="36" spans="1:6" x14ac:dyDescent="0.25">
      <c r="A36" s="5" t="str">
        <f>IF(СПРАВОЧНИКИ!G36="","",СПРАВОЧНИКИ!G36)</f>
        <v/>
      </c>
      <c r="B36" s="4" t="str">
        <f>IF(A36="","",SUMIFS(Docs[Сумма],Docs[Дата],"&lt;="&amp;ДатаОтчета,Docs[Статус],"Проведён",Docs[Вид],"Выручка",Docs[Контрагент],A36))</f>
        <v/>
      </c>
      <c r="C36" s="21" t="str">
        <f>IF(A36="","",IF(ОПиУ!$N$7=0,"н/д",B36/ОПиУ!$N$7))</f>
        <v/>
      </c>
      <c r="D36" s="4" t="str">
        <f>IF(A36="","",SUMIFS(Cash[Поток],Cash[Дата],"&lt;="&amp;ДатаОтчета,Cash[Статус],"Проведён",Cash[Тип],"Оплата клиента",Cash[Контрагент],A36)+SUMIFS(Cash[Поток],Cash[Дата],"&lt;="&amp;ДатаОтчета,Cash[Статус],"Проведён",Cash[Тип],"Возврат клиенту",Cash[Контрагент],A36))</f>
        <v/>
      </c>
      <c r="E36" s="4" t="str">
        <f>IF(A36="","",SUMIFS(Docs[Остаток],Docs[Дата],"&lt;="&amp;ДатаОтчета,Docs[Статус],"Проведён",Docs[Тип долга],"ДЗ",Docs[Контрагент],A36))</f>
        <v/>
      </c>
      <c r="F36" s="4" t="str">
        <f>IF(A36="","",SUMIFS(Docs[Остаток],Docs[Дата],"&lt;="&amp;ДатаОтчета,Docs[Статус],"Проведён",Docs[Контрагент],A36,Docs[Тип долга],"КЗ"))</f>
        <v/>
      </c>
    </row>
    <row r="37" spans="1:6" x14ac:dyDescent="0.25">
      <c r="A37" s="5" t="str">
        <f>IF(СПРАВОЧНИКИ!G37="","",СПРАВОЧНИКИ!G37)</f>
        <v/>
      </c>
      <c r="B37" s="4" t="str">
        <f>IF(A37="","",SUMIFS(Docs[Сумма],Docs[Дата],"&lt;="&amp;ДатаОтчета,Docs[Статус],"Проведён",Docs[Вид],"Выручка",Docs[Контрагент],A37))</f>
        <v/>
      </c>
      <c r="C37" s="21" t="str">
        <f>IF(A37="","",IF(ОПиУ!$N$7=0,"н/д",B37/ОПиУ!$N$7))</f>
        <v/>
      </c>
      <c r="D37" s="4" t="str">
        <f>IF(A37="","",SUMIFS(Cash[Поток],Cash[Дата],"&lt;="&amp;ДатаОтчета,Cash[Статус],"Проведён",Cash[Тип],"Оплата клиента",Cash[Контрагент],A37)+SUMIFS(Cash[Поток],Cash[Дата],"&lt;="&amp;ДатаОтчета,Cash[Статус],"Проведён",Cash[Тип],"Возврат клиенту",Cash[Контрагент],A37))</f>
        <v/>
      </c>
      <c r="E37" s="4" t="str">
        <f>IF(A37="","",SUMIFS(Docs[Остаток],Docs[Дата],"&lt;="&amp;ДатаОтчета,Docs[Статус],"Проведён",Docs[Тип долга],"ДЗ",Docs[Контрагент],A37))</f>
        <v/>
      </c>
      <c r="F37" s="4" t="str">
        <f>IF(A37="","",SUMIFS(Docs[Остаток],Docs[Дата],"&lt;="&amp;ДатаОтчета,Docs[Статус],"Проведён",Docs[Контрагент],A37,Docs[Тип долга],"КЗ"))</f>
        <v/>
      </c>
    </row>
    <row r="38" spans="1:6" x14ac:dyDescent="0.25">
      <c r="A38" s="5" t="str">
        <f>IF(СПРАВОЧНИКИ!G38="","",СПРАВОЧНИКИ!G38)</f>
        <v/>
      </c>
      <c r="B38" s="4" t="str">
        <f>IF(A38="","",SUMIFS(Docs[Сумма],Docs[Дата],"&lt;="&amp;ДатаОтчета,Docs[Статус],"Проведён",Docs[Вид],"Выручка",Docs[Контрагент],A38))</f>
        <v/>
      </c>
      <c r="C38" s="21" t="str">
        <f>IF(A38="","",IF(ОПиУ!$N$7=0,"н/д",B38/ОПиУ!$N$7))</f>
        <v/>
      </c>
      <c r="D38" s="4" t="str">
        <f>IF(A38="","",SUMIFS(Cash[Поток],Cash[Дата],"&lt;="&amp;ДатаОтчета,Cash[Статус],"Проведён",Cash[Тип],"Оплата клиента",Cash[Контрагент],A38)+SUMIFS(Cash[Поток],Cash[Дата],"&lt;="&amp;ДатаОтчета,Cash[Статус],"Проведён",Cash[Тип],"Возврат клиенту",Cash[Контрагент],A38))</f>
        <v/>
      </c>
      <c r="E38" s="4" t="str">
        <f>IF(A38="","",SUMIFS(Docs[Остаток],Docs[Дата],"&lt;="&amp;ДатаОтчета,Docs[Статус],"Проведён",Docs[Тип долга],"ДЗ",Docs[Контрагент],A38))</f>
        <v/>
      </c>
      <c r="F38" s="4" t="str">
        <f>IF(A38="","",SUMIFS(Docs[Остаток],Docs[Дата],"&lt;="&amp;ДатаОтчета,Docs[Статус],"Проведён",Docs[Контрагент],A38,Docs[Тип долга],"КЗ"))</f>
        <v/>
      </c>
    </row>
    <row r="39" spans="1:6" x14ac:dyDescent="0.25">
      <c r="A39" s="5" t="str">
        <f>IF(СПРАВОЧНИКИ!G39="","",СПРАВОЧНИКИ!G39)</f>
        <v/>
      </c>
      <c r="B39" s="4" t="str">
        <f>IF(A39="","",SUMIFS(Docs[Сумма],Docs[Дата],"&lt;="&amp;ДатаОтчета,Docs[Статус],"Проведён",Docs[Вид],"Выручка",Docs[Контрагент],A39))</f>
        <v/>
      </c>
      <c r="C39" s="21" t="str">
        <f>IF(A39="","",IF(ОПиУ!$N$7=0,"н/д",B39/ОПиУ!$N$7))</f>
        <v/>
      </c>
      <c r="D39" s="4" t="str">
        <f>IF(A39="","",SUMIFS(Cash[Поток],Cash[Дата],"&lt;="&amp;ДатаОтчета,Cash[Статус],"Проведён",Cash[Тип],"Оплата клиента",Cash[Контрагент],A39)+SUMIFS(Cash[Поток],Cash[Дата],"&lt;="&amp;ДатаОтчета,Cash[Статус],"Проведён",Cash[Тип],"Возврат клиенту",Cash[Контрагент],A39))</f>
        <v/>
      </c>
      <c r="E39" s="4" t="str">
        <f>IF(A39="","",SUMIFS(Docs[Остаток],Docs[Дата],"&lt;="&amp;ДатаОтчета,Docs[Статус],"Проведён",Docs[Тип долга],"ДЗ",Docs[Контрагент],A39))</f>
        <v/>
      </c>
      <c r="F39" s="4" t="str">
        <f>IF(A39="","",SUMIFS(Docs[Остаток],Docs[Дата],"&lt;="&amp;ДатаОтчета,Docs[Статус],"Проведён",Docs[Контрагент],A39,Docs[Тип долга],"КЗ"))</f>
        <v/>
      </c>
    </row>
    <row r="40" spans="1:6" x14ac:dyDescent="0.25">
      <c r="A40" s="5" t="str">
        <f>IF(СПРАВОЧНИКИ!G40="","",СПРАВОЧНИКИ!G40)</f>
        <v/>
      </c>
      <c r="B40" s="4" t="str">
        <f>IF(A40="","",SUMIFS(Docs[Сумма],Docs[Дата],"&lt;="&amp;ДатаОтчета,Docs[Статус],"Проведён",Docs[Вид],"Выручка",Docs[Контрагент],A40))</f>
        <v/>
      </c>
      <c r="C40" s="21" t="str">
        <f>IF(A40="","",IF(ОПиУ!$N$7=0,"н/д",B40/ОПиУ!$N$7))</f>
        <v/>
      </c>
      <c r="D40" s="4" t="str">
        <f>IF(A40="","",SUMIFS(Cash[Поток],Cash[Дата],"&lt;="&amp;ДатаОтчета,Cash[Статус],"Проведён",Cash[Тип],"Оплата клиента",Cash[Контрагент],A40)+SUMIFS(Cash[Поток],Cash[Дата],"&lt;="&amp;ДатаОтчета,Cash[Статус],"Проведён",Cash[Тип],"Возврат клиенту",Cash[Контрагент],A40))</f>
        <v/>
      </c>
      <c r="E40" s="4" t="str">
        <f>IF(A40="","",SUMIFS(Docs[Остаток],Docs[Дата],"&lt;="&amp;ДатаОтчета,Docs[Статус],"Проведён",Docs[Тип долга],"ДЗ",Docs[Контрагент],A40))</f>
        <v/>
      </c>
      <c r="F40" s="4" t="str">
        <f>IF(A40="","",SUMIFS(Docs[Остаток],Docs[Дата],"&lt;="&amp;ДатаОтчета,Docs[Статус],"Проведён",Docs[Контрагент],A40,Docs[Тип долга],"КЗ"))</f>
        <v/>
      </c>
    </row>
    <row r="41" spans="1:6" x14ac:dyDescent="0.25">
      <c r="A41" s="5" t="str">
        <f>IF(СПРАВОЧНИКИ!G41="","",СПРАВОЧНИКИ!G41)</f>
        <v/>
      </c>
      <c r="B41" s="4" t="str">
        <f>IF(A41="","",SUMIFS(Docs[Сумма],Docs[Дата],"&lt;="&amp;ДатаОтчета,Docs[Статус],"Проведён",Docs[Вид],"Выручка",Docs[Контрагент],A41))</f>
        <v/>
      </c>
      <c r="C41" s="21" t="str">
        <f>IF(A41="","",IF(ОПиУ!$N$7=0,"н/д",B41/ОПиУ!$N$7))</f>
        <v/>
      </c>
      <c r="D41" s="4" t="str">
        <f>IF(A41="","",SUMIFS(Cash[Поток],Cash[Дата],"&lt;="&amp;ДатаОтчета,Cash[Статус],"Проведён",Cash[Тип],"Оплата клиента",Cash[Контрагент],A41)+SUMIFS(Cash[Поток],Cash[Дата],"&lt;="&amp;ДатаОтчета,Cash[Статус],"Проведён",Cash[Тип],"Возврат клиенту",Cash[Контрагент],A41))</f>
        <v/>
      </c>
      <c r="E41" s="4" t="str">
        <f>IF(A41="","",SUMIFS(Docs[Остаток],Docs[Дата],"&lt;="&amp;ДатаОтчета,Docs[Статус],"Проведён",Docs[Тип долга],"ДЗ",Docs[Контрагент],A41))</f>
        <v/>
      </c>
      <c r="F41" s="4" t="str">
        <f>IF(A41="","",SUMIFS(Docs[Остаток],Docs[Дата],"&lt;="&amp;ДатаОтчета,Docs[Статус],"Проведён",Docs[Контрагент],A41,Docs[Тип долга],"КЗ"))</f>
        <v/>
      </c>
    </row>
    <row r="42" spans="1:6" x14ac:dyDescent="0.25">
      <c r="A42" s="5" t="str">
        <f>IF(СПРАВОЧНИКИ!G42="","",СПРАВОЧНИКИ!G42)</f>
        <v/>
      </c>
      <c r="B42" s="4" t="str">
        <f>IF(A42="","",SUMIFS(Docs[Сумма],Docs[Дата],"&lt;="&amp;ДатаОтчета,Docs[Статус],"Проведён",Docs[Вид],"Выручка",Docs[Контрагент],A42))</f>
        <v/>
      </c>
      <c r="C42" s="21" t="str">
        <f>IF(A42="","",IF(ОПиУ!$N$7=0,"н/д",B42/ОПиУ!$N$7))</f>
        <v/>
      </c>
      <c r="D42" s="4" t="str">
        <f>IF(A42="","",SUMIFS(Cash[Поток],Cash[Дата],"&lt;="&amp;ДатаОтчета,Cash[Статус],"Проведён",Cash[Тип],"Оплата клиента",Cash[Контрагент],A42)+SUMIFS(Cash[Поток],Cash[Дата],"&lt;="&amp;ДатаОтчета,Cash[Статус],"Проведён",Cash[Тип],"Возврат клиенту",Cash[Контрагент],A42))</f>
        <v/>
      </c>
      <c r="E42" s="4" t="str">
        <f>IF(A42="","",SUMIFS(Docs[Остаток],Docs[Дата],"&lt;="&amp;ДатаОтчета,Docs[Статус],"Проведён",Docs[Тип долга],"ДЗ",Docs[Контрагент],A42))</f>
        <v/>
      </c>
      <c r="F42" s="4" t="str">
        <f>IF(A42="","",SUMIFS(Docs[Остаток],Docs[Дата],"&lt;="&amp;ДатаОтчета,Docs[Статус],"Проведён",Docs[Контрагент],A42,Docs[Тип долга],"КЗ"))</f>
        <v/>
      </c>
    </row>
    <row r="43" spans="1:6" x14ac:dyDescent="0.25">
      <c r="A43" s="5" t="str">
        <f>IF(СПРАВОЧНИКИ!G43="","",СПРАВОЧНИКИ!G43)</f>
        <v/>
      </c>
      <c r="B43" s="4" t="str">
        <f>IF(A43="","",SUMIFS(Docs[Сумма],Docs[Дата],"&lt;="&amp;ДатаОтчета,Docs[Статус],"Проведён",Docs[Вид],"Выручка",Docs[Контрагент],A43))</f>
        <v/>
      </c>
      <c r="C43" s="21" t="str">
        <f>IF(A43="","",IF(ОПиУ!$N$7=0,"н/д",B43/ОПиУ!$N$7))</f>
        <v/>
      </c>
      <c r="D43" s="4" t="str">
        <f>IF(A43="","",SUMIFS(Cash[Поток],Cash[Дата],"&lt;="&amp;ДатаОтчета,Cash[Статус],"Проведён",Cash[Тип],"Оплата клиента",Cash[Контрагент],A43)+SUMIFS(Cash[Поток],Cash[Дата],"&lt;="&amp;ДатаОтчета,Cash[Статус],"Проведён",Cash[Тип],"Возврат клиенту",Cash[Контрагент],A43))</f>
        <v/>
      </c>
      <c r="E43" s="4" t="str">
        <f>IF(A43="","",SUMIFS(Docs[Остаток],Docs[Дата],"&lt;="&amp;ДатаОтчета,Docs[Статус],"Проведён",Docs[Тип долга],"ДЗ",Docs[Контрагент],A43))</f>
        <v/>
      </c>
      <c r="F43" s="4" t="str">
        <f>IF(A43="","",SUMIFS(Docs[Остаток],Docs[Дата],"&lt;="&amp;ДатаОтчета,Docs[Статус],"Проведён",Docs[Контрагент],A43,Docs[Тип долга],"КЗ"))</f>
        <v/>
      </c>
    </row>
    <row r="44" spans="1:6" x14ac:dyDescent="0.25">
      <c r="A44" s="5" t="str">
        <f>IF(СПРАВОЧНИКИ!G44="","",СПРАВОЧНИКИ!G44)</f>
        <v/>
      </c>
      <c r="B44" s="4" t="str">
        <f>IF(A44="","",SUMIFS(Docs[Сумма],Docs[Дата],"&lt;="&amp;ДатаОтчета,Docs[Статус],"Проведён",Docs[Вид],"Выручка",Docs[Контрагент],A44))</f>
        <v/>
      </c>
      <c r="C44" s="21" t="str">
        <f>IF(A44="","",IF(ОПиУ!$N$7=0,"н/д",B44/ОПиУ!$N$7))</f>
        <v/>
      </c>
      <c r="D44" s="4" t="str">
        <f>IF(A44="","",SUMIFS(Cash[Поток],Cash[Дата],"&lt;="&amp;ДатаОтчета,Cash[Статус],"Проведён",Cash[Тип],"Оплата клиента",Cash[Контрагент],A44)+SUMIFS(Cash[Поток],Cash[Дата],"&lt;="&amp;ДатаОтчета,Cash[Статус],"Проведён",Cash[Тип],"Возврат клиенту",Cash[Контрагент],A44))</f>
        <v/>
      </c>
      <c r="E44" s="4" t="str">
        <f>IF(A44="","",SUMIFS(Docs[Остаток],Docs[Дата],"&lt;="&amp;ДатаОтчета,Docs[Статус],"Проведён",Docs[Тип долга],"ДЗ",Docs[Контрагент],A44))</f>
        <v/>
      </c>
      <c r="F44" s="4" t="str">
        <f>IF(A44="","",SUMIFS(Docs[Остаток],Docs[Дата],"&lt;="&amp;ДатаОтчета,Docs[Статус],"Проведён",Docs[Контрагент],A44,Docs[Тип долга],"КЗ"))</f>
        <v/>
      </c>
    </row>
    <row r="45" spans="1:6" x14ac:dyDescent="0.25">
      <c r="A45" s="5" t="str">
        <f>IF(СПРАВОЧНИКИ!G45="","",СПРАВОЧНИКИ!G45)</f>
        <v/>
      </c>
      <c r="B45" s="4" t="str">
        <f>IF(A45="","",SUMIFS(Docs[Сумма],Docs[Дата],"&lt;="&amp;ДатаОтчета,Docs[Статус],"Проведён",Docs[Вид],"Выручка",Docs[Контрагент],A45))</f>
        <v/>
      </c>
      <c r="C45" s="21" t="str">
        <f>IF(A45="","",IF(ОПиУ!$N$7=0,"н/д",B45/ОПиУ!$N$7))</f>
        <v/>
      </c>
      <c r="D45" s="4" t="str">
        <f>IF(A45="","",SUMIFS(Cash[Поток],Cash[Дата],"&lt;="&amp;ДатаОтчета,Cash[Статус],"Проведён",Cash[Тип],"Оплата клиента",Cash[Контрагент],A45)+SUMIFS(Cash[Поток],Cash[Дата],"&lt;="&amp;ДатаОтчета,Cash[Статус],"Проведён",Cash[Тип],"Возврат клиенту",Cash[Контрагент],A45))</f>
        <v/>
      </c>
      <c r="E45" s="4" t="str">
        <f>IF(A45="","",SUMIFS(Docs[Остаток],Docs[Дата],"&lt;="&amp;ДатаОтчета,Docs[Статус],"Проведён",Docs[Тип долга],"ДЗ",Docs[Контрагент],A45))</f>
        <v/>
      </c>
      <c r="F45" s="4" t="str">
        <f>IF(A45="","",SUMIFS(Docs[Остаток],Docs[Дата],"&lt;="&amp;ДатаОтчета,Docs[Статус],"Проведён",Docs[Контрагент],A45,Docs[Тип долга],"КЗ"))</f>
        <v/>
      </c>
    </row>
    <row r="46" spans="1:6" x14ac:dyDescent="0.25">
      <c r="A46" s="5" t="str">
        <f>IF(СПРАВОЧНИКИ!G46="","",СПРАВОЧНИКИ!G46)</f>
        <v/>
      </c>
      <c r="B46" s="4" t="str">
        <f>IF(A46="","",SUMIFS(Docs[Сумма],Docs[Дата],"&lt;="&amp;ДатаОтчета,Docs[Статус],"Проведён",Docs[Вид],"Выручка",Docs[Контрагент],A46))</f>
        <v/>
      </c>
      <c r="C46" s="21" t="str">
        <f>IF(A46="","",IF(ОПиУ!$N$7=0,"н/д",B46/ОПиУ!$N$7))</f>
        <v/>
      </c>
      <c r="D46" s="4" t="str">
        <f>IF(A46="","",SUMIFS(Cash[Поток],Cash[Дата],"&lt;="&amp;ДатаОтчета,Cash[Статус],"Проведён",Cash[Тип],"Оплата клиента",Cash[Контрагент],A46)+SUMIFS(Cash[Поток],Cash[Дата],"&lt;="&amp;ДатаОтчета,Cash[Статус],"Проведён",Cash[Тип],"Возврат клиенту",Cash[Контрагент],A46))</f>
        <v/>
      </c>
      <c r="E46" s="4" t="str">
        <f>IF(A46="","",SUMIFS(Docs[Остаток],Docs[Дата],"&lt;="&amp;ДатаОтчета,Docs[Статус],"Проведён",Docs[Тип долга],"ДЗ",Docs[Контрагент],A46))</f>
        <v/>
      </c>
      <c r="F46" s="4" t="str">
        <f>IF(A46="","",SUMIFS(Docs[Остаток],Docs[Дата],"&lt;="&amp;ДатаОтчета,Docs[Статус],"Проведён",Docs[Контрагент],A46,Docs[Тип долга],"КЗ"))</f>
        <v/>
      </c>
    </row>
    <row r="47" spans="1:6" x14ac:dyDescent="0.25">
      <c r="A47" s="5" t="str">
        <f>IF(СПРАВОЧНИКИ!G47="","",СПРАВОЧНИКИ!G47)</f>
        <v/>
      </c>
      <c r="B47" s="4" t="str">
        <f>IF(A47="","",SUMIFS(Docs[Сумма],Docs[Дата],"&lt;="&amp;ДатаОтчета,Docs[Статус],"Проведён",Docs[Вид],"Выручка",Docs[Контрагент],A47))</f>
        <v/>
      </c>
      <c r="C47" s="21" t="str">
        <f>IF(A47="","",IF(ОПиУ!$N$7=0,"н/д",B47/ОПиУ!$N$7))</f>
        <v/>
      </c>
      <c r="D47" s="4" t="str">
        <f>IF(A47="","",SUMIFS(Cash[Поток],Cash[Дата],"&lt;="&amp;ДатаОтчета,Cash[Статус],"Проведён",Cash[Тип],"Оплата клиента",Cash[Контрагент],A47)+SUMIFS(Cash[Поток],Cash[Дата],"&lt;="&amp;ДатаОтчета,Cash[Статус],"Проведён",Cash[Тип],"Возврат клиенту",Cash[Контрагент],A47))</f>
        <v/>
      </c>
      <c r="E47" s="4" t="str">
        <f>IF(A47="","",SUMIFS(Docs[Остаток],Docs[Дата],"&lt;="&amp;ДатаОтчета,Docs[Статус],"Проведён",Docs[Тип долга],"ДЗ",Docs[Контрагент],A47))</f>
        <v/>
      </c>
      <c r="F47" s="4" t="str">
        <f>IF(A47="","",SUMIFS(Docs[Остаток],Docs[Дата],"&lt;="&amp;ДатаОтчета,Docs[Статус],"Проведён",Docs[Контрагент],A47,Docs[Тип долга],"КЗ"))</f>
        <v/>
      </c>
    </row>
    <row r="48" spans="1:6" x14ac:dyDescent="0.25">
      <c r="A48" s="5" t="str">
        <f>IF(СПРАВОЧНИКИ!G48="","",СПРАВОЧНИКИ!G48)</f>
        <v/>
      </c>
      <c r="B48" s="4" t="str">
        <f>IF(A48="","",SUMIFS(Docs[Сумма],Docs[Дата],"&lt;="&amp;ДатаОтчета,Docs[Статус],"Проведён",Docs[Вид],"Выручка",Docs[Контрагент],A48))</f>
        <v/>
      </c>
      <c r="C48" s="21" t="str">
        <f>IF(A48="","",IF(ОПиУ!$N$7=0,"н/д",B48/ОПиУ!$N$7))</f>
        <v/>
      </c>
      <c r="D48" s="4" t="str">
        <f>IF(A48="","",SUMIFS(Cash[Поток],Cash[Дата],"&lt;="&amp;ДатаОтчета,Cash[Статус],"Проведён",Cash[Тип],"Оплата клиента",Cash[Контрагент],A48)+SUMIFS(Cash[Поток],Cash[Дата],"&lt;="&amp;ДатаОтчета,Cash[Статус],"Проведён",Cash[Тип],"Возврат клиенту",Cash[Контрагент],A48))</f>
        <v/>
      </c>
      <c r="E48" s="4" t="str">
        <f>IF(A48="","",SUMIFS(Docs[Остаток],Docs[Дата],"&lt;="&amp;ДатаОтчета,Docs[Статус],"Проведён",Docs[Тип долга],"ДЗ",Docs[Контрагент],A48))</f>
        <v/>
      </c>
      <c r="F48" s="4" t="str">
        <f>IF(A48="","",SUMIFS(Docs[Остаток],Docs[Дата],"&lt;="&amp;ДатаОтчета,Docs[Статус],"Проведён",Docs[Контрагент],A48,Docs[Тип долга],"КЗ"))</f>
        <v/>
      </c>
    </row>
    <row r="49" spans="1:6" x14ac:dyDescent="0.25">
      <c r="A49" s="5" t="str">
        <f>IF(СПРАВОЧНИКИ!G49="","",СПРАВОЧНИКИ!G49)</f>
        <v/>
      </c>
      <c r="B49" s="4" t="str">
        <f>IF(A49="","",SUMIFS(Docs[Сумма],Docs[Дата],"&lt;="&amp;ДатаОтчета,Docs[Статус],"Проведён",Docs[Вид],"Выручка",Docs[Контрагент],A49))</f>
        <v/>
      </c>
      <c r="C49" s="21" t="str">
        <f>IF(A49="","",IF(ОПиУ!$N$7=0,"н/д",B49/ОПиУ!$N$7))</f>
        <v/>
      </c>
      <c r="D49" s="4" t="str">
        <f>IF(A49="","",SUMIFS(Cash[Поток],Cash[Дата],"&lt;="&amp;ДатаОтчета,Cash[Статус],"Проведён",Cash[Тип],"Оплата клиента",Cash[Контрагент],A49)+SUMIFS(Cash[Поток],Cash[Дата],"&lt;="&amp;ДатаОтчета,Cash[Статус],"Проведён",Cash[Тип],"Возврат клиенту",Cash[Контрагент],A49))</f>
        <v/>
      </c>
      <c r="E49" s="4" t="str">
        <f>IF(A49="","",SUMIFS(Docs[Остаток],Docs[Дата],"&lt;="&amp;ДатаОтчета,Docs[Статус],"Проведён",Docs[Тип долга],"ДЗ",Docs[Контрагент],A49))</f>
        <v/>
      </c>
      <c r="F49" s="4" t="str">
        <f>IF(A49="","",SUMIFS(Docs[Остаток],Docs[Дата],"&lt;="&amp;ДатаОтчета,Docs[Статус],"Проведён",Docs[Контрагент],A49,Docs[Тип долга],"КЗ"))</f>
        <v/>
      </c>
    </row>
    <row r="50" spans="1:6" x14ac:dyDescent="0.25">
      <c r="A50" s="5" t="str">
        <f>IF(СПРАВОЧНИКИ!G50="","",СПРАВОЧНИКИ!G50)</f>
        <v/>
      </c>
      <c r="B50" s="4" t="str">
        <f>IF(A50="","",SUMIFS(Docs[Сумма],Docs[Дата],"&lt;="&amp;ДатаОтчета,Docs[Статус],"Проведён",Docs[Вид],"Выручка",Docs[Контрагент],A50))</f>
        <v/>
      </c>
      <c r="C50" s="21" t="str">
        <f>IF(A50="","",IF(ОПиУ!$N$7=0,"н/д",B50/ОПиУ!$N$7))</f>
        <v/>
      </c>
      <c r="D50" s="4" t="str">
        <f>IF(A50="","",SUMIFS(Cash[Поток],Cash[Дата],"&lt;="&amp;ДатаОтчета,Cash[Статус],"Проведён",Cash[Тип],"Оплата клиента",Cash[Контрагент],A50)+SUMIFS(Cash[Поток],Cash[Дата],"&lt;="&amp;ДатаОтчета,Cash[Статус],"Проведён",Cash[Тип],"Возврат клиенту",Cash[Контрагент],A50))</f>
        <v/>
      </c>
      <c r="E50" s="4" t="str">
        <f>IF(A50="","",SUMIFS(Docs[Остаток],Docs[Дата],"&lt;="&amp;ДатаОтчета,Docs[Статус],"Проведён",Docs[Тип долга],"ДЗ",Docs[Контрагент],A50))</f>
        <v/>
      </c>
      <c r="F50" s="4" t="str">
        <f>IF(A50="","",SUMIFS(Docs[Остаток],Docs[Дата],"&lt;="&amp;ДатаОтчета,Docs[Статус],"Проведён",Docs[Контрагент],A50,Docs[Тип долга],"КЗ"))</f>
        <v/>
      </c>
    </row>
    <row r="51" spans="1:6" x14ac:dyDescent="0.25">
      <c r="A51" s="5" t="str">
        <f>IF(СПРАВОЧНИКИ!G51="","",СПРАВОЧНИКИ!G51)</f>
        <v/>
      </c>
      <c r="B51" s="4" t="str">
        <f>IF(A51="","",SUMIFS(Docs[Сумма],Docs[Дата],"&lt;="&amp;ДатаОтчета,Docs[Статус],"Проведён",Docs[Вид],"Выручка",Docs[Контрагент],A51))</f>
        <v/>
      </c>
      <c r="C51" s="21" t="str">
        <f>IF(A51="","",IF(ОПиУ!$N$7=0,"н/д",B51/ОПиУ!$N$7))</f>
        <v/>
      </c>
      <c r="D51" s="4" t="str">
        <f>IF(A51="","",SUMIFS(Cash[Поток],Cash[Дата],"&lt;="&amp;ДатаОтчета,Cash[Статус],"Проведён",Cash[Тип],"Оплата клиента",Cash[Контрагент],A51)+SUMIFS(Cash[Поток],Cash[Дата],"&lt;="&amp;ДатаОтчета,Cash[Статус],"Проведён",Cash[Тип],"Возврат клиенту",Cash[Контрагент],A51))</f>
        <v/>
      </c>
      <c r="E51" s="4" t="str">
        <f>IF(A51="","",SUMIFS(Docs[Остаток],Docs[Дата],"&lt;="&amp;ДатаОтчета,Docs[Статус],"Проведён",Docs[Тип долга],"ДЗ",Docs[Контрагент],A51))</f>
        <v/>
      </c>
      <c r="F51" s="4" t="str">
        <f>IF(A51="","",SUMIFS(Docs[Остаток],Docs[Дата],"&lt;="&amp;ДатаОтчета,Docs[Статус],"Проведён",Docs[Контрагент],A51,Docs[Тип долга],"КЗ"))</f>
        <v/>
      </c>
    </row>
    <row r="52" spans="1:6" x14ac:dyDescent="0.25">
      <c r="A52" s="5" t="str">
        <f>IF(СПРАВОЧНИКИ!G52="","",СПРАВОЧНИКИ!G52)</f>
        <v/>
      </c>
      <c r="B52" s="4" t="str">
        <f>IF(A52="","",SUMIFS(Docs[Сумма],Docs[Дата],"&lt;="&amp;ДатаОтчета,Docs[Статус],"Проведён",Docs[Вид],"Выручка",Docs[Контрагент],A52))</f>
        <v/>
      </c>
      <c r="C52" s="21" t="str">
        <f>IF(A52="","",IF(ОПиУ!$N$7=0,"н/д",B52/ОПиУ!$N$7))</f>
        <v/>
      </c>
      <c r="D52" s="4" t="str">
        <f>IF(A52="","",SUMIFS(Cash[Поток],Cash[Дата],"&lt;="&amp;ДатаОтчета,Cash[Статус],"Проведён",Cash[Тип],"Оплата клиента",Cash[Контрагент],A52)+SUMIFS(Cash[Поток],Cash[Дата],"&lt;="&amp;ДатаОтчета,Cash[Статус],"Проведён",Cash[Тип],"Возврат клиенту",Cash[Контрагент],A52))</f>
        <v/>
      </c>
      <c r="E52" s="4" t="str">
        <f>IF(A52="","",SUMIFS(Docs[Остаток],Docs[Дата],"&lt;="&amp;ДатаОтчета,Docs[Статус],"Проведён",Docs[Тип долга],"ДЗ",Docs[Контрагент],A52))</f>
        <v/>
      </c>
      <c r="F52" s="4" t="str">
        <f>IF(A52="","",SUMIFS(Docs[Остаток],Docs[Дата],"&lt;="&amp;ДатаОтчета,Docs[Статус],"Проведён",Docs[Контрагент],A52,Docs[Тип долга],"КЗ"))</f>
        <v/>
      </c>
    </row>
    <row r="53" spans="1:6" x14ac:dyDescent="0.25">
      <c r="A53" s="5" t="str">
        <f>IF(СПРАВОЧНИКИ!G53="","",СПРАВОЧНИКИ!G53)</f>
        <v/>
      </c>
      <c r="B53" s="4" t="str">
        <f>IF(A53="","",SUMIFS(Docs[Сумма],Docs[Дата],"&lt;="&amp;ДатаОтчета,Docs[Статус],"Проведён",Docs[Вид],"Выручка",Docs[Контрагент],A53))</f>
        <v/>
      </c>
      <c r="C53" s="21" t="str">
        <f>IF(A53="","",IF(ОПиУ!$N$7=0,"н/д",B53/ОПиУ!$N$7))</f>
        <v/>
      </c>
      <c r="D53" s="4" t="str">
        <f>IF(A53="","",SUMIFS(Cash[Поток],Cash[Дата],"&lt;="&amp;ДатаОтчета,Cash[Статус],"Проведён",Cash[Тип],"Оплата клиента",Cash[Контрагент],A53)+SUMIFS(Cash[Поток],Cash[Дата],"&lt;="&amp;ДатаОтчета,Cash[Статус],"Проведён",Cash[Тип],"Возврат клиенту",Cash[Контрагент],A53))</f>
        <v/>
      </c>
      <c r="E53" s="4" t="str">
        <f>IF(A53="","",SUMIFS(Docs[Остаток],Docs[Дата],"&lt;="&amp;ДатаОтчета,Docs[Статус],"Проведён",Docs[Тип долга],"ДЗ",Docs[Контрагент],A53))</f>
        <v/>
      </c>
      <c r="F53" s="4" t="str">
        <f>IF(A53="","",SUMIFS(Docs[Остаток],Docs[Дата],"&lt;="&amp;ДатаОтчета,Docs[Статус],"Проведён",Docs[Контрагент],A53,Docs[Тип долга],"КЗ"))</f>
        <v/>
      </c>
    </row>
    <row r="54" spans="1:6" x14ac:dyDescent="0.25">
      <c r="A54" s="5" t="str">
        <f>IF(СПРАВОЧНИКИ!G54="","",СПРАВОЧНИКИ!G54)</f>
        <v/>
      </c>
      <c r="B54" s="4" t="str">
        <f>IF(A54="","",SUMIFS(Docs[Сумма],Docs[Дата],"&lt;="&amp;ДатаОтчета,Docs[Статус],"Проведён",Docs[Вид],"Выручка",Docs[Контрагент],A54))</f>
        <v/>
      </c>
      <c r="C54" s="21" t="str">
        <f>IF(A54="","",IF(ОПиУ!$N$7=0,"н/д",B54/ОПиУ!$N$7))</f>
        <v/>
      </c>
      <c r="D54" s="4" t="str">
        <f>IF(A54="","",SUMIFS(Cash[Поток],Cash[Дата],"&lt;="&amp;ДатаОтчета,Cash[Статус],"Проведён",Cash[Тип],"Оплата клиента",Cash[Контрагент],A54)+SUMIFS(Cash[Поток],Cash[Дата],"&lt;="&amp;ДатаОтчета,Cash[Статус],"Проведён",Cash[Тип],"Возврат клиенту",Cash[Контрагент],A54))</f>
        <v/>
      </c>
      <c r="E54" s="4" t="str">
        <f>IF(A54="","",SUMIFS(Docs[Остаток],Docs[Дата],"&lt;="&amp;ДатаОтчета,Docs[Статус],"Проведён",Docs[Тип долга],"ДЗ",Docs[Контрагент],A54))</f>
        <v/>
      </c>
      <c r="F54" s="4" t="str">
        <f>IF(A54="","",SUMIFS(Docs[Остаток],Docs[Дата],"&lt;="&amp;ДатаОтчета,Docs[Статус],"Проведён",Docs[Контрагент],A54,Docs[Тип долга],"КЗ"))</f>
        <v/>
      </c>
    </row>
    <row r="55" spans="1:6" x14ac:dyDescent="0.25">
      <c r="A55" s="5" t="str">
        <f>IF(СПРАВОЧНИКИ!G55="","",СПРАВОЧНИКИ!G55)</f>
        <v/>
      </c>
      <c r="B55" s="4" t="str">
        <f>IF(A55="","",SUMIFS(Docs[Сумма],Docs[Дата],"&lt;="&amp;ДатаОтчета,Docs[Статус],"Проведён",Docs[Вид],"Выручка",Docs[Контрагент],A55))</f>
        <v/>
      </c>
      <c r="C55" s="21" t="str">
        <f>IF(A55="","",IF(ОПиУ!$N$7=0,"н/д",B55/ОПиУ!$N$7))</f>
        <v/>
      </c>
      <c r="D55" s="4" t="str">
        <f>IF(A55="","",SUMIFS(Cash[Поток],Cash[Дата],"&lt;="&amp;ДатаОтчета,Cash[Статус],"Проведён",Cash[Тип],"Оплата клиента",Cash[Контрагент],A55)+SUMIFS(Cash[Поток],Cash[Дата],"&lt;="&amp;ДатаОтчета,Cash[Статус],"Проведён",Cash[Тип],"Возврат клиенту",Cash[Контрагент],A55))</f>
        <v/>
      </c>
      <c r="E55" s="4" t="str">
        <f>IF(A55="","",SUMIFS(Docs[Остаток],Docs[Дата],"&lt;="&amp;ДатаОтчета,Docs[Статус],"Проведён",Docs[Тип долга],"ДЗ",Docs[Контрагент],A55))</f>
        <v/>
      </c>
      <c r="F55" s="4" t="str">
        <f>IF(A55="","",SUMIFS(Docs[Остаток],Docs[Дата],"&lt;="&amp;ДатаОтчета,Docs[Статус],"Проведён",Docs[Контрагент],A55,Docs[Тип долга],"КЗ"))</f>
        <v/>
      </c>
    </row>
    <row r="56" spans="1:6" x14ac:dyDescent="0.25">
      <c r="A56" s="5" t="str">
        <f>IF(СПРАВОЧНИКИ!G56="","",СПРАВОЧНИКИ!G56)</f>
        <v/>
      </c>
      <c r="B56" s="4" t="str">
        <f>IF(A56="","",SUMIFS(Docs[Сумма],Docs[Дата],"&lt;="&amp;ДатаОтчета,Docs[Статус],"Проведён",Docs[Вид],"Выручка",Docs[Контрагент],A56))</f>
        <v/>
      </c>
      <c r="C56" s="21" t="str">
        <f>IF(A56="","",IF(ОПиУ!$N$7=0,"н/д",B56/ОПиУ!$N$7))</f>
        <v/>
      </c>
      <c r="D56" s="4" t="str">
        <f>IF(A56="","",SUMIFS(Cash[Поток],Cash[Дата],"&lt;="&amp;ДатаОтчета,Cash[Статус],"Проведён",Cash[Тип],"Оплата клиента",Cash[Контрагент],A56)+SUMIFS(Cash[Поток],Cash[Дата],"&lt;="&amp;ДатаОтчета,Cash[Статус],"Проведён",Cash[Тип],"Возврат клиенту",Cash[Контрагент],A56))</f>
        <v/>
      </c>
      <c r="E56" s="4" t="str">
        <f>IF(A56="","",SUMIFS(Docs[Остаток],Docs[Дата],"&lt;="&amp;ДатаОтчета,Docs[Статус],"Проведён",Docs[Тип долга],"ДЗ",Docs[Контрагент],A56))</f>
        <v/>
      </c>
      <c r="F56" s="4" t="str">
        <f>IF(A56="","",SUMIFS(Docs[Остаток],Docs[Дата],"&lt;="&amp;ДатаОтчета,Docs[Статус],"Проведён",Docs[Контрагент],A56,Docs[Тип долга],"КЗ"))</f>
        <v/>
      </c>
    </row>
    <row r="57" spans="1:6" x14ac:dyDescent="0.25">
      <c r="A57" s="5" t="str">
        <f>IF(СПРАВОЧНИКИ!G57="","",СПРАВОЧНИКИ!G57)</f>
        <v/>
      </c>
      <c r="B57" s="4" t="str">
        <f>IF(A57="","",SUMIFS(Docs[Сумма],Docs[Дата],"&lt;="&amp;ДатаОтчета,Docs[Статус],"Проведён",Docs[Вид],"Выручка",Docs[Контрагент],A57))</f>
        <v/>
      </c>
      <c r="C57" s="21" t="str">
        <f>IF(A57="","",IF(ОПиУ!$N$7=0,"н/д",B57/ОПиУ!$N$7))</f>
        <v/>
      </c>
      <c r="D57" s="4" t="str">
        <f>IF(A57="","",SUMIFS(Cash[Поток],Cash[Дата],"&lt;="&amp;ДатаОтчета,Cash[Статус],"Проведён",Cash[Тип],"Оплата клиента",Cash[Контрагент],A57)+SUMIFS(Cash[Поток],Cash[Дата],"&lt;="&amp;ДатаОтчета,Cash[Статус],"Проведён",Cash[Тип],"Возврат клиенту",Cash[Контрагент],A57))</f>
        <v/>
      </c>
      <c r="E57" s="4" t="str">
        <f>IF(A57="","",SUMIFS(Docs[Остаток],Docs[Дата],"&lt;="&amp;ДатаОтчета,Docs[Статус],"Проведён",Docs[Тип долга],"ДЗ",Docs[Контрагент],A57))</f>
        <v/>
      </c>
      <c r="F57" s="4" t="str">
        <f>IF(A57="","",SUMIFS(Docs[Остаток],Docs[Дата],"&lt;="&amp;ДатаОтчета,Docs[Статус],"Проведён",Docs[Контрагент],A57,Docs[Тип долга],"КЗ"))</f>
        <v/>
      </c>
    </row>
    <row r="58" spans="1:6" x14ac:dyDescent="0.25">
      <c r="A58" s="5" t="str">
        <f>IF(СПРАВОЧНИКИ!G58="","",СПРАВОЧНИКИ!G58)</f>
        <v/>
      </c>
      <c r="B58" s="4" t="str">
        <f>IF(A58="","",SUMIFS(Docs[Сумма],Docs[Дата],"&lt;="&amp;ДатаОтчета,Docs[Статус],"Проведён",Docs[Вид],"Выручка",Docs[Контрагент],A58))</f>
        <v/>
      </c>
      <c r="C58" s="21" t="str">
        <f>IF(A58="","",IF(ОПиУ!$N$7=0,"н/д",B58/ОПиУ!$N$7))</f>
        <v/>
      </c>
      <c r="D58" s="4" t="str">
        <f>IF(A58="","",SUMIFS(Cash[Поток],Cash[Дата],"&lt;="&amp;ДатаОтчета,Cash[Статус],"Проведён",Cash[Тип],"Оплата клиента",Cash[Контрагент],A58)+SUMIFS(Cash[Поток],Cash[Дата],"&lt;="&amp;ДатаОтчета,Cash[Статус],"Проведён",Cash[Тип],"Возврат клиенту",Cash[Контрагент],A58))</f>
        <v/>
      </c>
      <c r="E58" s="4" t="str">
        <f>IF(A58="","",SUMIFS(Docs[Остаток],Docs[Дата],"&lt;="&amp;ДатаОтчета,Docs[Статус],"Проведён",Docs[Тип долга],"ДЗ",Docs[Контрагент],A58))</f>
        <v/>
      </c>
      <c r="F58" s="4" t="str">
        <f>IF(A58="","",SUMIFS(Docs[Остаток],Docs[Дата],"&lt;="&amp;ДатаОтчета,Docs[Статус],"Проведён",Docs[Контрагент],A58,Docs[Тип долга],"КЗ"))</f>
        <v/>
      </c>
    </row>
    <row r="59" spans="1:6" x14ac:dyDescent="0.25">
      <c r="A59" s="5" t="str">
        <f>IF(СПРАВОЧНИКИ!G59="","",СПРАВОЧНИКИ!G59)</f>
        <v/>
      </c>
      <c r="B59" s="4" t="str">
        <f>IF(A59="","",SUMIFS(Docs[Сумма],Docs[Дата],"&lt;="&amp;ДатаОтчета,Docs[Статус],"Проведён",Docs[Вид],"Выручка",Docs[Контрагент],A59))</f>
        <v/>
      </c>
      <c r="C59" s="21" t="str">
        <f>IF(A59="","",IF(ОПиУ!$N$7=0,"н/д",B59/ОПиУ!$N$7))</f>
        <v/>
      </c>
      <c r="D59" s="4" t="str">
        <f>IF(A59="","",SUMIFS(Cash[Поток],Cash[Дата],"&lt;="&amp;ДатаОтчета,Cash[Статус],"Проведён",Cash[Тип],"Оплата клиента",Cash[Контрагент],A59)+SUMIFS(Cash[Поток],Cash[Дата],"&lt;="&amp;ДатаОтчета,Cash[Статус],"Проведён",Cash[Тип],"Возврат клиенту",Cash[Контрагент],A59))</f>
        <v/>
      </c>
      <c r="E59" s="4" t="str">
        <f>IF(A59="","",SUMIFS(Docs[Остаток],Docs[Дата],"&lt;="&amp;ДатаОтчета,Docs[Статус],"Проведён",Docs[Тип долга],"ДЗ",Docs[Контрагент],A59))</f>
        <v/>
      </c>
      <c r="F59" s="4" t="str">
        <f>IF(A59="","",SUMIFS(Docs[Остаток],Docs[Дата],"&lt;="&amp;ДатаОтчета,Docs[Статус],"Проведён",Docs[Контрагент],A59,Docs[Тип долга],"КЗ"))</f>
        <v/>
      </c>
    </row>
    <row r="60" spans="1:6" x14ac:dyDescent="0.25">
      <c r="A60" s="5" t="str">
        <f>IF(СПРАВОЧНИКИ!G60="","",СПРАВОЧНИКИ!G60)</f>
        <v/>
      </c>
      <c r="B60" s="4" t="str">
        <f>IF(A60="","",SUMIFS(Docs[Сумма],Docs[Дата],"&lt;="&amp;ДатаОтчета,Docs[Статус],"Проведён",Docs[Вид],"Выручка",Docs[Контрагент],A60))</f>
        <v/>
      </c>
      <c r="C60" s="21" t="str">
        <f>IF(A60="","",IF(ОПиУ!$N$7=0,"н/д",B60/ОПиУ!$N$7))</f>
        <v/>
      </c>
      <c r="D60" s="4" t="str">
        <f>IF(A60="","",SUMIFS(Cash[Поток],Cash[Дата],"&lt;="&amp;ДатаОтчета,Cash[Статус],"Проведён",Cash[Тип],"Оплата клиента",Cash[Контрагент],A60)+SUMIFS(Cash[Поток],Cash[Дата],"&lt;="&amp;ДатаОтчета,Cash[Статус],"Проведён",Cash[Тип],"Возврат клиенту",Cash[Контрагент],A60))</f>
        <v/>
      </c>
      <c r="E60" s="4" t="str">
        <f>IF(A60="","",SUMIFS(Docs[Остаток],Docs[Дата],"&lt;="&amp;ДатаОтчета,Docs[Статус],"Проведён",Docs[Тип долга],"ДЗ",Docs[Контрагент],A60))</f>
        <v/>
      </c>
      <c r="F60" s="4" t="str">
        <f>IF(A60="","",SUMIFS(Docs[Остаток],Docs[Дата],"&lt;="&amp;ДатаОтчета,Docs[Статус],"Проведён",Docs[Контрагент],A60,Docs[Тип долга],"КЗ"))</f>
        <v/>
      </c>
    </row>
    <row r="61" spans="1:6" x14ac:dyDescent="0.25">
      <c r="A61" s="5" t="str">
        <f>IF(СПРАВОЧНИКИ!G61="","",СПРАВОЧНИКИ!G61)</f>
        <v/>
      </c>
      <c r="B61" s="4" t="str">
        <f>IF(A61="","",SUMIFS(Docs[Сумма],Docs[Дата],"&lt;="&amp;ДатаОтчета,Docs[Статус],"Проведён",Docs[Вид],"Выручка",Docs[Контрагент],A61))</f>
        <v/>
      </c>
      <c r="C61" s="21" t="str">
        <f>IF(A61="","",IF(ОПиУ!$N$7=0,"н/д",B61/ОПиУ!$N$7))</f>
        <v/>
      </c>
      <c r="D61" s="4" t="str">
        <f>IF(A61="","",SUMIFS(Cash[Поток],Cash[Дата],"&lt;="&amp;ДатаОтчета,Cash[Статус],"Проведён",Cash[Тип],"Оплата клиента",Cash[Контрагент],A61)+SUMIFS(Cash[Поток],Cash[Дата],"&lt;="&amp;ДатаОтчета,Cash[Статус],"Проведён",Cash[Тип],"Возврат клиенту",Cash[Контрагент],A61))</f>
        <v/>
      </c>
      <c r="E61" s="4" t="str">
        <f>IF(A61="","",SUMIFS(Docs[Остаток],Docs[Дата],"&lt;="&amp;ДатаОтчета,Docs[Статус],"Проведён",Docs[Тип долга],"ДЗ",Docs[Контрагент],A61))</f>
        <v/>
      </c>
      <c r="F61" s="4" t="str">
        <f>IF(A61="","",SUMIFS(Docs[Остаток],Docs[Дата],"&lt;="&amp;ДатаОтчета,Docs[Статус],"Проведён",Docs[Контрагент],A61,Docs[Тип долга],"КЗ"))</f>
        <v/>
      </c>
    </row>
    <row r="62" spans="1:6" x14ac:dyDescent="0.25">
      <c r="A62" s="5" t="str">
        <f>IF(СПРАВОЧНИКИ!G62="","",СПРАВОЧНИКИ!G62)</f>
        <v/>
      </c>
      <c r="B62" s="4" t="str">
        <f>IF(A62="","",SUMIFS(Docs[Сумма],Docs[Дата],"&lt;="&amp;ДатаОтчета,Docs[Статус],"Проведён",Docs[Вид],"Выручка",Docs[Контрагент],A62))</f>
        <v/>
      </c>
      <c r="C62" s="21" t="str">
        <f>IF(A62="","",IF(ОПиУ!$N$7=0,"н/д",B62/ОПиУ!$N$7))</f>
        <v/>
      </c>
      <c r="D62" s="4" t="str">
        <f>IF(A62="","",SUMIFS(Cash[Поток],Cash[Дата],"&lt;="&amp;ДатаОтчета,Cash[Статус],"Проведён",Cash[Тип],"Оплата клиента",Cash[Контрагент],A62)+SUMIFS(Cash[Поток],Cash[Дата],"&lt;="&amp;ДатаОтчета,Cash[Статус],"Проведён",Cash[Тип],"Возврат клиенту",Cash[Контрагент],A62))</f>
        <v/>
      </c>
      <c r="E62" s="4" t="str">
        <f>IF(A62="","",SUMIFS(Docs[Остаток],Docs[Дата],"&lt;="&amp;ДатаОтчета,Docs[Статус],"Проведён",Docs[Тип долга],"ДЗ",Docs[Контрагент],A62))</f>
        <v/>
      </c>
      <c r="F62" s="4" t="str">
        <f>IF(A62="","",SUMIFS(Docs[Остаток],Docs[Дата],"&lt;="&amp;ДатаОтчета,Docs[Статус],"Проведён",Docs[Контрагент],A62,Docs[Тип долга],"КЗ"))</f>
        <v/>
      </c>
    </row>
    <row r="63" spans="1:6" x14ac:dyDescent="0.25">
      <c r="A63" s="5" t="str">
        <f>IF(СПРАВОЧНИКИ!G63="","",СПРАВОЧНИКИ!G63)</f>
        <v/>
      </c>
      <c r="B63" s="4" t="str">
        <f>IF(A63="","",SUMIFS(Docs[Сумма],Docs[Дата],"&lt;="&amp;ДатаОтчета,Docs[Статус],"Проведён",Docs[Вид],"Выручка",Docs[Контрагент],A63))</f>
        <v/>
      </c>
      <c r="C63" s="21" t="str">
        <f>IF(A63="","",IF(ОПиУ!$N$7=0,"н/д",B63/ОПиУ!$N$7))</f>
        <v/>
      </c>
      <c r="D63" s="4" t="str">
        <f>IF(A63="","",SUMIFS(Cash[Поток],Cash[Дата],"&lt;="&amp;ДатаОтчета,Cash[Статус],"Проведён",Cash[Тип],"Оплата клиента",Cash[Контрагент],A63)+SUMIFS(Cash[Поток],Cash[Дата],"&lt;="&amp;ДатаОтчета,Cash[Статус],"Проведён",Cash[Тип],"Возврат клиенту",Cash[Контрагент],A63))</f>
        <v/>
      </c>
      <c r="E63" s="4" t="str">
        <f>IF(A63="","",SUMIFS(Docs[Остаток],Docs[Дата],"&lt;="&amp;ДатаОтчета,Docs[Статус],"Проведён",Docs[Тип долга],"ДЗ",Docs[Контрагент],A63))</f>
        <v/>
      </c>
      <c r="F63" s="4" t="str">
        <f>IF(A63="","",SUMIFS(Docs[Остаток],Docs[Дата],"&lt;="&amp;ДатаОтчета,Docs[Статус],"Проведён",Docs[Контрагент],A63,Docs[Тип долга],"КЗ"))</f>
        <v/>
      </c>
    </row>
    <row r="64" spans="1:6" x14ac:dyDescent="0.25">
      <c r="A64" s="5" t="str">
        <f>IF(СПРАВОЧНИКИ!G64="","",СПРАВОЧНИКИ!G64)</f>
        <v/>
      </c>
      <c r="B64" s="4" t="str">
        <f>IF(A64="","",SUMIFS(Docs[Сумма],Docs[Дата],"&lt;="&amp;ДатаОтчета,Docs[Статус],"Проведён",Docs[Вид],"Выручка",Docs[Контрагент],A64))</f>
        <v/>
      </c>
      <c r="C64" s="21" t="str">
        <f>IF(A64="","",IF(ОПиУ!$N$7=0,"н/д",B64/ОПиУ!$N$7))</f>
        <v/>
      </c>
      <c r="D64" s="4" t="str">
        <f>IF(A64="","",SUMIFS(Cash[Поток],Cash[Дата],"&lt;="&amp;ДатаОтчета,Cash[Статус],"Проведён",Cash[Тип],"Оплата клиента",Cash[Контрагент],A64)+SUMIFS(Cash[Поток],Cash[Дата],"&lt;="&amp;ДатаОтчета,Cash[Статус],"Проведён",Cash[Тип],"Возврат клиенту",Cash[Контрагент],A64))</f>
        <v/>
      </c>
      <c r="E64" s="4" t="str">
        <f>IF(A64="","",SUMIFS(Docs[Остаток],Docs[Дата],"&lt;="&amp;ДатаОтчета,Docs[Статус],"Проведён",Docs[Тип долга],"ДЗ",Docs[Контрагент],A64))</f>
        <v/>
      </c>
      <c r="F64" s="4" t="str">
        <f>IF(A64="","",SUMIFS(Docs[Остаток],Docs[Дата],"&lt;="&amp;ДатаОтчета,Docs[Статус],"Проведён",Docs[Контрагент],A64,Docs[Тип долга],"КЗ"))</f>
        <v/>
      </c>
    </row>
    <row r="65" spans="1:6" x14ac:dyDescent="0.25">
      <c r="A65" s="5" t="str">
        <f>IF(СПРАВОЧНИКИ!G65="","",СПРАВОЧНИКИ!G65)</f>
        <v/>
      </c>
      <c r="B65" s="4" t="str">
        <f>IF(A65="","",SUMIFS(Docs[Сумма],Docs[Дата],"&lt;="&amp;ДатаОтчета,Docs[Статус],"Проведён",Docs[Вид],"Выручка",Docs[Контрагент],A65))</f>
        <v/>
      </c>
      <c r="C65" s="21" t="str">
        <f>IF(A65="","",IF(ОПиУ!$N$7=0,"н/д",B65/ОПиУ!$N$7))</f>
        <v/>
      </c>
      <c r="D65" s="4" t="str">
        <f>IF(A65="","",SUMIFS(Cash[Поток],Cash[Дата],"&lt;="&amp;ДатаОтчета,Cash[Статус],"Проведён",Cash[Тип],"Оплата клиента",Cash[Контрагент],A65)+SUMIFS(Cash[Поток],Cash[Дата],"&lt;="&amp;ДатаОтчета,Cash[Статус],"Проведён",Cash[Тип],"Возврат клиенту",Cash[Контрагент],A65))</f>
        <v/>
      </c>
      <c r="E65" s="4" t="str">
        <f>IF(A65="","",SUMIFS(Docs[Остаток],Docs[Дата],"&lt;="&amp;ДатаОтчета,Docs[Статус],"Проведён",Docs[Тип долга],"ДЗ",Docs[Контрагент],A65))</f>
        <v/>
      </c>
      <c r="F65" s="4" t="str">
        <f>IF(A65="","",SUMIFS(Docs[Остаток],Docs[Дата],"&lt;="&amp;ДатаОтчета,Docs[Статус],"Проведён",Docs[Контрагент],A65,Docs[Тип долга],"КЗ"))</f>
        <v/>
      </c>
    </row>
    <row r="66" spans="1:6" x14ac:dyDescent="0.25">
      <c r="A66" s="5" t="str">
        <f>IF(СПРАВОЧНИКИ!G66="","",СПРАВОЧНИКИ!G66)</f>
        <v/>
      </c>
      <c r="B66" s="4" t="str">
        <f>IF(A66="","",SUMIFS(Docs[Сумма],Docs[Дата],"&lt;="&amp;ДатаОтчета,Docs[Статус],"Проведён",Docs[Вид],"Выручка",Docs[Контрагент],A66))</f>
        <v/>
      </c>
      <c r="C66" s="21" t="str">
        <f>IF(A66="","",IF(ОПиУ!$N$7=0,"н/д",B66/ОПиУ!$N$7))</f>
        <v/>
      </c>
      <c r="D66" s="4" t="str">
        <f>IF(A66="","",SUMIFS(Cash[Поток],Cash[Дата],"&lt;="&amp;ДатаОтчета,Cash[Статус],"Проведён",Cash[Тип],"Оплата клиента",Cash[Контрагент],A66)+SUMIFS(Cash[Поток],Cash[Дата],"&lt;="&amp;ДатаОтчета,Cash[Статус],"Проведён",Cash[Тип],"Возврат клиенту",Cash[Контрагент],A66))</f>
        <v/>
      </c>
      <c r="E66" s="4" t="str">
        <f>IF(A66="","",SUMIFS(Docs[Остаток],Docs[Дата],"&lt;="&amp;ДатаОтчета,Docs[Статус],"Проведён",Docs[Тип долга],"ДЗ",Docs[Контрагент],A66))</f>
        <v/>
      </c>
      <c r="F66" s="4" t="str">
        <f>IF(A66="","",SUMIFS(Docs[Остаток],Docs[Дата],"&lt;="&amp;ДатаОтчета,Docs[Статус],"Проведён",Docs[Контрагент],A66,Docs[Тип долга],"КЗ"))</f>
        <v/>
      </c>
    </row>
    <row r="69" spans="1:6" x14ac:dyDescent="0.25">
      <c r="A69" s="3" t="s">
        <v>377</v>
      </c>
      <c r="B69" s="21">
        <f>IF(ОПиУ!N7=0,"н/д",MAX(B7:B66)/ОПиУ!N7)</f>
        <v>0.27967257844474763</v>
      </c>
    </row>
    <row r="70" spans="1:6" x14ac:dyDescent="0.25">
      <c r="A70" s="3" t="s">
        <v>378</v>
      </c>
      <c r="B70" s="4" t="str">
        <f>IF(NOT(ISNUMBER(B69)),"Нет выручки",IF(B69&gt;0.3,"Крупнейший клиент &gt;30%","Крупнейший клиент ≤30%"))</f>
        <v>Крупнейший клиент ≤30%</v>
      </c>
    </row>
    <row r="73" spans="1:6" ht="33.950000000000003" customHeight="1" x14ac:dyDescent="0.25">
      <c r="A73" s="7" t="s">
        <v>289</v>
      </c>
      <c r="B73" s="7" t="s">
        <v>5</v>
      </c>
      <c r="C73" s="7" t="s">
        <v>379</v>
      </c>
      <c r="D73" s="7" t="s">
        <v>380</v>
      </c>
    </row>
    <row r="74" spans="1:6" x14ac:dyDescent="0.25">
      <c r="A74" s="3" t="s">
        <v>381</v>
      </c>
      <c r="B74" s="4">
        <f>SUMIFS(Docs[Сумма],Docs[Дата],"&lt;="&amp;ДатаОтчета,Docs[Статус],"Проведён",Docs[Вид],"Выручка",Docs[Проект],A74)</f>
        <v>2769000</v>
      </c>
      <c r="C74" s="4">
        <f>SUMIFS(Docs[Сумма],Docs[Дата],"&lt;="&amp;ДатаОтчета,Docs[Статус],"Проведён",Docs[Вид],"Себестоимость",Docs[Проект],A74)</f>
        <v>0</v>
      </c>
      <c r="D74" s="4">
        <f>B74-C74</f>
        <v>2769000</v>
      </c>
    </row>
    <row r="75" spans="1:6" x14ac:dyDescent="0.25">
      <c r="A75" s="3" t="s">
        <v>298</v>
      </c>
      <c r="B75" s="4">
        <f>SUMIFS(Docs[Сумма],Docs[Дата],"&lt;="&amp;ДатаОтчета,Docs[Статус],"Проведён",Docs[Вид],"Выручка",Docs[Проект],A75)</f>
        <v>2112000</v>
      </c>
      <c r="C75" s="4">
        <f>SUMIFS(Docs[Сумма],Docs[Дата],"&lt;="&amp;ДатаОтчета,Docs[Статус],"Проведён",Docs[Вид],"Себестоимость",Docs[Проект],A75)</f>
        <v>2112000</v>
      </c>
      <c r="D75" s="4">
        <f>B75-C75</f>
        <v>0</v>
      </c>
    </row>
    <row r="76" spans="1:6" x14ac:dyDescent="0.25">
      <c r="A76" s="3" t="s">
        <v>382</v>
      </c>
      <c r="B76" s="4">
        <f>SUMIFS(Docs[Сумма],Docs[Дата],"&lt;="&amp;ДатаОтчета,Docs[Статус],"Проведён",Docs[Вид],"Выручка",Docs[Проект],A76)</f>
        <v>1716000</v>
      </c>
      <c r="C76" s="4">
        <f>SUMIFS(Docs[Сумма],Docs[Дата],"&lt;="&amp;ДатаОтчета,Docs[Статус],"Проведён",Docs[Вид],"Себестоимость",Docs[Проект],A76)</f>
        <v>0</v>
      </c>
      <c r="D76" s="4">
        <f>B76-C76</f>
        <v>1716000</v>
      </c>
    </row>
    <row r="77" spans="1:6" x14ac:dyDescent="0.25">
      <c r="A77" s="3" t="s">
        <v>383</v>
      </c>
      <c r="B77" s="4">
        <f>SUMIFS(Docs[Сумма],Docs[Дата],"&lt;="&amp;ДатаОтчета,Docs[Статус],"Проведён",Docs[Вид],"Выручка",Docs[Проект],A77)</f>
        <v>0</v>
      </c>
      <c r="C77" s="4">
        <f>SUMIFS(Docs[Сумма],Docs[Дата],"&lt;="&amp;ДатаОтчета,Docs[Статус],"Проведён",Docs[Вид],"Себестоимость",Docs[Проект],A77)</f>
        <v>0</v>
      </c>
      <c r="D77" s="4">
        <f>B77-C77</f>
        <v>0</v>
      </c>
    </row>
    <row r="80" spans="1:6" ht="33.950000000000003" customHeight="1" x14ac:dyDescent="0.25">
      <c r="A80" s="7" t="s">
        <v>384</v>
      </c>
      <c r="B80" s="7" t="s">
        <v>375</v>
      </c>
      <c r="C80" s="7" t="s">
        <v>376</v>
      </c>
    </row>
    <row r="81" spans="1:3" x14ac:dyDescent="0.25">
      <c r="A81" s="3" t="s">
        <v>385</v>
      </c>
      <c r="B81" s="4">
        <f>SUMIFS(Docs[Остаток],Docs[Дата],"&lt;="&amp;ДатаОтчета,Docs[Статус],"Проведён",Docs[Тип долга],"ДЗ",Docs[Возраст],A81)</f>
        <v>0</v>
      </c>
      <c r="C81" s="4">
        <f>SUMIFS(Docs[Остаток],Docs[Дата],"&lt;="&amp;ДатаОтчета,Docs[Статус],"Проведён",Docs[Возраст],A81,Docs[Тип долга],"КЗ")</f>
        <v>0</v>
      </c>
    </row>
    <row r="82" spans="1:3" x14ac:dyDescent="0.25">
      <c r="A82" s="3" t="s">
        <v>386</v>
      </c>
      <c r="B82" s="4">
        <f>SUMIFS(Docs[Остаток],Docs[Дата],"&lt;="&amp;ДатаОтчета,Docs[Статус],"Проведён",Docs[Тип долга],"ДЗ",Docs[Возраст],A82)</f>
        <v>59040</v>
      </c>
      <c r="C82" s="4">
        <f>SUMIFS(Docs[Остаток],Docs[Дата],"&lt;="&amp;ДатаОтчета,Docs[Статус],"Проведён",Docs[Возраст],A82,Docs[Тип долга],"КЗ")</f>
        <v>131200</v>
      </c>
    </row>
    <row r="83" spans="1:3" x14ac:dyDescent="0.25">
      <c r="A83" s="3" t="s">
        <v>387</v>
      </c>
      <c r="B83" s="4">
        <f>SUMIFS(Docs[Остаток],Docs[Дата],"&lt;="&amp;ДатаОтчета,Docs[Статус],"Проведён",Docs[Тип долга],"ДЗ",Docs[Возраст],A83)</f>
        <v>0</v>
      </c>
      <c r="C83" s="4">
        <f>SUMIFS(Docs[Остаток],Docs[Дата],"&lt;="&amp;ДатаОтчета,Docs[Статус],"Проведён",Docs[Возраст],A83,Docs[Тип долга],"КЗ")</f>
        <v>0</v>
      </c>
    </row>
    <row r="84" spans="1:3" x14ac:dyDescent="0.25">
      <c r="A84" s="3" t="s">
        <v>388</v>
      </c>
      <c r="B84" s="4">
        <f>SUMIFS(Docs[Остаток],Docs[Дата],"&lt;="&amp;ДатаОтчета,Docs[Статус],"Проведён",Docs[Тип долга],"ДЗ",Docs[Возраст],A84)</f>
        <v>0</v>
      </c>
      <c r="C84" s="4">
        <f>SUMIFS(Docs[Остаток],Docs[Дата],"&lt;="&amp;ДатаОтчета,Docs[Статус],"Проведён",Docs[Возраст],A84,Docs[Тип долга],"КЗ")</f>
        <v>0</v>
      </c>
    </row>
    <row r="85" spans="1:3" x14ac:dyDescent="0.25">
      <c r="A85" s="3" t="s">
        <v>389</v>
      </c>
      <c r="B85" s="4">
        <f>SUMIFS(Docs[Остаток],Docs[Дата],"&lt;="&amp;ДатаОтчета,Docs[Статус],"Проведён",Docs[Тип долга],"ДЗ",Docs[Возраст],A85)</f>
        <v>0</v>
      </c>
      <c r="C85" s="4">
        <f>SUMIFS(Docs[Остаток],Docs[Дата],"&lt;="&amp;ДатаОтчета,Docs[Статус],"Проведён",Docs[Возраст],A85,Docs[Тип долга],"КЗ")</f>
        <v>0</v>
      </c>
    </row>
    <row r="87" spans="1:3" x14ac:dyDescent="0.25">
      <c r="A87" s="3" t="s">
        <v>390</v>
      </c>
      <c r="B87" s="4">
        <f>SUM(B82:B85)</f>
        <v>59040</v>
      </c>
    </row>
    <row r="88" spans="1:3" x14ac:dyDescent="0.25">
      <c r="A88" s="3" t="s">
        <v>391</v>
      </c>
      <c r="B88" s="4">
        <f>SUM(C82:C85)</f>
        <v>131200</v>
      </c>
    </row>
  </sheetData>
  <hyperlinks>
    <hyperlink ref="A1" location="'ПАНЕЛЬ'!A1" display="Главная панель" xr:uid="{00000000-0004-0000-0C00-000000000000}"/>
    <hyperlink ref="D1" location="'НАСТРОЙКИ'!A1" display="Настройки" xr:uid="{00000000-0004-0000-0C00-000001000000}"/>
    <hyperlink ref="F1" location="'КОНТРОЛЬ'!A1" display="Контроль" xr:uid="{00000000-0004-0000-0C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Right="0"/>
    <pageSetUpPr fitToPage="1"/>
  </sheetPr>
  <dimension ref="A1:J79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3" customWidth="1"/>
    <col min="2" max="2" width="17" customWidth="1"/>
    <col min="3" max="3" width="58" customWidth="1"/>
    <col min="4" max="14" width="17" customWidth="1"/>
  </cols>
  <sheetData>
    <row r="1" spans="1:6" x14ac:dyDescent="0.25">
      <c r="A1" s="1" t="s">
        <v>0</v>
      </c>
      <c r="D1" s="2" t="s">
        <v>1</v>
      </c>
      <c r="F1" s="2" t="s">
        <v>2</v>
      </c>
    </row>
    <row r="2" spans="1:6" ht="30" customHeight="1" x14ac:dyDescent="0.25">
      <c r="A2" s="9" t="s">
        <v>24</v>
      </c>
    </row>
    <row r="3" spans="1:6" x14ac:dyDescent="0.25">
      <c r="A3" s="10" t="s">
        <v>36</v>
      </c>
    </row>
    <row r="6" spans="1:6" ht="35.1" customHeight="1" x14ac:dyDescent="0.25">
      <c r="A6" s="7" t="s">
        <v>37</v>
      </c>
      <c r="B6" s="7" t="s">
        <v>38</v>
      </c>
      <c r="C6" s="7" t="s">
        <v>392</v>
      </c>
    </row>
    <row r="7" spans="1:6" x14ac:dyDescent="0.25">
      <c r="A7" s="3" t="s">
        <v>393</v>
      </c>
      <c r="B7" s="3" t="s">
        <v>394</v>
      </c>
      <c r="C7" s="3" t="s">
        <v>395</v>
      </c>
    </row>
    <row r="8" spans="1:6" x14ac:dyDescent="0.25">
      <c r="A8" s="3" t="s">
        <v>396</v>
      </c>
      <c r="B8" s="3" t="s">
        <v>397</v>
      </c>
      <c r="C8" s="3" t="s">
        <v>398</v>
      </c>
    </row>
    <row r="9" spans="1:6" x14ac:dyDescent="0.25">
      <c r="A9" s="3" t="s">
        <v>137</v>
      </c>
      <c r="B9" s="12">
        <v>300000</v>
      </c>
      <c r="C9" s="3" t="s">
        <v>399</v>
      </c>
    </row>
    <row r="10" spans="1:6" x14ac:dyDescent="0.25">
      <c r="A10" s="3" t="s">
        <v>400</v>
      </c>
      <c r="B10" s="14">
        <v>0.18</v>
      </c>
      <c r="C10" s="3" t="s">
        <v>401</v>
      </c>
    </row>
    <row r="11" spans="1:6" x14ac:dyDescent="0.25">
      <c r="A11" s="3" t="s">
        <v>402</v>
      </c>
      <c r="B11" s="19">
        <v>46027</v>
      </c>
      <c r="C11" s="3" t="s">
        <v>403</v>
      </c>
    </row>
    <row r="12" spans="1:6" x14ac:dyDescent="0.25">
      <c r="A12" s="3" t="s">
        <v>404</v>
      </c>
      <c r="B12" s="12">
        <v>24</v>
      </c>
      <c r="C12" s="3" t="s">
        <v>405</v>
      </c>
    </row>
    <row r="13" spans="1:6" x14ac:dyDescent="0.25">
      <c r="A13" s="3" t="s">
        <v>406</v>
      </c>
      <c r="B13" s="4">
        <f>IF(B10=0,B9/B12,-PMT(B10/12,B12,B9))</f>
        <v>14977.230590852616</v>
      </c>
      <c r="C13" s="3" t="s">
        <v>407</v>
      </c>
    </row>
    <row r="14" spans="1:6" x14ac:dyDescent="0.25">
      <c r="A14" s="3" t="s">
        <v>408</v>
      </c>
      <c r="B14" s="4">
        <f>SUMIFS(Cash[Сумма],Cash[Дата],"&lt;="&amp;ДатаОтчета,Cash[Статус],"Проведён",Cash[Тип],"Получение кредита",Cash[Документ],B7)</f>
        <v>300000</v>
      </c>
      <c r="C14" s="3" t="s">
        <v>409</v>
      </c>
    </row>
    <row r="15" spans="1:6" x14ac:dyDescent="0.25">
      <c r="A15" s="3" t="s">
        <v>410</v>
      </c>
      <c r="B15" s="4">
        <f>SUMIFS(Cash[Сумма],Cash[Дата],"&lt;="&amp;ДатаОтчета,Cash[Статус],"Проведён",Cash[Тип],"Тело кредита",Cash[Документ],B7)</f>
        <v>163971.84999999998</v>
      </c>
      <c r="C15" s="3" t="s">
        <v>411</v>
      </c>
    </row>
    <row r="16" spans="1:6" x14ac:dyDescent="0.25">
      <c r="A16" s="3" t="s">
        <v>412</v>
      </c>
      <c r="B16" s="4">
        <f>B14-B15</f>
        <v>136028.15000000002</v>
      </c>
      <c r="C16" s="3" t="s">
        <v>413</v>
      </c>
    </row>
    <row r="19" spans="1:10" ht="33.950000000000003" customHeight="1" x14ac:dyDescent="0.25">
      <c r="A19" s="7" t="s">
        <v>414</v>
      </c>
      <c r="B19" s="7" t="s">
        <v>415</v>
      </c>
      <c r="C19" s="7" t="s">
        <v>130</v>
      </c>
      <c r="D19" s="7" t="s">
        <v>416</v>
      </c>
      <c r="E19" s="7" t="s">
        <v>417</v>
      </c>
      <c r="F19" s="7" t="s">
        <v>418</v>
      </c>
      <c r="G19" s="7" t="s">
        <v>419</v>
      </c>
      <c r="H19" s="7" t="s">
        <v>420</v>
      </c>
      <c r="I19" s="7" t="s">
        <v>421</v>
      </c>
      <c r="J19" s="7" t="s">
        <v>422</v>
      </c>
    </row>
    <row r="20" spans="1:10" x14ac:dyDescent="0.25">
      <c r="A20" s="20">
        <f>DATE(YEAR(EDATE($B$11,0)),MONTH(EDATE($B$11,0)),28)</f>
        <v>46050</v>
      </c>
      <c r="B20" s="4">
        <f>$B$9</f>
        <v>300000</v>
      </c>
      <c r="C20" s="4">
        <f t="shared" ref="C20:C51" si="0">ROUND(B20*$B$10/12,2)</f>
        <v>4500</v>
      </c>
      <c r="D20" s="4">
        <f t="shared" ref="D20:D51" si="1">IF(B20=0,0,ROUND(MIN($B$13,B20+C20),2))</f>
        <v>14977.23</v>
      </c>
      <c r="E20" s="4">
        <f t="shared" ref="E20:E51" si="2">MAX(0,D20-C20)</f>
        <v>10477.23</v>
      </c>
      <c r="F20" s="12">
        <v>0</v>
      </c>
      <c r="G20" s="4">
        <f t="shared" ref="G20:G51" si="3">MAX(0,B20-E20-F20)</f>
        <v>289522.77</v>
      </c>
      <c r="H20" s="4">
        <f>SUMIFS(Cash[Сумма],Cash[Дата],"&lt;="&amp;ДатаОтчета,Cash[Статус],"Проведён",Cash[Тип],"Тело кредита",Cash[Дата],"&gt;="&amp;EOMONTH(A20,-1)+1,Cash[Дата],"&lt;"&amp;EDATE(EOMONTH(A20,-1)+1,1),Cash[Документ],$B$7)</f>
        <v>10477.23</v>
      </c>
      <c r="I20" s="4">
        <f>SUMIFS(Cash[Сумма],Cash[Дата],"&lt;="&amp;ДатаОтчета,Cash[Статус],"Проведён",Cash[Тип],"Проценты",Cash[Дата],"&gt;="&amp;EOMONTH(A20,-1)+1,Cash[Дата],"&lt;"&amp;EDATE(EOMONTH(A20,-1)+1,1))</f>
        <v>4500</v>
      </c>
      <c r="J20" s="4">
        <f t="shared" ref="J20:J51" si="4">IF(A20&gt;ДатаОтчета,"",H20-E20-F20)</f>
        <v>0</v>
      </c>
    </row>
    <row r="21" spans="1:10" x14ac:dyDescent="0.25">
      <c r="A21" s="20">
        <f>DATE(YEAR(EDATE($B$11,1)),MONTH(EDATE($B$11,1)),28)</f>
        <v>46081</v>
      </c>
      <c r="B21" s="4">
        <f t="shared" ref="B21:B52" si="5">G20</f>
        <v>289522.77</v>
      </c>
      <c r="C21" s="4">
        <f t="shared" si="0"/>
        <v>4342.84</v>
      </c>
      <c r="D21" s="4">
        <f t="shared" si="1"/>
        <v>14977.23</v>
      </c>
      <c r="E21" s="4">
        <f t="shared" si="2"/>
        <v>10634.39</v>
      </c>
      <c r="F21" s="12">
        <v>0</v>
      </c>
      <c r="G21" s="4">
        <f t="shared" si="3"/>
        <v>278888.38</v>
      </c>
      <c r="H21" s="4">
        <f>SUMIFS(Cash[Сумма],Cash[Дата],"&lt;="&amp;ДатаОтчета,Cash[Статус],"Проведён",Cash[Тип],"Тело кредита",Cash[Дата],"&gt;="&amp;EOMONTH(A21,-1)+1,Cash[Дата],"&lt;"&amp;EDATE(EOMONTH(A21,-1)+1,1),Cash[Документ],$B$7)</f>
        <v>10634.39</v>
      </c>
      <c r="I21" s="4">
        <f>SUMIFS(Cash[Сумма],Cash[Дата],"&lt;="&amp;ДатаОтчета,Cash[Статус],"Проведён",Cash[Тип],"Проценты",Cash[Дата],"&gt;="&amp;EOMONTH(A21,-1)+1,Cash[Дата],"&lt;"&amp;EDATE(EOMONTH(A21,-1)+1,1))</f>
        <v>4342.84</v>
      </c>
      <c r="J21" s="4">
        <f t="shared" si="4"/>
        <v>0</v>
      </c>
    </row>
    <row r="22" spans="1:10" x14ac:dyDescent="0.25">
      <c r="A22" s="20">
        <f>DATE(YEAR(EDATE($B$11,2)),MONTH(EDATE($B$11,2)),28)</f>
        <v>46109</v>
      </c>
      <c r="B22" s="4">
        <f t="shared" si="5"/>
        <v>278888.38</v>
      </c>
      <c r="C22" s="4">
        <f t="shared" si="0"/>
        <v>4183.33</v>
      </c>
      <c r="D22" s="4">
        <f t="shared" si="1"/>
        <v>14977.23</v>
      </c>
      <c r="E22" s="4">
        <f t="shared" si="2"/>
        <v>10793.9</v>
      </c>
      <c r="F22" s="12">
        <v>0</v>
      </c>
      <c r="G22" s="4">
        <f t="shared" si="3"/>
        <v>268094.48</v>
      </c>
      <c r="H22" s="4">
        <f>SUMIFS(Cash[Сумма],Cash[Дата],"&lt;="&amp;ДатаОтчета,Cash[Статус],"Проведён",Cash[Тип],"Тело кредита",Cash[Дата],"&gt;="&amp;EOMONTH(A22,-1)+1,Cash[Дата],"&lt;"&amp;EDATE(EOMONTH(A22,-1)+1,1),Cash[Документ],$B$7)</f>
        <v>10793.9</v>
      </c>
      <c r="I22" s="4">
        <f>SUMIFS(Cash[Сумма],Cash[Дата],"&lt;="&amp;ДатаОтчета,Cash[Статус],"Проведён",Cash[Тип],"Проценты",Cash[Дата],"&gt;="&amp;EOMONTH(A22,-1)+1,Cash[Дата],"&lt;"&amp;EDATE(EOMONTH(A22,-1)+1,1))</f>
        <v>4183.33</v>
      </c>
      <c r="J22" s="4">
        <f t="shared" si="4"/>
        <v>0</v>
      </c>
    </row>
    <row r="23" spans="1:10" x14ac:dyDescent="0.25">
      <c r="A23" s="20">
        <f>DATE(YEAR(EDATE($B$11,3)),MONTH(EDATE($B$11,3)),28)</f>
        <v>46140</v>
      </c>
      <c r="B23" s="4">
        <f t="shared" si="5"/>
        <v>268094.48</v>
      </c>
      <c r="C23" s="4">
        <f t="shared" si="0"/>
        <v>4021.42</v>
      </c>
      <c r="D23" s="4">
        <f t="shared" si="1"/>
        <v>14977.23</v>
      </c>
      <c r="E23" s="4">
        <f t="shared" si="2"/>
        <v>10955.81</v>
      </c>
      <c r="F23" s="12">
        <v>0</v>
      </c>
      <c r="G23" s="4">
        <f t="shared" si="3"/>
        <v>257138.66999999998</v>
      </c>
      <c r="H23" s="4">
        <f>SUMIFS(Cash[Сумма],Cash[Дата],"&lt;="&amp;ДатаОтчета,Cash[Статус],"Проведён",Cash[Тип],"Тело кредита",Cash[Дата],"&gt;="&amp;EOMONTH(A23,-1)+1,Cash[Дата],"&lt;"&amp;EDATE(EOMONTH(A23,-1)+1,1),Cash[Документ],$B$7)</f>
        <v>10955.81</v>
      </c>
      <c r="I23" s="4">
        <f>SUMIFS(Cash[Сумма],Cash[Дата],"&lt;="&amp;ДатаОтчета,Cash[Статус],"Проведён",Cash[Тип],"Проценты",Cash[Дата],"&gt;="&amp;EOMONTH(A23,-1)+1,Cash[Дата],"&lt;"&amp;EDATE(EOMONTH(A23,-1)+1,1))</f>
        <v>4021.42</v>
      </c>
      <c r="J23" s="4">
        <f t="shared" si="4"/>
        <v>0</v>
      </c>
    </row>
    <row r="24" spans="1:10" x14ac:dyDescent="0.25">
      <c r="A24" s="20">
        <f>DATE(YEAR(EDATE($B$11,4)),MONTH(EDATE($B$11,4)),28)</f>
        <v>46170</v>
      </c>
      <c r="B24" s="4">
        <f t="shared" si="5"/>
        <v>257138.66999999998</v>
      </c>
      <c r="C24" s="4">
        <f t="shared" si="0"/>
        <v>3857.08</v>
      </c>
      <c r="D24" s="4">
        <f t="shared" si="1"/>
        <v>14977.23</v>
      </c>
      <c r="E24" s="4">
        <f t="shared" si="2"/>
        <v>11120.15</v>
      </c>
      <c r="F24" s="12">
        <v>0</v>
      </c>
      <c r="G24" s="4">
        <f t="shared" si="3"/>
        <v>246018.52</v>
      </c>
      <c r="H24" s="4">
        <f>SUMIFS(Cash[Сумма],Cash[Дата],"&lt;="&amp;ДатаОтчета,Cash[Статус],"Проведён",Cash[Тип],"Тело кредита",Cash[Дата],"&gt;="&amp;EOMONTH(A24,-1)+1,Cash[Дата],"&lt;"&amp;EDATE(EOMONTH(A24,-1)+1,1),Cash[Документ],$B$7)</f>
        <v>11120.15</v>
      </c>
      <c r="I24" s="4">
        <f>SUMIFS(Cash[Сумма],Cash[Дата],"&lt;="&amp;ДатаОтчета,Cash[Статус],"Проведён",Cash[Тип],"Проценты",Cash[Дата],"&gt;="&amp;EOMONTH(A24,-1)+1,Cash[Дата],"&lt;"&amp;EDATE(EOMONTH(A24,-1)+1,1))</f>
        <v>3857.08</v>
      </c>
      <c r="J24" s="4">
        <f t="shared" si="4"/>
        <v>0</v>
      </c>
    </row>
    <row r="25" spans="1:10" x14ac:dyDescent="0.25">
      <c r="A25" s="20">
        <f>DATE(YEAR(EDATE($B$11,5)),MONTH(EDATE($B$11,5)),28)</f>
        <v>46201</v>
      </c>
      <c r="B25" s="4">
        <f t="shared" si="5"/>
        <v>246018.52</v>
      </c>
      <c r="C25" s="4">
        <f t="shared" si="0"/>
        <v>3690.28</v>
      </c>
      <c r="D25" s="4">
        <f t="shared" si="1"/>
        <v>14977.23</v>
      </c>
      <c r="E25" s="4">
        <f t="shared" si="2"/>
        <v>11286.949999999999</v>
      </c>
      <c r="F25" s="12">
        <v>25000</v>
      </c>
      <c r="G25" s="4">
        <f t="shared" si="3"/>
        <v>209731.56999999998</v>
      </c>
      <c r="H25" s="4">
        <f>SUMIFS(Cash[Сумма],Cash[Дата],"&lt;="&amp;ДатаОтчета,Cash[Статус],"Проведён",Cash[Тип],"Тело кредита",Cash[Дата],"&gt;="&amp;EOMONTH(A25,-1)+1,Cash[Дата],"&lt;"&amp;EDATE(EOMONTH(A25,-1)+1,1),Cash[Документ],$B$7)</f>
        <v>36286.949999999997</v>
      </c>
      <c r="I25" s="4">
        <f>SUMIFS(Cash[Сумма],Cash[Дата],"&lt;="&amp;ДатаОтчета,Cash[Статус],"Проведён",Cash[Тип],"Проценты",Cash[Дата],"&gt;="&amp;EOMONTH(A25,-1)+1,Cash[Дата],"&lt;"&amp;EDATE(EOMONTH(A25,-1)+1,1))</f>
        <v>3690.28</v>
      </c>
      <c r="J25" s="4">
        <f t="shared" si="4"/>
        <v>0</v>
      </c>
    </row>
    <row r="26" spans="1:10" x14ac:dyDescent="0.25">
      <c r="A26" s="20">
        <f>DATE(YEAR(EDATE($B$11,6)),MONTH(EDATE($B$11,6)),28)</f>
        <v>46231</v>
      </c>
      <c r="B26" s="4">
        <f t="shared" si="5"/>
        <v>209731.56999999998</v>
      </c>
      <c r="C26" s="4">
        <f t="shared" si="0"/>
        <v>3145.97</v>
      </c>
      <c r="D26" s="4">
        <f t="shared" si="1"/>
        <v>14977.23</v>
      </c>
      <c r="E26" s="4">
        <f t="shared" si="2"/>
        <v>11831.26</v>
      </c>
      <c r="F26" s="12">
        <v>0</v>
      </c>
      <c r="G26" s="4">
        <f t="shared" si="3"/>
        <v>197900.30999999997</v>
      </c>
      <c r="H26" s="4">
        <f>SUMIFS(Cash[Сумма],Cash[Дата],"&lt;="&amp;ДатаОтчета,Cash[Статус],"Проведён",Cash[Тип],"Тело кредита",Cash[Дата],"&gt;="&amp;EOMONTH(A26,-1)+1,Cash[Дата],"&lt;"&amp;EDATE(EOMONTH(A26,-1)+1,1),Cash[Документ],$B$7)</f>
        <v>11831.26</v>
      </c>
      <c r="I26" s="4">
        <f>SUMIFS(Cash[Сумма],Cash[Дата],"&lt;="&amp;ДатаОтчета,Cash[Статус],"Проведён",Cash[Тип],"Проценты",Cash[Дата],"&gt;="&amp;EOMONTH(A26,-1)+1,Cash[Дата],"&lt;"&amp;EDATE(EOMONTH(A26,-1)+1,1))</f>
        <v>3145.97</v>
      </c>
      <c r="J26" s="4">
        <f t="shared" si="4"/>
        <v>0</v>
      </c>
    </row>
    <row r="27" spans="1:10" x14ac:dyDescent="0.25">
      <c r="A27" s="20">
        <f>DATE(YEAR(EDATE($B$11,7)),MONTH(EDATE($B$11,7)),28)</f>
        <v>46262</v>
      </c>
      <c r="B27" s="4">
        <f t="shared" si="5"/>
        <v>197900.30999999997</v>
      </c>
      <c r="C27" s="4">
        <f t="shared" si="0"/>
        <v>2968.5</v>
      </c>
      <c r="D27" s="4">
        <f t="shared" si="1"/>
        <v>14977.23</v>
      </c>
      <c r="E27" s="4">
        <f t="shared" si="2"/>
        <v>12008.73</v>
      </c>
      <c r="F27" s="12">
        <v>0</v>
      </c>
      <c r="G27" s="4">
        <f t="shared" si="3"/>
        <v>185891.57999999996</v>
      </c>
      <c r="H27" s="4">
        <f>SUMIFS(Cash[Сумма],Cash[Дата],"&lt;="&amp;ДатаОтчета,Cash[Статус],"Проведён",Cash[Тип],"Тело кредита",Cash[Дата],"&gt;="&amp;EOMONTH(A27,-1)+1,Cash[Дата],"&lt;"&amp;EDATE(EOMONTH(A27,-1)+1,1),Cash[Документ],$B$7)</f>
        <v>12008.73</v>
      </c>
      <c r="I27" s="4">
        <f>SUMIFS(Cash[Сумма],Cash[Дата],"&lt;="&amp;ДатаОтчета,Cash[Статус],"Проведён",Cash[Тип],"Проценты",Cash[Дата],"&gt;="&amp;EOMONTH(A27,-1)+1,Cash[Дата],"&lt;"&amp;EDATE(EOMONTH(A27,-1)+1,1))</f>
        <v>2968.5</v>
      </c>
      <c r="J27" s="4">
        <f t="shared" si="4"/>
        <v>0</v>
      </c>
    </row>
    <row r="28" spans="1:10" x14ac:dyDescent="0.25">
      <c r="A28" s="20">
        <f>DATE(YEAR(EDATE($B$11,8)),MONTH(EDATE($B$11,8)),28)</f>
        <v>46293</v>
      </c>
      <c r="B28" s="4">
        <f t="shared" si="5"/>
        <v>185891.57999999996</v>
      </c>
      <c r="C28" s="4">
        <f t="shared" si="0"/>
        <v>2788.37</v>
      </c>
      <c r="D28" s="4">
        <f t="shared" si="1"/>
        <v>14977.23</v>
      </c>
      <c r="E28" s="4">
        <f t="shared" si="2"/>
        <v>12188.86</v>
      </c>
      <c r="F28" s="12">
        <v>0</v>
      </c>
      <c r="G28" s="4">
        <f t="shared" si="3"/>
        <v>173702.71999999997</v>
      </c>
      <c r="H28" s="4">
        <f>SUMIFS(Cash[Сумма],Cash[Дата],"&lt;="&amp;ДатаОтчета,Cash[Статус],"Проведён",Cash[Тип],"Тело кредита",Cash[Дата],"&gt;="&amp;EOMONTH(A28,-1)+1,Cash[Дата],"&lt;"&amp;EDATE(EOMONTH(A28,-1)+1,1),Cash[Документ],$B$7)</f>
        <v>12188.86</v>
      </c>
      <c r="I28" s="4">
        <f>SUMIFS(Cash[Сумма],Cash[Дата],"&lt;="&amp;ДатаОтчета,Cash[Статус],"Проведён",Cash[Тип],"Проценты",Cash[Дата],"&gt;="&amp;EOMONTH(A28,-1)+1,Cash[Дата],"&lt;"&amp;EDATE(EOMONTH(A28,-1)+1,1))</f>
        <v>2788.37</v>
      </c>
      <c r="J28" s="4">
        <f t="shared" si="4"/>
        <v>0</v>
      </c>
    </row>
    <row r="29" spans="1:10" x14ac:dyDescent="0.25">
      <c r="A29" s="20">
        <f>DATE(YEAR(EDATE($B$11,9)),MONTH(EDATE($B$11,9)),28)</f>
        <v>46323</v>
      </c>
      <c r="B29" s="4">
        <f t="shared" si="5"/>
        <v>173702.71999999997</v>
      </c>
      <c r="C29" s="4">
        <f t="shared" si="0"/>
        <v>2605.54</v>
      </c>
      <c r="D29" s="4">
        <f t="shared" si="1"/>
        <v>14977.23</v>
      </c>
      <c r="E29" s="4">
        <f t="shared" si="2"/>
        <v>12371.689999999999</v>
      </c>
      <c r="F29" s="12">
        <v>0</v>
      </c>
      <c r="G29" s="4">
        <f t="shared" si="3"/>
        <v>161331.02999999997</v>
      </c>
      <c r="H29" s="4">
        <f>SUMIFS(Cash[Сумма],Cash[Дата],"&lt;="&amp;ДатаОтчета,Cash[Статус],"Проведён",Cash[Тип],"Тело кредита",Cash[Дата],"&gt;="&amp;EOMONTH(A29,-1)+1,Cash[Дата],"&lt;"&amp;EDATE(EOMONTH(A29,-1)+1,1),Cash[Документ],$B$7)</f>
        <v>12371.69</v>
      </c>
      <c r="I29" s="4">
        <f>SUMIFS(Cash[Сумма],Cash[Дата],"&lt;="&amp;ДатаОтчета,Cash[Статус],"Проведён",Cash[Тип],"Проценты",Cash[Дата],"&gt;="&amp;EOMONTH(A29,-1)+1,Cash[Дата],"&lt;"&amp;EDATE(EOMONTH(A29,-1)+1,1))</f>
        <v>2605.54</v>
      </c>
      <c r="J29" s="4">
        <f t="shared" si="4"/>
        <v>1.8189894035458565E-12</v>
      </c>
    </row>
    <row r="30" spans="1:10" x14ac:dyDescent="0.25">
      <c r="A30" s="20">
        <f>DATE(YEAR(EDATE($B$11,10)),MONTH(EDATE($B$11,10)),28)</f>
        <v>46354</v>
      </c>
      <c r="B30" s="4">
        <f t="shared" si="5"/>
        <v>161331.02999999997</v>
      </c>
      <c r="C30" s="4">
        <f t="shared" si="0"/>
        <v>2419.9699999999998</v>
      </c>
      <c r="D30" s="4">
        <f t="shared" si="1"/>
        <v>14977.23</v>
      </c>
      <c r="E30" s="4">
        <f t="shared" si="2"/>
        <v>12557.26</v>
      </c>
      <c r="F30" s="12">
        <v>0</v>
      </c>
      <c r="G30" s="4">
        <f t="shared" si="3"/>
        <v>148773.76999999996</v>
      </c>
      <c r="H30" s="4">
        <f>SUMIFS(Cash[Сумма],Cash[Дата],"&lt;="&amp;ДатаОтчета,Cash[Статус],"Проведён",Cash[Тип],"Тело кредита",Cash[Дата],"&gt;="&amp;EOMONTH(A30,-1)+1,Cash[Дата],"&lt;"&amp;EDATE(EOMONTH(A30,-1)+1,1),Cash[Документ],$B$7)</f>
        <v>12557.26</v>
      </c>
      <c r="I30" s="4">
        <f>SUMIFS(Cash[Сумма],Cash[Дата],"&lt;="&amp;ДатаОтчета,Cash[Статус],"Проведён",Cash[Тип],"Проценты",Cash[Дата],"&gt;="&amp;EOMONTH(A30,-1)+1,Cash[Дата],"&lt;"&amp;EDATE(EOMONTH(A30,-1)+1,1))</f>
        <v>2419.9699999999998</v>
      </c>
      <c r="J30" s="4">
        <f t="shared" si="4"/>
        <v>0</v>
      </c>
    </row>
    <row r="31" spans="1:10" x14ac:dyDescent="0.25">
      <c r="A31" s="20">
        <f>DATE(YEAR(EDATE($B$11,11)),MONTH(EDATE($B$11,11)),28)</f>
        <v>46384</v>
      </c>
      <c r="B31" s="4">
        <f t="shared" si="5"/>
        <v>148773.76999999996</v>
      </c>
      <c r="C31" s="4">
        <f t="shared" si="0"/>
        <v>2231.61</v>
      </c>
      <c r="D31" s="4">
        <f t="shared" si="1"/>
        <v>14977.23</v>
      </c>
      <c r="E31" s="4">
        <f t="shared" si="2"/>
        <v>12745.619999999999</v>
      </c>
      <c r="F31" s="12">
        <v>0</v>
      </c>
      <c r="G31" s="4">
        <f t="shared" si="3"/>
        <v>136028.14999999997</v>
      </c>
      <c r="H31" s="4">
        <f>SUMIFS(Cash[Сумма],Cash[Дата],"&lt;="&amp;ДатаОтчета,Cash[Статус],"Проведён",Cash[Тип],"Тело кредита",Cash[Дата],"&gt;="&amp;EOMONTH(A31,-1)+1,Cash[Дата],"&lt;"&amp;EDATE(EOMONTH(A31,-1)+1,1),Cash[Документ],$B$7)</f>
        <v>12745.62</v>
      </c>
      <c r="I31" s="4">
        <f>SUMIFS(Cash[Сумма],Cash[Дата],"&lt;="&amp;ДатаОтчета,Cash[Статус],"Проведён",Cash[Тип],"Проценты",Cash[Дата],"&gt;="&amp;EOMONTH(A31,-1)+1,Cash[Дата],"&lt;"&amp;EDATE(EOMONTH(A31,-1)+1,1))</f>
        <v>2231.61</v>
      </c>
      <c r="J31" s="4">
        <f t="shared" si="4"/>
        <v>1.8189894035458565E-12</v>
      </c>
    </row>
    <row r="32" spans="1:10" x14ac:dyDescent="0.25">
      <c r="A32" s="20">
        <f>DATE(YEAR(EDATE($B$11,12)),MONTH(EDATE($B$11,12)),28)</f>
        <v>46415</v>
      </c>
      <c r="B32" s="4">
        <f t="shared" si="5"/>
        <v>136028.14999999997</v>
      </c>
      <c r="C32" s="4">
        <f t="shared" si="0"/>
        <v>2040.42</v>
      </c>
      <c r="D32" s="4">
        <f t="shared" si="1"/>
        <v>14977.23</v>
      </c>
      <c r="E32" s="4">
        <f t="shared" si="2"/>
        <v>12936.81</v>
      </c>
      <c r="F32" s="12">
        <v>0</v>
      </c>
      <c r="G32" s="4">
        <f t="shared" si="3"/>
        <v>123091.33999999997</v>
      </c>
      <c r="H32" s="4">
        <f>SUMIFS(Cash[Сумма],Cash[Дата],"&lt;="&amp;ДатаОтчета,Cash[Статус],"Проведён",Cash[Тип],"Тело кредита",Cash[Дата],"&gt;="&amp;EOMONTH(A32,-1)+1,Cash[Дата],"&lt;"&amp;EDATE(EOMONTH(A32,-1)+1,1),Cash[Документ],$B$7)</f>
        <v>0</v>
      </c>
      <c r="I32" s="4">
        <f>SUMIFS(Cash[Сумма],Cash[Дата],"&lt;="&amp;ДатаОтчета,Cash[Статус],"Проведён",Cash[Тип],"Проценты",Cash[Дата],"&gt;="&amp;EOMONTH(A32,-1)+1,Cash[Дата],"&lt;"&amp;EDATE(EOMONTH(A32,-1)+1,1))</f>
        <v>0</v>
      </c>
      <c r="J32" s="4" t="str">
        <f t="shared" si="4"/>
        <v/>
      </c>
    </row>
    <row r="33" spans="1:10" x14ac:dyDescent="0.25">
      <c r="A33" s="20">
        <f>DATE(YEAR(EDATE($B$11,13)),MONTH(EDATE($B$11,13)),28)</f>
        <v>46446</v>
      </c>
      <c r="B33" s="4">
        <f t="shared" si="5"/>
        <v>123091.33999999997</v>
      </c>
      <c r="C33" s="4">
        <f t="shared" si="0"/>
        <v>1846.37</v>
      </c>
      <c r="D33" s="4">
        <f t="shared" si="1"/>
        <v>14977.23</v>
      </c>
      <c r="E33" s="4">
        <f t="shared" si="2"/>
        <v>13130.86</v>
      </c>
      <c r="F33" s="12">
        <v>0</v>
      </c>
      <c r="G33" s="4">
        <f t="shared" si="3"/>
        <v>109960.47999999997</v>
      </c>
      <c r="H33" s="4">
        <f>SUMIFS(Cash[Сумма],Cash[Дата],"&lt;="&amp;ДатаОтчета,Cash[Статус],"Проведён",Cash[Тип],"Тело кредита",Cash[Дата],"&gt;="&amp;EOMONTH(A33,-1)+1,Cash[Дата],"&lt;"&amp;EDATE(EOMONTH(A33,-1)+1,1),Cash[Документ],$B$7)</f>
        <v>0</v>
      </c>
      <c r="I33" s="4">
        <f>SUMIFS(Cash[Сумма],Cash[Дата],"&lt;="&amp;ДатаОтчета,Cash[Статус],"Проведён",Cash[Тип],"Проценты",Cash[Дата],"&gt;="&amp;EOMONTH(A33,-1)+1,Cash[Дата],"&lt;"&amp;EDATE(EOMONTH(A33,-1)+1,1))</f>
        <v>0</v>
      </c>
      <c r="J33" s="4" t="str">
        <f t="shared" si="4"/>
        <v/>
      </c>
    </row>
    <row r="34" spans="1:10" x14ac:dyDescent="0.25">
      <c r="A34" s="20">
        <f>DATE(YEAR(EDATE($B$11,14)),MONTH(EDATE($B$11,14)),28)</f>
        <v>46474</v>
      </c>
      <c r="B34" s="4">
        <f t="shared" si="5"/>
        <v>109960.47999999997</v>
      </c>
      <c r="C34" s="4">
        <f t="shared" si="0"/>
        <v>1649.41</v>
      </c>
      <c r="D34" s="4">
        <f t="shared" si="1"/>
        <v>14977.23</v>
      </c>
      <c r="E34" s="4">
        <f t="shared" si="2"/>
        <v>13327.82</v>
      </c>
      <c r="F34" s="12">
        <v>0</v>
      </c>
      <c r="G34" s="4">
        <f t="shared" si="3"/>
        <v>96632.659999999974</v>
      </c>
      <c r="H34" s="4">
        <f>SUMIFS(Cash[Сумма],Cash[Дата],"&lt;="&amp;ДатаОтчета,Cash[Статус],"Проведён",Cash[Тип],"Тело кредита",Cash[Дата],"&gt;="&amp;EOMONTH(A34,-1)+1,Cash[Дата],"&lt;"&amp;EDATE(EOMONTH(A34,-1)+1,1),Cash[Документ],$B$7)</f>
        <v>0</v>
      </c>
      <c r="I34" s="4">
        <f>SUMIFS(Cash[Сумма],Cash[Дата],"&lt;="&amp;ДатаОтчета,Cash[Статус],"Проведён",Cash[Тип],"Проценты",Cash[Дата],"&gt;="&amp;EOMONTH(A34,-1)+1,Cash[Дата],"&lt;"&amp;EDATE(EOMONTH(A34,-1)+1,1))</f>
        <v>0</v>
      </c>
      <c r="J34" s="4" t="str">
        <f t="shared" si="4"/>
        <v/>
      </c>
    </row>
    <row r="35" spans="1:10" x14ac:dyDescent="0.25">
      <c r="A35" s="20">
        <f>DATE(YEAR(EDATE($B$11,15)),MONTH(EDATE($B$11,15)),28)</f>
        <v>46505</v>
      </c>
      <c r="B35" s="4">
        <f t="shared" si="5"/>
        <v>96632.659999999974</v>
      </c>
      <c r="C35" s="4">
        <f t="shared" si="0"/>
        <v>1449.49</v>
      </c>
      <c r="D35" s="4">
        <f t="shared" si="1"/>
        <v>14977.23</v>
      </c>
      <c r="E35" s="4">
        <f t="shared" si="2"/>
        <v>13527.74</v>
      </c>
      <c r="F35" s="12">
        <v>0</v>
      </c>
      <c r="G35" s="4">
        <f t="shared" si="3"/>
        <v>83104.919999999969</v>
      </c>
      <c r="H35" s="4">
        <f>SUMIFS(Cash[Сумма],Cash[Дата],"&lt;="&amp;ДатаОтчета,Cash[Статус],"Проведён",Cash[Тип],"Тело кредита",Cash[Дата],"&gt;="&amp;EOMONTH(A35,-1)+1,Cash[Дата],"&lt;"&amp;EDATE(EOMONTH(A35,-1)+1,1),Cash[Документ],$B$7)</f>
        <v>0</v>
      </c>
      <c r="I35" s="4">
        <f>SUMIFS(Cash[Сумма],Cash[Дата],"&lt;="&amp;ДатаОтчета,Cash[Статус],"Проведён",Cash[Тип],"Проценты",Cash[Дата],"&gt;="&amp;EOMONTH(A35,-1)+1,Cash[Дата],"&lt;"&amp;EDATE(EOMONTH(A35,-1)+1,1))</f>
        <v>0</v>
      </c>
      <c r="J35" s="4" t="str">
        <f t="shared" si="4"/>
        <v/>
      </c>
    </row>
    <row r="36" spans="1:10" x14ac:dyDescent="0.25">
      <c r="A36" s="20">
        <f>DATE(YEAR(EDATE($B$11,16)),MONTH(EDATE($B$11,16)),28)</f>
        <v>46535</v>
      </c>
      <c r="B36" s="4">
        <f t="shared" si="5"/>
        <v>83104.919999999969</v>
      </c>
      <c r="C36" s="4">
        <f t="shared" si="0"/>
        <v>1246.57</v>
      </c>
      <c r="D36" s="4">
        <f t="shared" si="1"/>
        <v>14977.23</v>
      </c>
      <c r="E36" s="4">
        <f t="shared" si="2"/>
        <v>13730.66</v>
      </c>
      <c r="F36" s="12">
        <v>0</v>
      </c>
      <c r="G36" s="4">
        <f t="shared" si="3"/>
        <v>69374.259999999966</v>
      </c>
      <c r="H36" s="4">
        <f>SUMIFS(Cash[Сумма],Cash[Дата],"&lt;="&amp;ДатаОтчета,Cash[Статус],"Проведён",Cash[Тип],"Тело кредита",Cash[Дата],"&gt;="&amp;EOMONTH(A36,-1)+1,Cash[Дата],"&lt;"&amp;EDATE(EOMONTH(A36,-1)+1,1),Cash[Документ],$B$7)</f>
        <v>0</v>
      </c>
      <c r="I36" s="4">
        <f>SUMIFS(Cash[Сумма],Cash[Дата],"&lt;="&amp;ДатаОтчета,Cash[Статус],"Проведён",Cash[Тип],"Проценты",Cash[Дата],"&gt;="&amp;EOMONTH(A36,-1)+1,Cash[Дата],"&lt;"&amp;EDATE(EOMONTH(A36,-1)+1,1))</f>
        <v>0</v>
      </c>
      <c r="J36" s="4" t="str">
        <f t="shared" si="4"/>
        <v/>
      </c>
    </row>
    <row r="37" spans="1:10" x14ac:dyDescent="0.25">
      <c r="A37" s="20">
        <f>DATE(YEAR(EDATE($B$11,17)),MONTH(EDATE($B$11,17)),28)</f>
        <v>46566</v>
      </c>
      <c r="B37" s="4">
        <f t="shared" si="5"/>
        <v>69374.259999999966</v>
      </c>
      <c r="C37" s="4">
        <f t="shared" si="0"/>
        <v>1040.6099999999999</v>
      </c>
      <c r="D37" s="4">
        <f t="shared" si="1"/>
        <v>14977.23</v>
      </c>
      <c r="E37" s="4">
        <f t="shared" si="2"/>
        <v>13936.619999999999</v>
      </c>
      <c r="F37" s="12">
        <v>0</v>
      </c>
      <c r="G37" s="4">
        <f t="shared" si="3"/>
        <v>55437.63999999997</v>
      </c>
      <c r="H37" s="4">
        <f>SUMIFS(Cash[Сумма],Cash[Дата],"&lt;="&amp;ДатаОтчета,Cash[Статус],"Проведён",Cash[Тип],"Тело кредита",Cash[Дата],"&gt;="&amp;EOMONTH(A37,-1)+1,Cash[Дата],"&lt;"&amp;EDATE(EOMONTH(A37,-1)+1,1),Cash[Документ],$B$7)</f>
        <v>0</v>
      </c>
      <c r="I37" s="4">
        <f>SUMIFS(Cash[Сумма],Cash[Дата],"&lt;="&amp;ДатаОтчета,Cash[Статус],"Проведён",Cash[Тип],"Проценты",Cash[Дата],"&gt;="&amp;EOMONTH(A37,-1)+1,Cash[Дата],"&lt;"&amp;EDATE(EOMONTH(A37,-1)+1,1))</f>
        <v>0</v>
      </c>
      <c r="J37" s="4" t="str">
        <f t="shared" si="4"/>
        <v/>
      </c>
    </row>
    <row r="38" spans="1:10" x14ac:dyDescent="0.25">
      <c r="A38" s="20">
        <f>DATE(YEAR(EDATE($B$11,18)),MONTH(EDATE($B$11,18)),28)</f>
        <v>46596</v>
      </c>
      <c r="B38" s="4">
        <f t="shared" si="5"/>
        <v>55437.63999999997</v>
      </c>
      <c r="C38" s="4">
        <f t="shared" si="0"/>
        <v>831.56</v>
      </c>
      <c r="D38" s="4">
        <f t="shared" si="1"/>
        <v>14977.23</v>
      </c>
      <c r="E38" s="4">
        <f t="shared" si="2"/>
        <v>14145.67</v>
      </c>
      <c r="F38" s="12">
        <v>0</v>
      </c>
      <c r="G38" s="4">
        <f t="shared" si="3"/>
        <v>41291.969999999972</v>
      </c>
      <c r="H38" s="4">
        <f>SUMIFS(Cash[Сумма],Cash[Дата],"&lt;="&amp;ДатаОтчета,Cash[Статус],"Проведён",Cash[Тип],"Тело кредита",Cash[Дата],"&gt;="&amp;EOMONTH(A38,-1)+1,Cash[Дата],"&lt;"&amp;EDATE(EOMONTH(A38,-1)+1,1),Cash[Документ],$B$7)</f>
        <v>0</v>
      </c>
      <c r="I38" s="4">
        <f>SUMIFS(Cash[Сумма],Cash[Дата],"&lt;="&amp;ДатаОтчета,Cash[Статус],"Проведён",Cash[Тип],"Проценты",Cash[Дата],"&gt;="&amp;EOMONTH(A38,-1)+1,Cash[Дата],"&lt;"&amp;EDATE(EOMONTH(A38,-1)+1,1))</f>
        <v>0</v>
      </c>
      <c r="J38" s="4" t="str">
        <f t="shared" si="4"/>
        <v/>
      </c>
    </row>
    <row r="39" spans="1:10" x14ac:dyDescent="0.25">
      <c r="A39" s="20">
        <f>DATE(YEAR(EDATE($B$11,19)),MONTH(EDATE($B$11,19)),28)</f>
        <v>46627</v>
      </c>
      <c r="B39" s="4">
        <f t="shared" si="5"/>
        <v>41291.969999999972</v>
      </c>
      <c r="C39" s="4">
        <f t="shared" si="0"/>
        <v>619.38</v>
      </c>
      <c r="D39" s="4">
        <f t="shared" si="1"/>
        <v>14977.23</v>
      </c>
      <c r="E39" s="4">
        <f t="shared" si="2"/>
        <v>14357.85</v>
      </c>
      <c r="F39" s="12">
        <v>0</v>
      </c>
      <c r="G39" s="4">
        <f t="shared" si="3"/>
        <v>26934.119999999974</v>
      </c>
      <c r="H39" s="4">
        <f>SUMIFS(Cash[Сумма],Cash[Дата],"&lt;="&amp;ДатаОтчета,Cash[Статус],"Проведён",Cash[Тип],"Тело кредита",Cash[Дата],"&gt;="&amp;EOMONTH(A39,-1)+1,Cash[Дата],"&lt;"&amp;EDATE(EOMONTH(A39,-1)+1,1),Cash[Документ],$B$7)</f>
        <v>0</v>
      </c>
      <c r="I39" s="4">
        <f>SUMIFS(Cash[Сумма],Cash[Дата],"&lt;="&amp;ДатаОтчета,Cash[Статус],"Проведён",Cash[Тип],"Проценты",Cash[Дата],"&gt;="&amp;EOMONTH(A39,-1)+1,Cash[Дата],"&lt;"&amp;EDATE(EOMONTH(A39,-1)+1,1))</f>
        <v>0</v>
      </c>
      <c r="J39" s="4" t="str">
        <f t="shared" si="4"/>
        <v/>
      </c>
    </row>
    <row r="40" spans="1:10" x14ac:dyDescent="0.25">
      <c r="A40" s="20">
        <f>DATE(YEAR(EDATE($B$11,20)),MONTH(EDATE($B$11,20)),28)</f>
        <v>46658</v>
      </c>
      <c r="B40" s="4">
        <f t="shared" si="5"/>
        <v>26934.119999999974</v>
      </c>
      <c r="C40" s="4">
        <f t="shared" si="0"/>
        <v>404.01</v>
      </c>
      <c r="D40" s="4">
        <f t="shared" si="1"/>
        <v>14977.23</v>
      </c>
      <c r="E40" s="4">
        <f t="shared" si="2"/>
        <v>14573.22</v>
      </c>
      <c r="F40" s="12">
        <v>0</v>
      </c>
      <c r="G40" s="4">
        <f t="shared" si="3"/>
        <v>12360.899999999974</v>
      </c>
      <c r="H40" s="4">
        <f>SUMIFS(Cash[Сумма],Cash[Дата],"&lt;="&amp;ДатаОтчета,Cash[Статус],"Проведён",Cash[Тип],"Тело кредита",Cash[Дата],"&gt;="&amp;EOMONTH(A40,-1)+1,Cash[Дата],"&lt;"&amp;EDATE(EOMONTH(A40,-1)+1,1),Cash[Документ],$B$7)</f>
        <v>0</v>
      </c>
      <c r="I40" s="4">
        <f>SUMIFS(Cash[Сумма],Cash[Дата],"&lt;="&amp;ДатаОтчета,Cash[Статус],"Проведён",Cash[Тип],"Проценты",Cash[Дата],"&gt;="&amp;EOMONTH(A40,-1)+1,Cash[Дата],"&lt;"&amp;EDATE(EOMONTH(A40,-1)+1,1))</f>
        <v>0</v>
      </c>
      <c r="J40" s="4" t="str">
        <f t="shared" si="4"/>
        <v/>
      </c>
    </row>
    <row r="41" spans="1:10" x14ac:dyDescent="0.25">
      <c r="A41" s="20">
        <f>DATE(YEAR(EDATE($B$11,21)),MONTH(EDATE($B$11,21)),28)</f>
        <v>46688</v>
      </c>
      <c r="B41" s="4">
        <f t="shared" si="5"/>
        <v>12360.899999999974</v>
      </c>
      <c r="C41" s="4">
        <f t="shared" si="0"/>
        <v>185.41</v>
      </c>
      <c r="D41" s="4">
        <f t="shared" si="1"/>
        <v>12546.31</v>
      </c>
      <c r="E41" s="4">
        <f t="shared" si="2"/>
        <v>12360.9</v>
      </c>
      <c r="F41" s="12">
        <v>0</v>
      </c>
      <c r="G41" s="4">
        <f t="shared" si="3"/>
        <v>0</v>
      </c>
      <c r="H41" s="4">
        <f>SUMIFS(Cash[Сумма],Cash[Дата],"&lt;="&amp;ДатаОтчета,Cash[Статус],"Проведён",Cash[Тип],"Тело кредита",Cash[Дата],"&gt;="&amp;EOMONTH(A41,-1)+1,Cash[Дата],"&lt;"&amp;EDATE(EOMONTH(A41,-1)+1,1),Cash[Документ],$B$7)</f>
        <v>0</v>
      </c>
      <c r="I41" s="4">
        <f>SUMIFS(Cash[Сумма],Cash[Дата],"&lt;="&amp;ДатаОтчета,Cash[Статус],"Проведён",Cash[Тип],"Проценты",Cash[Дата],"&gt;="&amp;EOMONTH(A41,-1)+1,Cash[Дата],"&lt;"&amp;EDATE(EOMONTH(A41,-1)+1,1))</f>
        <v>0</v>
      </c>
      <c r="J41" s="4" t="str">
        <f t="shared" si="4"/>
        <v/>
      </c>
    </row>
    <row r="42" spans="1:10" x14ac:dyDescent="0.25">
      <c r="A42" s="20">
        <f>DATE(YEAR(EDATE($B$11,22)),MONTH(EDATE($B$11,22)),28)</f>
        <v>46719</v>
      </c>
      <c r="B42" s="4">
        <f t="shared" si="5"/>
        <v>0</v>
      </c>
      <c r="C42" s="4">
        <f t="shared" si="0"/>
        <v>0</v>
      </c>
      <c r="D42" s="4">
        <f t="shared" si="1"/>
        <v>0</v>
      </c>
      <c r="E42" s="4">
        <f t="shared" si="2"/>
        <v>0</v>
      </c>
      <c r="F42" s="12">
        <v>0</v>
      </c>
      <c r="G42" s="4">
        <f t="shared" si="3"/>
        <v>0</v>
      </c>
      <c r="H42" s="4">
        <f>SUMIFS(Cash[Сумма],Cash[Дата],"&lt;="&amp;ДатаОтчета,Cash[Статус],"Проведён",Cash[Тип],"Тело кредита",Cash[Дата],"&gt;="&amp;EOMONTH(A42,-1)+1,Cash[Дата],"&lt;"&amp;EDATE(EOMONTH(A42,-1)+1,1),Cash[Документ],$B$7)</f>
        <v>0</v>
      </c>
      <c r="I42" s="4">
        <f>SUMIFS(Cash[Сумма],Cash[Дата],"&lt;="&amp;ДатаОтчета,Cash[Статус],"Проведён",Cash[Тип],"Проценты",Cash[Дата],"&gt;="&amp;EOMONTH(A42,-1)+1,Cash[Дата],"&lt;"&amp;EDATE(EOMONTH(A42,-1)+1,1))</f>
        <v>0</v>
      </c>
      <c r="J42" s="4" t="str">
        <f t="shared" si="4"/>
        <v/>
      </c>
    </row>
    <row r="43" spans="1:10" x14ac:dyDescent="0.25">
      <c r="A43" s="20">
        <f>DATE(YEAR(EDATE($B$11,23)),MONTH(EDATE($B$11,23)),28)</f>
        <v>46749</v>
      </c>
      <c r="B43" s="4">
        <f t="shared" si="5"/>
        <v>0</v>
      </c>
      <c r="C43" s="4">
        <f t="shared" si="0"/>
        <v>0</v>
      </c>
      <c r="D43" s="4">
        <f t="shared" si="1"/>
        <v>0</v>
      </c>
      <c r="E43" s="4">
        <f t="shared" si="2"/>
        <v>0</v>
      </c>
      <c r="F43" s="12">
        <v>0</v>
      </c>
      <c r="G43" s="4">
        <f t="shared" si="3"/>
        <v>0</v>
      </c>
      <c r="H43" s="4">
        <f>SUMIFS(Cash[Сумма],Cash[Дата],"&lt;="&amp;ДатаОтчета,Cash[Статус],"Проведён",Cash[Тип],"Тело кредита",Cash[Дата],"&gt;="&amp;EOMONTH(A43,-1)+1,Cash[Дата],"&lt;"&amp;EDATE(EOMONTH(A43,-1)+1,1),Cash[Документ],$B$7)</f>
        <v>0</v>
      </c>
      <c r="I43" s="4">
        <f>SUMIFS(Cash[Сумма],Cash[Дата],"&lt;="&amp;ДатаОтчета,Cash[Статус],"Проведён",Cash[Тип],"Проценты",Cash[Дата],"&gt;="&amp;EOMONTH(A43,-1)+1,Cash[Дата],"&lt;"&amp;EDATE(EOMONTH(A43,-1)+1,1))</f>
        <v>0</v>
      </c>
      <c r="J43" s="4" t="str">
        <f t="shared" si="4"/>
        <v/>
      </c>
    </row>
    <row r="44" spans="1:10" x14ac:dyDescent="0.25">
      <c r="A44" s="20">
        <f>DATE(YEAR(EDATE($B$11,24)),MONTH(EDATE($B$11,24)),28)</f>
        <v>46780</v>
      </c>
      <c r="B44" s="4">
        <f t="shared" si="5"/>
        <v>0</v>
      </c>
      <c r="C44" s="4">
        <f t="shared" si="0"/>
        <v>0</v>
      </c>
      <c r="D44" s="4">
        <f t="shared" si="1"/>
        <v>0</v>
      </c>
      <c r="E44" s="4">
        <f t="shared" si="2"/>
        <v>0</v>
      </c>
      <c r="F44" s="12">
        <v>0</v>
      </c>
      <c r="G44" s="4">
        <f t="shared" si="3"/>
        <v>0</v>
      </c>
      <c r="H44" s="4">
        <f>SUMIFS(Cash[Сумма],Cash[Дата],"&lt;="&amp;ДатаОтчета,Cash[Статус],"Проведён",Cash[Тип],"Тело кредита",Cash[Дата],"&gt;="&amp;EOMONTH(A44,-1)+1,Cash[Дата],"&lt;"&amp;EDATE(EOMONTH(A44,-1)+1,1),Cash[Документ],$B$7)</f>
        <v>0</v>
      </c>
      <c r="I44" s="4">
        <f>SUMIFS(Cash[Сумма],Cash[Дата],"&lt;="&amp;ДатаОтчета,Cash[Статус],"Проведён",Cash[Тип],"Проценты",Cash[Дата],"&gt;="&amp;EOMONTH(A44,-1)+1,Cash[Дата],"&lt;"&amp;EDATE(EOMONTH(A44,-1)+1,1))</f>
        <v>0</v>
      </c>
      <c r="J44" s="4" t="str">
        <f t="shared" si="4"/>
        <v/>
      </c>
    </row>
    <row r="45" spans="1:10" x14ac:dyDescent="0.25">
      <c r="A45" s="20">
        <f>DATE(YEAR(EDATE($B$11,25)),MONTH(EDATE($B$11,25)),28)</f>
        <v>46811</v>
      </c>
      <c r="B45" s="4">
        <f t="shared" si="5"/>
        <v>0</v>
      </c>
      <c r="C45" s="4">
        <f t="shared" si="0"/>
        <v>0</v>
      </c>
      <c r="D45" s="4">
        <f t="shared" si="1"/>
        <v>0</v>
      </c>
      <c r="E45" s="4">
        <f t="shared" si="2"/>
        <v>0</v>
      </c>
      <c r="F45" s="12">
        <v>0</v>
      </c>
      <c r="G45" s="4">
        <f t="shared" si="3"/>
        <v>0</v>
      </c>
      <c r="H45" s="4">
        <f>SUMIFS(Cash[Сумма],Cash[Дата],"&lt;="&amp;ДатаОтчета,Cash[Статус],"Проведён",Cash[Тип],"Тело кредита",Cash[Дата],"&gt;="&amp;EOMONTH(A45,-1)+1,Cash[Дата],"&lt;"&amp;EDATE(EOMONTH(A45,-1)+1,1),Cash[Документ],$B$7)</f>
        <v>0</v>
      </c>
      <c r="I45" s="4">
        <f>SUMIFS(Cash[Сумма],Cash[Дата],"&lt;="&amp;ДатаОтчета,Cash[Статус],"Проведён",Cash[Тип],"Проценты",Cash[Дата],"&gt;="&amp;EOMONTH(A45,-1)+1,Cash[Дата],"&lt;"&amp;EDATE(EOMONTH(A45,-1)+1,1))</f>
        <v>0</v>
      </c>
      <c r="J45" s="4" t="str">
        <f t="shared" si="4"/>
        <v/>
      </c>
    </row>
    <row r="46" spans="1:10" x14ac:dyDescent="0.25">
      <c r="A46" s="20">
        <f>DATE(YEAR(EDATE($B$11,26)),MONTH(EDATE($B$11,26)),28)</f>
        <v>46840</v>
      </c>
      <c r="B46" s="4">
        <f t="shared" si="5"/>
        <v>0</v>
      </c>
      <c r="C46" s="4">
        <f t="shared" si="0"/>
        <v>0</v>
      </c>
      <c r="D46" s="4">
        <f t="shared" si="1"/>
        <v>0</v>
      </c>
      <c r="E46" s="4">
        <f t="shared" si="2"/>
        <v>0</v>
      </c>
      <c r="F46" s="12">
        <v>0</v>
      </c>
      <c r="G46" s="4">
        <f t="shared" si="3"/>
        <v>0</v>
      </c>
      <c r="H46" s="4">
        <f>SUMIFS(Cash[Сумма],Cash[Дата],"&lt;="&amp;ДатаОтчета,Cash[Статус],"Проведён",Cash[Тип],"Тело кредита",Cash[Дата],"&gt;="&amp;EOMONTH(A46,-1)+1,Cash[Дата],"&lt;"&amp;EDATE(EOMONTH(A46,-1)+1,1),Cash[Документ],$B$7)</f>
        <v>0</v>
      </c>
      <c r="I46" s="4">
        <f>SUMIFS(Cash[Сумма],Cash[Дата],"&lt;="&amp;ДатаОтчета,Cash[Статус],"Проведён",Cash[Тип],"Проценты",Cash[Дата],"&gt;="&amp;EOMONTH(A46,-1)+1,Cash[Дата],"&lt;"&amp;EDATE(EOMONTH(A46,-1)+1,1))</f>
        <v>0</v>
      </c>
      <c r="J46" s="4" t="str">
        <f t="shared" si="4"/>
        <v/>
      </c>
    </row>
    <row r="47" spans="1:10" x14ac:dyDescent="0.25">
      <c r="A47" s="20">
        <f>DATE(YEAR(EDATE($B$11,27)),MONTH(EDATE($B$11,27)),28)</f>
        <v>46871</v>
      </c>
      <c r="B47" s="4">
        <f t="shared" si="5"/>
        <v>0</v>
      </c>
      <c r="C47" s="4">
        <f t="shared" si="0"/>
        <v>0</v>
      </c>
      <c r="D47" s="4">
        <f t="shared" si="1"/>
        <v>0</v>
      </c>
      <c r="E47" s="4">
        <f t="shared" si="2"/>
        <v>0</v>
      </c>
      <c r="F47" s="12">
        <v>0</v>
      </c>
      <c r="G47" s="4">
        <f t="shared" si="3"/>
        <v>0</v>
      </c>
      <c r="H47" s="4">
        <f>SUMIFS(Cash[Сумма],Cash[Дата],"&lt;="&amp;ДатаОтчета,Cash[Статус],"Проведён",Cash[Тип],"Тело кредита",Cash[Дата],"&gt;="&amp;EOMONTH(A47,-1)+1,Cash[Дата],"&lt;"&amp;EDATE(EOMONTH(A47,-1)+1,1),Cash[Документ],$B$7)</f>
        <v>0</v>
      </c>
      <c r="I47" s="4">
        <f>SUMIFS(Cash[Сумма],Cash[Дата],"&lt;="&amp;ДатаОтчета,Cash[Статус],"Проведён",Cash[Тип],"Проценты",Cash[Дата],"&gt;="&amp;EOMONTH(A47,-1)+1,Cash[Дата],"&lt;"&amp;EDATE(EOMONTH(A47,-1)+1,1))</f>
        <v>0</v>
      </c>
      <c r="J47" s="4" t="str">
        <f t="shared" si="4"/>
        <v/>
      </c>
    </row>
    <row r="48" spans="1:10" x14ac:dyDescent="0.25">
      <c r="A48" s="20">
        <f>DATE(YEAR(EDATE($B$11,28)),MONTH(EDATE($B$11,28)),28)</f>
        <v>46901</v>
      </c>
      <c r="B48" s="4">
        <f t="shared" si="5"/>
        <v>0</v>
      </c>
      <c r="C48" s="4">
        <f t="shared" si="0"/>
        <v>0</v>
      </c>
      <c r="D48" s="4">
        <f t="shared" si="1"/>
        <v>0</v>
      </c>
      <c r="E48" s="4">
        <f t="shared" si="2"/>
        <v>0</v>
      </c>
      <c r="F48" s="12">
        <v>0</v>
      </c>
      <c r="G48" s="4">
        <f t="shared" si="3"/>
        <v>0</v>
      </c>
      <c r="H48" s="4">
        <f>SUMIFS(Cash[Сумма],Cash[Дата],"&lt;="&amp;ДатаОтчета,Cash[Статус],"Проведён",Cash[Тип],"Тело кредита",Cash[Дата],"&gt;="&amp;EOMONTH(A48,-1)+1,Cash[Дата],"&lt;"&amp;EDATE(EOMONTH(A48,-1)+1,1),Cash[Документ],$B$7)</f>
        <v>0</v>
      </c>
      <c r="I48" s="4">
        <f>SUMIFS(Cash[Сумма],Cash[Дата],"&lt;="&amp;ДатаОтчета,Cash[Статус],"Проведён",Cash[Тип],"Проценты",Cash[Дата],"&gt;="&amp;EOMONTH(A48,-1)+1,Cash[Дата],"&lt;"&amp;EDATE(EOMONTH(A48,-1)+1,1))</f>
        <v>0</v>
      </c>
      <c r="J48" s="4" t="str">
        <f t="shared" si="4"/>
        <v/>
      </c>
    </row>
    <row r="49" spans="1:10" x14ac:dyDescent="0.25">
      <c r="A49" s="20">
        <f>DATE(YEAR(EDATE($B$11,29)),MONTH(EDATE($B$11,29)),28)</f>
        <v>46932</v>
      </c>
      <c r="B49" s="4">
        <f t="shared" si="5"/>
        <v>0</v>
      </c>
      <c r="C49" s="4">
        <f t="shared" si="0"/>
        <v>0</v>
      </c>
      <c r="D49" s="4">
        <f t="shared" si="1"/>
        <v>0</v>
      </c>
      <c r="E49" s="4">
        <f t="shared" si="2"/>
        <v>0</v>
      </c>
      <c r="F49" s="12">
        <v>0</v>
      </c>
      <c r="G49" s="4">
        <f t="shared" si="3"/>
        <v>0</v>
      </c>
      <c r="H49" s="4">
        <f>SUMIFS(Cash[Сумма],Cash[Дата],"&lt;="&amp;ДатаОтчета,Cash[Статус],"Проведён",Cash[Тип],"Тело кредита",Cash[Дата],"&gt;="&amp;EOMONTH(A49,-1)+1,Cash[Дата],"&lt;"&amp;EDATE(EOMONTH(A49,-1)+1,1),Cash[Документ],$B$7)</f>
        <v>0</v>
      </c>
      <c r="I49" s="4">
        <f>SUMIFS(Cash[Сумма],Cash[Дата],"&lt;="&amp;ДатаОтчета,Cash[Статус],"Проведён",Cash[Тип],"Проценты",Cash[Дата],"&gt;="&amp;EOMONTH(A49,-1)+1,Cash[Дата],"&lt;"&amp;EDATE(EOMONTH(A49,-1)+1,1))</f>
        <v>0</v>
      </c>
      <c r="J49" s="4" t="str">
        <f t="shared" si="4"/>
        <v/>
      </c>
    </row>
    <row r="50" spans="1:10" x14ac:dyDescent="0.25">
      <c r="A50" s="20">
        <f>DATE(YEAR(EDATE($B$11,30)),MONTH(EDATE($B$11,30)),28)</f>
        <v>46962</v>
      </c>
      <c r="B50" s="4">
        <f t="shared" si="5"/>
        <v>0</v>
      </c>
      <c r="C50" s="4">
        <f t="shared" si="0"/>
        <v>0</v>
      </c>
      <c r="D50" s="4">
        <f t="shared" si="1"/>
        <v>0</v>
      </c>
      <c r="E50" s="4">
        <f t="shared" si="2"/>
        <v>0</v>
      </c>
      <c r="F50" s="12">
        <v>0</v>
      </c>
      <c r="G50" s="4">
        <f t="shared" si="3"/>
        <v>0</v>
      </c>
      <c r="H50" s="4">
        <f>SUMIFS(Cash[Сумма],Cash[Дата],"&lt;="&amp;ДатаОтчета,Cash[Статус],"Проведён",Cash[Тип],"Тело кредита",Cash[Дата],"&gt;="&amp;EOMONTH(A50,-1)+1,Cash[Дата],"&lt;"&amp;EDATE(EOMONTH(A50,-1)+1,1),Cash[Документ],$B$7)</f>
        <v>0</v>
      </c>
      <c r="I50" s="4">
        <f>SUMIFS(Cash[Сумма],Cash[Дата],"&lt;="&amp;ДатаОтчета,Cash[Статус],"Проведён",Cash[Тип],"Проценты",Cash[Дата],"&gt;="&amp;EOMONTH(A50,-1)+1,Cash[Дата],"&lt;"&amp;EDATE(EOMONTH(A50,-1)+1,1))</f>
        <v>0</v>
      </c>
      <c r="J50" s="4" t="str">
        <f t="shared" si="4"/>
        <v/>
      </c>
    </row>
    <row r="51" spans="1:10" x14ac:dyDescent="0.25">
      <c r="A51" s="20">
        <f>DATE(YEAR(EDATE($B$11,31)),MONTH(EDATE($B$11,31)),28)</f>
        <v>46993</v>
      </c>
      <c r="B51" s="4">
        <f t="shared" si="5"/>
        <v>0</v>
      </c>
      <c r="C51" s="4">
        <f t="shared" si="0"/>
        <v>0</v>
      </c>
      <c r="D51" s="4">
        <f t="shared" si="1"/>
        <v>0</v>
      </c>
      <c r="E51" s="4">
        <f t="shared" si="2"/>
        <v>0</v>
      </c>
      <c r="F51" s="12">
        <v>0</v>
      </c>
      <c r="G51" s="4">
        <f t="shared" si="3"/>
        <v>0</v>
      </c>
      <c r="H51" s="4">
        <f>SUMIFS(Cash[Сумма],Cash[Дата],"&lt;="&amp;ДатаОтчета,Cash[Статус],"Проведён",Cash[Тип],"Тело кредита",Cash[Дата],"&gt;="&amp;EOMONTH(A51,-1)+1,Cash[Дата],"&lt;"&amp;EDATE(EOMONTH(A51,-1)+1,1),Cash[Документ],$B$7)</f>
        <v>0</v>
      </c>
      <c r="I51" s="4">
        <f>SUMIFS(Cash[Сумма],Cash[Дата],"&lt;="&amp;ДатаОтчета,Cash[Статус],"Проведён",Cash[Тип],"Проценты",Cash[Дата],"&gt;="&amp;EOMONTH(A51,-1)+1,Cash[Дата],"&lt;"&amp;EDATE(EOMONTH(A51,-1)+1,1))</f>
        <v>0</v>
      </c>
      <c r="J51" s="4" t="str">
        <f t="shared" si="4"/>
        <v/>
      </c>
    </row>
    <row r="52" spans="1:10" x14ac:dyDescent="0.25">
      <c r="A52" s="20">
        <f>DATE(YEAR(EDATE($B$11,32)),MONTH(EDATE($B$11,32)),28)</f>
        <v>47024</v>
      </c>
      <c r="B52" s="4">
        <f t="shared" si="5"/>
        <v>0</v>
      </c>
      <c r="C52" s="4">
        <f t="shared" ref="C52:C79" si="6">ROUND(B52*$B$10/12,2)</f>
        <v>0</v>
      </c>
      <c r="D52" s="4">
        <f t="shared" ref="D52:D79" si="7">IF(B52=0,0,ROUND(MIN($B$13,B52+C52),2))</f>
        <v>0</v>
      </c>
      <c r="E52" s="4">
        <f t="shared" ref="E52:E79" si="8">MAX(0,D52-C52)</f>
        <v>0</v>
      </c>
      <c r="F52" s="12">
        <v>0</v>
      </c>
      <c r="G52" s="4">
        <f t="shared" ref="G52:G79" si="9">MAX(0,B52-E52-F52)</f>
        <v>0</v>
      </c>
      <c r="H52" s="4">
        <f>SUMIFS(Cash[Сумма],Cash[Дата],"&lt;="&amp;ДатаОтчета,Cash[Статус],"Проведён",Cash[Тип],"Тело кредита",Cash[Дата],"&gt;="&amp;EOMONTH(A52,-1)+1,Cash[Дата],"&lt;"&amp;EDATE(EOMONTH(A52,-1)+1,1),Cash[Документ],$B$7)</f>
        <v>0</v>
      </c>
      <c r="I52" s="4">
        <f>SUMIFS(Cash[Сумма],Cash[Дата],"&lt;="&amp;ДатаОтчета,Cash[Статус],"Проведён",Cash[Тип],"Проценты",Cash[Дата],"&gt;="&amp;EOMONTH(A52,-1)+1,Cash[Дата],"&lt;"&amp;EDATE(EOMONTH(A52,-1)+1,1))</f>
        <v>0</v>
      </c>
      <c r="J52" s="4" t="str">
        <f t="shared" ref="J52:J79" si="10">IF(A52&gt;ДатаОтчета,"",H52-E52-F52)</f>
        <v/>
      </c>
    </row>
    <row r="53" spans="1:10" x14ac:dyDescent="0.25">
      <c r="A53" s="20">
        <f>DATE(YEAR(EDATE($B$11,33)),MONTH(EDATE($B$11,33)),28)</f>
        <v>47054</v>
      </c>
      <c r="B53" s="4">
        <f t="shared" ref="B53:B79" si="11">G52</f>
        <v>0</v>
      </c>
      <c r="C53" s="4">
        <f t="shared" si="6"/>
        <v>0</v>
      </c>
      <c r="D53" s="4">
        <f t="shared" si="7"/>
        <v>0</v>
      </c>
      <c r="E53" s="4">
        <f t="shared" si="8"/>
        <v>0</v>
      </c>
      <c r="F53" s="12">
        <v>0</v>
      </c>
      <c r="G53" s="4">
        <f t="shared" si="9"/>
        <v>0</v>
      </c>
      <c r="H53" s="4">
        <f>SUMIFS(Cash[Сумма],Cash[Дата],"&lt;="&amp;ДатаОтчета,Cash[Статус],"Проведён",Cash[Тип],"Тело кредита",Cash[Дата],"&gt;="&amp;EOMONTH(A53,-1)+1,Cash[Дата],"&lt;"&amp;EDATE(EOMONTH(A53,-1)+1,1),Cash[Документ],$B$7)</f>
        <v>0</v>
      </c>
      <c r="I53" s="4">
        <f>SUMIFS(Cash[Сумма],Cash[Дата],"&lt;="&amp;ДатаОтчета,Cash[Статус],"Проведён",Cash[Тип],"Проценты",Cash[Дата],"&gt;="&amp;EOMONTH(A53,-1)+1,Cash[Дата],"&lt;"&amp;EDATE(EOMONTH(A53,-1)+1,1))</f>
        <v>0</v>
      </c>
      <c r="J53" s="4" t="str">
        <f t="shared" si="10"/>
        <v/>
      </c>
    </row>
    <row r="54" spans="1:10" x14ac:dyDescent="0.25">
      <c r="A54" s="20">
        <f>DATE(YEAR(EDATE($B$11,34)),MONTH(EDATE($B$11,34)),28)</f>
        <v>47085</v>
      </c>
      <c r="B54" s="4">
        <f t="shared" si="11"/>
        <v>0</v>
      </c>
      <c r="C54" s="4">
        <f t="shared" si="6"/>
        <v>0</v>
      </c>
      <c r="D54" s="4">
        <f t="shared" si="7"/>
        <v>0</v>
      </c>
      <c r="E54" s="4">
        <f t="shared" si="8"/>
        <v>0</v>
      </c>
      <c r="F54" s="12">
        <v>0</v>
      </c>
      <c r="G54" s="4">
        <f t="shared" si="9"/>
        <v>0</v>
      </c>
      <c r="H54" s="4">
        <f>SUMIFS(Cash[Сумма],Cash[Дата],"&lt;="&amp;ДатаОтчета,Cash[Статус],"Проведён",Cash[Тип],"Тело кредита",Cash[Дата],"&gt;="&amp;EOMONTH(A54,-1)+1,Cash[Дата],"&lt;"&amp;EDATE(EOMONTH(A54,-1)+1,1),Cash[Документ],$B$7)</f>
        <v>0</v>
      </c>
      <c r="I54" s="4">
        <f>SUMIFS(Cash[Сумма],Cash[Дата],"&lt;="&amp;ДатаОтчета,Cash[Статус],"Проведён",Cash[Тип],"Проценты",Cash[Дата],"&gt;="&amp;EOMONTH(A54,-1)+1,Cash[Дата],"&lt;"&amp;EDATE(EOMONTH(A54,-1)+1,1))</f>
        <v>0</v>
      </c>
      <c r="J54" s="4" t="str">
        <f t="shared" si="10"/>
        <v/>
      </c>
    </row>
    <row r="55" spans="1:10" x14ac:dyDescent="0.25">
      <c r="A55" s="20">
        <f>DATE(YEAR(EDATE($B$11,35)),MONTH(EDATE($B$11,35)),28)</f>
        <v>47115</v>
      </c>
      <c r="B55" s="4">
        <f t="shared" si="11"/>
        <v>0</v>
      </c>
      <c r="C55" s="4">
        <f t="shared" si="6"/>
        <v>0</v>
      </c>
      <c r="D55" s="4">
        <f t="shared" si="7"/>
        <v>0</v>
      </c>
      <c r="E55" s="4">
        <f t="shared" si="8"/>
        <v>0</v>
      </c>
      <c r="F55" s="12">
        <v>0</v>
      </c>
      <c r="G55" s="4">
        <f t="shared" si="9"/>
        <v>0</v>
      </c>
      <c r="H55" s="4">
        <f>SUMIFS(Cash[Сумма],Cash[Дата],"&lt;="&amp;ДатаОтчета,Cash[Статус],"Проведён",Cash[Тип],"Тело кредита",Cash[Дата],"&gt;="&amp;EOMONTH(A55,-1)+1,Cash[Дата],"&lt;"&amp;EDATE(EOMONTH(A55,-1)+1,1),Cash[Документ],$B$7)</f>
        <v>0</v>
      </c>
      <c r="I55" s="4">
        <f>SUMIFS(Cash[Сумма],Cash[Дата],"&lt;="&amp;ДатаОтчета,Cash[Статус],"Проведён",Cash[Тип],"Проценты",Cash[Дата],"&gt;="&amp;EOMONTH(A55,-1)+1,Cash[Дата],"&lt;"&amp;EDATE(EOMONTH(A55,-1)+1,1))</f>
        <v>0</v>
      </c>
      <c r="J55" s="4" t="str">
        <f t="shared" si="10"/>
        <v/>
      </c>
    </row>
    <row r="56" spans="1:10" x14ac:dyDescent="0.25">
      <c r="A56" s="20">
        <f>DATE(YEAR(EDATE($B$11,36)),MONTH(EDATE($B$11,36)),28)</f>
        <v>47146</v>
      </c>
      <c r="B56" s="4">
        <f t="shared" si="11"/>
        <v>0</v>
      </c>
      <c r="C56" s="4">
        <f t="shared" si="6"/>
        <v>0</v>
      </c>
      <c r="D56" s="4">
        <f t="shared" si="7"/>
        <v>0</v>
      </c>
      <c r="E56" s="4">
        <f t="shared" si="8"/>
        <v>0</v>
      </c>
      <c r="F56" s="12">
        <v>0</v>
      </c>
      <c r="G56" s="4">
        <f t="shared" si="9"/>
        <v>0</v>
      </c>
      <c r="H56" s="4">
        <f>SUMIFS(Cash[Сумма],Cash[Дата],"&lt;="&amp;ДатаОтчета,Cash[Статус],"Проведён",Cash[Тип],"Тело кредита",Cash[Дата],"&gt;="&amp;EOMONTH(A56,-1)+1,Cash[Дата],"&lt;"&amp;EDATE(EOMONTH(A56,-1)+1,1),Cash[Документ],$B$7)</f>
        <v>0</v>
      </c>
      <c r="I56" s="4">
        <f>SUMIFS(Cash[Сумма],Cash[Дата],"&lt;="&amp;ДатаОтчета,Cash[Статус],"Проведён",Cash[Тип],"Проценты",Cash[Дата],"&gt;="&amp;EOMONTH(A56,-1)+1,Cash[Дата],"&lt;"&amp;EDATE(EOMONTH(A56,-1)+1,1))</f>
        <v>0</v>
      </c>
      <c r="J56" s="4" t="str">
        <f t="shared" si="10"/>
        <v/>
      </c>
    </row>
    <row r="57" spans="1:10" x14ac:dyDescent="0.25">
      <c r="A57" s="20">
        <f>DATE(YEAR(EDATE($B$11,37)),MONTH(EDATE($B$11,37)),28)</f>
        <v>47177</v>
      </c>
      <c r="B57" s="4">
        <f t="shared" si="11"/>
        <v>0</v>
      </c>
      <c r="C57" s="4">
        <f t="shared" si="6"/>
        <v>0</v>
      </c>
      <c r="D57" s="4">
        <f t="shared" si="7"/>
        <v>0</v>
      </c>
      <c r="E57" s="4">
        <f t="shared" si="8"/>
        <v>0</v>
      </c>
      <c r="F57" s="12">
        <v>0</v>
      </c>
      <c r="G57" s="4">
        <f t="shared" si="9"/>
        <v>0</v>
      </c>
      <c r="H57" s="4">
        <f>SUMIFS(Cash[Сумма],Cash[Дата],"&lt;="&amp;ДатаОтчета,Cash[Статус],"Проведён",Cash[Тип],"Тело кредита",Cash[Дата],"&gt;="&amp;EOMONTH(A57,-1)+1,Cash[Дата],"&lt;"&amp;EDATE(EOMONTH(A57,-1)+1,1),Cash[Документ],$B$7)</f>
        <v>0</v>
      </c>
      <c r="I57" s="4">
        <f>SUMIFS(Cash[Сумма],Cash[Дата],"&lt;="&amp;ДатаОтчета,Cash[Статус],"Проведён",Cash[Тип],"Проценты",Cash[Дата],"&gt;="&amp;EOMONTH(A57,-1)+1,Cash[Дата],"&lt;"&amp;EDATE(EOMONTH(A57,-1)+1,1))</f>
        <v>0</v>
      </c>
      <c r="J57" s="4" t="str">
        <f t="shared" si="10"/>
        <v/>
      </c>
    </row>
    <row r="58" spans="1:10" x14ac:dyDescent="0.25">
      <c r="A58" s="20">
        <f>DATE(YEAR(EDATE($B$11,38)),MONTH(EDATE($B$11,38)),28)</f>
        <v>47205</v>
      </c>
      <c r="B58" s="4">
        <f t="shared" si="11"/>
        <v>0</v>
      </c>
      <c r="C58" s="4">
        <f t="shared" si="6"/>
        <v>0</v>
      </c>
      <c r="D58" s="4">
        <f t="shared" si="7"/>
        <v>0</v>
      </c>
      <c r="E58" s="4">
        <f t="shared" si="8"/>
        <v>0</v>
      </c>
      <c r="F58" s="12">
        <v>0</v>
      </c>
      <c r="G58" s="4">
        <f t="shared" si="9"/>
        <v>0</v>
      </c>
      <c r="H58" s="4">
        <f>SUMIFS(Cash[Сумма],Cash[Дата],"&lt;="&amp;ДатаОтчета,Cash[Статус],"Проведён",Cash[Тип],"Тело кредита",Cash[Дата],"&gt;="&amp;EOMONTH(A58,-1)+1,Cash[Дата],"&lt;"&amp;EDATE(EOMONTH(A58,-1)+1,1),Cash[Документ],$B$7)</f>
        <v>0</v>
      </c>
      <c r="I58" s="4">
        <f>SUMIFS(Cash[Сумма],Cash[Дата],"&lt;="&amp;ДатаОтчета,Cash[Статус],"Проведён",Cash[Тип],"Проценты",Cash[Дата],"&gt;="&amp;EOMONTH(A58,-1)+1,Cash[Дата],"&lt;"&amp;EDATE(EOMONTH(A58,-1)+1,1))</f>
        <v>0</v>
      </c>
      <c r="J58" s="4" t="str">
        <f t="shared" si="10"/>
        <v/>
      </c>
    </row>
    <row r="59" spans="1:10" x14ac:dyDescent="0.25">
      <c r="A59" s="20">
        <f>DATE(YEAR(EDATE($B$11,39)),MONTH(EDATE($B$11,39)),28)</f>
        <v>47236</v>
      </c>
      <c r="B59" s="4">
        <f t="shared" si="11"/>
        <v>0</v>
      </c>
      <c r="C59" s="4">
        <f t="shared" si="6"/>
        <v>0</v>
      </c>
      <c r="D59" s="4">
        <f t="shared" si="7"/>
        <v>0</v>
      </c>
      <c r="E59" s="4">
        <f t="shared" si="8"/>
        <v>0</v>
      </c>
      <c r="F59" s="12">
        <v>0</v>
      </c>
      <c r="G59" s="4">
        <f t="shared" si="9"/>
        <v>0</v>
      </c>
      <c r="H59" s="4">
        <f>SUMIFS(Cash[Сумма],Cash[Дата],"&lt;="&amp;ДатаОтчета,Cash[Статус],"Проведён",Cash[Тип],"Тело кредита",Cash[Дата],"&gt;="&amp;EOMONTH(A59,-1)+1,Cash[Дата],"&lt;"&amp;EDATE(EOMONTH(A59,-1)+1,1),Cash[Документ],$B$7)</f>
        <v>0</v>
      </c>
      <c r="I59" s="4">
        <f>SUMIFS(Cash[Сумма],Cash[Дата],"&lt;="&amp;ДатаОтчета,Cash[Статус],"Проведён",Cash[Тип],"Проценты",Cash[Дата],"&gt;="&amp;EOMONTH(A59,-1)+1,Cash[Дата],"&lt;"&amp;EDATE(EOMONTH(A59,-1)+1,1))</f>
        <v>0</v>
      </c>
      <c r="J59" s="4" t="str">
        <f t="shared" si="10"/>
        <v/>
      </c>
    </row>
    <row r="60" spans="1:10" x14ac:dyDescent="0.25">
      <c r="A60" s="20">
        <f>DATE(YEAR(EDATE($B$11,40)),MONTH(EDATE($B$11,40)),28)</f>
        <v>47266</v>
      </c>
      <c r="B60" s="4">
        <f t="shared" si="11"/>
        <v>0</v>
      </c>
      <c r="C60" s="4">
        <f t="shared" si="6"/>
        <v>0</v>
      </c>
      <c r="D60" s="4">
        <f t="shared" si="7"/>
        <v>0</v>
      </c>
      <c r="E60" s="4">
        <f t="shared" si="8"/>
        <v>0</v>
      </c>
      <c r="F60" s="12">
        <v>0</v>
      </c>
      <c r="G60" s="4">
        <f t="shared" si="9"/>
        <v>0</v>
      </c>
      <c r="H60" s="4">
        <f>SUMIFS(Cash[Сумма],Cash[Дата],"&lt;="&amp;ДатаОтчета,Cash[Статус],"Проведён",Cash[Тип],"Тело кредита",Cash[Дата],"&gt;="&amp;EOMONTH(A60,-1)+1,Cash[Дата],"&lt;"&amp;EDATE(EOMONTH(A60,-1)+1,1),Cash[Документ],$B$7)</f>
        <v>0</v>
      </c>
      <c r="I60" s="4">
        <f>SUMIFS(Cash[Сумма],Cash[Дата],"&lt;="&amp;ДатаОтчета,Cash[Статус],"Проведён",Cash[Тип],"Проценты",Cash[Дата],"&gt;="&amp;EOMONTH(A60,-1)+1,Cash[Дата],"&lt;"&amp;EDATE(EOMONTH(A60,-1)+1,1))</f>
        <v>0</v>
      </c>
      <c r="J60" s="4" t="str">
        <f t="shared" si="10"/>
        <v/>
      </c>
    </row>
    <row r="61" spans="1:10" x14ac:dyDescent="0.25">
      <c r="A61" s="20">
        <f>DATE(YEAR(EDATE($B$11,41)),MONTH(EDATE($B$11,41)),28)</f>
        <v>47297</v>
      </c>
      <c r="B61" s="4">
        <f t="shared" si="11"/>
        <v>0</v>
      </c>
      <c r="C61" s="4">
        <f t="shared" si="6"/>
        <v>0</v>
      </c>
      <c r="D61" s="4">
        <f t="shared" si="7"/>
        <v>0</v>
      </c>
      <c r="E61" s="4">
        <f t="shared" si="8"/>
        <v>0</v>
      </c>
      <c r="F61" s="12">
        <v>0</v>
      </c>
      <c r="G61" s="4">
        <f t="shared" si="9"/>
        <v>0</v>
      </c>
      <c r="H61" s="4">
        <f>SUMIFS(Cash[Сумма],Cash[Дата],"&lt;="&amp;ДатаОтчета,Cash[Статус],"Проведён",Cash[Тип],"Тело кредита",Cash[Дата],"&gt;="&amp;EOMONTH(A61,-1)+1,Cash[Дата],"&lt;"&amp;EDATE(EOMONTH(A61,-1)+1,1),Cash[Документ],$B$7)</f>
        <v>0</v>
      </c>
      <c r="I61" s="4">
        <f>SUMIFS(Cash[Сумма],Cash[Дата],"&lt;="&amp;ДатаОтчета,Cash[Статус],"Проведён",Cash[Тип],"Проценты",Cash[Дата],"&gt;="&amp;EOMONTH(A61,-1)+1,Cash[Дата],"&lt;"&amp;EDATE(EOMONTH(A61,-1)+1,1))</f>
        <v>0</v>
      </c>
      <c r="J61" s="4" t="str">
        <f t="shared" si="10"/>
        <v/>
      </c>
    </row>
    <row r="62" spans="1:10" x14ac:dyDescent="0.25">
      <c r="A62" s="20">
        <f>DATE(YEAR(EDATE($B$11,42)),MONTH(EDATE($B$11,42)),28)</f>
        <v>47327</v>
      </c>
      <c r="B62" s="4">
        <f t="shared" si="11"/>
        <v>0</v>
      </c>
      <c r="C62" s="4">
        <f t="shared" si="6"/>
        <v>0</v>
      </c>
      <c r="D62" s="4">
        <f t="shared" si="7"/>
        <v>0</v>
      </c>
      <c r="E62" s="4">
        <f t="shared" si="8"/>
        <v>0</v>
      </c>
      <c r="F62" s="12">
        <v>0</v>
      </c>
      <c r="G62" s="4">
        <f t="shared" si="9"/>
        <v>0</v>
      </c>
      <c r="H62" s="4">
        <f>SUMIFS(Cash[Сумма],Cash[Дата],"&lt;="&amp;ДатаОтчета,Cash[Статус],"Проведён",Cash[Тип],"Тело кредита",Cash[Дата],"&gt;="&amp;EOMONTH(A62,-1)+1,Cash[Дата],"&lt;"&amp;EDATE(EOMONTH(A62,-1)+1,1),Cash[Документ],$B$7)</f>
        <v>0</v>
      </c>
      <c r="I62" s="4">
        <f>SUMIFS(Cash[Сумма],Cash[Дата],"&lt;="&amp;ДатаОтчета,Cash[Статус],"Проведён",Cash[Тип],"Проценты",Cash[Дата],"&gt;="&amp;EOMONTH(A62,-1)+1,Cash[Дата],"&lt;"&amp;EDATE(EOMONTH(A62,-1)+1,1))</f>
        <v>0</v>
      </c>
      <c r="J62" s="4" t="str">
        <f t="shared" si="10"/>
        <v/>
      </c>
    </row>
    <row r="63" spans="1:10" x14ac:dyDescent="0.25">
      <c r="A63" s="20">
        <f>DATE(YEAR(EDATE($B$11,43)),MONTH(EDATE($B$11,43)),28)</f>
        <v>47358</v>
      </c>
      <c r="B63" s="4">
        <f t="shared" si="11"/>
        <v>0</v>
      </c>
      <c r="C63" s="4">
        <f t="shared" si="6"/>
        <v>0</v>
      </c>
      <c r="D63" s="4">
        <f t="shared" si="7"/>
        <v>0</v>
      </c>
      <c r="E63" s="4">
        <f t="shared" si="8"/>
        <v>0</v>
      </c>
      <c r="F63" s="12">
        <v>0</v>
      </c>
      <c r="G63" s="4">
        <f t="shared" si="9"/>
        <v>0</v>
      </c>
      <c r="H63" s="4">
        <f>SUMIFS(Cash[Сумма],Cash[Дата],"&lt;="&amp;ДатаОтчета,Cash[Статус],"Проведён",Cash[Тип],"Тело кредита",Cash[Дата],"&gt;="&amp;EOMONTH(A63,-1)+1,Cash[Дата],"&lt;"&amp;EDATE(EOMONTH(A63,-1)+1,1),Cash[Документ],$B$7)</f>
        <v>0</v>
      </c>
      <c r="I63" s="4">
        <f>SUMIFS(Cash[Сумма],Cash[Дата],"&lt;="&amp;ДатаОтчета,Cash[Статус],"Проведён",Cash[Тип],"Проценты",Cash[Дата],"&gt;="&amp;EOMONTH(A63,-1)+1,Cash[Дата],"&lt;"&amp;EDATE(EOMONTH(A63,-1)+1,1))</f>
        <v>0</v>
      </c>
      <c r="J63" s="4" t="str">
        <f t="shared" si="10"/>
        <v/>
      </c>
    </row>
    <row r="64" spans="1:10" x14ac:dyDescent="0.25">
      <c r="A64" s="20">
        <f>DATE(YEAR(EDATE($B$11,44)),MONTH(EDATE($B$11,44)),28)</f>
        <v>47389</v>
      </c>
      <c r="B64" s="4">
        <f t="shared" si="11"/>
        <v>0</v>
      </c>
      <c r="C64" s="4">
        <f t="shared" si="6"/>
        <v>0</v>
      </c>
      <c r="D64" s="4">
        <f t="shared" si="7"/>
        <v>0</v>
      </c>
      <c r="E64" s="4">
        <f t="shared" si="8"/>
        <v>0</v>
      </c>
      <c r="F64" s="12">
        <v>0</v>
      </c>
      <c r="G64" s="4">
        <f t="shared" si="9"/>
        <v>0</v>
      </c>
      <c r="H64" s="4">
        <f>SUMIFS(Cash[Сумма],Cash[Дата],"&lt;="&amp;ДатаОтчета,Cash[Статус],"Проведён",Cash[Тип],"Тело кредита",Cash[Дата],"&gt;="&amp;EOMONTH(A64,-1)+1,Cash[Дата],"&lt;"&amp;EDATE(EOMONTH(A64,-1)+1,1),Cash[Документ],$B$7)</f>
        <v>0</v>
      </c>
      <c r="I64" s="4">
        <f>SUMIFS(Cash[Сумма],Cash[Дата],"&lt;="&amp;ДатаОтчета,Cash[Статус],"Проведён",Cash[Тип],"Проценты",Cash[Дата],"&gt;="&amp;EOMONTH(A64,-1)+1,Cash[Дата],"&lt;"&amp;EDATE(EOMONTH(A64,-1)+1,1))</f>
        <v>0</v>
      </c>
      <c r="J64" s="4" t="str">
        <f t="shared" si="10"/>
        <v/>
      </c>
    </row>
    <row r="65" spans="1:10" x14ac:dyDescent="0.25">
      <c r="A65" s="20">
        <f>DATE(YEAR(EDATE($B$11,45)),MONTH(EDATE($B$11,45)),28)</f>
        <v>47419</v>
      </c>
      <c r="B65" s="4">
        <f t="shared" si="11"/>
        <v>0</v>
      </c>
      <c r="C65" s="4">
        <f t="shared" si="6"/>
        <v>0</v>
      </c>
      <c r="D65" s="4">
        <f t="shared" si="7"/>
        <v>0</v>
      </c>
      <c r="E65" s="4">
        <f t="shared" si="8"/>
        <v>0</v>
      </c>
      <c r="F65" s="12">
        <v>0</v>
      </c>
      <c r="G65" s="4">
        <f t="shared" si="9"/>
        <v>0</v>
      </c>
      <c r="H65" s="4">
        <f>SUMIFS(Cash[Сумма],Cash[Дата],"&lt;="&amp;ДатаОтчета,Cash[Статус],"Проведён",Cash[Тип],"Тело кредита",Cash[Дата],"&gt;="&amp;EOMONTH(A65,-1)+1,Cash[Дата],"&lt;"&amp;EDATE(EOMONTH(A65,-1)+1,1),Cash[Документ],$B$7)</f>
        <v>0</v>
      </c>
      <c r="I65" s="4">
        <f>SUMIFS(Cash[Сумма],Cash[Дата],"&lt;="&amp;ДатаОтчета,Cash[Статус],"Проведён",Cash[Тип],"Проценты",Cash[Дата],"&gt;="&amp;EOMONTH(A65,-1)+1,Cash[Дата],"&lt;"&amp;EDATE(EOMONTH(A65,-1)+1,1))</f>
        <v>0</v>
      </c>
      <c r="J65" s="4" t="str">
        <f t="shared" si="10"/>
        <v/>
      </c>
    </row>
    <row r="66" spans="1:10" x14ac:dyDescent="0.25">
      <c r="A66" s="20">
        <f>DATE(YEAR(EDATE($B$11,46)),MONTH(EDATE($B$11,46)),28)</f>
        <v>47450</v>
      </c>
      <c r="B66" s="4">
        <f t="shared" si="11"/>
        <v>0</v>
      </c>
      <c r="C66" s="4">
        <f t="shared" si="6"/>
        <v>0</v>
      </c>
      <c r="D66" s="4">
        <f t="shared" si="7"/>
        <v>0</v>
      </c>
      <c r="E66" s="4">
        <f t="shared" si="8"/>
        <v>0</v>
      </c>
      <c r="F66" s="12">
        <v>0</v>
      </c>
      <c r="G66" s="4">
        <f t="shared" si="9"/>
        <v>0</v>
      </c>
      <c r="H66" s="4">
        <f>SUMIFS(Cash[Сумма],Cash[Дата],"&lt;="&amp;ДатаОтчета,Cash[Статус],"Проведён",Cash[Тип],"Тело кредита",Cash[Дата],"&gt;="&amp;EOMONTH(A66,-1)+1,Cash[Дата],"&lt;"&amp;EDATE(EOMONTH(A66,-1)+1,1),Cash[Документ],$B$7)</f>
        <v>0</v>
      </c>
      <c r="I66" s="4">
        <f>SUMIFS(Cash[Сумма],Cash[Дата],"&lt;="&amp;ДатаОтчета,Cash[Статус],"Проведён",Cash[Тип],"Проценты",Cash[Дата],"&gt;="&amp;EOMONTH(A66,-1)+1,Cash[Дата],"&lt;"&amp;EDATE(EOMONTH(A66,-1)+1,1))</f>
        <v>0</v>
      </c>
      <c r="J66" s="4" t="str">
        <f t="shared" si="10"/>
        <v/>
      </c>
    </row>
    <row r="67" spans="1:10" x14ac:dyDescent="0.25">
      <c r="A67" s="20">
        <f>DATE(YEAR(EDATE($B$11,47)),MONTH(EDATE($B$11,47)),28)</f>
        <v>47480</v>
      </c>
      <c r="B67" s="4">
        <f t="shared" si="11"/>
        <v>0</v>
      </c>
      <c r="C67" s="4">
        <f t="shared" si="6"/>
        <v>0</v>
      </c>
      <c r="D67" s="4">
        <f t="shared" si="7"/>
        <v>0</v>
      </c>
      <c r="E67" s="4">
        <f t="shared" si="8"/>
        <v>0</v>
      </c>
      <c r="F67" s="12">
        <v>0</v>
      </c>
      <c r="G67" s="4">
        <f t="shared" si="9"/>
        <v>0</v>
      </c>
      <c r="H67" s="4">
        <f>SUMIFS(Cash[Сумма],Cash[Дата],"&lt;="&amp;ДатаОтчета,Cash[Статус],"Проведён",Cash[Тип],"Тело кредита",Cash[Дата],"&gt;="&amp;EOMONTH(A67,-1)+1,Cash[Дата],"&lt;"&amp;EDATE(EOMONTH(A67,-1)+1,1),Cash[Документ],$B$7)</f>
        <v>0</v>
      </c>
      <c r="I67" s="4">
        <f>SUMIFS(Cash[Сумма],Cash[Дата],"&lt;="&amp;ДатаОтчета,Cash[Статус],"Проведён",Cash[Тип],"Проценты",Cash[Дата],"&gt;="&amp;EOMONTH(A67,-1)+1,Cash[Дата],"&lt;"&amp;EDATE(EOMONTH(A67,-1)+1,1))</f>
        <v>0</v>
      </c>
      <c r="J67" s="4" t="str">
        <f t="shared" si="10"/>
        <v/>
      </c>
    </row>
    <row r="68" spans="1:10" x14ac:dyDescent="0.25">
      <c r="A68" s="20">
        <f>DATE(YEAR(EDATE($B$11,48)),MONTH(EDATE($B$11,48)),28)</f>
        <v>47511</v>
      </c>
      <c r="B68" s="4">
        <f t="shared" si="11"/>
        <v>0</v>
      </c>
      <c r="C68" s="4">
        <f t="shared" si="6"/>
        <v>0</v>
      </c>
      <c r="D68" s="4">
        <f t="shared" si="7"/>
        <v>0</v>
      </c>
      <c r="E68" s="4">
        <f t="shared" si="8"/>
        <v>0</v>
      </c>
      <c r="F68" s="12">
        <v>0</v>
      </c>
      <c r="G68" s="4">
        <f t="shared" si="9"/>
        <v>0</v>
      </c>
      <c r="H68" s="4">
        <f>SUMIFS(Cash[Сумма],Cash[Дата],"&lt;="&amp;ДатаОтчета,Cash[Статус],"Проведён",Cash[Тип],"Тело кредита",Cash[Дата],"&gt;="&amp;EOMONTH(A68,-1)+1,Cash[Дата],"&lt;"&amp;EDATE(EOMONTH(A68,-1)+1,1),Cash[Документ],$B$7)</f>
        <v>0</v>
      </c>
      <c r="I68" s="4">
        <f>SUMIFS(Cash[Сумма],Cash[Дата],"&lt;="&amp;ДатаОтчета,Cash[Статус],"Проведён",Cash[Тип],"Проценты",Cash[Дата],"&gt;="&amp;EOMONTH(A68,-1)+1,Cash[Дата],"&lt;"&amp;EDATE(EOMONTH(A68,-1)+1,1))</f>
        <v>0</v>
      </c>
      <c r="J68" s="4" t="str">
        <f t="shared" si="10"/>
        <v/>
      </c>
    </row>
    <row r="69" spans="1:10" x14ac:dyDescent="0.25">
      <c r="A69" s="20">
        <f>DATE(YEAR(EDATE($B$11,49)),MONTH(EDATE($B$11,49)),28)</f>
        <v>47542</v>
      </c>
      <c r="B69" s="4">
        <f t="shared" si="11"/>
        <v>0</v>
      </c>
      <c r="C69" s="4">
        <f t="shared" si="6"/>
        <v>0</v>
      </c>
      <c r="D69" s="4">
        <f t="shared" si="7"/>
        <v>0</v>
      </c>
      <c r="E69" s="4">
        <f t="shared" si="8"/>
        <v>0</v>
      </c>
      <c r="F69" s="12">
        <v>0</v>
      </c>
      <c r="G69" s="4">
        <f t="shared" si="9"/>
        <v>0</v>
      </c>
      <c r="H69" s="4">
        <f>SUMIFS(Cash[Сумма],Cash[Дата],"&lt;="&amp;ДатаОтчета,Cash[Статус],"Проведён",Cash[Тип],"Тело кредита",Cash[Дата],"&gt;="&amp;EOMONTH(A69,-1)+1,Cash[Дата],"&lt;"&amp;EDATE(EOMONTH(A69,-1)+1,1),Cash[Документ],$B$7)</f>
        <v>0</v>
      </c>
      <c r="I69" s="4">
        <f>SUMIFS(Cash[Сумма],Cash[Дата],"&lt;="&amp;ДатаОтчета,Cash[Статус],"Проведён",Cash[Тип],"Проценты",Cash[Дата],"&gt;="&amp;EOMONTH(A69,-1)+1,Cash[Дата],"&lt;"&amp;EDATE(EOMONTH(A69,-1)+1,1))</f>
        <v>0</v>
      </c>
      <c r="J69" s="4" t="str">
        <f t="shared" si="10"/>
        <v/>
      </c>
    </row>
    <row r="70" spans="1:10" x14ac:dyDescent="0.25">
      <c r="A70" s="20">
        <f>DATE(YEAR(EDATE($B$11,50)),MONTH(EDATE($B$11,50)),28)</f>
        <v>47570</v>
      </c>
      <c r="B70" s="4">
        <f t="shared" si="11"/>
        <v>0</v>
      </c>
      <c r="C70" s="4">
        <f t="shared" si="6"/>
        <v>0</v>
      </c>
      <c r="D70" s="4">
        <f t="shared" si="7"/>
        <v>0</v>
      </c>
      <c r="E70" s="4">
        <f t="shared" si="8"/>
        <v>0</v>
      </c>
      <c r="F70" s="12">
        <v>0</v>
      </c>
      <c r="G70" s="4">
        <f t="shared" si="9"/>
        <v>0</v>
      </c>
      <c r="H70" s="4">
        <f>SUMIFS(Cash[Сумма],Cash[Дата],"&lt;="&amp;ДатаОтчета,Cash[Статус],"Проведён",Cash[Тип],"Тело кредита",Cash[Дата],"&gt;="&amp;EOMONTH(A70,-1)+1,Cash[Дата],"&lt;"&amp;EDATE(EOMONTH(A70,-1)+1,1),Cash[Документ],$B$7)</f>
        <v>0</v>
      </c>
      <c r="I70" s="4">
        <f>SUMIFS(Cash[Сумма],Cash[Дата],"&lt;="&amp;ДатаОтчета,Cash[Статус],"Проведён",Cash[Тип],"Проценты",Cash[Дата],"&gt;="&amp;EOMONTH(A70,-1)+1,Cash[Дата],"&lt;"&amp;EDATE(EOMONTH(A70,-1)+1,1))</f>
        <v>0</v>
      </c>
      <c r="J70" s="4" t="str">
        <f t="shared" si="10"/>
        <v/>
      </c>
    </row>
    <row r="71" spans="1:10" x14ac:dyDescent="0.25">
      <c r="A71" s="20">
        <f>DATE(YEAR(EDATE($B$11,51)),MONTH(EDATE($B$11,51)),28)</f>
        <v>47601</v>
      </c>
      <c r="B71" s="4">
        <f t="shared" si="11"/>
        <v>0</v>
      </c>
      <c r="C71" s="4">
        <f t="shared" si="6"/>
        <v>0</v>
      </c>
      <c r="D71" s="4">
        <f t="shared" si="7"/>
        <v>0</v>
      </c>
      <c r="E71" s="4">
        <f t="shared" si="8"/>
        <v>0</v>
      </c>
      <c r="F71" s="12">
        <v>0</v>
      </c>
      <c r="G71" s="4">
        <f t="shared" si="9"/>
        <v>0</v>
      </c>
      <c r="H71" s="4">
        <f>SUMIFS(Cash[Сумма],Cash[Дата],"&lt;="&amp;ДатаОтчета,Cash[Статус],"Проведён",Cash[Тип],"Тело кредита",Cash[Дата],"&gt;="&amp;EOMONTH(A71,-1)+1,Cash[Дата],"&lt;"&amp;EDATE(EOMONTH(A71,-1)+1,1),Cash[Документ],$B$7)</f>
        <v>0</v>
      </c>
      <c r="I71" s="4">
        <f>SUMIFS(Cash[Сумма],Cash[Дата],"&lt;="&amp;ДатаОтчета,Cash[Статус],"Проведён",Cash[Тип],"Проценты",Cash[Дата],"&gt;="&amp;EOMONTH(A71,-1)+1,Cash[Дата],"&lt;"&amp;EDATE(EOMONTH(A71,-1)+1,1))</f>
        <v>0</v>
      </c>
      <c r="J71" s="4" t="str">
        <f t="shared" si="10"/>
        <v/>
      </c>
    </row>
    <row r="72" spans="1:10" x14ac:dyDescent="0.25">
      <c r="A72" s="20">
        <f>DATE(YEAR(EDATE($B$11,52)),MONTH(EDATE($B$11,52)),28)</f>
        <v>47631</v>
      </c>
      <c r="B72" s="4">
        <f t="shared" si="11"/>
        <v>0</v>
      </c>
      <c r="C72" s="4">
        <f t="shared" si="6"/>
        <v>0</v>
      </c>
      <c r="D72" s="4">
        <f t="shared" si="7"/>
        <v>0</v>
      </c>
      <c r="E72" s="4">
        <f t="shared" si="8"/>
        <v>0</v>
      </c>
      <c r="F72" s="12">
        <v>0</v>
      </c>
      <c r="G72" s="4">
        <f t="shared" si="9"/>
        <v>0</v>
      </c>
      <c r="H72" s="4">
        <f>SUMIFS(Cash[Сумма],Cash[Дата],"&lt;="&amp;ДатаОтчета,Cash[Статус],"Проведён",Cash[Тип],"Тело кредита",Cash[Дата],"&gt;="&amp;EOMONTH(A72,-1)+1,Cash[Дата],"&lt;"&amp;EDATE(EOMONTH(A72,-1)+1,1),Cash[Документ],$B$7)</f>
        <v>0</v>
      </c>
      <c r="I72" s="4">
        <f>SUMIFS(Cash[Сумма],Cash[Дата],"&lt;="&amp;ДатаОтчета,Cash[Статус],"Проведён",Cash[Тип],"Проценты",Cash[Дата],"&gt;="&amp;EOMONTH(A72,-1)+1,Cash[Дата],"&lt;"&amp;EDATE(EOMONTH(A72,-1)+1,1))</f>
        <v>0</v>
      </c>
      <c r="J72" s="4" t="str">
        <f t="shared" si="10"/>
        <v/>
      </c>
    </row>
    <row r="73" spans="1:10" x14ac:dyDescent="0.25">
      <c r="A73" s="20">
        <f>DATE(YEAR(EDATE($B$11,53)),MONTH(EDATE($B$11,53)),28)</f>
        <v>47662</v>
      </c>
      <c r="B73" s="4">
        <f t="shared" si="11"/>
        <v>0</v>
      </c>
      <c r="C73" s="4">
        <f t="shared" si="6"/>
        <v>0</v>
      </c>
      <c r="D73" s="4">
        <f t="shared" si="7"/>
        <v>0</v>
      </c>
      <c r="E73" s="4">
        <f t="shared" si="8"/>
        <v>0</v>
      </c>
      <c r="F73" s="12">
        <v>0</v>
      </c>
      <c r="G73" s="4">
        <f t="shared" si="9"/>
        <v>0</v>
      </c>
      <c r="H73" s="4">
        <f>SUMIFS(Cash[Сумма],Cash[Дата],"&lt;="&amp;ДатаОтчета,Cash[Статус],"Проведён",Cash[Тип],"Тело кредита",Cash[Дата],"&gt;="&amp;EOMONTH(A73,-1)+1,Cash[Дата],"&lt;"&amp;EDATE(EOMONTH(A73,-1)+1,1),Cash[Документ],$B$7)</f>
        <v>0</v>
      </c>
      <c r="I73" s="4">
        <f>SUMIFS(Cash[Сумма],Cash[Дата],"&lt;="&amp;ДатаОтчета,Cash[Статус],"Проведён",Cash[Тип],"Проценты",Cash[Дата],"&gt;="&amp;EOMONTH(A73,-1)+1,Cash[Дата],"&lt;"&amp;EDATE(EOMONTH(A73,-1)+1,1))</f>
        <v>0</v>
      </c>
      <c r="J73" s="4" t="str">
        <f t="shared" si="10"/>
        <v/>
      </c>
    </row>
    <row r="74" spans="1:10" x14ac:dyDescent="0.25">
      <c r="A74" s="20">
        <f>DATE(YEAR(EDATE($B$11,54)),MONTH(EDATE($B$11,54)),28)</f>
        <v>47692</v>
      </c>
      <c r="B74" s="4">
        <f t="shared" si="11"/>
        <v>0</v>
      </c>
      <c r="C74" s="4">
        <f t="shared" si="6"/>
        <v>0</v>
      </c>
      <c r="D74" s="4">
        <f t="shared" si="7"/>
        <v>0</v>
      </c>
      <c r="E74" s="4">
        <f t="shared" si="8"/>
        <v>0</v>
      </c>
      <c r="F74" s="12">
        <v>0</v>
      </c>
      <c r="G74" s="4">
        <f t="shared" si="9"/>
        <v>0</v>
      </c>
      <c r="H74" s="4">
        <f>SUMIFS(Cash[Сумма],Cash[Дата],"&lt;="&amp;ДатаОтчета,Cash[Статус],"Проведён",Cash[Тип],"Тело кредита",Cash[Дата],"&gt;="&amp;EOMONTH(A74,-1)+1,Cash[Дата],"&lt;"&amp;EDATE(EOMONTH(A74,-1)+1,1),Cash[Документ],$B$7)</f>
        <v>0</v>
      </c>
      <c r="I74" s="4">
        <f>SUMIFS(Cash[Сумма],Cash[Дата],"&lt;="&amp;ДатаОтчета,Cash[Статус],"Проведён",Cash[Тип],"Проценты",Cash[Дата],"&gt;="&amp;EOMONTH(A74,-1)+1,Cash[Дата],"&lt;"&amp;EDATE(EOMONTH(A74,-1)+1,1))</f>
        <v>0</v>
      </c>
      <c r="J74" s="4" t="str">
        <f t="shared" si="10"/>
        <v/>
      </c>
    </row>
    <row r="75" spans="1:10" x14ac:dyDescent="0.25">
      <c r="A75" s="20">
        <f>DATE(YEAR(EDATE($B$11,55)),MONTH(EDATE($B$11,55)),28)</f>
        <v>47723</v>
      </c>
      <c r="B75" s="4">
        <f t="shared" si="11"/>
        <v>0</v>
      </c>
      <c r="C75" s="4">
        <f t="shared" si="6"/>
        <v>0</v>
      </c>
      <c r="D75" s="4">
        <f t="shared" si="7"/>
        <v>0</v>
      </c>
      <c r="E75" s="4">
        <f t="shared" si="8"/>
        <v>0</v>
      </c>
      <c r="F75" s="12">
        <v>0</v>
      </c>
      <c r="G75" s="4">
        <f t="shared" si="9"/>
        <v>0</v>
      </c>
      <c r="H75" s="4">
        <f>SUMIFS(Cash[Сумма],Cash[Дата],"&lt;="&amp;ДатаОтчета,Cash[Статус],"Проведён",Cash[Тип],"Тело кредита",Cash[Дата],"&gt;="&amp;EOMONTH(A75,-1)+1,Cash[Дата],"&lt;"&amp;EDATE(EOMONTH(A75,-1)+1,1),Cash[Документ],$B$7)</f>
        <v>0</v>
      </c>
      <c r="I75" s="4">
        <f>SUMIFS(Cash[Сумма],Cash[Дата],"&lt;="&amp;ДатаОтчета,Cash[Статус],"Проведён",Cash[Тип],"Проценты",Cash[Дата],"&gt;="&amp;EOMONTH(A75,-1)+1,Cash[Дата],"&lt;"&amp;EDATE(EOMONTH(A75,-1)+1,1))</f>
        <v>0</v>
      </c>
      <c r="J75" s="4" t="str">
        <f t="shared" si="10"/>
        <v/>
      </c>
    </row>
    <row r="76" spans="1:10" x14ac:dyDescent="0.25">
      <c r="A76" s="20">
        <f>DATE(YEAR(EDATE($B$11,56)),MONTH(EDATE($B$11,56)),28)</f>
        <v>47754</v>
      </c>
      <c r="B76" s="4">
        <f t="shared" si="11"/>
        <v>0</v>
      </c>
      <c r="C76" s="4">
        <f t="shared" si="6"/>
        <v>0</v>
      </c>
      <c r="D76" s="4">
        <f t="shared" si="7"/>
        <v>0</v>
      </c>
      <c r="E76" s="4">
        <f t="shared" si="8"/>
        <v>0</v>
      </c>
      <c r="F76" s="12">
        <v>0</v>
      </c>
      <c r="G76" s="4">
        <f t="shared" si="9"/>
        <v>0</v>
      </c>
      <c r="H76" s="4">
        <f>SUMIFS(Cash[Сумма],Cash[Дата],"&lt;="&amp;ДатаОтчета,Cash[Статус],"Проведён",Cash[Тип],"Тело кредита",Cash[Дата],"&gt;="&amp;EOMONTH(A76,-1)+1,Cash[Дата],"&lt;"&amp;EDATE(EOMONTH(A76,-1)+1,1),Cash[Документ],$B$7)</f>
        <v>0</v>
      </c>
      <c r="I76" s="4">
        <f>SUMIFS(Cash[Сумма],Cash[Дата],"&lt;="&amp;ДатаОтчета,Cash[Статус],"Проведён",Cash[Тип],"Проценты",Cash[Дата],"&gt;="&amp;EOMONTH(A76,-1)+1,Cash[Дата],"&lt;"&amp;EDATE(EOMONTH(A76,-1)+1,1))</f>
        <v>0</v>
      </c>
      <c r="J76" s="4" t="str">
        <f t="shared" si="10"/>
        <v/>
      </c>
    </row>
    <row r="77" spans="1:10" x14ac:dyDescent="0.25">
      <c r="A77" s="20">
        <f>DATE(YEAR(EDATE($B$11,57)),MONTH(EDATE($B$11,57)),28)</f>
        <v>47784</v>
      </c>
      <c r="B77" s="4">
        <f t="shared" si="11"/>
        <v>0</v>
      </c>
      <c r="C77" s="4">
        <f t="shared" si="6"/>
        <v>0</v>
      </c>
      <c r="D77" s="4">
        <f t="shared" si="7"/>
        <v>0</v>
      </c>
      <c r="E77" s="4">
        <f t="shared" si="8"/>
        <v>0</v>
      </c>
      <c r="F77" s="12">
        <v>0</v>
      </c>
      <c r="G77" s="4">
        <f t="shared" si="9"/>
        <v>0</v>
      </c>
      <c r="H77" s="4">
        <f>SUMIFS(Cash[Сумма],Cash[Дата],"&lt;="&amp;ДатаОтчета,Cash[Статус],"Проведён",Cash[Тип],"Тело кредита",Cash[Дата],"&gt;="&amp;EOMONTH(A77,-1)+1,Cash[Дата],"&lt;"&amp;EDATE(EOMONTH(A77,-1)+1,1),Cash[Документ],$B$7)</f>
        <v>0</v>
      </c>
      <c r="I77" s="4">
        <f>SUMIFS(Cash[Сумма],Cash[Дата],"&lt;="&amp;ДатаОтчета,Cash[Статус],"Проведён",Cash[Тип],"Проценты",Cash[Дата],"&gt;="&amp;EOMONTH(A77,-1)+1,Cash[Дата],"&lt;"&amp;EDATE(EOMONTH(A77,-1)+1,1))</f>
        <v>0</v>
      </c>
      <c r="J77" s="4" t="str">
        <f t="shared" si="10"/>
        <v/>
      </c>
    </row>
    <row r="78" spans="1:10" x14ac:dyDescent="0.25">
      <c r="A78" s="20">
        <f>DATE(YEAR(EDATE($B$11,58)),MONTH(EDATE($B$11,58)),28)</f>
        <v>47815</v>
      </c>
      <c r="B78" s="4">
        <f t="shared" si="11"/>
        <v>0</v>
      </c>
      <c r="C78" s="4">
        <f t="shared" si="6"/>
        <v>0</v>
      </c>
      <c r="D78" s="4">
        <f t="shared" si="7"/>
        <v>0</v>
      </c>
      <c r="E78" s="4">
        <f t="shared" si="8"/>
        <v>0</v>
      </c>
      <c r="F78" s="12">
        <v>0</v>
      </c>
      <c r="G78" s="4">
        <f t="shared" si="9"/>
        <v>0</v>
      </c>
      <c r="H78" s="4">
        <f>SUMIFS(Cash[Сумма],Cash[Дата],"&lt;="&amp;ДатаОтчета,Cash[Статус],"Проведён",Cash[Тип],"Тело кредита",Cash[Дата],"&gt;="&amp;EOMONTH(A78,-1)+1,Cash[Дата],"&lt;"&amp;EDATE(EOMONTH(A78,-1)+1,1),Cash[Документ],$B$7)</f>
        <v>0</v>
      </c>
      <c r="I78" s="4">
        <f>SUMIFS(Cash[Сумма],Cash[Дата],"&lt;="&amp;ДатаОтчета,Cash[Статус],"Проведён",Cash[Тип],"Проценты",Cash[Дата],"&gt;="&amp;EOMONTH(A78,-1)+1,Cash[Дата],"&lt;"&amp;EDATE(EOMONTH(A78,-1)+1,1))</f>
        <v>0</v>
      </c>
      <c r="J78" s="4" t="str">
        <f t="shared" si="10"/>
        <v/>
      </c>
    </row>
    <row r="79" spans="1:10" x14ac:dyDescent="0.25">
      <c r="A79" s="20">
        <f>DATE(YEAR(EDATE($B$11,59)),MONTH(EDATE($B$11,59)),28)</f>
        <v>47845</v>
      </c>
      <c r="B79" s="4">
        <f t="shared" si="11"/>
        <v>0</v>
      </c>
      <c r="C79" s="4">
        <f t="shared" si="6"/>
        <v>0</v>
      </c>
      <c r="D79" s="4">
        <f t="shared" si="7"/>
        <v>0</v>
      </c>
      <c r="E79" s="4">
        <f t="shared" si="8"/>
        <v>0</v>
      </c>
      <c r="F79" s="12">
        <v>0</v>
      </c>
      <c r="G79" s="4">
        <f t="shared" si="9"/>
        <v>0</v>
      </c>
      <c r="H79" s="4">
        <f>SUMIFS(Cash[Сумма],Cash[Дата],"&lt;="&amp;ДатаОтчета,Cash[Статус],"Проведён",Cash[Тип],"Тело кредита",Cash[Дата],"&gt;="&amp;EOMONTH(A79,-1)+1,Cash[Дата],"&lt;"&amp;EDATE(EOMONTH(A79,-1)+1,1),Cash[Документ],$B$7)</f>
        <v>0</v>
      </c>
      <c r="I79" s="4">
        <f>SUMIFS(Cash[Сумма],Cash[Дата],"&lt;="&amp;ДатаОтчета,Cash[Статус],"Проведён",Cash[Тип],"Проценты",Cash[Дата],"&gt;="&amp;EOMONTH(A79,-1)+1,Cash[Дата],"&lt;"&amp;EDATE(EOMONTH(A79,-1)+1,1))</f>
        <v>0</v>
      </c>
      <c r="J79" s="4" t="str">
        <f t="shared" si="10"/>
        <v/>
      </c>
    </row>
  </sheetData>
  <hyperlinks>
    <hyperlink ref="A1" location="'ПАНЕЛЬ'!A1" display="Главная панель" xr:uid="{00000000-0004-0000-0D00-000000000000}"/>
    <hyperlink ref="D1" location="'НАСТРОЙКИ'!A1" display="Настройки" xr:uid="{00000000-0004-0000-0D00-000001000000}"/>
    <hyperlink ref="F1" location="'КОНТРОЛЬ'!A1" display="Контроль" xr:uid="{00000000-0004-0000-0D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Right="0"/>
    <pageSetUpPr fitToPage="1"/>
  </sheetPr>
  <dimension ref="A1:W60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3" customWidth="1"/>
    <col min="2" max="2" width="27" customWidth="1"/>
    <col min="3" max="14" width="17" customWidth="1"/>
  </cols>
  <sheetData>
    <row r="1" spans="1:23" x14ac:dyDescent="0.25">
      <c r="A1" s="1" t="s">
        <v>0</v>
      </c>
      <c r="D1" s="2" t="s">
        <v>1</v>
      </c>
      <c r="F1" s="2" t="s">
        <v>2</v>
      </c>
    </row>
    <row r="2" spans="1:23" ht="30" customHeight="1" x14ac:dyDescent="0.25">
      <c r="A2" s="9" t="s">
        <v>25</v>
      </c>
    </row>
    <row r="3" spans="1:23" x14ac:dyDescent="0.25">
      <c r="A3" s="10" t="s">
        <v>36</v>
      </c>
    </row>
    <row r="6" spans="1:23" ht="35.1" customHeight="1" x14ac:dyDescent="0.25">
      <c r="A6" s="7" t="s">
        <v>423</v>
      </c>
      <c r="B6" s="7" t="s">
        <v>424</v>
      </c>
      <c r="C6" s="7" t="s">
        <v>425</v>
      </c>
      <c r="D6" s="7" t="s">
        <v>426</v>
      </c>
      <c r="E6" s="7" t="s">
        <v>427</v>
      </c>
      <c r="F6" s="7" t="s">
        <v>428</v>
      </c>
      <c r="G6" s="7" t="s">
        <v>429</v>
      </c>
      <c r="H6" s="7" t="s">
        <v>430</v>
      </c>
      <c r="I6" s="7" t="s">
        <v>431</v>
      </c>
      <c r="J6" s="7" t="s">
        <v>162</v>
      </c>
      <c r="K6" s="18">
        <f>DATE(Год,1,1)</f>
        <v>46023</v>
      </c>
      <c r="L6" s="18">
        <f>DATE(Год,2,1)</f>
        <v>46054</v>
      </c>
      <c r="M6" s="18">
        <f>DATE(Год,3,1)</f>
        <v>46082</v>
      </c>
      <c r="N6" s="18">
        <f>DATE(Год,4,1)</f>
        <v>46113</v>
      </c>
      <c r="O6" s="18">
        <f>DATE(Год,5,1)</f>
        <v>46143</v>
      </c>
      <c r="P6" s="18">
        <f>DATE(Год,6,1)</f>
        <v>46174</v>
      </c>
      <c r="Q6" s="18">
        <f>DATE(Год,7,1)</f>
        <v>46204</v>
      </c>
      <c r="R6" s="18">
        <f>DATE(Год,8,1)</f>
        <v>46235</v>
      </c>
      <c r="S6" s="18">
        <f>DATE(Год,9,1)</f>
        <v>46266</v>
      </c>
      <c r="T6" s="18">
        <f>DATE(Год,10,1)</f>
        <v>46296</v>
      </c>
      <c r="U6" s="18">
        <f>DATE(Год,11,1)</f>
        <v>46327</v>
      </c>
      <c r="V6" s="18">
        <f>DATE(Год,12,1)</f>
        <v>46357</v>
      </c>
      <c r="W6" s="3" t="s">
        <v>432</v>
      </c>
    </row>
    <row r="7" spans="1:23" x14ac:dyDescent="0.25">
      <c r="A7" s="3" t="s">
        <v>433</v>
      </c>
      <c r="B7" s="3" t="s">
        <v>434</v>
      </c>
      <c r="C7" s="19">
        <v>46032</v>
      </c>
      <c r="D7" s="12">
        <v>180000</v>
      </c>
      <c r="E7" s="12">
        <v>36</v>
      </c>
      <c r="F7" s="12">
        <v>0</v>
      </c>
      <c r="G7" s="4">
        <f t="shared" ref="G7:G38" si="0">IF(A7="","",IF(C7&gt;ДатаОтчета,0,IF(E7&lt;=0,0,MIN(D7,F7+ROUND(D7/E7*MAX(0,(YEAR(ДатаОтчета)-YEAR(MAX(C7,EDATE(НачалоУчета,-1))))*12+MONTH(ДатаОтчета)-MONTH(MAX(C7,EDATE(НачалоУчета,-1)))),2)))))</f>
        <v>55000</v>
      </c>
      <c r="H7" s="4">
        <f t="shared" ref="H7:H38" si="1">IF(A7="","",IF(C7&gt;ДатаОтчета,0,D7-G7))</f>
        <v>125000</v>
      </c>
      <c r="I7" s="4">
        <f>IF(A7="","",SUMIFS(Cash[Сумма],Cash[Дата],"&lt;="&amp;ДатаОтчета,Cash[Статус],"Проведён",Cash[Тип],"Покупка ОС",Cash[Документ],A7))</f>
        <v>180000</v>
      </c>
      <c r="J7" s="4">
        <f t="shared" ref="J7:J38" si="2">IF(A7="","",IF(OR(C7&gt;ДатаОтчета,C7&lt;НачалоУчета),0,D7-I7))</f>
        <v>0</v>
      </c>
      <c r="K7" s="4">
        <f t="shared" ref="K7:K38" si="3">IF(A7="",0,IF(OR(E7&lt;=0,K$6&gt;ДатаОтчета,C7&gt;=K$6),0,MAX(0,MIN(D7-F7,ROUND(D7/E7*MAX(0,(YEAR(K$6)-YEAR(MAX(C7,EDATE(НачалоУчета,-1))))*12+MONTH(K$6)-MONTH(MAX(C7,EDATE(НачалоУчета,-1)))),2))-MIN(D7-F7,ROUND(D7/E7*MAX(0,(YEAR(K$6)-YEAR(MAX(C7,EDATE(НачалоУчета,-1))))*12+MONTH(K$6)-MONTH(MAX(C7,EDATE(НачалоУчета,-1)))-1),2)))))</f>
        <v>0</v>
      </c>
      <c r="L7" s="4">
        <f t="shared" ref="L7:L38" si="4">IF(A7="",0,IF(OR(E7&lt;=0,L$6&gt;ДатаОтчета,C7&gt;=L$6),0,MAX(0,MIN(D7-F7,ROUND(D7/E7*MAX(0,(YEAR(L$6)-YEAR(MAX(C7,EDATE(НачалоУчета,-1))))*12+MONTH(L$6)-MONTH(MAX(C7,EDATE(НачалоУчета,-1)))),2))-MIN(D7-F7,ROUND(D7/E7*MAX(0,(YEAR(L$6)-YEAR(MAX(C7,EDATE(НачалоУчета,-1))))*12+MONTH(L$6)-MONTH(MAX(C7,EDATE(НачалоУчета,-1)))-1),2)))))</f>
        <v>5000</v>
      </c>
      <c r="M7" s="4">
        <f t="shared" ref="M7:M38" si="5">IF(A7="",0,IF(OR(E7&lt;=0,M$6&gt;ДатаОтчета,C7&gt;=M$6),0,MAX(0,MIN(D7-F7,ROUND(D7/E7*MAX(0,(YEAR(M$6)-YEAR(MAX(C7,EDATE(НачалоУчета,-1))))*12+MONTH(M$6)-MONTH(MAX(C7,EDATE(НачалоУчета,-1)))),2))-MIN(D7-F7,ROUND(D7/E7*MAX(0,(YEAR(M$6)-YEAR(MAX(C7,EDATE(НачалоУчета,-1))))*12+MONTH(M$6)-MONTH(MAX(C7,EDATE(НачалоУчета,-1)))-1),2)))))</f>
        <v>5000</v>
      </c>
      <c r="N7" s="4">
        <f t="shared" ref="N7:N38" si="6">IF(A7="",0,IF(OR(E7&lt;=0,N$6&gt;ДатаОтчета,C7&gt;=N$6),0,MAX(0,MIN(D7-F7,ROUND(D7/E7*MAX(0,(YEAR(N$6)-YEAR(MAX(C7,EDATE(НачалоУчета,-1))))*12+MONTH(N$6)-MONTH(MAX(C7,EDATE(НачалоУчета,-1)))),2))-MIN(D7-F7,ROUND(D7/E7*MAX(0,(YEAR(N$6)-YEAR(MAX(C7,EDATE(НачалоУчета,-1))))*12+MONTH(N$6)-MONTH(MAX(C7,EDATE(НачалоУчета,-1)))-1),2)))))</f>
        <v>5000</v>
      </c>
      <c r="O7" s="4">
        <f t="shared" ref="O7:O38" si="7">IF(A7="",0,IF(OR(E7&lt;=0,O$6&gt;ДатаОтчета,C7&gt;=O$6),0,MAX(0,MIN(D7-F7,ROUND(D7/E7*MAX(0,(YEAR(O$6)-YEAR(MAX(C7,EDATE(НачалоУчета,-1))))*12+MONTH(O$6)-MONTH(MAX(C7,EDATE(НачалоУчета,-1)))),2))-MIN(D7-F7,ROUND(D7/E7*MAX(0,(YEAR(O$6)-YEAR(MAX(C7,EDATE(НачалоУчета,-1))))*12+MONTH(O$6)-MONTH(MAX(C7,EDATE(НачалоУчета,-1)))-1),2)))))</f>
        <v>5000</v>
      </c>
      <c r="P7" s="4">
        <f t="shared" ref="P7:P38" si="8">IF(A7="",0,IF(OR(E7&lt;=0,P$6&gt;ДатаОтчета,C7&gt;=P$6),0,MAX(0,MIN(D7-F7,ROUND(D7/E7*MAX(0,(YEAR(P$6)-YEAR(MAX(C7,EDATE(НачалоУчета,-1))))*12+MONTH(P$6)-MONTH(MAX(C7,EDATE(НачалоУчета,-1)))),2))-MIN(D7-F7,ROUND(D7/E7*MAX(0,(YEAR(P$6)-YEAR(MAX(C7,EDATE(НачалоУчета,-1))))*12+MONTH(P$6)-MONTH(MAX(C7,EDATE(НачалоУчета,-1)))-1),2)))))</f>
        <v>5000</v>
      </c>
      <c r="Q7" s="4">
        <f t="shared" ref="Q7:Q38" si="9">IF(A7="",0,IF(OR(E7&lt;=0,Q$6&gt;ДатаОтчета,C7&gt;=Q$6),0,MAX(0,MIN(D7-F7,ROUND(D7/E7*MAX(0,(YEAR(Q$6)-YEAR(MAX(C7,EDATE(НачалоУчета,-1))))*12+MONTH(Q$6)-MONTH(MAX(C7,EDATE(НачалоУчета,-1)))),2))-MIN(D7-F7,ROUND(D7/E7*MAX(0,(YEAR(Q$6)-YEAR(MAX(C7,EDATE(НачалоУчета,-1))))*12+MONTH(Q$6)-MONTH(MAX(C7,EDATE(НачалоУчета,-1)))-1),2)))))</f>
        <v>5000</v>
      </c>
      <c r="R7" s="4">
        <f t="shared" ref="R7:R38" si="10">IF(A7="",0,IF(OR(E7&lt;=0,R$6&gt;ДатаОтчета,C7&gt;=R$6),0,MAX(0,MIN(D7-F7,ROUND(D7/E7*MAX(0,(YEAR(R$6)-YEAR(MAX(C7,EDATE(НачалоУчета,-1))))*12+MONTH(R$6)-MONTH(MAX(C7,EDATE(НачалоУчета,-1)))),2))-MIN(D7-F7,ROUND(D7/E7*MAX(0,(YEAR(R$6)-YEAR(MAX(C7,EDATE(НачалоУчета,-1))))*12+MONTH(R$6)-MONTH(MAX(C7,EDATE(НачалоУчета,-1)))-1),2)))))</f>
        <v>5000</v>
      </c>
      <c r="S7" s="4">
        <f t="shared" ref="S7:S38" si="11">IF(A7="",0,IF(OR(E7&lt;=0,S$6&gt;ДатаОтчета,C7&gt;=S$6),0,MAX(0,MIN(D7-F7,ROUND(D7/E7*MAX(0,(YEAR(S$6)-YEAR(MAX(C7,EDATE(НачалоУчета,-1))))*12+MONTH(S$6)-MONTH(MAX(C7,EDATE(НачалоУчета,-1)))),2))-MIN(D7-F7,ROUND(D7/E7*MAX(0,(YEAR(S$6)-YEAR(MAX(C7,EDATE(НачалоУчета,-1))))*12+MONTH(S$6)-MONTH(MAX(C7,EDATE(НачалоУчета,-1)))-1),2)))))</f>
        <v>5000</v>
      </c>
      <c r="T7" s="4">
        <f t="shared" ref="T7:T38" si="12">IF(A7="",0,IF(OR(E7&lt;=0,T$6&gt;ДатаОтчета,C7&gt;=T$6),0,MAX(0,MIN(D7-F7,ROUND(D7/E7*MAX(0,(YEAR(T$6)-YEAR(MAX(C7,EDATE(НачалоУчета,-1))))*12+MONTH(T$6)-MONTH(MAX(C7,EDATE(НачалоУчета,-1)))),2))-MIN(D7-F7,ROUND(D7/E7*MAX(0,(YEAR(T$6)-YEAR(MAX(C7,EDATE(НачалоУчета,-1))))*12+MONTH(T$6)-MONTH(MAX(C7,EDATE(НачалоУчета,-1)))-1),2)))))</f>
        <v>5000</v>
      </c>
      <c r="U7" s="4">
        <f t="shared" ref="U7:U38" si="13">IF(A7="",0,IF(OR(E7&lt;=0,U$6&gt;ДатаОтчета,C7&gt;=U$6),0,MAX(0,MIN(D7-F7,ROUND(D7/E7*MAX(0,(YEAR(U$6)-YEAR(MAX(C7,EDATE(НачалоУчета,-1))))*12+MONTH(U$6)-MONTH(MAX(C7,EDATE(НачалоУчета,-1)))),2))-MIN(D7-F7,ROUND(D7/E7*MAX(0,(YEAR(U$6)-YEAR(MAX(C7,EDATE(НачалоУчета,-1))))*12+MONTH(U$6)-MONTH(MAX(C7,EDATE(НачалоУчета,-1)))-1),2)))))</f>
        <v>5000</v>
      </c>
      <c r="V7" s="4">
        <f t="shared" ref="V7:V38" si="14">IF(A7="",0,IF(OR(E7&lt;=0,V$6&gt;ДатаОтчета,C7&gt;=V$6),0,MAX(0,MIN(D7-F7,ROUND(D7/E7*MAX(0,(YEAR(V$6)-YEAR(MAX(C7,EDATE(НачалоУчета,-1))))*12+MONTH(V$6)-MONTH(MAX(C7,EDATE(НачалоУчета,-1)))),2))-MIN(D7-F7,ROUND(D7/E7*MAX(0,(YEAR(V$6)-YEAR(MAX(C7,EDATE(НачалоУчета,-1))))*12+MONTH(V$6)-MONTH(MAX(C7,EDATE(НачалоУчета,-1)))-1),2)))))</f>
        <v>5000</v>
      </c>
      <c r="W7" s="4" t="str">
        <f>IF(A7="",IF(COUNTA(B7:F7)&gt;0,"ОШИБКА",""),IF(OR(COUNTIF(Assets[ID],A7)&lt;&gt;1,B7="",NOT(ISNUMBER(C7)),NOT(ISNUMBER(D7)),D7&lt;0,NOT(ISNUMBER(E7)),E7&lt;=0,F7&lt;0,F7&gt;D7),"ОШИБКА","ОК"))</f>
        <v>ОК</v>
      </c>
    </row>
    <row r="8" spans="1:23" x14ac:dyDescent="0.25">
      <c r="A8" s="22"/>
      <c r="B8" s="22"/>
      <c r="C8" s="23"/>
      <c r="D8" s="22"/>
      <c r="E8" s="22"/>
      <c r="F8" s="22"/>
      <c r="G8" s="4" t="str">
        <f t="shared" si="0"/>
        <v/>
      </c>
      <c r="H8" s="4" t="str">
        <f t="shared" si="1"/>
        <v/>
      </c>
      <c r="I8" s="4" t="str">
        <f>IF(A8="","",SUMIFS(Cash[Сумма],Cash[Дата],"&lt;="&amp;ДатаОтчета,Cash[Статус],"Проведён",Cash[Тип],"Покупка ОС",Cash[Документ],A8))</f>
        <v/>
      </c>
      <c r="J8" s="4" t="str">
        <f t="shared" si="2"/>
        <v/>
      </c>
      <c r="K8" s="4">
        <f t="shared" si="3"/>
        <v>0</v>
      </c>
      <c r="L8" s="4">
        <f t="shared" si="4"/>
        <v>0</v>
      </c>
      <c r="M8" s="4">
        <f t="shared" si="5"/>
        <v>0</v>
      </c>
      <c r="N8" s="4">
        <f t="shared" si="6"/>
        <v>0</v>
      </c>
      <c r="O8" s="4">
        <f t="shared" si="7"/>
        <v>0</v>
      </c>
      <c r="P8" s="4">
        <f t="shared" si="8"/>
        <v>0</v>
      </c>
      <c r="Q8" s="4">
        <f t="shared" si="9"/>
        <v>0</v>
      </c>
      <c r="R8" s="4">
        <f t="shared" si="10"/>
        <v>0</v>
      </c>
      <c r="S8" s="4">
        <f t="shared" si="11"/>
        <v>0</v>
      </c>
      <c r="T8" s="4">
        <f t="shared" si="12"/>
        <v>0</v>
      </c>
      <c r="U8" s="4">
        <f t="shared" si="13"/>
        <v>0</v>
      </c>
      <c r="V8" s="4">
        <f t="shared" si="14"/>
        <v>0</v>
      </c>
      <c r="W8" s="4" t="str">
        <f>IF(A8="",IF(COUNTA(B8:F8)&gt;0,"ОШИБКА",""),IF(OR(COUNTIF(Assets[ID],A8)&lt;&gt;1,B8="",NOT(ISNUMBER(C8)),NOT(ISNUMBER(D8)),D8&lt;0,NOT(ISNUMBER(E8)),E8&lt;=0,F8&lt;0,F8&gt;D8),"ОШИБКА","ОК"))</f>
        <v/>
      </c>
    </row>
    <row r="9" spans="1:23" x14ac:dyDescent="0.25">
      <c r="A9" s="22"/>
      <c r="B9" s="22"/>
      <c r="C9" s="23"/>
      <c r="D9" s="22"/>
      <c r="E9" s="22"/>
      <c r="F9" s="22"/>
      <c r="G9" s="4" t="str">
        <f t="shared" si="0"/>
        <v/>
      </c>
      <c r="H9" s="4" t="str">
        <f t="shared" si="1"/>
        <v/>
      </c>
      <c r="I9" s="4" t="str">
        <f>IF(A9="","",SUMIFS(Cash[Сумма],Cash[Дата],"&lt;="&amp;ДатаОтчета,Cash[Статус],"Проведён",Cash[Тип],"Покупка ОС",Cash[Документ],A9))</f>
        <v/>
      </c>
      <c r="J9" s="4" t="str">
        <f t="shared" si="2"/>
        <v/>
      </c>
      <c r="K9" s="4">
        <f t="shared" si="3"/>
        <v>0</v>
      </c>
      <c r="L9" s="4">
        <f t="shared" si="4"/>
        <v>0</v>
      </c>
      <c r="M9" s="4">
        <f t="shared" si="5"/>
        <v>0</v>
      </c>
      <c r="N9" s="4">
        <f t="shared" si="6"/>
        <v>0</v>
      </c>
      <c r="O9" s="4">
        <f t="shared" si="7"/>
        <v>0</v>
      </c>
      <c r="P9" s="4">
        <f t="shared" si="8"/>
        <v>0</v>
      </c>
      <c r="Q9" s="4">
        <f t="shared" si="9"/>
        <v>0</v>
      </c>
      <c r="R9" s="4">
        <f t="shared" si="10"/>
        <v>0</v>
      </c>
      <c r="S9" s="4">
        <f t="shared" si="11"/>
        <v>0</v>
      </c>
      <c r="T9" s="4">
        <f t="shared" si="12"/>
        <v>0</v>
      </c>
      <c r="U9" s="4">
        <f t="shared" si="13"/>
        <v>0</v>
      </c>
      <c r="V9" s="4">
        <f t="shared" si="14"/>
        <v>0</v>
      </c>
      <c r="W9" s="4" t="str">
        <f>IF(A9="",IF(COUNTA(B9:F9)&gt;0,"ОШИБКА",""),IF(OR(COUNTIF(Assets[ID],A9)&lt;&gt;1,B9="",NOT(ISNUMBER(C9)),NOT(ISNUMBER(D9)),D9&lt;0,NOT(ISNUMBER(E9)),E9&lt;=0,F9&lt;0,F9&gt;D9),"ОШИБКА","ОК"))</f>
        <v/>
      </c>
    </row>
    <row r="10" spans="1:23" x14ac:dyDescent="0.25">
      <c r="A10" s="22"/>
      <c r="B10" s="22"/>
      <c r="C10" s="23"/>
      <c r="D10" s="22"/>
      <c r="E10" s="22"/>
      <c r="F10" s="22"/>
      <c r="G10" s="4" t="str">
        <f t="shared" si="0"/>
        <v/>
      </c>
      <c r="H10" s="4" t="str">
        <f t="shared" si="1"/>
        <v/>
      </c>
      <c r="I10" s="4" t="str">
        <f>IF(A10="","",SUMIFS(Cash[Сумма],Cash[Дата],"&lt;="&amp;ДатаОтчета,Cash[Статус],"Проведён",Cash[Тип],"Покупка ОС",Cash[Документ],A10))</f>
        <v/>
      </c>
      <c r="J10" s="4" t="str">
        <f t="shared" si="2"/>
        <v/>
      </c>
      <c r="K10" s="4">
        <f t="shared" si="3"/>
        <v>0</v>
      </c>
      <c r="L10" s="4">
        <f t="shared" si="4"/>
        <v>0</v>
      </c>
      <c r="M10" s="4">
        <f t="shared" si="5"/>
        <v>0</v>
      </c>
      <c r="N10" s="4">
        <f t="shared" si="6"/>
        <v>0</v>
      </c>
      <c r="O10" s="4">
        <f t="shared" si="7"/>
        <v>0</v>
      </c>
      <c r="P10" s="4">
        <f t="shared" si="8"/>
        <v>0</v>
      </c>
      <c r="Q10" s="4">
        <f t="shared" si="9"/>
        <v>0</v>
      </c>
      <c r="R10" s="4">
        <f t="shared" si="10"/>
        <v>0</v>
      </c>
      <c r="S10" s="4">
        <f t="shared" si="11"/>
        <v>0</v>
      </c>
      <c r="T10" s="4">
        <f t="shared" si="12"/>
        <v>0</v>
      </c>
      <c r="U10" s="4">
        <f t="shared" si="13"/>
        <v>0</v>
      </c>
      <c r="V10" s="4">
        <f t="shared" si="14"/>
        <v>0</v>
      </c>
      <c r="W10" s="4" t="str">
        <f>IF(A10="",IF(COUNTA(B10:F10)&gt;0,"ОШИБКА",""),IF(OR(COUNTIF(Assets[ID],A10)&lt;&gt;1,B10="",NOT(ISNUMBER(C10)),NOT(ISNUMBER(D10)),D10&lt;0,NOT(ISNUMBER(E10)),E10&lt;=0,F10&lt;0,F10&gt;D10),"ОШИБКА","ОК"))</f>
        <v/>
      </c>
    </row>
    <row r="11" spans="1:23" x14ac:dyDescent="0.25">
      <c r="A11" s="22"/>
      <c r="B11" s="22"/>
      <c r="C11" s="23"/>
      <c r="D11" s="22"/>
      <c r="E11" s="22"/>
      <c r="F11" s="22"/>
      <c r="G11" s="4" t="str">
        <f t="shared" si="0"/>
        <v/>
      </c>
      <c r="H11" s="4" t="str">
        <f t="shared" si="1"/>
        <v/>
      </c>
      <c r="I11" s="4" t="str">
        <f>IF(A11="","",SUMIFS(Cash[Сумма],Cash[Дата],"&lt;="&amp;ДатаОтчета,Cash[Статус],"Проведён",Cash[Тип],"Покупка ОС",Cash[Документ],A11))</f>
        <v/>
      </c>
      <c r="J11" s="4" t="str">
        <f t="shared" si="2"/>
        <v/>
      </c>
      <c r="K11" s="4">
        <f t="shared" si="3"/>
        <v>0</v>
      </c>
      <c r="L11" s="4">
        <f t="shared" si="4"/>
        <v>0</v>
      </c>
      <c r="M11" s="4">
        <f t="shared" si="5"/>
        <v>0</v>
      </c>
      <c r="N11" s="4">
        <f t="shared" si="6"/>
        <v>0</v>
      </c>
      <c r="O11" s="4">
        <f t="shared" si="7"/>
        <v>0</v>
      </c>
      <c r="P11" s="4">
        <f t="shared" si="8"/>
        <v>0</v>
      </c>
      <c r="Q11" s="4">
        <f t="shared" si="9"/>
        <v>0</v>
      </c>
      <c r="R11" s="4">
        <f t="shared" si="10"/>
        <v>0</v>
      </c>
      <c r="S11" s="4">
        <f t="shared" si="11"/>
        <v>0</v>
      </c>
      <c r="T11" s="4">
        <f t="shared" si="12"/>
        <v>0</v>
      </c>
      <c r="U11" s="4">
        <f t="shared" si="13"/>
        <v>0</v>
      </c>
      <c r="V11" s="4">
        <f t="shared" si="14"/>
        <v>0</v>
      </c>
      <c r="W11" s="4" t="str">
        <f>IF(A11="",IF(COUNTA(B11:F11)&gt;0,"ОШИБКА",""),IF(OR(COUNTIF(Assets[ID],A11)&lt;&gt;1,B11="",NOT(ISNUMBER(C11)),NOT(ISNUMBER(D11)),D11&lt;0,NOT(ISNUMBER(E11)),E11&lt;=0,F11&lt;0,F11&gt;D11),"ОШИБКА","ОК"))</f>
        <v/>
      </c>
    </row>
    <row r="12" spans="1:23" x14ac:dyDescent="0.25">
      <c r="A12" s="22"/>
      <c r="B12" s="22"/>
      <c r="C12" s="23"/>
      <c r="D12" s="22"/>
      <c r="E12" s="22"/>
      <c r="F12" s="22"/>
      <c r="G12" s="4" t="str">
        <f t="shared" si="0"/>
        <v/>
      </c>
      <c r="H12" s="4" t="str">
        <f t="shared" si="1"/>
        <v/>
      </c>
      <c r="I12" s="4" t="str">
        <f>IF(A12="","",SUMIFS(Cash[Сумма],Cash[Дата],"&lt;="&amp;ДатаОтчета,Cash[Статус],"Проведён",Cash[Тип],"Покупка ОС",Cash[Документ],A12))</f>
        <v/>
      </c>
      <c r="J12" s="4" t="str">
        <f t="shared" si="2"/>
        <v/>
      </c>
      <c r="K12" s="4">
        <f t="shared" si="3"/>
        <v>0</v>
      </c>
      <c r="L12" s="4">
        <f t="shared" si="4"/>
        <v>0</v>
      </c>
      <c r="M12" s="4">
        <f t="shared" si="5"/>
        <v>0</v>
      </c>
      <c r="N12" s="4">
        <f t="shared" si="6"/>
        <v>0</v>
      </c>
      <c r="O12" s="4">
        <f t="shared" si="7"/>
        <v>0</v>
      </c>
      <c r="P12" s="4">
        <f t="shared" si="8"/>
        <v>0</v>
      </c>
      <c r="Q12" s="4">
        <f t="shared" si="9"/>
        <v>0</v>
      </c>
      <c r="R12" s="4">
        <f t="shared" si="10"/>
        <v>0</v>
      </c>
      <c r="S12" s="4">
        <f t="shared" si="11"/>
        <v>0</v>
      </c>
      <c r="T12" s="4">
        <f t="shared" si="12"/>
        <v>0</v>
      </c>
      <c r="U12" s="4">
        <f t="shared" si="13"/>
        <v>0</v>
      </c>
      <c r="V12" s="4">
        <f t="shared" si="14"/>
        <v>0</v>
      </c>
      <c r="W12" s="4" t="str">
        <f>IF(A12="",IF(COUNTA(B12:F12)&gt;0,"ОШИБКА",""),IF(OR(COUNTIF(Assets[ID],A12)&lt;&gt;1,B12="",NOT(ISNUMBER(C12)),NOT(ISNUMBER(D12)),D12&lt;0,NOT(ISNUMBER(E12)),E12&lt;=0,F12&lt;0,F12&gt;D12),"ОШИБКА","ОК"))</f>
        <v/>
      </c>
    </row>
    <row r="13" spans="1:23" x14ac:dyDescent="0.25">
      <c r="A13" s="22"/>
      <c r="B13" s="22"/>
      <c r="C13" s="23"/>
      <c r="D13" s="22"/>
      <c r="E13" s="22"/>
      <c r="F13" s="22"/>
      <c r="G13" s="4" t="str">
        <f t="shared" si="0"/>
        <v/>
      </c>
      <c r="H13" s="4" t="str">
        <f t="shared" si="1"/>
        <v/>
      </c>
      <c r="I13" s="4" t="str">
        <f>IF(A13="","",SUMIFS(Cash[Сумма],Cash[Дата],"&lt;="&amp;ДатаОтчета,Cash[Статус],"Проведён",Cash[Тип],"Покупка ОС",Cash[Документ],A13))</f>
        <v/>
      </c>
      <c r="J13" s="4" t="str">
        <f t="shared" si="2"/>
        <v/>
      </c>
      <c r="K13" s="4">
        <f t="shared" si="3"/>
        <v>0</v>
      </c>
      <c r="L13" s="4">
        <f t="shared" si="4"/>
        <v>0</v>
      </c>
      <c r="M13" s="4">
        <f t="shared" si="5"/>
        <v>0</v>
      </c>
      <c r="N13" s="4">
        <f t="shared" si="6"/>
        <v>0</v>
      </c>
      <c r="O13" s="4">
        <f t="shared" si="7"/>
        <v>0</v>
      </c>
      <c r="P13" s="4">
        <f t="shared" si="8"/>
        <v>0</v>
      </c>
      <c r="Q13" s="4">
        <f t="shared" si="9"/>
        <v>0</v>
      </c>
      <c r="R13" s="4">
        <f t="shared" si="10"/>
        <v>0</v>
      </c>
      <c r="S13" s="4">
        <f t="shared" si="11"/>
        <v>0</v>
      </c>
      <c r="T13" s="4">
        <f t="shared" si="12"/>
        <v>0</v>
      </c>
      <c r="U13" s="4">
        <f t="shared" si="13"/>
        <v>0</v>
      </c>
      <c r="V13" s="4">
        <f t="shared" si="14"/>
        <v>0</v>
      </c>
      <c r="W13" s="4" t="str">
        <f>IF(A13="",IF(COUNTA(B13:F13)&gt;0,"ОШИБКА",""),IF(OR(COUNTIF(Assets[ID],A13)&lt;&gt;1,B13="",NOT(ISNUMBER(C13)),NOT(ISNUMBER(D13)),D13&lt;0,NOT(ISNUMBER(E13)),E13&lt;=0,F13&lt;0,F13&gt;D13),"ОШИБКА","ОК"))</f>
        <v/>
      </c>
    </row>
    <row r="14" spans="1:23" x14ac:dyDescent="0.25">
      <c r="A14" s="22"/>
      <c r="B14" s="22"/>
      <c r="C14" s="23"/>
      <c r="D14" s="22"/>
      <c r="E14" s="22"/>
      <c r="F14" s="22"/>
      <c r="G14" s="4" t="str">
        <f t="shared" si="0"/>
        <v/>
      </c>
      <c r="H14" s="4" t="str">
        <f t="shared" si="1"/>
        <v/>
      </c>
      <c r="I14" s="4" t="str">
        <f>IF(A14="","",SUMIFS(Cash[Сумма],Cash[Дата],"&lt;="&amp;ДатаОтчета,Cash[Статус],"Проведён",Cash[Тип],"Покупка ОС",Cash[Документ],A14))</f>
        <v/>
      </c>
      <c r="J14" s="4" t="str">
        <f t="shared" si="2"/>
        <v/>
      </c>
      <c r="K14" s="4">
        <f t="shared" si="3"/>
        <v>0</v>
      </c>
      <c r="L14" s="4">
        <f t="shared" si="4"/>
        <v>0</v>
      </c>
      <c r="M14" s="4">
        <f t="shared" si="5"/>
        <v>0</v>
      </c>
      <c r="N14" s="4">
        <f t="shared" si="6"/>
        <v>0</v>
      </c>
      <c r="O14" s="4">
        <f t="shared" si="7"/>
        <v>0</v>
      </c>
      <c r="P14" s="4">
        <f t="shared" si="8"/>
        <v>0</v>
      </c>
      <c r="Q14" s="4">
        <f t="shared" si="9"/>
        <v>0</v>
      </c>
      <c r="R14" s="4">
        <f t="shared" si="10"/>
        <v>0</v>
      </c>
      <c r="S14" s="4">
        <f t="shared" si="11"/>
        <v>0</v>
      </c>
      <c r="T14" s="4">
        <f t="shared" si="12"/>
        <v>0</v>
      </c>
      <c r="U14" s="4">
        <f t="shared" si="13"/>
        <v>0</v>
      </c>
      <c r="V14" s="4">
        <f t="shared" si="14"/>
        <v>0</v>
      </c>
      <c r="W14" s="4" t="str">
        <f>IF(A14="",IF(COUNTA(B14:F14)&gt;0,"ОШИБКА",""),IF(OR(COUNTIF(Assets[ID],A14)&lt;&gt;1,B14="",NOT(ISNUMBER(C14)),NOT(ISNUMBER(D14)),D14&lt;0,NOT(ISNUMBER(E14)),E14&lt;=0,F14&lt;0,F14&gt;D14),"ОШИБКА","ОК"))</f>
        <v/>
      </c>
    </row>
    <row r="15" spans="1:23" x14ac:dyDescent="0.25">
      <c r="A15" s="22"/>
      <c r="B15" s="22"/>
      <c r="C15" s="23"/>
      <c r="D15" s="22"/>
      <c r="E15" s="22"/>
      <c r="F15" s="22"/>
      <c r="G15" s="4" t="str">
        <f t="shared" si="0"/>
        <v/>
      </c>
      <c r="H15" s="4" t="str">
        <f t="shared" si="1"/>
        <v/>
      </c>
      <c r="I15" s="4" t="str">
        <f>IF(A15="","",SUMIFS(Cash[Сумма],Cash[Дата],"&lt;="&amp;ДатаОтчета,Cash[Статус],"Проведён",Cash[Тип],"Покупка ОС",Cash[Документ],A15))</f>
        <v/>
      </c>
      <c r="J15" s="4" t="str">
        <f t="shared" si="2"/>
        <v/>
      </c>
      <c r="K15" s="4">
        <f t="shared" si="3"/>
        <v>0</v>
      </c>
      <c r="L15" s="4">
        <f t="shared" si="4"/>
        <v>0</v>
      </c>
      <c r="M15" s="4">
        <f t="shared" si="5"/>
        <v>0</v>
      </c>
      <c r="N15" s="4">
        <f t="shared" si="6"/>
        <v>0</v>
      </c>
      <c r="O15" s="4">
        <f t="shared" si="7"/>
        <v>0</v>
      </c>
      <c r="P15" s="4">
        <f t="shared" si="8"/>
        <v>0</v>
      </c>
      <c r="Q15" s="4">
        <f t="shared" si="9"/>
        <v>0</v>
      </c>
      <c r="R15" s="4">
        <f t="shared" si="10"/>
        <v>0</v>
      </c>
      <c r="S15" s="4">
        <f t="shared" si="11"/>
        <v>0</v>
      </c>
      <c r="T15" s="4">
        <f t="shared" si="12"/>
        <v>0</v>
      </c>
      <c r="U15" s="4">
        <f t="shared" si="13"/>
        <v>0</v>
      </c>
      <c r="V15" s="4">
        <f t="shared" si="14"/>
        <v>0</v>
      </c>
      <c r="W15" s="4" t="str">
        <f>IF(A15="",IF(COUNTA(B15:F15)&gt;0,"ОШИБКА",""),IF(OR(COUNTIF(Assets[ID],A15)&lt;&gt;1,B15="",NOT(ISNUMBER(C15)),NOT(ISNUMBER(D15)),D15&lt;0,NOT(ISNUMBER(E15)),E15&lt;=0,F15&lt;0,F15&gt;D15),"ОШИБКА","ОК"))</f>
        <v/>
      </c>
    </row>
    <row r="16" spans="1:23" x14ac:dyDescent="0.25">
      <c r="A16" s="22"/>
      <c r="B16" s="22"/>
      <c r="C16" s="23"/>
      <c r="D16" s="22"/>
      <c r="E16" s="22"/>
      <c r="F16" s="22"/>
      <c r="G16" s="4" t="str">
        <f t="shared" si="0"/>
        <v/>
      </c>
      <c r="H16" s="4" t="str">
        <f t="shared" si="1"/>
        <v/>
      </c>
      <c r="I16" s="4" t="str">
        <f>IF(A16="","",SUMIFS(Cash[Сумма],Cash[Дата],"&lt;="&amp;ДатаОтчета,Cash[Статус],"Проведён",Cash[Тип],"Покупка ОС",Cash[Документ],A16))</f>
        <v/>
      </c>
      <c r="J16" s="4" t="str">
        <f t="shared" si="2"/>
        <v/>
      </c>
      <c r="K16" s="4">
        <f t="shared" si="3"/>
        <v>0</v>
      </c>
      <c r="L16" s="4">
        <f t="shared" si="4"/>
        <v>0</v>
      </c>
      <c r="M16" s="4">
        <f t="shared" si="5"/>
        <v>0</v>
      </c>
      <c r="N16" s="4">
        <f t="shared" si="6"/>
        <v>0</v>
      </c>
      <c r="O16" s="4">
        <f t="shared" si="7"/>
        <v>0</v>
      </c>
      <c r="P16" s="4">
        <f t="shared" si="8"/>
        <v>0</v>
      </c>
      <c r="Q16" s="4">
        <f t="shared" si="9"/>
        <v>0</v>
      </c>
      <c r="R16" s="4">
        <f t="shared" si="10"/>
        <v>0</v>
      </c>
      <c r="S16" s="4">
        <f t="shared" si="11"/>
        <v>0</v>
      </c>
      <c r="T16" s="4">
        <f t="shared" si="12"/>
        <v>0</v>
      </c>
      <c r="U16" s="4">
        <f t="shared" si="13"/>
        <v>0</v>
      </c>
      <c r="V16" s="4">
        <f t="shared" si="14"/>
        <v>0</v>
      </c>
      <c r="W16" s="4" t="str">
        <f>IF(A16="",IF(COUNTA(B16:F16)&gt;0,"ОШИБКА",""),IF(OR(COUNTIF(Assets[ID],A16)&lt;&gt;1,B16="",NOT(ISNUMBER(C16)),NOT(ISNUMBER(D16)),D16&lt;0,NOT(ISNUMBER(E16)),E16&lt;=0,F16&lt;0,F16&gt;D16),"ОШИБКА","ОК"))</f>
        <v/>
      </c>
    </row>
    <row r="17" spans="1:23" x14ac:dyDescent="0.25">
      <c r="A17" s="22"/>
      <c r="B17" s="22"/>
      <c r="C17" s="23"/>
      <c r="D17" s="22"/>
      <c r="E17" s="22"/>
      <c r="F17" s="22"/>
      <c r="G17" s="4" t="str">
        <f t="shared" si="0"/>
        <v/>
      </c>
      <c r="H17" s="4" t="str">
        <f t="shared" si="1"/>
        <v/>
      </c>
      <c r="I17" s="4" t="str">
        <f>IF(A17="","",SUMIFS(Cash[Сумма],Cash[Дата],"&lt;="&amp;ДатаОтчета,Cash[Статус],"Проведён",Cash[Тип],"Покупка ОС",Cash[Документ],A17))</f>
        <v/>
      </c>
      <c r="J17" s="4" t="str">
        <f t="shared" si="2"/>
        <v/>
      </c>
      <c r="K17" s="4">
        <f t="shared" si="3"/>
        <v>0</v>
      </c>
      <c r="L17" s="4">
        <f t="shared" si="4"/>
        <v>0</v>
      </c>
      <c r="M17" s="4">
        <f t="shared" si="5"/>
        <v>0</v>
      </c>
      <c r="N17" s="4">
        <f t="shared" si="6"/>
        <v>0</v>
      </c>
      <c r="O17" s="4">
        <f t="shared" si="7"/>
        <v>0</v>
      </c>
      <c r="P17" s="4">
        <f t="shared" si="8"/>
        <v>0</v>
      </c>
      <c r="Q17" s="4">
        <f t="shared" si="9"/>
        <v>0</v>
      </c>
      <c r="R17" s="4">
        <f t="shared" si="10"/>
        <v>0</v>
      </c>
      <c r="S17" s="4">
        <f t="shared" si="11"/>
        <v>0</v>
      </c>
      <c r="T17" s="4">
        <f t="shared" si="12"/>
        <v>0</v>
      </c>
      <c r="U17" s="4">
        <f t="shared" si="13"/>
        <v>0</v>
      </c>
      <c r="V17" s="4">
        <f t="shared" si="14"/>
        <v>0</v>
      </c>
      <c r="W17" s="4" t="str">
        <f>IF(A17="",IF(COUNTA(B17:F17)&gt;0,"ОШИБКА",""),IF(OR(COUNTIF(Assets[ID],A17)&lt;&gt;1,B17="",NOT(ISNUMBER(C17)),NOT(ISNUMBER(D17)),D17&lt;0,NOT(ISNUMBER(E17)),E17&lt;=0,F17&lt;0,F17&gt;D17),"ОШИБКА","ОК"))</f>
        <v/>
      </c>
    </row>
    <row r="18" spans="1:23" x14ac:dyDescent="0.25">
      <c r="A18" s="22"/>
      <c r="B18" s="22"/>
      <c r="C18" s="23"/>
      <c r="D18" s="22"/>
      <c r="E18" s="22"/>
      <c r="F18" s="22"/>
      <c r="G18" s="4" t="str">
        <f t="shared" si="0"/>
        <v/>
      </c>
      <c r="H18" s="4" t="str">
        <f t="shared" si="1"/>
        <v/>
      </c>
      <c r="I18" s="4" t="str">
        <f>IF(A18="","",SUMIFS(Cash[Сумма],Cash[Дата],"&lt;="&amp;ДатаОтчета,Cash[Статус],"Проведён",Cash[Тип],"Покупка ОС",Cash[Документ],A18))</f>
        <v/>
      </c>
      <c r="J18" s="4" t="str">
        <f t="shared" si="2"/>
        <v/>
      </c>
      <c r="K18" s="4">
        <f t="shared" si="3"/>
        <v>0</v>
      </c>
      <c r="L18" s="4">
        <f t="shared" si="4"/>
        <v>0</v>
      </c>
      <c r="M18" s="4">
        <f t="shared" si="5"/>
        <v>0</v>
      </c>
      <c r="N18" s="4">
        <f t="shared" si="6"/>
        <v>0</v>
      </c>
      <c r="O18" s="4">
        <f t="shared" si="7"/>
        <v>0</v>
      </c>
      <c r="P18" s="4">
        <f t="shared" si="8"/>
        <v>0</v>
      </c>
      <c r="Q18" s="4">
        <f t="shared" si="9"/>
        <v>0</v>
      </c>
      <c r="R18" s="4">
        <f t="shared" si="10"/>
        <v>0</v>
      </c>
      <c r="S18" s="4">
        <f t="shared" si="11"/>
        <v>0</v>
      </c>
      <c r="T18" s="4">
        <f t="shared" si="12"/>
        <v>0</v>
      </c>
      <c r="U18" s="4">
        <f t="shared" si="13"/>
        <v>0</v>
      </c>
      <c r="V18" s="4">
        <f t="shared" si="14"/>
        <v>0</v>
      </c>
      <c r="W18" s="4" t="str">
        <f>IF(A18="",IF(COUNTA(B18:F18)&gt;0,"ОШИБКА",""),IF(OR(COUNTIF(Assets[ID],A18)&lt;&gt;1,B18="",NOT(ISNUMBER(C18)),NOT(ISNUMBER(D18)),D18&lt;0,NOT(ISNUMBER(E18)),E18&lt;=0,F18&lt;0,F18&gt;D18),"ОШИБКА","ОК"))</f>
        <v/>
      </c>
    </row>
    <row r="19" spans="1:23" x14ac:dyDescent="0.25">
      <c r="A19" s="22"/>
      <c r="B19" s="22"/>
      <c r="C19" s="23"/>
      <c r="D19" s="22"/>
      <c r="E19" s="22"/>
      <c r="F19" s="22"/>
      <c r="G19" s="4" t="str">
        <f t="shared" si="0"/>
        <v/>
      </c>
      <c r="H19" s="4" t="str">
        <f t="shared" si="1"/>
        <v/>
      </c>
      <c r="I19" s="4" t="str">
        <f>IF(A19="","",SUMIFS(Cash[Сумма],Cash[Дата],"&lt;="&amp;ДатаОтчета,Cash[Статус],"Проведён",Cash[Тип],"Покупка ОС",Cash[Документ],A19))</f>
        <v/>
      </c>
      <c r="J19" s="4" t="str">
        <f t="shared" si="2"/>
        <v/>
      </c>
      <c r="K19" s="4">
        <f t="shared" si="3"/>
        <v>0</v>
      </c>
      <c r="L19" s="4">
        <f t="shared" si="4"/>
        <v>0</v>
      </c>
      <c r="M19" s="4">
        <f t="shared" si="5"/>
        <v>0</v>
      </c>
      <c r="N19" s="4">
        <f t="shared" si="6"/>
        <v>0</v>
      </c>
      <c r="O19" s="4">
        <f t="shared" si="7"/>
        <v>0</v>
      </c>
      <c r="P19" s="4">
        <f t="shared" si="8"/>
        <v>0</v>
      </c>
      <c r="Q19" s="4">
        <f t="shared" si="9"/>
        <v>0</v>
      </c>
      <c r="R19" s="4">
        <f t="shared" si="10"/>
        <v>0</v>
      </c>
      <c r="S19" s="4">
        <f t="shared" si="11"/>
        <v>0</v>
      </c>
      <c r="T19" s="4">
        <f t="shared" si="12"/>
        <v>0</v>
      </c>
      <c r="U19" s="4">
        <f t="shared" si="13"/>
        <v>0</v>
      </c>
      <c r="V19" s="4">
        <f t="shared" si="14"/>
        <v>0</v>
      </c>
      <c r="W19" s="4" t="str">
        <f>IF(A19="",IF(COUNTA(B19:F19)&gt;0,"ОШИБКА",""),IF(OR(COUNTIF(Assets[ID],A19)&lt;&gt;1,B19="",NOT(ISNUMBER(C19)),NOT(ISNUMBER(D19)),D19&lt;0,NOT(ISNUMBER(E19)),E19&lt;=0,F19&lt;0,F19&gt;D19),"ОШИБКА","ОК"))</f>
        <v/>
      </c>
    </row>
    <row r="20" spans="1:23" x14ac:dyDescent="0.25">
      <c r="A20" s="22"/>
      <c r="B20" s="22"/>
      <c r="C20" s="23"/>
      <c r="D20" s="22"/>
      <c r="E20" s="22"/>
      <c r="F20" s="22"/>
      <c r="G20" s="4" t="str">
        <f t="shared" si="0"/>
        <v/>
      </c>
      <c r="H20" s="4" t="str">
        <f t="shared" si="1"/>
        <v/>
      </c>
      <c r="I20" s="4" t="str">
        <f>IF(A20="","",SUMIFS(Cash[Сумма],Cash[Дата],"&lt;="&amp;ДатаОтчета,Cash[Статус],"Проведён",Cash[Тип],"Покупка ОС",Cash[Документ],A20))</f>
        <v/>
      </c>
      <c r="J20" s="4" t="str">
        <f t="shared" si="2"/>
        <v/>
      </c>
      <c r="K20" s="4">
        <f t="shared" si="3"/>
        <v>0</v>
      </c>
      <c r="L20" s="4">
        <f t="shared" si="4"/>
        <v>0</v>
      </c>
      <c r="M20" s="4">
        <f t="shared" si="5"/>
        <v>0</v>
      </c>
      <c r="N20" s="4">
        <f t="shared" si="6"/>
        <v>0</v>
      </c>
      <c r="O20" s="4">
        <f t="shared" si="7"/>
        <v>0</v>
      </c>
      <c r="P20" s="4">
        <f t="shared" si="8"/>
        <v>0</v>
      </c>
      <c r="Q20" s="4">
        <f t="shared" si="9"/>
        <v>0</v>
      </c>
      <c r="R20" s="4">
        <f t="shared" si="10"/>
        <v>0</v>
      </c>
      <c r="S20" s="4">
        <f t="shared" si="11"/>
        <v>0</v>
      </c>
      <c r="T20" s="4">
        <f t="shared" si="12"/>
        <v>0</v>
      </c>
      <c r="U20" s="4">
        <f t="shared" si="13"/>
        <v>0</v>
      </c>
      <c r="V20" s="4">
        <f t="shared" si="14"/>
        <v>0</v>
      </c>
      <c r="W20" s="4" t="str">
        <f>IF(A20="",IF(COUNTA(B20:F20)&gt;0,"ОШИБКА",""),IF(OR(COUNTIF(Assets[ID],A20)&lt;&gt;1,B20="",NOT(ISNUMBER(C20)),NOT(ISNUMBER(D20)),D20&lt;0,NOT(ISNUMBER(E20)),E20&lt;=0,F20&lt;0,F20&gt;D20),"ОШИБКА","ОК"))</f>
        <v/>
      </c>
    </row>
    <row r="21" spans="1:23" x14ac:dyDescent="0.25">
      <c r="A21" s="22"/>
      <c r="B21" s="22"/>
      <c r="C21" s="23"/>
      <c r="D21" s="22"/>
      <c r="E21" s="22"/>
      <c r="F21" s="22"/>
      <c r="G21" s="4" t="str">
        <f t="shared" si="0"/>
        <v/>
      </c>
      <c r="H21" s="4" t="str">
        <f t="shared" si="1"/>
        <v/>
      </c>
      <c r="I21" s="4" t="str">
        <f>IF(A21="","",SUMIFS(Cash[Сумма],Cash[Дата],"&lt;="&amp;ДатаОтчета,Cash[Статус],"Проведён",Cash[Тип],"Покупка ОС",Cash[Документ],A21))</f>
        <v/>
      </c>
      <c r="J21" s="4" t="str">
        <f t="shared" si="2"/>
        <v/>
      </c>
      <c r="K21" s="4">
        <f t="shared" si="3"/>
        <v>0</v>
      </c>
      <c r="L21" s="4">
        <f t="shared" si="4"/>
        <v>0</v>
      </c>
      <c r="M21" s="4">
        <f t="shared" si="5"/>
        <v>0</v>
      </c>
      <c r="N21" s="4">
        <f t="shared" si="6"/>
        <v>0</v>
      </c>
      <c r="O21" s="4">
        <f t="shared" si="7"/>
        <v>0</v>
      </c>
      <c r="P21" s="4">
        <f t="shared" si="8"/>
        <v>0</v>
      </c>
      <c r="Q21" s="4">
        <f t="shared" si="9"/>
        <v>0</v>
      </c>
      <c r="R21" s="4">
        <f t="shared" si="10"/>
        <v>0</v>
      </c>
      <c r="S21" s="4">
        <f t="shared" si="11"/>
        <v>0</v>
      </c>
      <c r="T21" s="4">
        <f t="shared" si="12"/>
        <v>0</v>
      </c>
      <c r="U21" s="4">
        <f t="shared" si="13"/>
        <v>0</v>
      </c>
      <c r="V21" s="4">
        <f t="shared" si="14"/>
        <v>0</v>
      </c>
      <c r="W21" s="4" t="str">
        <f>IF(A21="",IF(COUNTA(B21:F21)&gt;0,"ОШИБКА",""),IF(OR(COUNTIF(Assets[ID],A21)&lt;&gt;1,B21="",NOT(ISNUMBER(C21)),NOT(ISNUMBER(D21)),D21&lt;0,NOT(ISNUMBER(E21)),E21&lt;=0,F21&lt;0,F21&gt;D21),"ОШИБКА","ОК"))</f>
        <v/>
      </c>
    </row>
    <row r="22" spans="1:23" x14ac:dyDescent="0.25">
      <c r="A22" s="22"/>
      <c r="B22" s="22"/>
      <c r="C22" s="23"/>
      <c r="D22" s="22"/>
      <c r="E22" s="22"/>
      <c r="F22" s="22"/>
      <c r="G22" s="4" t="str">
        <f t="shared" si="0"/>
        <v/>
      </c>
      <c r="H22" s="4" t="str">
        <f t="shared" si="1"/>
        <v/>
      </c>
      <c r="I22" s="4" t="str">
        <f>IF(A22="","",SUMIFS(Cash[Сумма],Cash[Дата],"&lt;="&amp;ДатаОтчета,Cash[Статус],"Проведён",Cash[Тип],"Покупка ОС",Cash[Документ],A22))</f>
        <v/>
      </c>
      <c r="J22" s="4" t="str">
        <f t="shared" si="2"/>
        <v/>
      </c>
      <c r="K22" s="4">
        <f t="shared" si="3"/>
        <v>0</v>
      </c>
      <c r="L22" s="4">
        <f t="shared" si="4"/>
        <v>0</v>
      </c>
      <c r="M22" s="4">
        <f t="shared" si="5"/>
        <v>0</v>
      </c>
      <c r="N22" s="4">
        <f t="shared" si="6"/>
        <v>0</v>
      </c>
      <c r="O22" s="4">
        <f t="shared" si="7"/>
        <v>0</v>
      </c>
      <c r="P22" s="4">
        <f t="shared" si="8"/>
        <v>0</v>
      </c>
      <c r="Q22" s="4">
        <f t="shared" si="9"/>
        <v>0</v>
      </c>
      <c r="R22" s="4">
        <f t="shared" si="10"/>
        <v>0</v>
      </c>
      <c r="S22" s="4">
        <f t="shared" si="11"/>
        <v>0</v>
      </c>
      <c r="T22" s="4">
        <f t="shared" si="12"/>
        <v>0</v>
      </c>
      <c r="U22" s="4">
        <f t="shared" si="13"/>
        <v>0</v>
      </c>
      <c r="V22" s="4">
        <f t="shared" si="14"/>
        <v>0</v>
      </c>
      <c r="W22" s="4" t="str">
        <f>IF(A22="",IF(COUNTA(B22:F22)&gt;0,"ОШИБКА",""),IF(OR(COUNTIF(Assets[ID],A22)&lt;&gt;1,B22="",NOT(ISNUMBER(C22)),NOT(ISNUMBER(D22)),D22&lt;0,NOT(ISNUMBER(E22)),E22&lt;=0,F22&lt;0,F22&gt;D22),"ОШИБКА","ОК"))</f>
        <v/>
      </c>
    </row>
    <row r="23" spans="1:23" x14ac:dyDescent="0.25">
      <c r="A23" s="22"/>
      <c r="B23" s="22"/>
      <c r="C23" s="23"/>
      <c r="D23" s="22"/>
      <c r="E23" s="22"/>
      <c r="F23" s="22"/>
      <c r="G23" s="4" t="str">
        <f t="shared" si="0"/>
        <v/>
      </c>
      <c r="H23" s="4" t="str">
        <f t="shared" si="1"/>
        <v/>
      </c>
      <c r="I23" s="4" t="str">
        <f>IF(A23="","",SUMIFS(Cash[Сумма],Cash[Дата],"&lt;="&amp;ДатаОтчета,Cash[Статус],"Проведён",Cash[Тип],"Покупка ОС",Cash[Документ],A23))</f>
        <v/>
      </c>
      <c r="J23" s="4" t="str">
        <f t="shared" si="2"/>
        <v/>
      </c>
      <c r="K23" s="4">
        <f t="shared" si="3"/>
        <v>0</v>
      </c>
      <c r="L23" s="4">
        <f t="shared" si="4"/>
        <v>0</v>
      </c>
      <c r="M23" s="4">
        <f t="shared" si="5"/>
        <v>0</v>
      </c>
      <c r="N23" s="4">
        <f t="shared" si="6"/>
        <v>0</v>
      </c>
      <c r="O23" s="4">
        <f t="shared" si="7"/>
        <v>0</v>
      </c>
      <c r="P23" s="4">
        <f t="shared" si="8"/>
        <v>0</v>
      </c>
      <c r="Q23" s="4">
        <f t="shared" si="9"/>
        <v>0</v>
      </c>
      <c r="R23" s="4">
        <f t="shared" si="10"/>
        <v>0</v>
      </c>
      <c r="S23" s="4">
        <f t="shared" si="11"/>
        <v>0</v>
      </c>
      <c r="T23" s="4">
        <f t="shared" si="12"/>
        <v>0</v>
      </c>
      <c r="U23" s="4">
        <f t="shared" si="13"/>
        <v>0</v>
      </c>
      <c r="V23" s="4">
        <f t="shared" si="14"/>
        <v>0</v>
      </c>
      <c r="W23" s="4" t="str">
        <f>IF(A23="",IF(COUNTA(B23:F23)&gt;0,"ОШИБКА",""),IF(OR(COUNTIF(Assets[ID],A23)&lt;&gt;1,B23="",NOT(ISNUMBER(C23)),NOT(ISNUMBER(D23)),D23&lt;0,NOT(ISNUMBER(E23)),E23&lt;=0,F23&lt;0,F23&gt;D23),"ОШИБКА","ОК"))</f>
        <v/>
      </c>
    </row>
    <row r="24" spans="1:23" x14ac:dyDescent="0.25">
      <c r="A24" s="22"/>
      <c r="B24" s="22"/>
      <c r="C24" s="23"/>
      <c r="D24" s="22"/>
      <c r="E24" s="22"/>
      <c r="F24" s="22"/>
      <c r="G24" s="4" t="str">
        <f t="shared" si="0"/>
        <v/>
      </c>
      <c r="H24" s="4" t="str">
        <f t="shared" si="1"/>
        <v/>
      </c>
      <c r="I24" s="4" t="str">
        <f>IF(A24="","",SUMIFS(Cash[Сумма],Cash[Дата],"&lt;="&amp;ДатаОтчета,Cash[Статус],"Проведён",Cash[Тип],"Покупка ОС",Cash[Документ],A24))</f>
        <v/>
      </c>
      <c r="J24" s="4" t="str">
        <f t="shared" si="2"/>
        <v/>
      </c>
      <c r="K24" s="4">
        <f t="shared" si="3"/>
        <v>0</v>
      </c>
      <c r="L24" s="4">
        <f t="shared" si="4"/>
        <v>0</v>
      </c>
      <c r="M24" s="4">
        <f t="shared" si="5"/>
        <v>0</v>
      </c>
      <c r="N24" s="4">
        <f t="shared" si="6"/>
        <v>0</v>
      </c>
      <c r="O24" s="4">
        <f t="shared" si="7"/>
        <v>0</v>
      </c>
      <c r="P24" s="4">
        <f t="shared" si="8"/>
        <v>0</v>
      </c>
      <c r="Q24" s="4">
        <f t="shared" si="9"/>
        <v>0</v>
      </c>
      <c r="R24" s="4">
        <f t="shared" si="10"/>
        <v>0</v>
      </c>
      <c r="S24" s="4">
        <f t="shared" si="11"/>
        <v>0</v>
      </c>
      <c r="T24" s="4">
        <f t="shared" si="12"/>
        <v>0</v>
      </c>
      <c r="U24" s="4">
        <f t="shared" si="13"/>
        <v>0</v>
      </c>
      <c r="V24" s="4">
        <f t="shared" si="14"/>
        <v>0</v>
      </c>
      <c r="W24" s="4" t="str">
        <f>IF(A24="",IF(COUNTA(B24:F24)&gt;0,"ОШИБКА",""),IF(OR(COUNTIF(Assets[ID],A24)&lt;&gt;1,B24="",NOT(ISNUMBER(C24)),NOT(ISNUMBER(D24)),D24&lt;0,NOT(ISNUMBER(E24)),E24&lt;=0,F24&lt;0,F24&gt;D24),"ОШИБКА","ОК"))</f>
        <v/>
      </c>
    </row>
    <row r="25" spans="1:23" x14ac:dyDescent="0.25">
      <c r="A25" s="22"/>
      <c r="B25" s="22"/>
      <c r="C25" s="23"/>
      <c r="D25" s="22"/>
      <c r="E25" s="22"/>
      <c r="F25" s="22"/>
      <c r="G25" s="4" t="str">
        <f t="shared" si="0"/>
        <v/>
      </c>
      <c r="H25" s="4" t="str">
        <f t="shared" si="1"/>
        <v/>
      </c>
      <c r="I25" s="4" t="str">
        <f>IF(A25="","",SUMIFS(Cash[Сумма],Cash[Дата],"&lt;="&amp;ДатаОтчета,Cash[Статус],"Проведён",Cash[Тип],"Покупка ОС",Cash[Документ],A25))</f>
        <v/>
      </c>
      <c r="J25" s="4" t="str">
        <f t="shared" si="2"/>
        <v/>
      </c>
      <c r="K25" s="4">
        <f t="shared" si="3"/>
        <v>0</v>
      </c>
      <c r="L25" s="4">
        <f t="shared" si="4"/>
        <v>0</v>
      </c>
      <c r="M25" s="4">
        <f t="shared" si="5"/>
        <v>0</v>
      </c>
      <c r="N25" s="4">
        <f t="shared" si="6"/>
        <v>0</v>
      </c>
      <c r="O25" s="4">
        <f t="shared" si="7"/>
        <v>0</v>
      </c>
      <c r="P25" s="4">
        <f t="shared" si="8"/>
        <v>0</v>
      </c>
      <c r="Q25" s="4">
        <f t="shared" si="9"/>
        <v>0</v>
      </c>
      <c r="R25" s="4">
        <f t="shared" si="10"/>
        <v>0</v>
      </c>
      <c r="S25" s="4">
        <f t="shared" si="11"/>
        <v>0</v>
      </c>
      <c r="T25" s="4">
        <f t="shared" si="12"/>
        <v>0</v>
      </c>
      <c r="U25" s="4">
        <f t="shared" si="13"/>
        <v>0</v>
      </c>
      <c r="V25" s="4">
        <f t="shared" si="14"/>
        <v>0</v>
      </c>
      <c r="W25" s="4" t="str">
        <f>IF(A25="",IF(COUNTA(B25:F25)&gt;0,"ОШИБКА",""),IF(OR(COUNTIF(Assets[ID],A25)&lt;&gt;1,B25="",NOT(ISNUMBER(C25)),NOT(ISNUMBER(D25)),D25&lt;0,NOT(ISNUMBER(E25)),E25&lt;=0,F25&lt;0,F25&gt;D25),"ОШИБКА","ОК"))</f>
        <v/>
      </c>
    </row>
    <row r="26" spans="1:23" x14ac:dyDescent="0.25">
      <c r="A26" s="22"/>
      <c r="B26" s="22"/>
      <c r="C26" s="23"/>
      <c r="D26" s="22"/>
      <c r="E26" s="22"/>
      <c r="F26" s="22"/>
      <c r="G26" s="4" t="str">
        <f t="shared" si="0"/>
        <v/>
      </c>
      <c r="H26" s="4" t="str">
        <f t="shared" si="1"/>
        <v/>
      </c>
      <c r="I26" s="4" t="str">
        <f>IF(A26="","",SUMIFS(Cash[Сумма],Cash[Дата],"&lt;="&amp;ДатаОтчета,Cash[Статус],"Проведён",Cash[Тип],"Покупка ОС",Cash[Документ],A26))</f>
        <v/>
      </c>
      <c r="J26" s="4" t="str">
        <f t="shared" si="2"/>
        <v/>
      </c>
      <c r="K26" s="4">
        <f t="shared" si="3"/>
        <v>0</v>
      </c>
      <c r="L26" s="4">
        <f t="shared" si="4"/>
        <v>0</v>
      </c>
      <c r="M26" s="4">
        <f t="shared" si="5"/>
        <v>0</v>
      </c>
      <c r="N26" s="4">
        <f t="shared" si="6"/>
        <v>0</v>
      </c>
      <c r="O26" s="4">
        <f t="shared" si="7"/>
        <v>0</v>
      </c>
      <c r="P26" s="4">
        <f t="shared" si="8"/>
        <v>0</v>
      </c>
      <c r="Q26" s="4">
        <f t="shared" si="9"/>
        <v>0</v>
      </c>
      <c r="R26" s="4">
        <f t="shared" si="10"/>
        <v>0</v>
      </c>
      <c r="S26" s="4">
        <f t="shared" si="11"/>
        <v>0</v>
      </c>
      <c r="T26" s="4">
        <f t="shared" si="12"/>
        <v>0</v>
      </c>
      <c r="U26" s="4">
        <f t="shared" si="13"/>
        <v>0</v>
      </c>
      <c r="V26" s="4">
        <f t="shared" si="14"/>
        <v>0</v>
      </c>
      <c r="W26" s="4" t="str">
        <f>IF(A26="",IF(COUNTA(B26:F26)&gt;0,"ОШИБКА",""),IF(OR(COUNTIF(Assets[ID],A26)&lt;&gt;1,B26="",NOT(ISNUMBER(C26)),NOT(ISNUMBER(D26)),D26&lt;0,NOT(ISNUMBER(E26)),E26&lt;=0,F26&lt;0,F26&gt;D26),"ОШИБКА","ОК"))</f>
        <v/>
      </c>
    </row>
    <row r="27" spans="1:23" x14ac:dyDescent="0.25">
      <c r="A27" s="22"/>
      <c r="B27" s="22"/>
      <c r="C27" s="23"/>
      <c r="D27" s="22"/>
      <c r="E27" s="22"/>
      <c r="F27" s="22"/>
      <c r="G27" s="4" t="str">
        <f t="shared" si="0"/>
        <v/>
      </c>
      <c r="H27" s="4" t="str">
        <f t="shared" si="1"/>
        <v/>
      </c>
      <c r="I27" s="4" t="str">
        <f>IF(A27="","",SUMIFS(Cash[Сумма],Cash[Дата],"&lt;="&amp;ДатаОтчета,Cash[Статус],"Проведён",Cash[Тип],"Покупка ОС",Cash[Документ],A27))</f>
        <v/>
      </c>
      <c r="J27" s="4" t="str">
        <f t="shared" si="2"/>
        <v/>
      </c>
      <c r="K27" s="4">
        <f t="shared" si="3"/>
        <v>0</v>
      </c>
      <c r="L27" s="4">
        <f t="shared" si="4"/>
        <v>0</v>
      </c>
      <c r="M27" s="4">
        <f t="shared" si="5"/>
        <v>0</v>
      </c>
      <c r="N27" s="4">
        <f t="shared" si="6"/>
        <v>0</v>
      </c>
      <c r="O27" s="4">
        <f t="shared" si="7"/>
        <v>0</v>
      </c>
      <c r="P27" s="4">
        <f t="shared" si="8"/>
        <v>0</v>
      </c>
      <c r="Q27" s="4">
        <f t="shared" si="9"/>
        <v>0</v>
      </c>
      <c r="R27" s="4">
        <f t="shared" si="10"/>
        <v>0</v>
      </c>
      <c r="S27" s="4">
        <f t="shared" si="11"/>
        <v>0</v>
      </c>
      <c r="T27" s="4">
        <f t="shared" si="12"/>
        <v>0</v>
      </c>
      <c r="U27" s="4">
        <f t="shared" si="13"/>
        <v>0</v>
      </c>
      <c r="V27" s="4">
        <f t="shared" si="14"/>
        <v>0</v>
      </c>
      <c r="W27" s="4" t="str">
        <f>IF(A27="",IF(COUNTA(B27:F27)&gt;0,"ОШИБКА",""),IF(OR(COUNTIF(Assets[ID],A27)&lt;&gt;1,B27="",NOT(ISNUMBER(C27)),NOT(ISNUMBER(D27)),D27&lt;0,NOT(ISNUMBER(E27)),E27&lt;=0,F27&lt;0,F27&gt;D27),"ОШИБКА","ОК"))</f>
        <v/>
      </c>
    </row>
    <row r="28" spans="1:23" x14ac:dyDescent="0.25">
      <c r="A28" s="22"/>
      <c r="B28" s="22"/>
      <c r="C28" s="23"/>
      <c r="D28" s="22"/>
      <c r="E28" s="22"/>
      <c r="F28" s="22"/>
      <c r="G28" s="4" t="str">
        <f t="shared" si="0"/>
        <v/>
      </c>
      <c r="H28" s="4" t="str">
        <f t="shared" si="1"/>
        <v/>
      </c>
      <c r="I28" s="4" t="str">
        <f>IF(A28="","",SUMIFS(Cash[Сумма],Cash[Дата],"&lt;="&amp;ДатаОтчета,Cash[Статус],"Проведён",Cash[Тип],"Покупка ОС",Cash[Документ],A28))</f>
        <v/>
      </c>
      <c r="J28" s="4" t="str">
        <f t="shared" si="2"/>
        <v/>
      </c>
      <c r="K28" s="4">
        <f t="shared" si="3"/>
        <v>0</v>
      </c>
      <c r="L28" s="4">
        <f t="shared" si="4"/>
        <v>0</v>
      </c>
      <c r="M28" s="4">
        <f t="shared" si="5"/>
        <v>0</v>
      </c>
      <c r="N28" s="4">
        <f t="shared" si="6"/>
        <v>0</v>
      </c>
      <c r="O28" s="4">
        <f t="shared" si="7"/>
        <v>0</v>
      </c>
      <c r="P28" s="4">
        <f t="shared" si="8"/>
        <v>0</v>
      </c>
      <c r="Q28" s="4">
        <f t="shared" si="9"/>
        <v>0</v>
      </c>
      <c r="R28" s="4">
        <f t="shared" si="10"/>
        <v>0</v>
      </c>
      <c r="S28" s="4">
        <f t="shared" si="11"/>
        <v>0</v>
      </c>
      <c r="T28" s="4">
        <f t="shared" si="12"/>
        <v>0</v>
      </c>
      <c r="U28" s="4">
        <f t="shared" si="13"/>
        <v>0</v>
      </c>
      <c r="V28" s="4">
        <f t="shared" si="14"/>
        <v>0</v>
      </c>
      <c r="W28" s="4" t="str">
        <f>IF(A28="",IF(COUNTA(B28:F28)&gt;0,"ОШИБКА",""),IF(OR(COUNTIF(Assets[ID],A28)&lt;&gt;1,B28="",NOT(ISNUMBER(C28)),NOT(ISNUMBER(D28)),D28&lt;0,NOT(ISNUMBER(E28)),E28&lt;=0,F28&lt;0,F28&gt;D28),"ОШИБКА","ОК"))</f>
        <v/>
      </c>
    </row>
    <row r="29" spans="1:23" x14ac:dyDescent="0.25">
      <c r="A29" s="22"/>
      <c r="B29" s="22"/>
      <c r="C29" s="23"/>
      <c r="D29" s="22"/>
      <c r="E29" s="22"/>
      <c r="F29" s="22"/>
      <c r="G29" s="4" t="str">
        <f t="shared" si="0"/>
        <v/>
      </c>
      <c r="H29" s="4" t="str">
        <f t="shared" si="1"/>
        <v/>
      </c>
      <c r="I29" s="4" t="str">
        <f>IF(A29="","",SUMIFS(Cash[Сумма],Cash[Дата],"&lt;="&amp;ДатаОтчета,Cash[Статус],"Проведён",Cash[Тип],"Покупка ОС",Cash[Документ],A29))</f>
        <v/>
      </c>
      <c r="J29" s="4" t="str">
        <f t="shared" si="2"/>
        <v/>
      </c>
      <c r="K29" s="4">
        <f t="shared" si="3"/>
        <v>0</v>
      </c>
      <c r="L29" s="4">
        <f t="shared" si="4"/>
        <v>0</v>
      </c>
      <c r="M29" s="4">
        <f t="shared" si="5"/>
        <v>0</v>
      </c>
      <c r="N29" s="4">
        <f t="shared" si="6"/>
        <v>0</v>
      </c>
      <c r="O29" s="4">
        <f t="shared" si="7"/>
        <v>0</v>
      </c>
      <c r="P29" s="4">
        <f t="shared" si="8"/>
        <v>0</v>
      </c>
      <c r="Q29" s="4">
        <f t="shared" si="9"/>
        <v>0</v>
      </c>
      <c r="R29" s="4">
        <f t="shared" si="10"/>
        <v>0</v>
      </c>
      <c r="S29" s="4">
        <f t="shared" si="11"/>
        <v>0</v>
      </c>
      <c r="T29" s="4">
        <f t="shared" si="12"/>
        <v>0</v>
      </c>
      <c r="U29" s="4">
        <f t="shared" si="13"/>
        <v>0</v>
      </c>
      <c r="V29" s="4">
        <f t="shared" si="14"/>
        <v>0</v>
      </c>
      <c r="W29" s="4" t="str">
        <f>IF(A29="",IF(COUNTA(B29:F29)&gt;0,"ОШИБКА",""),IF(OR(COUNTIF(Assets[ID],A29)&lt;&gt;1,B29="",NOT(ISNUMBER(C29)),NOT(ISNUMBER(D29)),D29&lt;0,NOT(ISNUMBER(E29)),E29&lt;=0,F29&lt;0,F29&gt;D29),"ОШИБКА","ОК"))</f>
        <v/>
      </c>
    </row>
    <row r="30" spans="1:23" x14ac:dyDescent="0.25">
      <c r="A30" s="22"/>
      <c r="B30" s="22"/>
      <c r="C30" s="23"/>
      <c r="D30" s="22"/>
      <c r="E30" s="22"/>
      <c r="F30" s="22"/>
      <c r="G30" s="4" t="str">
        <f t="shared" si="0"/>
        <v/>
      </c>
      <c r="H30" s="4" t="str">
        <f t="shared" si="1"/>
        <v/>
      </c>
      <c r="I30" s="4" t="str">
        <f>IF(A30="","",SUMIFS(Cash[Сумма],Cash[Дата],"&lt;="&amp;ДатаОтчета,Cash[Статус],"Проведён",Cash[Тип],"Покупка ОС",Cash[Документ],A30))</f>
        <v/>
      </c>
      <c r="J30" s="4" t="str">
        <f t="shared" si="2"/>
        <v/>
      </c>
      <c r="K30" s="4">
        <f t="shared" si="3"/>
        <v>0</v>
      </c>
      <c r="L30" s="4">
        <f t="shared" si="4"/>
        <v>0</v>
      </c>
      <c r="M30" s="4">
        <f t="shared" si="5"/>
        <v>0</v>
      </c>
      <c r="N30" s="4">
        <f t="shared" si="6"/>
        <v>0</v>
      </c>
      <c r="O30" s="4">
        <f t="shared" si="7"/>
        <v>0</v>
      </c>
      <c r="P30" s="4">
        <f t="shared" si="8"/>
        <v>0</v>
      </c>
      <c r="Q30" s="4">
        <f t="shared" si="9"/>
        <v>0</v>
      </c>
      <c r="R30" s="4">
        <f t="shared" si="10"/>
        <v>0</v>
      </c>
      <c r="S30" s="4">
        <f t="shared" si="11"/>
        <v>0</v>
      </c>
      <c r="T30" s="4">
        <f t="shared" si="12"/>
        <v>0</v>
      </c>
      <c r="U30" s="4">
        <f t="shared" si="13"/>
        <v>0</v>
      </c>
      <c r="V30" s="4">
        <f t="shared" si="14"/>
        <v>0</v>
      </c>
      <c r="W30" s="4" t="str">
        <f>IF(A30="",IF(COUNTA(B30:F30)&gt;0,"ОШИБКА",""),IF(OR(COUNTIF(Assets[ID],A30)&lt;&gt;1,B30="",NOT(ISNUMBER(C30)),NOT(ISNUMBER(D30)),D30&lt;0,NOT(ISNUMBER(E30)),E30&lt;=0,F30&lt;0,F30&gt;D30),"ОШИБКА","ОК"))</f>
        <v/>
      </c>
    </row>
    <row r="31" spans="1:23" x14ac:dyDescent="0.25">
      <c r="A31" s="22"/>
      <c r="B31" s="22"/>
      <c r="C31" s="23"/>
      <c r="D31" s="22"/>
      <c r="E31" s="22"/>
      <c r="F31" s="22"/>
      <c r="G31" s="4" t="str">
        <f t="shared" si="0"/>
        <v/>
      </c>
      <c r="H31" s="4" t="str">
        <f t="shared" si="1"/>
        <v/>
      </c>
      <c r="I31" s="4" t="str">
        <f>IF(A31="","",SUMIFS(Cash[Сумма],Cash[Дата],"&lt;="&amp;ДатаОтчета,Cash[Статус],"Проведён",Cash[Тип],"Покупка ОС",Cash[Документ],A31))</f>
        <v/>
      </c>
      <c r="J31" s="4" t="str">
        <f t="shared" si="2"/>
        <v/>
      </c>
      <c r="K31" s="4">
        <f t="shared" si="3"/>
        <v>0</v>
      </c>
      <c r="L31" s="4">
        <f t="shared" si="4"/>
        <v>0</v>
      </c>
      <c r="M31" s="4">
        <f t="shared" si="5"/>
        <v>0</v>
      </c>
      <c r="N31" s="4">
        <f t="shared" si="6"/>
        <v>0</v>
      </c>
      <c r="O31" s="4">
        <f t="shared" si="7"/>
        <v>0</v>
      </c>
      <c r="P31" s="4">
        <f t="shared" si="8"/>
        <v>0</v>
      </c>
      <c r="Q31" s="4">
        <f t="shared" si="9"/>
        <v>0</v>
      </c>
      <c r="R31" s="4">
        <f t="shared" si="10"/>
        <v>0</v>
      </c>
      <c r="S31" s="4">
        <f t="shared" si="11"/>
        <v>0</v>
      </c>
      <c r="T31" s="4">
        <f t="shared" si="12"/>
        <v>0</v>
      </c>
      <c r="U31" s="4">
        <f t="shared" si="13"/>
        <v>0</v>
      </c>
      <c r="V31" s="4">
        <f t="shared" si="14"/>
        <v>0</v>
      </c>
      <c r="W31" s="4" t="str">
        <f>IF(A31="",IF(COUNTA(B31:F31)&gt;0,"ОШИБКА",""),IF(OR(COUNTIF(Assets[ID],A31)&lt;&gt;1,B31="",NOT(ISNUMBER(C31)),NOT(ISNUMBER(D31)),D31&lt;0,NOT(ISNUMBER(E31)),E31&lt;=0,F31&lt;0,F31&gt;D31),"ОШИБКА","ОК"))</f>
        <v/>
      </c>
    </row>
    <row r="32" spans="1:23" x14ac:dyDescent="0.25">
      <c r="A32" s="22"/>
      <c r="B32" s="22"/>
      <c r="C32" s="23"/>
      <c r="D32" s="22"/>
      <c r="E32" s="22"/>
      <c r="F32" s="22"/>
      <c r="G32" s="4" t="str">
        <f t="shared" si="0"/>
        <v/>
      </c>
      <c r="H32" s="4" t="str">
        <f t="shared" si="1"/>
        <v/>
      </c>
      <c r="I32" s="4" t="str">
        <f>IF(A32="","",SUMIFS(Cash[Сумма],Cash[Дата],"&lt;="&amp;ДатаОтчета,Cash[Статус],"Проведён",Cash[Тип],"Покупка ОС",Cash[Документ],A32))</f>
        <v/>
      </c>
      <c r="J32" s="4" t="str">
        <f t="shared" si="2"/>
        <v/>
      </c>
      <c r="K32" s="4">
        <f t="shared" si="3"/>
        <v>0</v>
      </c>
      <c r="L32" s="4">
        <f t="shared" si="4"/>
        <v>0</v>
      </c>
      <c r="M32" s="4">
        <f t="shared" si="5"/>
        <v>0</v>
      </c>
      <c r="N32" s="4">
        <f t="shared" si="6"/>
        <v>0</v>
      </c>
      <c r="O32" s="4">
        <f t="shared" si="7"/>
        <v>0</v>
      </c>
      <c r="P32" s="4">
        <f t="shared" si="8"/>
        <v>0</v>
      </c>
      <c r="Q32" s="4">
        <f t="shared" si="9"/>
        <v>0</v>
      </c>
      <c r="R32" s="4">
        <f t="shared" si="10"/>
        <v>0</v>
      </c>
      <c r="S32" s="4">
        <f t="shared" si="11"/>
        <v>0</v>
      </c>
      <c r="T32" s="4">
        <f t="shared" si="12"/>
        <v>0</v>
      </c>
      <c r="U32" s="4">
        <f t="shared" si="13"/>
        <v>0</v>
      </c>
      <c r="V32" s="4">
        <f t="shared" si="14"/>
        <v>0</v>
      </c>
      <c r="W32" s="4" t="str">
        <f>IF(A32="",IF(COUNTA(B32:F32)&gt;0,"ОШИБКА",""),IF(OR(COUNTIF(Assets[ID],A32)&lt;&gt;1,B32="",NOT(ISNUMBER(C32)),NOT(ISNUMBER(D32)),D32&lt;0,NOT(ISNUMBER(E32)),E32&lt;=0,F32&lt;0,F32&gt;D32),"ОШИБКА","ОК"))</f>
        <v/>
      </c>
    </row>
    <row r="33" spans="1:23" x14ac:dyDescent="0.25">
      <c r="A33" s="22"/>
      <c r="B33" s="22"/>
      <c r="C33" s="23"/>
      <c r="D33" s="22"/>
      <c r="E33" s="22"/>
      <c r="F33" s="22"/>
      <c r="G33" s="4" t="str">
        <f t="shared" si="0"/>
        <v/>
      </c>
      <c r="H33" s="4" t="str">
        <f t="shared" si="1"/>
        <v/>
      </c>
      <c r="I33" s="4" t="str">
        <f>IF(A33="","",SUMIFS(Cash[Сумма],Cash[Дата],"&lt;="&amp;ДатаОтчета,Cash[Статус],"Проведён",Cash[Тип],"Покупка ОС",Cash[Документ],A33))</f>
        <v/>
      </c>
      <c r="J33" s="4" t="str">
        <f t="shared" si="2"/>
        <v/>
      </c>
      <c r="K33" s="4">
        <f t="shared" si="3"/>
        <v>0</v>
      </c>
      <c r="L33" s="4">
        <f t="shared" si="4"/>
        <v>0</v>
      </c>
      <c r="M33" s="4">
        <f t="shared" si="5"/>
        <v>0</v>
      </c>
      <c r="N33" s="4">
        <f t="shared" si="6"/>
        <v>0</v>
      </c>
      <c r="O33" s="4">
        <f t="shared" si="7"/>
        <v>0</v>
      </c>
      <c r="P33" s="4">
        <f t="shared" si="8"/>
        <v>0</v>
      </c>
      <c r="Q33" s="4">
        <f t="shared" si="9"/>
        <v>0</v>
      </c>
      <c r="R33" s="4">
        <f t="shared" si="10"/>
        <v>0</v>
      </c>
      <c r="S33" s="4">
        <f t="shared" si="11"/>
        <v>0</v>
      </c>
      <c r="T33" s="4">
        <f t="shared" si="12"/>
        <v>0</v>
      </c>
      <c r="U33" s="4">
        <f t="shared" si="13"/>
        <v>0</v>
      </c>
      <c r="V33" s="4">
        <f t="shared" si="14"/>
        <v>0</v>
      </c>
      <c r="W33" s="4" t="str">
        <f>IF(A33="",IF(COUNTA(B33:F33)&gt;0,"ОШИБКА",""),IF(OR(COUNTIF(Assets[ID],A33)&lt;&gt;1,B33="",NOT(ISNUMBER(C33)),NOT(ISNUMBER(D33)),D33&lt;0,NOT(ISNUMBER(E33)),E33&lt;=0,F33&lt;0,F33&gt;D33),"ОШИБКА","ОК"))</f>
        <v/>
      </c>
    </row>
    <row r="34" spans="1:23" x14ac:dyDescent="0.25">
      <c r="A34" s="22"/>
      <c r="B34" s="22"/>
      <c r="C34" s="23"/>
      <c r="D34" s="22"/>
      <c r="E34" s="22"/>
      <c r="F34" s="22"/>
      <c r="G34" s="4" t="str">
        <f t="shared" si="0"/>
        <v/>
      </c>
      <c r="H34" s="4" t="str">
        <f t="shared" si="1"/>
        <v/>
      </c>
      <c r="I34" s="4" t="str">
        <f>IF(A34="","",SUMIFS(Cash[Сумма],Cash[Дата],"&lt;="&amp;ДатаОтчета,Cash[Статус],"Проведён",Cash[Тип],"Покупка ОС",Cash[Документ],A34))</f>
        <v/>
      </c>
      <c r="J34" s="4" t="str">
        <f t="shared" si="2"/>
        <v/>
      </c>
      <c r="K34" s="4">
        <f t="shared" si="3"/>
        <v>0</v>
      </c>
      <c r="L34" s="4">
        <f t="shared" si="4"/>
        <v>0</v>
      </c>
      <c r="M34" s="4">
        <f t="shared" si="5"/>
        <v>0</v>
      </c>
      <c r="N34" s="4">
        <f t="shared" si="6"/>
        <v>0</v>
      </c>
      <c r="O34" s="4">
        <f t="shared" si="7"/>
        <v>0</v>
      </c>
      <c r="P34" s="4">
        <f t="shared" si="8"/>
        <v>0</v>
      </c>
      <c r="Q34" s="4">
        <f t="shared" si="9"/>
        <v>0</v>
      </c>
      <c r="R34" s="4">
        <f t="shared" si="10"/>
        <v>0</v>
      </c>
      <c r="S34" s="4">
        <f t="shared" si="11"/>
        <v>0</v>
      </c>
      <c r="T34" s="4">
        <f t="shared" si="12"/>
        <v>0</v>
      </c>
      <c r="U34" s="4">
        <f t="shared" si="13"/>
        <v>0</v>
      </c>
      <c r="V34" s="4">
        <f t="shared" si="14"/>
        <v>0</v>
      </c>
      <c r="W34" s="4" t="str">
        <f>IF(A34="",IF(COUNTA(B34:F34)&gt;0,"ОШИБКА",""),IF(OR(COUNTIF(Assets[ID],A34)&lt;&gt;1,B34="",NOT(ISNUMBER(C34)),NOT(ISNUMBER(D34)),D34&lt;0,NOT(ISNUMBER(E34)),E34&lt;=0,F34&lt;0,F34&gt;D34),"ОШИБКА","ОК"))</f>
        <v/>
      </c>
    </row>
    <row r="35" spans="1:23" x14ac:dyDescent="0.25">
      <c r="A35" s="22"/>
      <c r="B35" s="22"/>
      <c r="C35" s="23"/>
      <c r="D35" s="22"/>
      <c r="E35" s="22"/>
      <c r="F35" s="22"/>
      <c r="G35" s="4" t="str">
        <f t="shared" si="0"/>
        <v/>
      </c>
      <c r="H35" s="4" t="str">
        <f t="shared" si="1"/>
        <v/>
      </c>
      <c r="I35" s="4" t="str">
        <f>IF(A35="","",SUMIFS(Cash[Сумма],Cash[Дата],"&lt;="&amp;ДатаОтчета,Cash[Статус],"Проведён",Cash[Тип],"Покупка ОС",Cash[Документ],A35))</f>
        <v/>
      </c>
      <c r="J35" s="4" t="str">
        <f t="shared" si="2"/>
        <v/>
      </c>
      <c r="K35" s="4">
        <f t="shared" si="3"/>
        <v>0</v>
      </c>
      <c r="L35" s="4">
        <f t="shared" si="4"/>
        <v>0</v>
      </c>
      <c r="M35" s="4">
        <f t="shared" si="5"/>
        <v>0</v>
      </c>
      <c r="N35" s="4">
        <f t="shared" si="6"/>
        <v>0</v>
      </c>
      <c r="O35" s="4">
        <f t="shared" si="7"/>
        <v>0</v>
      </c>
      <c r="P35" s="4">
        <f t="shared" si="8"/>
        <v>0</v>
      </c>
      <c r="Q35" s="4">
        <f t="shared" si="9"/>
        <v>0</v>
      </c>
      <c r="R35" s="4">
        <f t="shared" si="10"/>
        <v>0</v>
      </c>
      <c r="S35" s="4">
        <f t="shared" si="11"/>
        <v>0</v>
      </c>
      <c r="T35" s="4">
        <f t="shared" si="12"/>
        <v>0</v>
      </c>
      <c r="U35" s="4">
        <f t="shared" si="13"/>
        <v>0</v>
      </c>
      <c r="V35" s="4">
        <f t="shared" si="14"/>
        <v>0</v>
      </c>
      <c r="W35" s="4" t="str">
        <f>IF(A35="",IF(COUNTA(B35:F35)&gt;0,"ОШИБКА",""),IF(OR(COUNTIF(Assets[ID],A35)&lt;&gt;1,B35="",NOT(ISNUMBER(C35)),NOT(ISNUMBER(D35)),D35&lt;0,NOT(ISNUMBER(E35)),E35&lt;=0,F35&lt;0,F35&gt;D35),"ОШИБКА","ОК"))</f>
        <v/>
      </c>
    </row>
    <row r="36" spans="1:23" x14ac:dyDescent="0.25">
      <c r="A36" s="22"/>
      <c r="B36" s="22"/>
      <c r="C36" s="23"/>
      <c r="D36" s="22"/>
      <c r="E36" s="22"/>
      <c r="F36" s="22"/>
      <c r="G36" s="4" t="str">
        <f t="shared" si="0"/>
        <v/>
      </c>
      <c r="H36" s="4" t="str">
        <f t="shared" si="1"/>
        <v/>
      </c>
      <c r="I36" s="4" t="str">
        <f>IF(A36="","",SUMIFS(Cash[Сумма],Cash[Дата],"&lt;="&amp;ДатаОтчета,Cash[Статус],"Проведён",Cash[Тип],"Покупка ОС",Cash[Документ],A36))</f>
        <v/>
      </c>
      <c r="J36" s="4" t="str">
        <f t="shared" si="2"/>
        <v/>
      </c>
      <c r="K36" s="4">
        <f t="shared" si="3"/>
        <v>0</v>
      </c>
      <c r="L36" s="4">
        <f t="shared" si="4"/>
        <v>0</v>
      </c>
      <c r="M36" s="4">
        <f t="shared" si="5"/>
        <v>0</v>
      </c>
      <c r="N36" s="4">
        <f t="shared" si="6"/>
        <v>0</v>
      </c>
      <c r="O36" s="4">
        <f t="shared" si="7"/>
        <v>0</v>
      </c>
      <c r="P36" s="4">
        <f t="shared" si="8"/>
        <v>0</v>
      </c>
      <c r="Q36" s="4">
        <f t="shared" si="9"/>
        <v>0</v>
      </c>
      <c r="R36" s="4">
        <f t="shared" si="10"/>
        <v>0</v>
      </c>
      <c r="S36" s="4">
        <f t="shared" si="11"/>
        <v>0</v>
      </c>
      <c r="T36" s="4">
        <f t="shared" si="12"/>
        <v>0</v>
      </c>
      <c r="U36" s="4">
        <f t="shared" si="13"/>
        <v>0</v>
      </c>
      <c r="V36" s="4">
        <f t="shared" si="14"/>
        <v>0</v>
      </c>
      <c r="W36" s="4" t="str">
        <f>IF(A36="",IF(COUNTA(B36:F36)&gt;0,"ОШИБКА",""),IF(OR(COUNTIF(Assets[ID],A36)&lt;&gt;1,B36="",NOT(ISNUMBER(C36)),NOT(ISNUMBER(D36)),D36&lt;0,NOT(ISNUMBER(E36)),E36&lt;=0,F36&lt;0,F36&gt;D36),"ОШИБКА","ОК"))</f>
        <v/>
      </c>
    </row>
    <row r="37" spans="1:23" x14ac:dyDescent="0.25">
      <c r="A37" s="22"/>
      <c r="B37" s="22"/>
      <c r="C37" s="23"/>
      <c r="D37" s="22"/>
      <c r="E37" s="22"/>
      <c r="F37" s="22"/>
      <c r="G37" s="4" t="str">
        <f t="shared" si="0"/>
        <v/>
      </c>
      <c r="H37" s="4" t="str">
        <f t="shared" si="1"/>
        <v/>
      </c>
      <c r="I37" s="4" t="str">
        <f>IF(A37="","",SUMIFS(Cash[Сумма],Cash[Дата],"&lt;="&amp;ДатаОтчета,Cash[Статус],"Проведён",Cash[Тип],"Покупка ОС",Cash[Документ],A37))</f>
        <v/>
      </c>
      <c r="J37" s="4" t="str">
        <f t="shared" si="2"/>
        <v/>
      </c>
      <c r="K37" s="4">
        <f t="shared" si="3"/>
        <v>0</v>
      </c>
      <c r="L37" s="4">
        <f t="shared" si="4"/>
        <v>0</v>
      </c>
      <c r="M37" s="4">
        <f t="shared" si="5"/>
        <v>0</v>
      </c>
      <c r="N37" s="4">
        <f t="shared" si="6"/>
        <v>0</v>
      </c>
      <c r="O37" s="4">
        <f t="shared" si="7"/>
        <v>0</v>
      </c>
      <c r="P37" s="4">
        <f t="shared" si="8"/>
        <v>0</v>
      </c>
      <c r="Q37" s="4">
        <f t="shared" si="9"/>
        <v>0</v>
      </c>
      <c r="R37" s="4">
        <f t="shared" si="10"/>
        <v>0</v>
      </c>
      <c r="S37" s="4">
        <f t="shared" si="11"/>
        <v>0</v>
      </c>
      <c r="T37" s="4">
        <f t="shared" si="12"/>
        <v>0</v>
      </c>
      <c r="U37" s="4">
        <f t="shared" si="13"/>
        <v>0</v>
      </c>
      <c r="V37" s="4">
        <f t="shared" si="14"/>
        <v>0</v>
      </c>
      <c r="W37" s="4" t="str">
        <f>IF(A37="",IF(COUNTA(B37:F37)&gt;0,"ОШИБКА",""),IF(OR(COUNTIF(Assets[ID],A37)&lt;&gt;1,B37="",NOT(ISNUMBER(C37)),NOT(ISNUMBER(D37)),D37&lt;0,NOT(ISNUMBER(E37)),E37&lt;=0,F37&lt;0,F37&gt;D37),"ОШИБКА","ОК"))</f>
        <v/>
      </c>
    </row>
    <row r="38" spans="1:23" x14ac:dyDescent="0.25">
      <c r="A38" s="22"/>
      <c r="B38" s="22"/>
      <c r="C38" s="23"/>
      <c r="D38" s="22"/>
      <c r="E38" s="22"/>
      <c r="F38" s="22"/>
      <c r="G38" s="4" t="str">
        <f t="shared" si="0"/>
        <v/>
      </c>
      <c r="H38" s="4" t="str">
        <f t="shared" si="1"/>
        <v/>
      </c>
      <c r="I38" s="4" t="str">
        <f>IF(A38="","",SUMIFS(Cash[Сумма],Cash[Дата],"&lt;="&amp;ДатаОтчета,Cash[Статус],"Проведён",Cash[Тип],"Покупка ОС",Cash[Документ],A38))</f>
        <v/>
      </c>
      <c r="J38" s="4" t="str">
        <f t="shared" si="2"/>
        <v/>
      </c>
      <c r="K38" s="4">
        <f t="shared" si="3"/>
        <v>0</v>
      </c>
      <c r="L38" s="4">
        <f t="shared" si="4"/>
        <v>0</v>
      </c>
      <c r="M38" s="4">
        <f t="shared" si="5"/>
        <v>0</v>
      </c>
      <c r="N38" s="4">
        <f t="shared" si="6"/>
        <v>0</v>
      </c>
      <c r="O38" s="4">
        <f t="shared" si="7"/>
        <v>0</v>
      </c>
      <c r="P38" s="4">
        <f t="shared" si="8"/>
        <v>0</v>
      </c>
      <c r="Q38" s="4">
        <f t="shared" si="9"/>
        <v>0</v>
      </c>
      <c r="R38" s="4">
        <f t="shared" si="10"/>
        <v>0</v>
      </c>
      <c r="S38" s="4">
        <f t="shared" si="11"/>
        <v>0</v>
      </c>
      <c r="T38" s="4">
        <f t="shared" si="12"/>
        <v>0</v>
      </c>
      <c r="U38" s="4">
        <f t="shared" si="13"/>
        <v>0</v>
      </c>
      <c r="V38" s="4">
        <f t="shared" si="14"/>
        <v>0</v>
      </c>
      <c r="W38" s="4" t="str">
        <f>IF(A38="",IF(COUNTA(B38:F38)&gt;0,"ОШИБКА",""),IF(OR(COUNTIF(Assets[ID],A38)&lt;&gt;1,B38="",NOT(ISNUMBER(C38)),NOT(ISNUMBER(D38)),D38&lt;0,NOT(ISNUMBER(E38)),E38&lt;=0,F38&lt;0,F38&gt;D38),"ОШИБКА","ОК"))</f>
        <v/>
      </c>
    </row>
    <row r="39" spans="1:23" x14ac:dyDescent="0.25">
      <c r="A39" s="22"/>
      <c r="B39" s="22"/>
      <c r="C39" s="23"/>
      <c r="D39" s="22"/>
      <c r="E39" s="22"/>
      <c r="F39" s="22"/>
      <c r="G39" s="4" t="str">
        <f t="shared" ref="G39:G56" si="15">IF(A39="","",IF(C39&gt;ДатаОтчета,0,IF(E39&lt;=0,0,MIN(D39,F39+ROUND(D39/E39*MAX(0,(YEAR(ДатаОтчета)-YEAR(MAX(C39,EDATE(НачалоУчета,-1))))*12+MONTH(ДатаОтчета)-MONTH(MAX(C39,EDATE(НачалоУчета,-1)))),2)))))</f>
        <v/>
      </c>
      <c r="H39" s="4" t="str">
        <f t="shared" ref="H39:H56" si="16">IF(A39="","",IF(C39&gt;ДатаОтчета,0,D39-G39))</f>
        <v/>
      </c>
      <c r="I39" s="4" t="str">
        <f>IF(A39="","",SUMIFS(Cash[Сумма],Cash[Дата],"&lt;="&amp;ДатаОтчета,Cash[Статус],"Проведён",Cash[Тип],"Покупка ОС",Cash[Документ],A39))</f>
        <v/>
      </c>
      <c r="J39" s="4" t="str">
        <f t="shared" ref="J39:J56" si="17">IF(A39="","",IF(OR(C39&gt;ДатаОтчета,C39&lt;НачалоУчета),0,D39-I39))</f>
        <v/>
      </c>
      <c r="K39" s="4">
        <f t="shared" ref="K39:K56" si="18">IF(A39="",0,IF(OR(E39&lt;=0,K$6&gt;ДатаОтчета,C39&gt;=K$6),0,MAX(0,MIN(D39-F39,ROUND(D39/E39*MAX(0,(YEAR(K$6)-YEAR(MAX(C39,EDATE(НачалоУчета,-1))))*12+MONTH(K$6)-MONTH(MAX(C39,EDATE(НачалоУчета,-1)))),2))-MIN(D39-F39,ROUND(D39/E39*MAX(0,(YEAR(K$6)-YEAR(MAX(C39,EDATE(НачалоУчета,-1))))*12+MONTH(K$6)-MONTH(MAX(C39,EDATE(НачалоУчета,-1)))-1),2)))))</f>
        <v>0</v>
      </c>
      <c r="L39" s="4">
        <f t="shared" ref="L39:L56" si="19">IF(A39="",0,IF(OR(E39&lt;=0,L$6&gt;ДатаОтчета,C39&gt;=L$6),0,MAX(0,MIN(D39-F39,ROUND(D39/E39*MAX(0,(YEAR(L$6)-YEAR(MAX(C39,EDATE(НачалоУчета,-1))))*12+MONTH(L$6)-MONTH(MAX(C39,EDATE(НачалоУчета,-1)))),2))-MIN(D39-F39,ROUND(D39/E39*MAX(0,(YEAR(L$6)-YEAR(MAX(C39,EDATE(НачалоУчета,-1))))*12+MONTH(L$6)-MONTH(MAX(C39,EDATE(НачалоУчета,-1)))-1),2)))))</f>
        <v>0</v>
      </c>
      <c r="M39" s="4">
        <f t="shared" ref="M39:M56" si="20">IF(A39="",0,IF(OR(E39&lt;=0,M$6&gt;ДатаОтчета,C39&gt;=M$6),0,MAX(0,MIN(D39-F39,ROUND(D39/E39*MAX(0,(YEAR(M$6)-YEAR(MAX(C39,EDATE(НачалоУчета,-1))))*12+MONTH(M$6)-MONTH(MAX(C39,EDATE(НачалоУчета,-1)))),2))-MIN(D39-F39,ROUND(D39/E39*MAX(0,(YEAR(M$6)-YEAR(MAX(C39,EDATE(НачалоУчета,-1))))*12+MONTH(M$6)-MONTH(MAX(C39,EDATE(НачалоУчета,-1)))-1),2)))))</f>
        <v>0</v>
      </c>
      <c r="N39" s="4">
        <f t="shared" ref="N39:N56" si="21">IF(A39="",0,IF(OR(E39&lt;=0,N$6&gt;ДатаОтчета,C39&gt;=N$6),0,MAX(0,MIN(D39-F39,ROUND(D39/E39*MAX(0,(YEAR(N$6)-YEAR(MAX(C39,EDATE(НачалоУчета,-1))))*12+MONTH(N$6)-MONTH(MAX(C39,EDATE(НачалоУчета,-1)))),2))-MIN(D39-F39,ROUND(D39/E39*MAX(0,(YEAR(N$6)-YEAR(MAX(C39,EDATE(НачалоУчета,-1))))*12+MONTH(N$6)-MONTH(MAX(C39,EDATE(НачалоУчета,-1)))-1),2)))))</f>
        <v>0</v>
      </c>
      <c r="O39" s="4">
        <f t="shared" ref="O39:O56" si="22">IF(A39="",0,IF(OR(E39&lt;=0,O$6&gt;ДатаОтчета,C39&gt;=O$6),0,MAX(0,MIN(D39-F39,ROUND(D39/E39*MAX(0,(YEAR(O$6)-YEAR(MAX(C39,EDATE(НачалоУчета,-1))))*12+MONTH(O$6)-MONTH(MAX(C39,EDATE(НачалоУчета,-1)))),2))-MIN(D39-F39,ROUND(D39/E39*MAX(0,(YEAR(O$6)-YEAR(MAX(C39,EDATE(НачалоУчета,-1))))*12+MONTH(O$6)-MONTH(MAX(C39,EDATE(НачалоУчета,-1)))-1),2)))))</f>
        <v>0</v>
      </c>
      <c r="P39" s="4">
        <f t="shared" ref="P39:P56" si="23">IF(A39="",0,IF(OR(E39&lt;=0,P$6&gt;ДатаОтчета,C39&gt;=P$6),0,MAX(0,MIN(D39-F39,ROUND(D39/E39*MAX(0,(YEAR(P$6)-YEAR(MAX(C39,EDATE(НачалоУчета,-1))))*12+MONTH(P$6)-MONTH(MAX(C39,EDATE(НачалоУчета,-1)))),2))-MIN(D39-F39,ROUND(D39/E39*MAX(0,(YEAR(P$6)-YEAR(MAX(C39,EDATE(НачалоУчета,-1))))*12+MONTH(P$6)-MONTH(MAX(C39,EDATE(НачалоУчета,-1)))-1),2)))))</f>
        <v>0</v>
      </c>
      <c r="Q39" s="4">
        <f t="shared" ref="Q39:Q56" si="24">IF(A39="",0,IF(OR(E39&lt;=0,Q$6&gt;ДатаОтчета,C39&gt;=Q$6),0,MAX(0,MIN(D39-F39,ROUND(D39/E39*MAX(0,(YEAR(Q$6)-YEAR(MAX(C39,EDATE(НачалоУчета,-1))))*12+MONTH(Q$6)-MONTH(MAX(C39,EDATE(НачалоУчета,-1)))),2))-MIN(D39-F39,ROUND(D39/E39*MAX(0,(YEAR(Q$6)-YEAR(MAX(C39,EDATE(НачалоУчета,-1))))*12+MONTH(Q$6)-MONTH(MAX(C39,EDATE(НачалоУчета,-1)))-1),2)))))</f>
        <v>0</v>
      </c>
      <c r="R39" s="4">
        <f t="shared" ref="R39:R56" si="25">IF(A39="",0,IF(OR(E39&lt;=0,R$6&gt;ДатаОтчета,C39&gt;=R$6),0,MAX(0,MIN(D39-F39,ROUND(D39/E39*MAX(0,(YEAR(R$6)-YEAR(MAX(C39,EDATE(НачалоУчета,-1))))*12+MONTH(R$6)-MONTH(MAX(C39,EDATE(НачалоУчета,-1)))),2))-MIN(D39-F39,ROUND(D39/E39*MAX(0,(YEAR(R$6)-YEAR(MAX(C39,EDATE(НачалоУчета,-1))))*12+MONTH(R$6)-MONTH(MAX(C39,EDATE(НачалоУчета,-1)))-1),2)))))</f>
        <v>0</v>
      </c>
      <c r="S39" s="4">
        <f t="shared" ref="S39:S56" si="26">IF(A39="",0,IF(OR(E39&lt;=0,S$6&gt;ДатаОтчета,C39&gt;=S$6),0,MAX(0,MIN(D39-F39,ROUND(D39/E39*MAX(0,(YEAR(S$6)-YEAR(MAX(C39,EDATE(НачалоУчета,-1))))*12+MONTH(S$6)-MONTH(MAX(C39,EDATE(НачалоУчета,-1)))),2))-MIN(D39-F39,ROUND(D39/E39*MAX(0,(YEAR(S$6)-YEAR(MAX(C39,EDATE(НачалоУчета,-1))))*12+MONTH(S$6)-MONTH(MAX(C39,EDATE(НачалоУчета,-1)))-1),2)))))</f>
        <v>0</v>
      </c>
      <c r="T39" s="4">
        <f t="shared" ref="T39:T56" si="27">IF(A39="",0,IF(OR(E39&lt;=0,T$6&gt;ДатаОтчета,C39&gt;=T$6),0,MAX(0,MIN(D39-F39,ROUND(D39/E39*MAX(0,(YEAR(T$6)-YEAR(MAX(C39,EDATE(НачалоУчета,-1))))*12+MONTH(T$6)-MONTH(MAX(C39,EDATE(НачалоУчета,-1)))),2))-MIN(D39-F39,ROUND(D39/E39*MAX(0,(YEAR(T$6)-YEAR(MAX(C39,EDATE(НачалоУчета,-1))))*12+MONTH(T$6)-MONTH(MAX(C39,EDATE(НачалоУчета,-1)))-1),2)))))</f>
        <v>0</v>
      </c>
      <c r="U39" s="4">
        <f t="shared" ref="U39:U56" si="28">IF(A39="",0,IF(OR(E39&lt;=0,U$6&gt;ДатаОтчета,C39&gt;=U$6),0,MAX(0,MIN(D39-F39,ROUND(D39/E39*MAX(0,(YEAR(U$6)-YEAR(MAX(C39,EDATE(НачалоУчета,-1))))*12+MONTH(U$6)-MONTH(MAX(C39,EDATE(НачалоУчета,-1)))),2))-MIN(D39-F39,ROUND(D39/E39*MAX(0,(YEAR(U$6)-YEAR(MAX(C39,EDATE(НачалоУчета,-1))))*12+MONTH(U$6)-MONTH(MAX(C39,EDATE(НачалоУчета,-1)))-1),2)))))</f>
        <v>0</v>
      </c>
      <c r="V39" s="4">
        <f t="shared" ref="V39:V56" si="29">IF(A39="",0,IF(OR(E39&lt;=0,V$6&gt;ДатаОтчета,C39&gt;=V$6),0,MAX(0,MIN(D39-F39,ROUND(D39/E39*MAX(0,(YEAR(V$6)-YEAR(MAX(C39,EDATE(НачалоУчета,-1))))*12+MONTH(V$6)-MONTH(MAX(C39,EDATE(НачалоУчета,-1)))),2))-MIN(D39-F39,ROUND(D39/E39*MAX(0,(YEAR(V$6)-YEAR(MAX(C39,EDATE(НачалоУчета,-1))))*12+MONTH(V$6)-MONTH(MAX(C39,EDATE(НачалоУчета,-1)))-1),2)))))</f>
        <v>0</v>
      </c>
      <c r="W39" s="4" t="str">
        <f>IF(A39="",IF(COUNTA(B39:F39)&gt;0,"ОШИБКА",""),IF(OR(COUNTIF(Assets[ID],A39)&lt;&gt;1,B39="",NOT(ISNUMBER(C39)),NOT(ISNUMBER(D39)),D39&lt;0,NOT(ISNUMBER(E39)),E39&lt;=0,F39&lt;0,F39&gt;D39),"ОШИБКА","ОК"))</f>
        <v/>
      </c>
    </row>
    <row r="40" spans="1:23" x14ac:dyDescent="0.25">
      <c r="A40" s="22"/>
      <c r="B40" s="22"/>
      <c r="C40" s="23"/>
      <c r="D40" s="22"/>
      <c r="E40" s="22"/>
      <c r="F40" s="22"/>
      <c r="G40" s="4" t="str">
        <f t="shared" si="15"/>
        <v/>
      </c>
      <c r="H40" s="4" t="str">
        <f t="shared" si="16"/>
        <v/>
      </c>
      <c r="I40" s="4" t="str">
        <f>IF(A40="","",SUMIFS(Cash[Сумма],Cash[Дата],"&lt;="&amp;ДатаОтчета,Cash[Статус],"Проведён",Cash[Тип],"Покупка ОС",Cash[Документ],A40))</f>
        <v/>
      </c>
      <c r="J40" s="4" t="str">
        <f t="shared" si="17"/>
        <v/>
      </c>
      <c r="K40" s="4">
        <f t="shared" si="18"/>
        <v>0</v>
      </c>
      <c r="L40" s="4">
        <f t="shared" si="19"/>
        <v>0</v>
      </c>
      <c r="M40" s="4">
        <f t="shared" si="20"/>
        <v>0</v>
      </c>
      <c r="N40" s="4">
        <f t="shared" si="21"/>
        <v>0</v>
      </c>
      <c r="O40" s="4">
        <f t="shared" si="22"/>
        <v>0</v>
      </c>
      <c r="P40" s="4">
        <f t="shared" si="23"/>
        <v>0</v>
      </c>
      <c r="Q40" s="4">
        <f t="shared" si="24"/>
        <v>0</v>
      </c>
      <c r="R40" s="4">
        <f t="shared" si="25"/>
        <v>0</v>
      </c>
      <c r="S40" s="4">
        <f t="shared" si="26"/>
        <v>0</v>
      </c>
      <c r="T40" s="4">
        <f t="shared" si="27"/>
        <v>0</v>
      </c>
      <c r="U40" s="4">
        <f t="shared" si="28"/>
        <v>0</v>
      </c>
      <c r="V40" s="4">
        <f t="shared" si="29"/>
        <v>0</v>
      </c>
      <c r="W40" s="4" t="str">
        <f>IF(A40="",IF(COUNTA(B40:F40)&gt;0,"ОШИБКА",""),IF(OR(COUNTIF(Assets[ID],A40)&lt;&gt;1,B40="",NOT(ISNUMBER(C40)),NOT(ISNUMBER(D40)),D40&lt;0,NOT(ISNUMBER(E40)),E40&lt;=0,F40&lt;0,F40&gt;D40),"ОШИБКА","ОК"))</f>
        <v/>
      </c>
    </row>
    <row r="41" spans="1:23" x14ac:dyDescent="0.25">
      <c r="A41" s="22"/>
      <c r="B41" s="22"/>
      <c r="C41" s="23"/>
      <c r="D41" s="22"/>
      <c r="E41" s="22"/>
      <c r="F41" s="22"/>
      <c r="G41" s="4" t="str">
        <f t="shared" si="15"/>
        <v/>
      </c>
      <c r="H41" s="4" t="str">
        <f t="shared" si="16"/>
        <v/>
      </c>
      <c r="I41" s="4" t="str">
        <f>IF(A41="","",SUMIFS(Cash[Сумма],Cash[Дата],"&lt;="&amp;ДатаОтчета,Cash[Статус],"Проведён",Cash[Тип],"Покупка ОС",Cash[Документ],A41))</f>
        <v/>
      </c>
      <c r="J41" s="4" t="str">
        <f t="shared" si="17"/>
        <v/>
      </c>
      <c r="K41" s="4">
        <f t="shared" si="18"/>
        <v>0</v>
      </c>
      <c r="L41" s="4">
        <f t="shared" si="19"/>
        <v>0</v>
      </c>
      <c r="M41" s="4">
        <f t="shared" si="20"/>
        <v>0</v>
      </c>
      <c r="N41" s="4">
        <f t="shared" si="21"/>
        <v>0</v>
      </c>
      <c r="O41" s="4">
        <f t="shared" si="22"/>
        <v>0</v>
      </c>
      <c r="P41" s="4">
        <f t="shared" si="23"/>
        <v>0</v>
      </c>
      <c r="Q41" s="4">
        <f t="shared" si="24"/>
        <v>0</v>
      </c>
      <c r="R41" s="4">
        <f t="shared" si="25"/>
        <v>0</v>
      </c>
      <c r="S41" s="4">
        <f t="shared" si="26"/>
        <v>0</v>
      </c>
      <c r="T41" s="4">
        <f t="shared" si="27"/>
        <v>0</v>
      </c>
      <c r="U41" s="4">
        <f t="shared" si="28"/>
        <v>0</v>
      </c>
      <c r="V41" s="4">
        <f t="shared" si="29"/>
        <v>0</v>
      </c>
      <c r="W41" s="4" t="str">
        <f>IF(A41="",IF(COUNTA(B41:F41)&gt;0,"ОШИБКА",""),IF(OR(COUNTIF(Assets[ID],A41)&lt;&gt;1,B41="",NOT(ISNUMBER(C41)),NOT(ISNUMBER(D41)),D41&lt;0,NOT(ISNUMBER(E41)),E41&lt;=0,F41&lt;0,F41&gt;D41),"ОШИБКА","ОК"))</f>
        <v/>
      </c>
    </row>
    <row r="42" spans="1:23" x14ac:dyDescent="0.25">
      <c r="A42" s="22"/>
      <c r="B42" s="22"/>
      <c r="C42" s="23"/>
      <c r="D42" s="22"/>
      <c r="E42" s="22"/>
      <c r="F42" s="22"/>
      <c r="G42" s="4" t="str">
        <f t="shared" si="15"/>
        <v/>
      </c>
      <c r="H42" s="4" t="str">
        <f t="shared" si="16"/>
        <v/>
      </c>
      <c r="I42" s="4" t="str">
        <f>IF(A42="","",SUMIFS(Cash[Сумма],Cash[Дата],"&lt;="&amp;ДатаОтчета,Cash[Статус],"Проведён",Cash[Тип],"Покупка ОС",Cash[Документ],A42))</f>
        <v/>
      </c>
      <c r="J42" s="4" t="str">
        <f t="shared" si="17"/>
        <v/>
      </c>
      <c r="K42" s="4">
        <f t="shared" si="18"/>
        <v>0</v>
      </c>
      <c r="L42" s="4">
        <f t="shared" si="19"/>
        <v>0</v>
      </c>
      <c r="M42" s="4">
        <f t="shared" si="20"/>
        <v>0</v>
      </c>
      <c r="N42" s="4">
        <f t="shared" si="21"/>
        <v>0</v>
      </c>
      <c r="O42" s="4">
        <f t="shared" si="22"/>
        <v>0</v>
      </c>
      <c r="P42" s="4">
        <f t="shared" si="23"/>
        <v>0</v>
      </c>
      <c r="Q42" s="4">
        <f t="shared" si="24"/>
        <v>0</v>
      </c>
      <c r="R42" s="4">
        <f t="shared" si="25"/>
        <v>0</v>
      </c>
      <c r="S42" s="4">
        <f t="shared" si="26"/>
        <v>0</v>
      </c>
      <c r="T42" s="4">
        <f t="shared" si="27"/>
        <v>0</v>
      </c>
      <c r="U42" s="4">
        <f t="shared" si="28"/>
        <v>0</v>
      </c>
      <c r="V42" s="4">
        <f t="shared" si="29"/>
        <v>0</v>
      </c>
      <c r="W42" s="4" t="str">
        <f>IF(A42="",IF(COUNTA(B42:F42)&gt;0,"ОШИБКА",""),IF(OR(COUNTIF(Assets[ID],A42)&lt;&gt;1,B42="",NOT(ISNUMBER(C42)),NOT(ISNUMBER(D42)),D42&lt;0,NOT(ISNUMBER(E42)),E42&lt;=0,F42&lt;0,F42&gt;D42),"ОШИБКА","ОК"))</f>
        <v/>
      </c>
    </row>
    <row r="43" spans="1:23" x14ac:dyDescent="0.25">
      <c r="A43" s="22"/>
      <c r="B43" s="22"/>
      <c r="C43" s="23"/>
      <c r="D43" s="22"/>
      <c r="E43" s="22"/>
      <c r="F43" s="22"/>
      <c r="G43" s="4" t="str">
        <f t="shared" si="15"/>
        <v/>
      </c>
      <c r="H43" s="4" t="str">
        <f t="shared" si="16"/>
        <v/>
      </c>
      <c r="I43" s="4" t="str">
        <f>IF(A43="","",SUMIFS(Cash[Сумма],Cash[Дата],"&lt;="&amp;ДатаОтчета,Cash[Статус],"Проведён",Cash[Тип],"Покупка ОС",Cash[Документ],A43))</f>
        <v/>
      </c>
      <c r="J43" s="4" t="str">
        <f t="shared" si="17"/>
        <v/>
      </c>
      <c r="K43" s="4">
        <f t="shared" si="18"/>
        <v>0</v>
      </c>
      <c r="L43" s="4">
        <f t="shared" si="19"/>
        <v>0</v>
      </c>
      <c r="M43" s="4">
        <f t="shared" si="20"/>
        <v>0</v>
      </c>
      <c r="N43" s="4">
        <f t="shared" si="21"/>
        <v>0</v>
      </c>
      <c r="O43" s="4">
        <f t="shared" si="22"/>
        <v>0</v>
      </c>
      <c r="P43" s="4">
        <f t="shared" si="23"/>
        <v>0</v>
      </c>
      <c r="Q43" s="4">
        <f t="shared" si="24"/>
        <v>0</v>
      </c>
      <c r="R43" s="4">
        <f t="shared" si="25"/>
        <v>0</v>
      </c>
      <c r="S43" s="4">
        <f t="shared" si="26"/>
        <v>0</v>
      </c>
      <c r="T43" s="4">
        <f t="shared" si="27"/>
        <v>0</v>
      </c>
      <c r="U43" s="4">
        <f t="shared" si="28"/>
        <v>0</v>
      </c>
      <c r="V43" s="4">
        <f t="shared" si="29"/>
        <v>0</v>
      </c>
      <c r="W43" s="4" t="str">
        <f>IF(A43="",IF(COUNTA(B43:F43)&gt;0,"ОШИБКА",""),IF(OR(COUNTIF(Assets[ID],A43)&lt;&gt;1,B43="",NOT(ISNUMBER(C43)),NOT(ISNUMBER(D43)),D43&lt;0,NOT(ISNUMBER(E43)),E43&lt;=0,F43&lt;0,F43&gt;D43),"ОШИБКА","ОК"))</f>
        <v/>
      </c>
    </row>
    <row r="44" spans="1:23" x14ac:dyDescent="0.25">
      <c r="A44" s="22"/>
      <c r="B44" s="22"/>
      <c r="C44" s="23"/>
      <c r="D44" s="22"/>
      <c r="E44" s="22"/>
      <c r="F44" s="22"/>
      <c r="G44" s="4" t="str">
        <f t="shared" si="15"/>
        <v/>
      </c>
      <c r="H44" s="4" t="str">
        <f t="shared" si="16"/>
        <v/>
      </c>
      <c r="I44" s="4" t="str">
        <f>IF(A44="","",SUMIFS(Cash[Сумма],Cash[Дата],"&lt;="&amp;ДатаОтчета,Cash[Статус],"Проведён",Cash[Тип],"Покупка ОС",Cash[Документ],A44))</f>
        <v/>
      </c>
      <c r="J44" s="4" t="str">
        <f t="shared" si="17"/>
        <v/>
      </c>
      <c r="K44" s="4">
        <f t="shared" si="18"/>
        <v>0</v>
      </c>
      <c r="L44" s="4">
        <f t="shared" si="19"/>
        <v>0</v>
      </c>
      <c r="M44" s="4">
        <f t="shared" si="20"/>
        <v>0</v>
      </c>
      <c r="N44" s="4">
        <f t="shared" si="21"/>
        <v>0</v>
      </c>
      <c r="O44" s="4">
        <f t="shared" si="22"/>
        <v>0</v>
      </c>
      <c r="P44" s="4">
        <f t="shared" si="23"/>
        <v>0</v>
      </c>
      <c r="Q44" s="4">
        <f t="shared" si="24"/>
        <v>0</v>
      </c>
      <c r="R44" s="4">
        <f t="shared" si="25"/>
        <v>0</v>
      </c>
      <c r="S44" s="4">
        <f t="shared" si="26"/>
        <v>0</v>
      </c>
      <c r="T44" s="4">
        <f t="shared" si="27"/>
        <v>0</v>
      </c>
      <c r="U44" s="4">
        <f t="shared" si="28"/>
        <v>0</v>
      </c>
      <c r="V44" s="4">
        <f t="shared" si="29"/>
        <v>0</v>
      </c>
      <c r="W44" s="4" t="str">
        <f>IF(A44="",IF(COUNTA(B44:F44)&gt;0,"ОШИБКА",""),IF(OR(COUNTIF(Assets[ID],A44)&lt;&gt;1,B44="",NOT(ISNUMBER(C44)),NOT(ISNUMBER(D44)),D44&lt;0,NOT(ISNUMBER(E44)),E44&lt;=0,F44&lt;0,F44&gt;D44),"ОШИБКА","ОК"))</f>
        <v/>
      </c>
    </row>
    <row r="45" spans="1:23" x14ac:dyDescent="0.25">
      <c r="A45" s="22"/>
      <c r="B45" s="22"/>
      <c r="C45" s="23"/>
      <c r="D45" s="22"/>
      <c r="E45" s="22"/>
      <c r="F45" s="22"/>
      <c r="G45" s="4" t="str">
        <f t="shared" si="15"/>
        <v/>
      </c>
      <c r="H45" s="4" t="str">
        <f t="shared" si="16"/>
        <v/>
      </c>
      <c r="I45" s="4" t="str">
        <f>IF(A45="","",SUMIFS(Cash[Сумма],Cash[Дата],"&lt;="&amp;ДатаОтчета,Cash[Статус],"Проведён",Cash[Тип],"Покупка ОС",Cash[Документ],A45))</f>
        <v/>
      </c>
      <c r="J45" s="4" t="str">
        <f t="shared" si="17"/>
        <v/>
      </c>
      <c r="K45" s="4">
        <f t="shared" si="18"/>
        <v>0</v>
      </c>
      <c r="L45" s="4">
        <f t="shared" si="19"/>
        <v>0</v>
      </c>
      <c r="M45" s="4">
        <f t="shared" si="20"/>
        <v>0</v>
      </c>
      <c r="N45" s="4">
        <f t="shared" si="21"/>
        <v>0</v>
      </c>
      <c r="O45" s="4">
        <f t="shared" si="22"/>
        <v>0</v>
      </c>
      <c r="P45" s="4">
        <f t="shared" si="23"/>
        <v>0</v>
      </c>
      <c r="Q45" s="4">
        <f t="shared" si="24"/>
        <v>0</v>
      </c>
      <c r="R45" s="4">
        <f t="shared" si="25"/>
        <v>0</v>
      </c>
      <c r="S45" s="4">
        <f t="shared" si="26"/>
        <v>0</v>
      </c>
      <c r="T45" s="4">
        <f t="shared" si="27"/>
        <v>0</v>
      </c>
      <c r="U45" s="4">
        <f t="shared" si="28"/>
        <v>0</v>
      </c>
      <c r="V45" s="4">
        <f t="shared" si="29"/>
        <v>0</v>
      </c>
      <c r="W45" s="4" t="str">
        <f>IF(A45="",IF(COUNTA(B45:F45)&gt;0,"ОШИБКА",""),IF(OR(COUNTIF(Assets[ID],A45)&lt;&gt;1,B45="",NOT(ISNUMBER(C45)),NOT(ISNUMBER(D45)),D45&lt;0,NOT(ISNUMBER(E45)),E45&lt;=0,F45&lt;0,F45&gt;D45),"ОШИБКА","ОК"))</f>
        <v/>
      </c>
    </row>
    <row r="46" spans="1:23" x14ac:dyDescent="0.25">
      <c r="A46" s="22"/>
      <c r="B46" s="22"/>
      <c r="C46" s="23"/>
      <c r="D46" s="22"/>
      <c r="E46" s="22"/>
      <c r="F46" s="22"/>
      <c r="G46" s="4" t="str">
        <f t="shared" si="15"/>
        <v/>
      </c>
      <c r="H46" s="4" t="str">
        <f t="shared" si="16"/>
        <v/>
      </c>
      <c r="I46" s="4" t="str">
        <f>IF(A46="","",SUMIFS(Cash[Сумма],Cash[Дата],"&lt;="&amp;ДатаОтчета,Cash[Статус],"Проведён",Cash[Тип],"Покупка ОС",Cash[Документ],A46))</f>
        <v/>
      </c>
      <c r="J46" s="4" t="str">
        <f t="shared" si="17"/>
        <v/>
      </c>
      <c r="K46" s="4">
        <f t="shared" si="18"/>
        <v>0</v>
      </c>
      <c r="L46" s="4">
        <f t="shared" si="19"/>
        <v>0</v>
      </c>
      <c r="M46" s="4">
        <f t="shared" si="20"/>
        <v>0</v>
      </c>
      <c r="N46" s="4">
        <f t="shared" si="21"/>
        <v>0</v>
      </c>
      <c r="O46" s="4">
        <f t="shared" si="22"/>
        <v>0</v>
      </c>
      <c r="P46" s="4">
        <f t="shared" si="23"/>
        <v>0</v>
      </c>
      <c r="Q46" s="4">
        <f t="shared" si="24"/>
        <v>0</v>
      </c>
      <c r="R46" s="4">
        <f t="shared" si="25"/>
        <v>0</v>
      </c>
      <c r="S46" s="4">
        <f t="shared" si="26"/>
        <v>0</v>
      </c>
      <c r="T46" s="4">
        <f t="shared" si="27"/>
        <v>0</v>
      </c>
      <c r="U46" s="4">
        <f t="shared" si="28"/>
        <v>0</v>
      </c>
      <c r="V46" s="4">
        <f t="shared" si="29"/>
        <v>0</v>
      </c>
      <c r="W46" s="4" t="str">
        <f>IF(A46="",IF(COUNTA(B46:F46)&gt;0,"ОШИБКА",""),IF(OR(COUNTIF(Assets[ID],A46)&lt;&gt;1,B46="",NOT(ISNUMBER(C46)),NOT(ISNUMBER(D46)),D46&lt;0,NOT(ISNUMBER(E46)),E46&lt;=0,F46&lt;0,F46&gt;D46),"ОШИБКА","ОК"))</f>
        <v/>
      </c>
    </row>
    <row r="47" spans="1:23" x14ac:dyDescent="0.25">
      <c r="A47" s="22"/>
      <c r="B47" s="22"/>
      <c r="C47" s="23"/>
      <c r="D47" s="22"/>
      <c r="E47" s="22"/>
      <c r="F47" s="22"/>
      <c r="G47" s="4" t="str">
        <f t="shared" si="15"/>
        <v/>
      </c>
      <c r="H47" s="4" t="str">
        <f t="shared" si="16"/>
        <v/>
      </c>
      <c r="I47" s="4" t="str">
        <f>IF(A47="","",SUMIFS(Cash[Сумма],Cash[Дата],"&lt;="&amp;ДатаОтчета,Cash[Статус],"Проведён",Cash[Тип],"Покупка ОС",Cash[Документ],A47))</f>
        <v/>
      </c>
      <c r="J47" s="4" t="str">
        <f t="shared" si="17"/>
        <v/>
      </c>
      <c r="K47" s="4">
        <f t="shared" si="18"/>
        <v>0</v>
      </c>
      <c r="L47" s="4">
        <f t="shared" si="19"/>
        <v>0</v>
      </c>
      <c r="M47" s="4">
        <f t="shared" si="20"/>
        <v>0</v>
      </c>
      <c r="N47" s="4">
        <f t="shared" si="21"/>
        <v>0</v>
      </c>
      <c r="O47" s="4">
        <f t="shared" si="22"/>
        <v>0</v>
      </c>
      <c r="P47" s="4">
        <f t="shared" si="23"/>
        <v>0</v>
      </c>
      <c r="Q47" s="4">
        <f t="shared" si="24"/>
        <v>0</v>
      </c>
      <c r="R47" s="4">
        <f t="shared" si="25"/>
        <v>0</v>
      </c>
      <c r="S47" s="4">
        <f t="shared" si="26"/>
        <v>0</v>
      </c>
      <c r="T47" s="4">
        <f t="shared" si="27"/>
        <v>0</v>
      </c>
      <c r="U47" s="4">
        <f t="shared" si="28"/>
        <v>0</v>
      </c>
      <c r="V47" s="4">
        <f t="shared" si="29"/>
        <v>0</v>
      </c>
      <c r="W47" s="4" t="str">
        <f>IF(A47="",IF(COUNTA(B47:F47)&gt;0,"ОШИБКА",""),IF(OR(COUNTIF(Assets[ID],A47)&lt;&gt;1,B47="",NOT(ISNUMBER(C47)),NOT(ISNUMBER(D47)),D47&lt;0,NOT(ISNUMBER(E47)),E47&lt;=0,F47&lt;0,F47&gt;D47),"ОШИБКА","ОК"))</f>
        <v/>
      </c>
    </row>
    <row r="48" spans="1:23" x14ac:dyDescent="0.25">
      <c r="A48" s="22"/>
      <c r="B48" s="22"/>
      <c r="C48" s="23"/>
      <c r="D48" s="22"/>
      <c r="E48" s="22"/>
      <c r="F48" s="22"/>
      <c r="G48" s="4" t="str">
        <f t="shared" si="15"/>
        <v/>
      </c>
      <c r="H48" s="4" t="str">
        <f t="shared" si="16"/>
        <v/>
      </c>
      <c r="I48" s="4" t="str">
        <f>IF(A48="","",SUMIFS(Cash[Сумма],Cash[Дата],"&lt;="&amp;ДатаОтчета,Cash[Статус],"Проведён",Cash[Тип],"Покупка ОС",Cash[Документ],A48))</f>
        <v/>
      </c>
      <c r="J48" s="4" t="str">
        <f t="shared" si="17"/>
        <v/>
      </c>
      <c r="K48" s="4">
        <f t="shared" si="18"/>
        <v>0</v>
      </c>
      <c r="L48" s="4">
        <f t="shared" si="19"/>
        <v>0</v>
      </c>
      <c r="M48" s="4">
        <f t="shared" si="20"/>
        <v>0</v>
      </c>
      <c r="N48" s="4">
        <f t="shared" si="21"/>
        <v>0</v>
      </c>
      <c r="O48" s="4">
        <f t="shared" si="22"/>
        <v>0</v>
      </c>
      <c r="P48" s="4">
        <f t="shared" si="23"/>
        <v>0</v>
      </c>
      <c r="Q48" s="4">
        <f t="shared" si="24"/>
        <v>0</v>
      </c>
      <c r="R48" s="4">
        <f t="shared" si="25"/>
        <v>0</v>
      </c>
      <c r="S48" s="4">
        <f t="shared" si="26"/>
        <v>0</v>
      </c>
      <c r="T48" s="4">
        <f t="shared" si="27"/>
        <v>0</v>
      </c>
      <c r="U48" s="4">
        <f t="shared" si="28"/>
        <v>0</v>
      </c>
      <c r="V48" s="4">
        <f t="shared" si="29"/>
        <v>0</v>
      </c>
      <c r="W48" s="4" t="str">
        <f>IF(A48="",IF(COUNTA(B48:F48)&gt;0,"ОШИБКА",""),IF(OR(COUNTIF(Assets[ID],A48)&lt;&gt;1,B48="",NOT(ISNUMBER(C48)),NOT(ISNUMBER(D48)),D48&lt;0,NOT(ISNUMBER(E48)),E48&lt;=0,F48&lt;0,F48&gt;D48),"ОШИБКА","ОК"))</f>
        <v/>
      </c>
    </row>
    <row r="49" spans="1:23" x14ac:dyDescent="0.25">
      <c r="A49" s="22"/>
      <c r="B49" s="22"/>
      <c r="C49" s="23"/>
      <c r="D49" s="22"/>
      <c r="E49" s="22"/>
      <c r="F49" s="22"/>
      <c r="G49" s="4" t="str">
        <f t="shared" si="15"/>
        <v/>
      </c>
      <c r="H49" s="4" t="str">
        <f t="shared" si="16"/>
        <v/>
      </c>
      <c r="I49" s="4" t="str">
        <f>IF(A49="","",SUMIFS(Cash[Сумма],Cash[Дата],"&lt;="&amp;ДатаОтчета,Cash[Статус],"Проведён",Cash[Тип],"Покупка ОС",Cash[Документ],A49))</f>
        <v/>
      </c>
      <c r="J49" s="4" t="str">
        <f t="shared" si="17"/>
        <v/>
      </c>
      <c r="K49" s="4">
        <f t="shared" si="18"/>
        <v>0</v>
      </c>
      <c r="L49" s="4">
        <f t="shared" si="19"/>
        <v>0</v>
      </c>
      <c r="M49" s="4">
        <f t="shared" si="20"/>
        <v>0</v>
      </c>
      <c r="N49" s="4">
        <f t="shared" si="21"/>
        <v>0</v>
      </c>
      <c r="O49" s="4">
        <f t="shared" si="22"/>
        <v>0</v>
      </c>
      <c r="P49" s="4">
        <f t="shared" si="23"/>
        <v>0</v>
      </c>
      <c r="Q49" s="4">
        <f t="shared" si="24"/>
        <v>0</v>
      </c>
      <c r="R49" s="4">
        <f t="shared" si="25"/>
        <v>0</v>
      </c>
      <c r="S49" s="4">
        <f t="shared" si="26"/>
        <v>0</v>
      </c>
      <c r="T49" s="4">
        <f t="shared" si="27"/>
        <v>0</v>
      </c>
      <c r="U49" s="4">
        <f t="shared" si="28"/>
        <v>0</v>
      </c>
      <c r="V49" s="4">
        <f t="shared" si="29"/>
        <v>0</v>
      </c>
      <c r="W49" s="4" t="str">
        <f>IF(A49="",IF(COUNTA(B49:F49)&gt;0,"ОШИБКА",""),IF(OR(COUNTIF(Assets[ID],A49)&lt;&gt;1,B49="",NOT(ISNUMBER(C49)),NOT(ISNUMBER(D49)),D49&lt;0,NOT(ISNUMBER(E49)),E49&lt;=0,F49&lt;0,F49&gt;D49),"ОШИБКА","ОК"))</f>
        <v/>
      </c>
    </row>
    <row r="50" spans="1:23" x14ac:dyDescent="0.25">
      <c r="A50" s="22"/>
      <c r="B50" s="22"/>
      <c r="C50" s="23"/>
      <c r="D50" s="22"/>
      <c r="E50" s="22"/>
      <c r="F50" s="22"/>
      <c r="G50" s="4" t="str">
        <f t="shared" si="15"/>
        <v/>
      </c>
      <c r="H50" s="4" t="str">
        <f t="shared" si="16"/>
        <v/>
      </c>
      <c r="I50" s="4" t="str">
        <f>IF(A50="","",SUMIFS(Cash[Сумма],Cash[Дата],"&lt;="&amp;ДатаОтчета,Cash[Статус],"Проведён",Cash[Тип],"Покупка ОС",Cash[Документ],A50))</f>
        <v/>
      </c>
      <c r="J50" s="4" t="str">
        <f t="shared" si="17"/>
        <v/>
      </c>
      <c r="K50" s="4">
        <f t="shared" si="18"/>
        <v>0</v>
      </c>
      <c r="L50" s="4">
        <f t="shared" si="19"/>
        <v>0</v>
      </c>
      <c r="M50" s="4">
        <f t="shared" si="20"/>
        <v>0</v>
      </c>
      <c r="N50" s="4">
        <f t="shared" si="21"/>
        <v>0</v>
      </c>
      <c r="O50" s="4">
        <f t="shared" si="22"/>
        <v>0</v>
      </c>
      <c r="P50" s="4">
        <f t="shared" si="23"/>
        <v>0</v>
      </c>
      <c r="Q50" s="4">
        <f t="shared" si="24"/>
        <v>0</v>
      </c>
      <c r="R50" s="4">
        <f t="shared" si="25"/>
        <v>0</v>
      </c>
      <c r="S50" s="4">
        <f t="shared" si="26"/>
        <v>0</v>
      </c>
      <c r="T50" s="4">
        <f t="shared" si="27"/>
        <v>0</v>
      </c>
      <c r="U50" s="4">
        <f t="shared" si="28"/>
        <v>0</v>
      </c>
      <c r="V50" s="4">
        <f t="shared" si="29"/>
        <v>0</v>
      </c>
      <c r="W50" s="4" t="str">
        <f>IF(A50="",IF(COUNTA(B50:F50)&gt;0,"ОШИБКА",""),IF(OR(COUNTIF(Assets[ID],A50)&lt;&gt;1,B50="",NOT(ISNUMBER(C50)),NOT(ISNUMBER(D50)),D50&lt;0,NOT(ISNUMBER(E50)),E50&lt;=0,F50&lt;0,F50&gt;D50),"ОШИБКА","ОК"))</f>
        <v/>
      </c>
    </row>
    <row r="51" spans="1:23" x14ac:dyDescent="0.25">
      <c r="A51" s="22"/>
      <c r="B51" s="22"/>
      <c r="C51" s="23"/>
      <c r="D51" s="22"/>
      <c r="E51" s="22"/>
      <c r="F51" s="22"/>
      <c r="G51" s="4" t="str">
        <f t="shared" si="15"/>
        <v/>
      </c>
      <c r="H51" s="4" t="str">
        <f t="shared" si="16"/>
        <v/>
      </c>
      <c r="I51" s="4" t="str">
        <f>IF(A51="","",SUMIFS(Cash[Сумма],Cash[Дата],"&lt;="&amp;ДатаОтчета,Cash[Статус],"Проведён",Cash[Тип],"Покупка ОС",Cash[Документ],A51))</f>
        <v/>
      </c>
      <c r="J51" s="4" t="str">
        <f t="shared" si="17"/>
        <v/>
      </c>
      <c r="K51" s="4">
        <f t="shared" si="18"/>
        <v>0</v>
      </c>
      <c r="L51" s="4">
        <f t="shared" si="19"/>
        <v>0</v>
      </c>
      <c r="M51" s="4">
        <f t="shared" si="20"/>
        <v>0</v>
      </c>
      <c r="N51" s="4">
        <f t="shared" si="21"/>
        <v>0</v>
      </c>
      <c r="O51" s="4">
        <f t="shared" si="22"/>
        <v>0</v>
      </c>
      <c r="P51" s="4">
        <f t="shared" si="23"/>
        <v>0</v>
      </c>
      <c r="Q51" s="4">
        <f t="shared" si="24"/>
        <v>0</v>
      </c>
      <c r="R51" s="4">
        <f t="shared" si="25"/>
        <v>0</v>
      </c>
      <c r="S51" s="4">
        <f t="shared" si="26"/>
        <v>0</v>
      </c>
      <c r="T51" s="4">
        <f t="shared" si="27"/>
        <v>0</v>
      </c>
      <c r="U51" s="4">
        <f t="shared" si="28"/>
        <v>0</v>
      </c>
      <c r="V51" s="4">
        <f t="shared" si="29"/>
        <v>0</v>
      </c>
      <c r="W51" s="4" t="str">
        <f>IF(A51="",IF(COUNTA(B51:F51)&gt;0,"ОШИБКА",""),IF(OR(COUNTIF(Assets[ID],A51)&lt;&gt;1,B51="",NOT(ISNUMBER(C51)),NOT(ISNUMBER(D51)),D51&lt;0,NOT(ISNUMBER(E51)),E51&lt;=0,F51&lt;0,F51&gt;D51),"ОШИБКА","ОК"))</f>
        <v/>
      </c>
    </row>
    <row r="52" spans="1:23" x14ac:dyDescent="0.25">
      <c r="A52" s="22"/>
      <c r="B52" s="22"/>
      <c r="C52" s="23"/>
      <c r="D52" s="22"/>
      <c r="E52" s="22"/>
      <c r="F52" s="22"/>
      <c r="G52" s="4" t="str">
        <f t="shared" si="15"/>
        <v/>
      </c>
      <c r="H52" s="4" t="str">
        <f t="shared" si="16"/>
        <v/>
      </c>
      <c r="I52" s="4" t="str">
        <f>IF(A52="","",SUMIFS(Cash[Сумма],Cash[Дата],"&lt;="&amp;ДатаОтчета,Cash[Статус],"Проведён",Cash[Тип],"Покупка ОС",Cash[Документ],A52))</f>
        <v/>
      </c>
      <c r="J52" s="4" t="str">
        <f t="shared" si="17"/>
        <v/>
      </c>
      <c r="K52" s="4">
        <f t="shared" si="18"/>
        <v>0</v>
      </c>
      <c r="L52" s="4">
        <f t="shared" si="19"/>
        <v>0</v>
      </c>
      <c r="M52" s="4">
        <f t="shared" si="20"/>
        <v>0</v>
      </c>
      <c r="N52" s="4">
        <f t="shared" si="21"/>
        <v>0</v>
      </c>
      <c r="O52" s="4">
        <f t="shared" si="22"/>
        <v>0</v>
      </c>
      <c r="P52" s="4">
        <f t="shared" si="23"/>
        <v>0</v>
      </c>
      <c r="Q52" s="4">
        <f t="shared" si="24"/>
        <v>0</v>
      </c>
      <c r="R52" s="4">
        <f t="shared" si="25"/>
        <v>0</v>
      </c>
      <c r="S52" s="4">
        <f t="shared" si="26"/>
        <v>0</v>
      </c>
      <c r="T52" s="4">
        <f t="shared" si="27"/>
        <v>0</v>
      </c>
      <c r="U52" s="4">
        <f t="shared" si="28"/>
        <v>0</v>
      </c>
      <c r="V52" s="4">
        <f t="shared" si="29"/>
        <v>0</v>
      </c>
      <c r="W52" s="4" t="str">
        <f>IF(A52="",IF(COUNTA(B52:F52)&gt;0,"ОШИБКА",""),IF(OR(COUNTIF(Assets[ID],A52)&lt;&gt;1,B52="",NOT(ISNUMBER(C52)),NOT(ISNUMBER(D52)),D52&lt;0,NOT(ISNUMBER(E52)),E52&lt;=0,F52&lt;0,F52&gt;D52),"ОШИБКА","ОК"))</f>
        <v/>
      </c>
    </row>
    <row r="53" spans="1:23" x14ac:dyDescent="0.25">
      <c r="A53" s="22"/>
      <c r="B53" s="22"/>
      <c r="C53" s="23"/>
      <c r="D53" s="22"/>
      <c r="E53" s="22"/>
      <c r="F53" s="22"/>
      <c r="G53" s="4" t="str">
        <f t="shared" si="15"/>
        <v/>
      </c>
      <c r="H53" s="4" t="str">
        <f t="shared" si="16"/>
        <v/>
      </c>
      <c r="I53" s="4" t="str">
        <f>IF(A53="","",SUMIFS(Cash[Сумма],Cash[Дата],"&lt;="&amp;ДатаОтчета,Cash[Статус],"Проведён",Cash[Тип],"Покупка ОС",Cash[Документ],A53))</f>
        <v/>
      </c>
      <c r="J53" s="4" t="str">
        <f t="shared" si="17"/>
        <v/>
      </c>
      <c r="K53" s="4">
        <f t="shared" si="18"/>
        <v>0</v>
      </c>
      <c r="L53" s="4">
        <f t="shared" si="19"/>
        <v>0</v>
      </c>
      <c r="M53" s="4">
        <f t="shared" si="20"/>
        <v>0</v>
      </c>
      <c r="N53" s="4">
        <f t="shared" si="21"/>
        <v>0</v>
      </c>
      <c r="O53" s="4">
        <f t="shared" si="22"/>
        <v>0</v>
      </c>
      <c r="P53" s="4">
        <f t="shared" si="23"/>
        <v>0</v>
      </c>
      <c r="Q53" s="4">
        <f t="shared" si="24"/>
        <v>0</v>
      </c>
      <c r="R53" s="4">
        <f t="shared" si="25"/>
        <v>0</v>
      </c>
      <c r="S53" s="4">
        <f t="shared" si="26"/>
        <v>0</v>
      </c>
      <c r="T53" s="4">
        <f t="shared" si="27"/>
        <v>0</v>
      </c>
      <c r="U53" s="4">
        <f t="shared" si="28"/>
        <v>0</v>
      </c>
      <c r="V53" s="4">
        <f t="shared" si="29"/>
        <v>0</v>
      </c>
      <c r="W53" s="4" t="str">
        <f>IF(A53="",IF(COUNTA(B53:F53)&gt;0,"ОШИБКА",""),IF(OR(COUNTIF(Assets[ID],A53)&lt;&gt;1,B53="",NOT(ISNUMBER(C53)),NOT(ISNUMBER(D53)),D53&lt;0,NOT(ISNUMBER(E53)),E53&lt;=0,F53&lt;0,F53&gt;D53),"ОШИБКА","ОК"))</f>
        <v/>
      </c>
    </row>
    <row r="54" spans="1:23" x14ac:dyDescent="0.25">
      <c r="A54" s="22"/>
      <c r="B54" s="22"/>
      <c r="C54" s="23"/>
      <c r="D54" s="22"/>
      <c r="E54" s="22"/>
      <c r="F54" s="22"/>
      <c r="G54" s="4" t="str">
        <f t="shared" si="15"/>
        <v/>
      </c>
      <c r="H54" s="4" t="str">
        <f t="shared" si="16"/>
        <v/>
      </c>
      <c r="I54" s="4" t="str">
        <f>IF(A54="","",SUMIFS(Cash[Сумма],Cash[Дата],"&lt;="&amp;ДатаОтчета,Cash[Статус],"Проведён",Cash[Тип],"Покупка ОС",Cash[Документ],A54))</f>
        <v/>
      </c>
      <c r="J54" s="4" t="str">
        <f t="shared" si="17"/>
        <v/>
      </c>
      <c r="K54" s="4">
        <f t="shared" si="18"/>
        <v>0</v>
      </c>
      <c r="L54" s="4">
        <f t="shared" si="19"/>
        <v>0</v>
      </c>
      <c r="M54" s="4">
        <f t="shared" si="20"/>
        <v>0</v>
      </c>
      <c r="N54" s="4">
        <f t="shared" si="21"/>
        <v>0</v>
      </c>
      <c r="O54" s="4">
        <f t="shared" si="22"/>
        <v>0</v>
      </c>
      <c r="P54" s="4">
        <f t="shared" si="23"/>
        <v>0</v>
      </c>
      <c r="Q54" s="4">
        <f t="shared" si="24"/>
        <v>0</v>
      </c>
      <c r="R54" s="4">
        <f t="shared" si="25"/>
        <v>0</v>
      </c>
      <c r="S54" s="4">
        <f t="shared" si="26"/>
        <v>0</v>
      </c>
      <c r="T54" s="4">
        <f t="shared" si="27"/>
        <v>0</v>
      </c>
      <c r="U54" s="4">
        <f t="shared" si="28"/>
        <v>0</v>
      </c>
      <c r="V54" s="4">
        <f t="shared" si="29"/>
        <v>0</v>
      </c>
      <c r="W54" s="4" t="str">
        <f>IF(A54="",IF(COUNTA(B54:F54)&gt;0,"ОШИБКА",""),IF(OR(COUNTIF(Assets[ID],A54)&lt;&gt;1,B54="",NOT(ISNUMBER(C54)),NOT(ISNUMBER(D54)),D54&lt;0,NOT(ISNUMBER(E54)),E54&lt;=0,F54&lt;0,F54&gt;D54),"ОШИБКА","ОК"))</f>
        <v/>
      </c>
    </row>
    <row r="55" spans="1:23" x14ac:dyDescent="0.25">
      <c r="A55" s="22"/>
      <c r="B55" s="22"/>
      <c r="C55" s="23"/>
      <c r="D55" s="22"/>
      <c r="E55" s="22"/>
      <c r="F55" s="22"/>
      <c r="G55" s="4" t="str">
        <f t="shared" si="15"/>
        <v/>
      </c>
      <c r="H55" s="4" t="str">
        <f t="shared" si="16"/>
        <v/>
      </c>
      <c r="I55" s="4" t="str">
        <f>IF(A55="","",SUMIFS(Cash[Сумма],Cash[Дата],"&lt;="&amp;ДатаОтчета,Cash[Статус],"Проведён",Cash[Тип],"Покупка ОС",Cash[Документ],A55))</f>
        <v/>
      </c>
      <c r="J55" s="4" t="str">
        <f t="shared" si="17"/>
        <v/>
      </c>
      <c r="K55" s="4">
        <f t="shared" si="18"/>
        <v>0</v>
      </c>
      <c r="L55" s="4">
        <f t="shared" si="19"/>
        <v>0</v>
      </c>
      <c r="M55" s="4">
        <f t="shared" si="20"/>
        <v>0</v>
      </c>
      <c r="N55" s="4">
        <f t="shared" si="21"/>
        <v>0</v>
      </c>
      <c r="O55" s="4">
        <f t="shared" si="22"/>
        <v>0</v>
      </c>
      <c r="P55" s="4">
        <f t="shared" si="23"/>
        <v>0</v>
      </c>
      <c r="Q55" s="4">
        <f t="shared" si="24"/>
        <v>0</v>
      </c>
      <c r="R55" s="4">
        <f t="shared" si="25"/>
        <v>0</v>
      </c>
      <c r="S55" s="4">
        <f t="shared" si="26"/>
        <v>0</v>
      </c>
      <c r="T55" s="4">
        <f t="shared" si="27"/>
        <v>0</v>
      </c>
      <c r="U55" s="4">
        <f t="shared" si="28"/>
        <v>0</v>
      </c>
      <c r="V55" s="4">
        <f t="shared" si="29"/>
        <v>0</v>
      </c>
      <c r="W55" s="4" t="str">
        <f>IF(A55="",IF(COUNTA(B55:F55)&gt;0,"ОШИБКА",""),IF(OR(COUNTIF(Assets[ID],A55)&lt;&gt;1,B55="",NOT(ISNUMBER(C55)),NOT(ISNUMBER(D55)),D55&lt;0,NOT(ISNUMBER(E55)),E55&lt;=0,F55&lt;0,F55&gt;D55),"ОШИБКА","ОК"))</f>
        <v/>
      </c>
    </row>
    <row r="56" spans="1:23" x14ac:dyDescent="0.25">
      <c r="A56" s="22"/>
      <c r="B56" s="22"/>
      <c r="C56" s="23"/>
      <c r="D56" s="22"/>
      <c r="E56" s="22"/>
      <c r="F56" s="22"/>
      <c r="G56" s="4" t="str">
        <f t="shared" si="15"/>
        <v/>
      </c>
      <c r="H56" s="4" t="str">
        <f t="shared" si="16"/>
        <v/>
      </c>
      <c r="I56" s="4" t="str">
        <f>IF(A56="","",SUMIFS(Cash[Сумма],Cash[Дата],"&lt;="&amp;ДатаОтчета,Cash[Статус],"Проведён",Cash[Тип],"Покупка ОС",Cash[Документ],A56))</f>
        <v/>
      </c>
      <c r="J56" s="4" t="str">
        <f t="shared" si="17"/>
        <v/>
      </c>
      <c r="K56" s="4">
        <f t="shared" si="18"/>
        <v>0</v>
      </c>
      <c r="L56" s="4">
        <f t="shared" si="19"/>
        <v>0</v>
      </c>
      <c r="M56" s="4">
        <f t="shared" si="20"/>
        <v>0</v>
      </c>
      <c r="N56" s="4">
        <f t="shared" si="21"/>
        <v>0</v>
      </c>
      <c r="O56" s="4">
        <f t="shared" si="22"/>
        <v>0</v>
      </c>
      <c r="P56" s="4">
        <f t="shared" si="23"/>
        <v>0</v>
      </c>
      <c r="Q56" s="4">
        <f t="shared" si="24"/>
        <v>0</v>
      </c>
      <c r="R56" s="4">
        <f t="shared" si="25"/>
        <v>0</v>
      </c>
      <c r="S56" s="4">
        <f t="shared" si="26"/>
        <v>0</v>
      </c>
      <c r="T56" s="4">
        <f t="shared" si="27"/>
        <v>0</v>
      </c>
      <c r="U56" s="4">
        <f t="shared" si="28"/>
        <v>0</v>
      </c>
      <c r="V56" s="4">
        <f t="shared" si="29"/>
        <v>0</v>
      </c>
      <c r="W56" s="4" t="str">
        <f>IF(A56="",IF(COUNTA(B56:F56)&gt;0,"ОШИБКА",""),IF(OR(COUNTIF(Assets[ID],A56)&lt;&gt;1,B56="",NOT(ISNUMBER(C56)),NOT(ISNUMBER(D56)),D56&lt;0,NOT(ISNUMBER(E56)),E56&lt;=0,F56&lt;0,F56&gt;D56),"ОШИБКА","ОК"))</f>
        <v/>
      </c>
    </row>
    <row r="59" spans="1:23" x14ac:dyDescent="0.25">
      <c r="A59" s="3" t="s">
        <v>435</v>
      </c>
      <c r="B59" s="4">
        <f>SUM(Assets[Остаточная])</f>
        <v>125000</v>
      </c>
    </row>
    <row r="60" spans="1:23" x14ac:dyDescent="0.25">
      <c r="A60" s="3" t="s">
        <v>436</v>
      </c>
      <c r="B60" s="4">
        <f>SUM(Assets[Накопленная])-SUM(Assets[Аморт. начальная])</f>
        <v>55000</v>
      </c>
    </row>
  </sheetData>
  <dataValidations count="2">
    <dataValidation type="whole" allowBlank="1" showErrorMessage="1" errorTitle="Проверьте ввод" error="Выберите значение из списка или исправьте число." sqref="E7:E56" xr:uid="{00000000-0002-0000-0E00-000000000000}">
      <formula1>1</formula1>
      <formula2>600</formula2>
    </dataValidation>
    <dataValidation type="decimal" allowBlank="1" showErrorMessage="1" errorTitle="Проверьте ввод" error="Выберите значение из списка или исправьте число." sqref="D7:D56" xr:uid="{00000000-0002-0000-0E00-000001000000}">
      <formula1>0</formula1>
      <formula2>100000000000</formula2>
    </dataValidation>
  </dataValidations>
  <hyperlinks>
    <hyperlink ref="A1" location="'ПАНЕЛЬ'!A1" display="Главная панель" xr:uid="{00000000-0004-0000-0E00-000000000000}"/>
    <hyperlink ref="D1" location="'НАСТРОЙКИ'!A1" display="Настройки" xr:uid="{00000000-0004-0000-0E00-000001000000}"/>
    <hyperlink ref="F1" location="'КОНТРОЛЬ'!A1" display="Контроль" xr:uid="{00000000-0004-0000-0E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Right="0"/>
    <pageSetUpPr fitToPage="1"/>
  </sheetPr>
  <dimension ref="A1:M18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3" customWidth="1"/>
    <col min="2" max="2" width="17" customWidth="1"/>
    <col min="3" max="3" width="58" customWidth="1"/>
    <col min="4" max="14" width="17" customWidth="1"/>
  </cols>
  <sheetData>
    <row r="1" spans="1:13" x14ac:dyDescent="0.25">
      <c r="A1" s="1" t="s">
        <v>0</v>
      </c>
      <c r="D1" s="2" t="s">
        <v>1</v>
      </c>
      <c r="F1" s="2" t="s">
        <v>2</v>
      </c>
    </row>
    <row r="2" spans="1:13" ht="30" customHeight="1" x14ac:dyDescent="0.25">
      <c r="A2" s="9" t="s">
        <v>26</v>
      </c>
    </row>
    <row r="3" spans="1:13" x14ac:dyDescent="0.25">
      <c r="A3" s="10" t="s">
        <v>36</v>
      </c>
    </row>
    <row r="6" spans="1:13" ht="35.1" customHeight="1" x14ac:dyDescent="0.25">
      <c r="A6" s="7" t="s">
        <v>37</v>
      </c>
      <c r="B6" s="7" t="s">
        <v>38</v>
      </c>
      <c r="C6" s="7" t="s">
        <v>437</v>
      </c>
    </row>
    <row r="7" spans="1:13" x14ac:dyDescent="0.25">
      <c r="A7" s="3" t="s">
        <v>438</v>
      </c>
      <c r="B7" s="3" t="s">
        <v>439</v>
      </c>
      <c r="C7" s="3" t="s">
        <v>440</v>
      </c>
    </row>
    <row r="8" spans="1:13" x14ac:dyDescent="0.25">
      <c r="A8" s="3" t="s">
        <v>441</v>
      </c>
      <c r="B8" s="12">
        <v>180000</v>
      </c>
      <c r="C8" s="3" t="s">
        <v>442</v>
      </c>
    </row>
    <row r="9" spans="1:13" x14ac:dyDescent="0.25">
      <c r="A9" s="3" t="s">
        <v>443</v>
      </c>
      <c r="B9" s="14">
        <v>0.2</v>
      </c>
      <c r="C9" s="3" t="s">
        <v>444</v>
      </c>
    </row>
    <row r="10" spans="1:13" x14ac:dyDescent="0.25">
      <c r="A10" s="3" t="s">
        <v>445</v>
      </c>
      <c r="B10" s="17">
        <f>(1+B9)^(1/12)-1</f>
        <v>1.5309470499731193E-2</v>
      </c>
      <c r="C10" s="3" t="s">
        <v>446</v>
      </c>
    </row>
    <row r="11" spans="1:13" x14ac:dyDescent="0.25">
      <c r="A11" s="3" t="s">
        <v>447</v>
      </c>
      <c r="B11" s="4">
        <f>NPV(B10,B17:M17)-B8</f>
        <v>37730.151633386413</v>
      </c>
      <c r="C11" s="3" t="s">
        <v>448</v>
      </c>
    </row>
    <row r="12" spans="1:13" x14ac:dyDescent="0.25">
      <c r="A12" s="3" t="s">
        <v>449</v>
      </c>
      <c r="B12" s="17">
        <f>IF(B8=0,"н/д",(SUM(B17:M17)-B8)/B8)</f>
        <v>0.33333333333333331</v>
      </c>
      <c r="C12" s="3" t="s">
        <v>450</v>
      </c>
    </row>
    <row r="13" spans="1:13" x14ac:dyDescent="0.25">
      <c r="A13" s="3" t="s">
        <v>451</v>
      </c>
      <c r="B13" s="4">
        <f>IF(B8&lt;=0,"н/д",IF(MAX(B18:M18)&lt;0,"Более 12",COUNTIF(B18:M18,"&lt;0")+1))</f>
        <v>9</v>
      </c>
      <c r="C13" s="3" t="s">
        <v>452</v>
      </c>
    </row>
    <row r="16" spans="1:13" x14ac:dyDescent="0.25">
      <c r="A16" s="3" t="s">
        <v>166</v>
      </c>
      <c r="B16" s="12">
        <v>1</v>
      </c>
      <c r="C16" s="12">
        <v>2</v>
      </c>
      <c r="D16" s="12">
        <v>3</v>
      </c>
      <c r="E16" s="12">
        <v>4</v>
      </c>
      <c r="F16" s="12">
        <v>5</v>
      </c>
      <c r="G16" s="12">
        <v>6</v>
      </c>
      <c r="H16" s="12">
        <v>7</v>
      </c>
      <c r="I16" s="12">
        <v>8</v>
      </c>
      <c r="J16" s="12">
        <v>9</v>
      </c>
      <c r="K16" s="12">
        <v>10</v>
      </c>
      <c r="L16" s="12">
        <v>11</v>
      </c>
      <c r="M16" s="12">
        <v>12</v>
      </c>
    </row>
    <row r="17" spans="1:13" x14ac:dyDescent="0.25">
      <c r="A17" s="3" t="s">
        <v>453</v>
      </c>
      <c r="B17" s="12">
        <v>20000</v>
      </c>
      <c r="C17" s="12">
        <v>20000</v>
      </c>
      <c r="D17" s="12">
        <v>20000</v>
      </c>
      <c r="E17" s="12">
        <v>20000</v>
      </c>
      <c r="F17" s="12">
        <v>20000</v>
      </c>
      <c r="G17" s="12">
        <v>20000</v>
      </c>
      <c r="H17" s="12">
        <v>20000</v>
      </c>
      <c r="I17" s="12">
        <v>20000</v>
      </c>
      <c r="J17" s="12">
        <v>20000</v>
      </c>
      <c r="K17" s="12">
        <v>20000</v>
      </c>
      <c r="L17" s="12">
        <v>20000</v>
      </c>
      <c r="M17" s="12">
        <v>20000</v>
      </c>
    </row>
    <row r="18" spans="1:13" x14ac:dyDescent="0.25">
      <c r="A18" s="3" t="s">
        <v>454</v>
      </c>
      <c r="B18" s="4">
        <f>SUM($B$17:B17)-$B$8</f>
        <v>-160000</v>
      </c>
      <c r="C18" s="4">
        <f>SUM($B$17:C17)-$B$8</f>
        <v>-140000</v>
      </c>
      <c r="D18" s="4">
        <f>SUM($B$17:D17)-$B$8</f>
        <v>-120000</v>
      </c>
      <c r="E18" s="4">
        <f>SUM($B$17:E17)-$B$8</f>
        <v>-100000</v>
      </c>
      <c r="F18" s="4">
        <f>SUM($B$17:F17)-$B$8</f>
        <v>-80000</v>
      </c>
      <c r="G18" s="4">
        <f>SUM($B$17:G17)-$B$8</f>
        <v>-60000</v>
      </c>
      <c r="H18" s="4">
        <f>SUM($B$17:H17)-$B$8</f>
        <v>-40000</v>
      </c>
      <c r="I18" s="4">
        <f>SUM($B$17:I17)-$B$8</f>
        <v>-20000</v>
      </c>
      <c r="J18" s="4">
        <f>SUM($B$17:J17)-$B$8</f>
        <v>0</v>
      </c>
      <c r="K18" s="4">
        <f>SUM($B$17:K17)-$B$8</f>
        <v>20000</v>
      </c>
      <c r="L18" s="4">
        <f>SUM($B$17:L17)-$B$8</f>
        <v>40000</v>
      </c>
      <c r="M18" s="4">
        <f>SUM($B$17:M17)-$B$8</f>
        <v>60000</v>
      </c>
    </row>
  </sheetData>
  <dataValidations count="1">
    <dataValidation type="decimal" allowBlank="1" showErrorMessage="1" errorTitle="Проверьте ввод" error="Выберите значение из списка или исправьте число." sqref="B17:M17" xr:uid="{00000000-0002-0000-0F00-000000000000}">
      <formula1>0</formula1>
      <formula2>100000000000</formula2>
    </dataValidation>
  </dataValidations>
  <hyperlinks>
    <hyperlink ref="A1" location="'ПАНЕЛЬ'!A1" display="Главная панель" xr:uid="{00000000-0004-0000-0F00-000000000000}"/>
    <hyperlink ref="D1" location="'НАСТРОЙКИ'!A1" display="Настройки" xr:uid="{00000000-0004-0000-0F00-000001000000}"/>
    <hyperlink ref="F1" location="'КОНТРОЛЬ'!A1" display="Контроль" xr:uid="{00000000-0004-0000-0F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Right="0"/>
    <pageSetUpPr fitToPage="1"/>
  </sheetPr>
  <dimension ref="A1:W1006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outlineLevelCol="1" x14ac:dyDescent="0.25"/>
  <cols>
    <col min="1" max="1" width="33" customWidth="1"/>
    <col min="2" max="2" width="14" customWidth="1"/>
    <col min="3" max="3" width="25" customWidth="1"/>
    <col min="4" max="9" width="17" customWidth="1"/>
    <col min="10" max="10" width="18" customWidth="1"/>
    <col min="11" max="11" width="28" customWidth="1"/>
    <col min="12" max="14" width="17" customWidth="1"/>
    <col min="16" max="21" width="13" customWidth="1" outlineLevel="1"/>
    <col min="22" max="22" width="19" customWidth="1" outlineLevel="1"/>
    <col min="23" max="23" width="13" customWidth="1" outlineLevel="1"/>
  </cols>
  <sheetData>
    <row r="1" spans="1:23" x14ac:dyDescent="0.25">
      <c r="A1" s="1" t="s">
        <v>0</v>
      </c>
      <c r="D1" s="2" t="s">
        <v>1</v>
      </c>
      <c r="F1" s="2" t="s">
        <v>2</v>
      </c>
    </row>
    <row r="2" spans="1:23" ht="30" customHeight="1" x14ac:dyDescent="0.25">
      <c r="A2" s="9" t="s">
        <v>27</v>
      </c>
    </row>
    <row r="3" spans="1:23" x14ac:dyDescent="0.25">
      <c r="A3" s="10" t="s">
        <v>36</v>
      </c>
    </row>
    <row r="6" spans="1:23" ht="35.1" customHeight="1" x14ac:dyDescent="0.25">
      <c r="A6" s="7" t="s">
        <v>423</v>
      </c>
      <c r="B6" s="7" t="s">
        <v>455</v>
      </c>
      <c r="C6" s="7" t="s">
        <v>456</v>
      </c>
      <c r="D6" s="7" t="s">
        <v>457</v>
      </c>
      <c r="E6" s="7" t="s">
        <v>137</v>
      </c>
      <c r="F6" s="7" t="s">
        <v>458</v>
      </c>
      <c r="G6" s="7" t="s">
        <v>459</v>
      </c>
      <c r="H6" s="7" t="s">
        <v>372</v>
      </c>
      <c r="I6" s="7" t="s">
        <v>438</v>
      </c>
      <c r="J6" s="7" t="s">
        <v>460</v>
      </c>
      <c r="K6" s="7" t="s">
        <v>461</v>
      </c>
      <c r="L6" s="7" t="s">
        <v>277</v>
      </c>
      <c r="M6" s="7" t="s">
        <v>219</v>
      </c>
      <c r="N6" s="7" t="s">
        <v>462</v>
      </c>
      <c r="O6" s="7" t="s">
        <v>463</v>
      </c>
      <c r="P6" s="7" t="s">
        <v>464</v>
      </c>
      <c r="Q6" s="7" t="s">
        <v>465</v>
      </c>
      <c r="R6" s="7" t="s">
        <v>466</v>
      </c>
      <c r="S6" s="7" t="s">
        <v>467</v>
      </c>
      <c r="T6" s="7" t="s">
        <v>468</v>
      </c>
      <c r="U6" s="7" t="s">
        <v>469</v>
      </c>
      <c r="V6" s="7" t="s">
        <v>432</v>
      </c>
      <c r="W6" s="7" t="s">
        <v>470</v>
      </c>
    </row>
    <row r="7" spans="1:23" x14ac:dyDescent="0.25">
      <c r="A7" s="3" t="s">
        <v>471</v>
      </c>
      <c r="B7" s="19">
        <v>46024</v>
      </c>
      <c r="C7" s="3" t="s">
        <v>472</v>
      </c>
      <c r="D7" s="3" t="s">
        <v>473</v>
      </c>
      <c r="E7" s="24">
        <v>500000</v>
      </c>
      <c r="F7" s="3" t="s">
        <v>474</v>
      </c>
      <c r="G7" s="3"/>
      <c r="H7" s="3" t="s">
        <v>475</v>
      </c>
      <c r="I7" s="3" t="s">
        <v>383</v>
      </c>
      <c r="J7" s="3"/>
      <c r="K7" s="3" t="s">
        <v>472</v>
      </c>
      <c r="L7" s="3" t="s">
        <v>476</v>
      </c>
      <c r="M7" s="3"/>
      <c r="N7" s="24">
        <v>0</v>
      </c>
      <c r="O7" s="3"/>
      <c r="P7" s="5">
        <f>IF(A7="","",IF(COUNTIF(Типы,C7)=0,0,VLOOKUP(C7,СПРАВОЧНИКИ!$A$7:$E$22,2,FALSE)))</f>
        <v>1</v>
      </c>
      <c r="Q7" s="25">
        <f t="shared" ref="Q7:Q70" si="0">IF(A7="","",IF(L7="Проведён",E7*P7,0))</f>
        <v>500000</v>
      </c>
      <c r="R7" s="5" t="str">
        <f>IF(A7="","",IF(COUNTIF(Типы,C7)=0,"НЕИЗВЕСТНЫЙ ТИП",VLOOKUP(C7,СПРАВОЧНИКИ!$A$7:$E$22,3,FALSE)))</f>
        <v>Финансовый</v>
      </c>
      <c r="S7" s="26">
        <f>IF(A7="","",IF(L7="Проведён",E7*IF(COUNTIF(Типы,C7)=0,0,VLOOKUP(C7,СПРАВОЧНИКИ!$A$7:$E$22,4,FALSE)),0))</f>
        <v>0</v>
      </c>
      <c r="T7" s="26">
        <f>IF(A7="","",IF(L7="Проведён",E7*IF(COUNTIF(Типы,C7)=0,0,VLOOKUP(C7,СПРАВОЧНИКИ!$A$7:$E$22,5,FALSE)),0))</f>
        <v>0</v>
      </c>
      <c r="U7" s="5" t="str">
        <f>IF(A7="","",IF(COUNTIF(Контрагенты,H7)=0,"Не задан",VLOOKUP(H7,СПРАВОЧНИКИ!$G$7:$H$66,2,FALSE)))</f>
        <v>ФЛ</v>
      </c>
      <c r="V7" s="4" t="str">
        <f>IF(A7="",IF(COUNTA(B7:O7)&gt;0,"НЕТ ID",""),IF(OR(AND(OR(C7="Оплата клиента",C7="Возврат клиенту"),COUNTIFS(Docs[ID],J7,Docs[Тип долга],"ДЗ")&lt;&gt;1),AND(OR(C7="Оплата поставщику",C7="Возврат поставщика"),COUNTIFS(Docs[ID],J7,Docs[Тип долга],"КЗ",Docs[Вид],"&lt;&gt;Дивиденды")&lt;&gt;1),AND(C7="Дивиденды",COUNTIFS(Docs[ID],J7,Docs[Вид],"Дивиденды")&lt;&gt;1),AND(C7="Проценты",COUNTIFS(Docs[ID],J7,Docs[Вид],"Проценты")&lt;&gt;1),COUNTIF(Cash[ID],A7)&gt;1,NOT(ISNUMBER(B7)),B7&lt;НачалоУчета,YEAR(B7)&lt;&gt;Год,NOT(ISNUMBER(E7)),E7&lt;=0,N7&lt;0,COUNTIF(Типы,C7)&lt;&gt;1,COUNTIF(Категории,D7)&lt;&gt;1,COUNTIF(Счета,F7)&lt;&gt;1,COUNTIF(Проекты,I7)&lt;&gt;1,AND(H7&lt;&gt;"",COUNTIF(Контрагенты,H7)&lt;&gt;1),AND(C7="Перевод",OR(F7=G7,COUNTIF(Счета,G7)&lt;&gt;1)),AND(S7&lt;&gt;0,COUNTIF(Docs[ID],J7)&lt;&gt;1),AND(Форма="ООО",C7="Вывод ИП"),AND(Форма="ИП",C7="Дивиденды"),AND(L7&lt;&gt;"Проведён",L7&lt;&gt;"Черновик")),"ОШИБКА","ОК"))</f>
        <v>ОК</v>
      </c>
      <c r="W7" s="25">
        <f>IF(A7="","",SUMIF(Accounts[Счёт],F7,Accounts[Начальный])+SUMIFS($Q$7:Q7,$F$7:F7,F7)+SUMIFS($E$7:E7,$G$7:G7,F7,$C$7:C7,"Перевод",$L$7:L7,"Проведён"))</f>
        <v>500000</v>
      </c>
    </row>
    <row r="8" spans="1:23" x14ac:dyDescent="0.25">
      <c r="A8" s="3" t="s">
        <v>477</v>
      </c>
      <c r="B8" s="19">
        <v>46027</v>
      </c>
      <c r="C8" s="3" t="s">
        <v>478</v>
      </c>
      <c r="D8" s="3" t="s">
        <v>479</v>
      </c>
      <c r="E8" s="24">
        <v>300000</v>
      </c>
      <c r="F8" s="3" t="s">
        <v>474</v>
      </c>
      <c r="G8" s="3"/>
      <c r="H8" s="3" t="s">
        <v>397</v>
      </c>
      <c r="I8" s="3" t="s">
        <v>383</v>
      </c>
      <c r="J8" s="3" t="s">
        <v>394</v>
      </c>
      <c r="K8" s="3" t="s">
        <v>478</v>
      </c>
      <c r="L8" s="3" t="s">
        <v>476</v>
      </c>
      <c r="M8" s="3"/>
      <c r="N8" s="24">
        <v>0</v>
      </c>
      <c r="O8" s="3"/>
      <c r="P8" s="5">
        <f>IF(A8="","",IF(COUNTIF(Типы,C8)=0,0,VLOOKUP(C8,СПРАВОЧНИКИ!$A$7:$E$22,2,FALSE)))</f>
        <v>1</v>
      </c>
      <c r="Q8" s="25">
        <f t="shared" si="0"/>
        <v>300000</v>
      </c>
      <c r="R8" s="5" t="str">
        <f>IF(A8="","",IF(COUNTIF(Типы,C8)=0,"НЕИЗВЕСТНЫЙ ТИП",VLOOKUP(C8,СПРАВОЧНИКИ!$A$7:$E$22,3,FALSE)))</f>
        <v>Финансовый</v>
      </c>
      <c r="S8" s="26">
        <f>IF(A8="","",IF(L8="Проведён",E8*IF(COUNTIF(Типы,C8)=0,0,VLOOKUP(C8,СПРАВОЧНИКИ!$A$7:$E$22,4,FALSE)),0))</f>
        <v>0</v>
      </c>
      <c r="T8" s="26">
        <f>IF(A8="","",IF(L8="Проведён",E8*IF(COUNTIF(Типы,C8)=0,0,VLOOKUP(C8,СПРАВОЧНИКИ!$A$7:$E$22,5,FALSE)),0))</f>
        <v>0</v>
      </c>
      <c r="U8" s="5" t="str">
        <f>IF(A8="","",IF(COUNTIF(Контрагенты,H8)=0,"Не задан",VLOOKUP(H8,СПРАВОЧНИКИ!$G$7:$H$66,2,FALSE)))</f>
        <v>ЮЛ</v>
      </c>
      <c r="V8" s="4" t="str">
        <f>IF(A8="",IF(COUNTA(B8:O8)&gt;0,"НЕТ ID",""),IF(OR(AND(OR(C8="Оплата клиента",C8="Возврат клиенту"),COUNTIFS(Docs[ID],J8,Docs[Тип долга],"ДЗ")&lt;&gt;1),AND(OR(C8="Оплата поставщику",C8="Возврат поставщика"),COUNTIFS(Docs[ID],J8,Docs[Тип долга],"КЗ",Docs[Вид],"&lt;&gt;Дивиденды")&lt;&gt;1),AND(C8="Дивиденды",COUNTIFS(Docs[ID],J8,Docs[Вид],"Дивиденды")&lt;&gt;1),AND(C8="Проценты",COUNTIFS(Docs[ID],J8,Docs[Вид],"Проценты")&lt;&gt;1),COUNTIF(Cash[ID],A8)&gt;1,NOT(ISNUMBER(B8)),B8&lt;НачалоУчета,YEAR(B8)&lt;&gt;Год,NOT(ISNUMBER(E8)),E8&lt;=0,N8&lt;0,COUNTIF(Типы,C8)&lt;&gt;1,COUNTIF(Категории,D8)&lt;&gt;1,COUNTIF(Счета,F8)&lt;&gt;1,COUNTIF(Проекты,I8)&lt;&gt;1,AND(H8&lt;&gt;"",COUNTIF(Контрагенты,H8)&lt;&gt;1),AND(C8="Перевод",OR(F8=G8,COUNTIF(Счета,G8)&lt;&gt;1)),AND(S8&lt;&gt;0,COUNTIF(Docs[ID],J8)&lt;&gt;1),AND(Форма="ООО",C8="Вывод ИП"),AND(Форма="ИП",C8="Дивиденды"),AND(L8&lt;&gt;"Проведён",L8&lt;&gt;"Черновик")),"ОШИБКА","ОК"))</f>
        <v>ОК</v>
      </c>
      <c r="W8" s="25">
        <f>IF(A8="","",SUMIF(Accounts[Счёт],F8,Accounts[Начальный])+SUMIFS($Q$7:Q8,$F$7:F8,F8)+SUMIFS($E$7:E8,$G$7:G8,F8,$C$7:C8,"Перевод",$L$7:L8,"Проведён"))</f>
        <v>800000</v>
      </c>
    </row>
    <row r="9" spans="1:23" x14ac:dyDescent="0.25">
      <c r="A9" s="3" t="s">
        <v>480</v>
      </c>
      <c r="B9" s="19">
        <v>46032</v>
      </c>
      <c r="C9" s="3" t="s">
        <v>481</v>
      </c>
      <c r="D9" s="3" t="s">
        <v>296</v>
      </c>
      <c r="E9" s="24">
        <v>180000</v>
      </c>
      <c r="F9" s="3" t="s">
        <v>474</v>
      </c>
      <c r="G9" s="3"/>
      <c r="H9" s="3" t="s">
        <v>482</v>
      </c>
      <c r="I9" s="3" t="s">
        <v>383</v>
      </c>
      <c r="J9" s="3" t="s">
        <v>433</v>
      </c>
      <c r="K9" s="3" t="s">
        <v>481</v>
      </c>
      <c r="L9" s="3" t="s">
        <v>476</v>
      </c>
      <c r="M9" s="3"/>
      <c r="N9" s="24">
        <v>0</v>
      </c>
      <c r="O9" s="3" t="s">
        <v>296</v>
      </c>
      <c r="P9" s="5">
        <f>IF(A9="","",IF(COUNTIF(Типы,C9)=0,0,VLOOKUP(C9,СПРАВОЧНИКИ!$A$7:$E$22,2,FALSE)))</f>
        <v>-1</v>
      </c>
      <c r="Q9" s="25">
        <f t="shared" si="0"/>
        <v>-180000</v>
      </c>
      <c r="R9" s="5" t="str">
        <f>IF(A9="","",IF(COUNTIF(Типы,C9)=0,"НЕИЗВЕСТНЫЙ ТИП",VLOOKUP(C9,СПРАВОЧНИКИ!$A$7:$E$22,3,FALSE)))</f>
        <v>Инвестиционный</v>
      </c>
      <c r="S9" s="26">
        <f>IF(A9="","",IF(L9="Проведён",E9*IF(COUNTIF(Типы,C9)=0,0,VLOOKUP(C9,СПРАВОЧНИКИ!$A$7:$E$22,4,FALSE)),0))</f>
        <v>0</v>
      </c>
      <c r="T9" s="26">
        <f>IF(A9="","",IF(L9="Проведён",E9*IF(COUNTIF(Типы,C9)=0,0,VLOOKUP(C9,СПРАВОЧНИКИ!$A$7:$E$22,5,FALSE)),0))</f>
        <v>0</v>
      </c>
      <c r="U9" s="5" t="str">
        <f>IF(A9="","",IF(COUNTIF(Контрагенты,H9)=0,"Не задан",VLOOKUP(H9,СПРАВОЧНИКИ!$G$7:$H$66,2,FALSE)))</f>
        <v>ЮЛ</v>
      </c>
      <c r="V9" s="4" t="str">
        <f>IF(A9="",IF(COUNTA(B9:O9)&gt;0,"НЕТ ID",""),IF(OR(AND(OR(C9="Оплата клиента",C9="Возврат клиенту"),COUNTIFS(Docs[ID],J9,Docs[Тип долга],"ДЗ")&lt;&gt;1),AND(OR(C9="Оплата поставщику",C9="Возврат поставщика"),COUNTIFS(Docs[ID],J9,Docs[Тип долга],"КЗ",Docs[Вид],"&lt;&gt;Дивиденды")&lt;&gt;1),AND(C9="Дивиденды",COUNTIFS(Docs[ID],J9,Docs[Вид],"Дивиденды")&lt;&gt;1),AND(C9="Проценты",COUNTIFS(Docs[ID],J9,Docs[Вид],"Проценты")&lt;&gt;1),COUNTIF(Cash[ID],A9)&gt;1,NOT(ISNUMBER(B9)),B9&lt;НачалоУчета,YEAR(B9)&lt;&gt;Год,NOT(ISNUMBER(E9)),E9&lt;=0,N9&lt;0,COUNTIF(Типы,C9)&lt;&gt;1,COUNTIF(Категории,D9)&lt;&gt;1,COUNTIF(Счета,F9)&lt;&gt;1,COUNTIF(Проекты,I9)&lt;&gt;1,AND(H9&lt;&gt;"",COUNTIF(Контрагенты,H9)&lt;&gt;1),AND(C9="Перевод",OR(F9=G9,COUNTIF(Счета,G9)&lt;&gt;1)),AND(S9&lt;&gt;0,COUNTIF(Docs[ID],J9)&lt;&gt;1),AND(Форма="ООО",C9="Вывод ИП"),AND(Форма="ИП",C9="Дивиденды"),AND(L9&lt;&gt;"Проведён",L9&lt;&gt;"Черновик")),"ОШИБКА","ОК"))</f>
        <v>ОК</v>
      </c>
      <c r="W9" s="25">
        <f>IF(A9="","",SUMIF(Accounts[Счёт],F9,Accounts[Начальный])+SUMIFS($Q$7:Q9,$F$7:F9,F9)+SUMIFS($E$7:E9,$G$7:G9,F9,$C$7:C9,"Перевод",$L$7:L9,"Проведён"))</f>
        <v>620000</v>
      </c>
    </row>
    <row r="10" spans="1:23" x14ac:dyDescent="0.25">
      <c r="A10" s="3" t="s">
        <v>483</v>
      </c>
      <c r="B10" s="19">
        <v>46034</v>
      </c>
      <c r="C10" s="3" t="s">
        <v>484</v>
      </c>
      <c r="D10" s="3" t="s">
        <v>485</v>
      </c>
      <c r="E10" s="24">
        <v>70560</v>
      </c>
      <c r="F10" s="3" t="s">
        <v>474</v>
      </c>
      <c r="G10" s="3"/>
      <c r="H10" s="3" t="s">
        <v>486</v>
      </c>
      <c r="I10" s="3" t="s">
        <v>381</v>
      </c>
      <c r="J10" s="3" t="s">
        <v>487</v>
      </c>
      <c r="K10" s="3" t="s">
        <v>484</v>
      </c>
      <c r="L10" s="3" t="s">
        <v>476</v>
      </c>
      <c r="M10" s="3"/>
      <c r="N10" s="24">
        <v>0</v>
      </c>
      <c r="O10" s="3"/>
      <c r="P10" s="5">
        <f>IF(A10="","",IF(COUNTIF(Типы,C10)=0,0,VLOOKUP(C10,СПРАВОЧНИКИ!$A$7:$E$22,2,FALSE)))</f>
        <v>1</v>
      </c>
      <c r="Q10" s="25">
        <f t="shared" si="0"/>
        <v>70560</v>
      </c>
      <c r="R10" s="5" t="str">
        <f>IF(A10="","",IF(COUNTIF(Типы,C10)=0,"НЕИЗВЕСТНЫЙ ТИП",VLOOKUP(C10,СПРАВОЧНИКИ!$A$7:$E$22,3,FALSE)))</f>
        <v>Операционный</v>
      </c>
      <c r="S10" s="26">
        <f>IF(A10="","",IF(L10="Проведён",E10*IF(COUNTIF(Типы,C10)=0,0,VLOOKUP(C10,СПРАВОЧНИКИ!$A$7:$E$22,4,FALSE)),0))</f>
        <v>70560</v>
      </c>
      <c r="T10" s="26">
        <f>IF(A10="","",IF(L10="Проведён",E10*IF(COUNTIF(Типы,C10)=0,0,VLOOKUP(C10,СПРАВОЧНИКИ!$A$7:$E$22,5,FALSE)),0))</f>
        <v>70560</v>
      </c>
      <c r="U10" s="5" t="str">
        <f>IF(A10="","",IF(COUNTIF(Контрагенты,H10)=0,"Не задан",VLOOKUP(H10,СПРАВОЧНИКИ!$G$7:$H$66,2,FALSE)))</f>
        <v>ЮЛ</v>
      </c>
      <c r="V10" s="4" t="str">
        <f>IF(A10="",IF(COUNTA(B10:O10)&gt;0,"НЕТ ID",""),IF(OR(AND(OR(C10="Оплата клиента",C10="Возврат клиенту"),COUNTIFS(Docs[ID],J10,Docs[Тип долга],"ДЗ")&lt;&gt;1),AND(OR(C10="Оплата поставщику",C10="Возврат поставщика"),COUNTIFS(Docs[ID],J10,Docs[Тип долга],"КЗ",Docs[Вид],"&lt;&gt;Дивиденды")&lt;&gt;1),AND(C10="Дивиденды",COUNTIFS(Docs[ID],J10,Docs[Вид],"Дивиденды")&lt;&gt;1),AND(C10="Проценты",COUNTIFS(Docs[ID],J10,Docs[Вид],"Проценты")&lt;&gt;1),COUNTIF(Cash[ID],A10)&gt;1,NOT(ISNUMBER(B10)),B10&lt;НачалоУчета,YEAR(B10)&lt;&gt;Год,NOT(ISNUMBER(E10)),E10&lt;=0,N10&lt;0,COUNTIF(Типы,C10)&lt;&gt;1,COUNTIF(Категории,D10)&lt;&gt;1,COUNTIF(Счета,F10)&lt;&gt;1,COUNTIF(Проекты,I10)&lt;&gt;1,AND(H10&lt;&gt;"",COUNTIF(Контрагенты,H10)&lt;&gt;1),AND(C10="Перевод",OR(F10=G10,COUNTIF(Счета,G10)&lt;&gt;1)),AND(S10&lt;&gt;0,COUNTIF(Docs[ID],J10)&lt;&gt;1),AND(Форма="ООО",C10="Вывод ИП"),AND(Форма="ИП",C10="Дивиденды"),AND(L10&lt;&gt;"Проведён",L10&lt;&gt;"Черновик")),"ОШИБКА","ОК"))</f>
        <v>ОК</v>
      </c>
      <c r="W10" s="25">
        <f>IF(A10="","",SUMIF(Accounts[Счёт],F10,Accounts[Начальный])+SUMIFS($Q$7:Q10,$F$7:F10,F10)+SUMIFS($E$7:E10,$G$7:G10,F10,$C$7:C10,"Перевод",$L$7:L10,"Проведён"))</f>
        <v>690560</v>
      </c>
    </row>
    <row r="11" spans="1:23" x14ac:dyDescent="0.25">
      <c r="A11" s="3" t="s">
        <v>488</v>
      </c>
      <c r="B11" s="19">
        <v>46035</v>
      </c>
      <c r="C11" s="3" t="s">
        <v>484</v>
      </c>
      <c r="D11" s="3" t="s">
        <v>485</v>
      </c>
      <c r="E11" s="24">
        <v>55440</v>
      </c>
      <c r="F11" s="3" t="s">
        <v>474</v>
      </c>
      <c r="G11" s="3"/>
      <c r="H11" s="3" t="s">
        <v>489</v>
      </c>
      <c r="I11" s="3" t="s">
        <v>298</v>
      </c>
      <c r="J11" s="3" t="s">
        <v>490</v>
      </c>
      <c r="K11" s="3" t="s">
        <v>484</v>
      </c>
      <c r="L11" s="3" t="s">
        <v>476</v>
      </c>
      <c r="M11" s="3"/>
      <c r="N11" s="24">
        <v>0</v>
      </c>
      <c r="O11" s="3"/>
      <c r="P11" s="5">
        <f>IF(A11="","",IF(COUNTIF(Типы,C11)=0,0,VLOOKUP(C11,СПРАВОЧНИКИ!$A$7:$E$22,2,FALSE)))</f>
        <v>1</v>
      </c>
      <c r="Q11" s="25">
        <f t="shared" si="0"/>
        <v>55440</v>
      </c>
      <c r="R11" s="5" t="str">
        <f>IF(A11="","",IF(COUNTIF(Типы,C11)=0,"НЕИЗВЕСТНЫЙ ТИП",VLOOKUP(C11,СПРАВОЧНИКИ!$A$7:$E$22,3,FALSE)))</f>
        <v>Операционный</v>
      </c>
      <c r="S11" s="26">
        <f>IF(A11="","",IF(L11="Проведён",E11*IF(COUNTIF(Типы,C11)=0,0,VLOOKUP(C11,СПРАВОЧНИКИ!$A$7:$E$22,4,FALSE)),0))</f>
        <v>55440</v>
      </c>
      <c r="T11" s="26">
        <f>IF(A11="","",IF(L11="Проведён",E11*IF(COUNTIF(Типы,C11)=0,0,VLOOKUP(C11,СПРАВОЧНИКИ!$A$7:$E$22,5,FALSE)),0))</f>
        <v>55440</v>
      </c>
      <c r="U11" s="5" t="str">
        <f>IF(A11="","",IF(COUNTIF(Контрагенты,H11)=0,"Не задан",VLOOKUP(H11,СПРАВОЧНИКИ!$G$7:$H$66,2,FALSE)))</f>
        <v>ЮЛ</v>
      </c>
      <c r="V11" s="4" t="str">
        <f>IF(A11="",IF(COUNTA(B11:O11)&gt;0,"НЕТ ID",""),IF(OR(AND(OR(C11="Оплата клиента",C11="Возврат клиенту"),COUNTIFS(Docs[ID],J11,Docs[Тип долга],"ДЗ")&lt;&gt;1),AND(OR(C11="Оплата поставщику",C11="Возврат поставщика"),COUNTIFS(Docs[ID],J11,Docs[Тип долга],"КЗ",Docs[Вид],"&lt;&gt;Дивиденды")&lt;&gt;1),AND(C11="Дивиденды",COUNTIFS(Docs[ID],J11,Docs[Вид],"Дивиденды")&lt;&gt;1),AND(C11="Проценты",COUNTIFS(Docs[ID],J11,Docs[Вид],"Проценты")&lt;&gt;1),COUNTIF(Cash[ID],A11)&gt;1,NOT(ISNUMBER(B11)),B11&lt;НачалоУчета,YEAR(B11)&lt;&gt;Год,NOT(ISNUMBER(E11)),E11&lt;=0,N11&lt;0,COUNTIF(Типы,C11)&lt;&gt;1,COUNTIF(Категории,D11)&lt;&gt;1,COUNTIF(Счета,F11)&lt;&gt;1,COUNTIF(Проекты,I11)&lt;&gt;1,AND(H11&lt;&gt;"",COUNTIF(Контрагенты,H11)&lt;&gt;1),AND(C11="Перевод",OR(F11=G11,COUNTIF(Счета,G11)&lt;&gt;1)),AND(S11&lt;&gt;0,COUNTIF(Docs[ID],J11)&lt;&gt;1),AND(Форма="ООО",C11="Вывод ИП"),AND(Форма="ИП",C11="Дивиденды"),AND(L11&lt;&gt;"Проведён",L11&lt;&gt;"Черновик")),"ОШИБКА","ОК"))</f>
        <v>ОК</v>
      </c>
      <c r="W11" s="25">
        <f>IF(A11="","",SUMIF(Accounts[Счёт],F11,Accounts[Начальный])+SUMIFS($Q$7:Q11,$F$7:F11,F11)+SUMIFS($E$7:E11,$G$7:G11,F11,$C$7:C11,"Перевод",$L$7:L11,"Проведён"))</f>
        <v>746000</v>
      </c>
    </row>
    <row r="12" spans="1:23" x14ac:dyDescent="0.25">
      <c r="A12" s="3" t="s">
        <v>491</v>
      </c>
      <c r="B12" s="19">
        <v>46036</v>
      </c>
      <c r="C12" s="3" t="s">
        <v>484</v>
      </c>
      <c r="D12" s="3" t="s">
        <v>485</v>
      </c>
      <c r="E12" s="24">
        <v>45360</v>
      </c>
      <c r="F12" s="3" t="s">
        <v>474</v>
      </c>
      <c r="G12" s="3"/>
      <c r="H12" s="3" t="s">
        <v>492</v>
      </c>
      <c r="I12" s="3" t="s">
        <v>382</v>
      </c>
      <c r="J12" s="3" t="s">
        <v>493</v>
      </c>
      <c r="K12" s="3" t="s">
        <v>484</v>
      </c>
      <c r="L12" s="3" t="s">
        <v>476</v>
      </c>
      <c r="M12" s="3"/>
      <c r="N12" s="24">
        <v>0</v>
      </c>
      <c r="O12" s="3"/>
      <c r="P12" s="5">
        <f>IF(A12="","",IF(COUNTIF(Типы,C12)=0,0,VLOOKUP(C12,СПРАВОЧНИКИ!$A$7:$E$22,2,FALSE)))</f>
        <v>1</v>
      </c>
      <c r="Q12" s="25">
        <f t="shared" si="0"/>
        <v>45360</v>
      </c>
      <c r="R12" s="5" t="str">
        <f>IF(A12="","",IF(COUNTIF(Типы,C12)=0,"НЕИЗВЕСТНЫЙ ТИП",VLOOKUP(C12,СПРАВОЧНИКИ!$A$7:$E$22,3,FALSE)))</f>
        <v>Операционный</v>
      </c>
      <c r="S12" s="26">
        <f>IF(A12="","",IF(L12="Проведён",E12*IF(COUNTIF(Типы,C12)=0,0,VLOOKUP(C12,СПРАВОЧНИКИ!$A$7:$E$22,4,FALSE)),0))</f>
        <v>45360</v>
      </c>
      <c r="T12" s="26">
        <f>IF(A12="","",IF(L12="Проведён",E12*IF(COUNTIF(Типы,C12)=0,0,VLOOKUP(C12,СПРАВОЧНИКИ!$A$7:$E$22,5,FALSE)),0))</f>
        <v>45360</v>
      </c>
      <c r="U12" s="5" t="str">
        <f>IF(A12="","",IF(COUNTIF(Контрагенты,H12)=0,"Не задан",VLOOKUP(H12,СПРАВОЧНИКИ!$G$7:$H$66,2,FALSE)))</f>
        <v>ИП</v>
      </c>
      <c r="V12" s="4" t="str">
        <f>IF(A12="",IF(COUNTA(B12:O12)&gt;0,"НЕТ ID",""),IF(OR(AND(OR(C12="Оплата клиента",C12="Возврат клиенту"),COUNTIFS(Docs[ID],J12,Docs[Тип долга],"ДЗ")&lt;&gt;1),AND(OR(C12="Оплата поставщику",C12="Возврат поставщика"),COUNTIFS(Docs[ID],J12,Docs[Тип долга],"КЗ",Docs[Вид],"&lt;&gt;Дивиденды")&lt;&gt;1),AND(C12="Дивиденды",COUNTIFS(Docs[ID],J12,Docs[Вид],"Дивиденды")&lt;&gt;1),AND(C12="Проценты",COUNTIFS(Docs[ID],J12,Docs[Вид],"Проценты")&lt;&gt;1),COUNTIF(Cash[ID],A12)&gt;1,NOT(ISNUMBER(B12)),B12&lt;НачалоУчета,YEAR(B12)&lt;&gt;Год,NOT(ISNUMBER(E12)),E12&lt;=0,N12&lt;0,COUNTIF(Типы,C12)&lt;&gt;1,COUNTIF(Категории,D12)&lt;&gt;1,COUNTIF(Счета,F12)&lt;&gt;1,COUNTIF(Проекты,I12)&lt;&gt;1,AND(H12&lt;&gt;"",COUNTIF(Контрагенты,H12)&lt;&gt;1),AND(C12="Перевод",OR(F12=G12,COUNTIF(Счета,G12)&lt;&gt;1)),AND(S12&lt;&gt;0,COUNTIF(Docs[ID],J12)&lt;&gt;1),AND(Форма="ООО",C12="Вывод ИП"),AND(Форма="ИП",C12="Дивиденды"),AND(L12&lt;&gt;"Проведён",L12&lt;&gt;"Черновик")),"ОШИБКА","ОК"))</f>
        <v>ОК</v>
      </c>
      <c r="W12" s="25">
        <f>IF(A12="","",SUMIF(Accounts[Счёт],F12,Accounts[Начальный])+SUMIFS($Q$7:Q12,$F$7:F12,F12)+SUMIFS($E$7:E12,$G$7:G12,F12,$C$7:C12,"Перевод",$L$7:L12,"Проведён"))</f>
        <v>791360</v>
      </c>
    </row>
    <row r="13" spans="1:23" x14ac:dyDescent="0.25">
      <c r="A13" s="3" t="s">
        <v>494</v>
      </c>
      <c r="B13" s="19">
        <v>46037</v>
      </c>
      <c r="C13" s="3" t="s">
        <v>484</v>
      </c>
      <c r="D13" s="3" t="s">
        <v>485</v>
      </c>
      <c r="E13" s="24">
        <v>35280</v>
      </c>
      <c r="F13" s="3" t="s">
        <v>474</v>
      </c>
      <c r="G13" s="3"/>
      <c r="H13" s="3" t="s">
        <v>495</v>
      </c>
      <c r="I13" s="3" t="s">
        <v>381</v>
      </c>
      <c r="J13" s="3" t="s">
        <v>496</v>
      </c>
      <c r="K13" s="3" t="s">
        <v>484</v>
      </c>
      <c r="L13" s="3" t="s">
        <v>476</v>
      </c>
      <c r="M13" s="3"/>
      <c r="N13" s="24">
        <v>0</v>
      </c>
      <c r="O13" s="3"/>
      <c r="P13" s="5">
        <f>IF(A13="","",IF(COUNTIF(Типы,C13)=0,0,VLOOKUP(C13,СПРАВОЧНИКИ!$A$7:$E$22,2,FALSE)))</f>
        <v>1</v>
      </c>
      <c r="Q13" s="25">
        <f t="shared" si="0"/>
        <v>35280</v>
      </c>
      <c r="R13" s="5" t="str">
        <f>IF(A13="","",IF(COUNTIF(Типы,C13)=0,"НЕИЗВЕСТНЫЙ ТИП",VLOOKUP(C13,СПРАВОЧНИКИ!$A$7:$E$22,3,FALSE)))</f>
        <v>Операционный</v>
      </c>
      <c r="S13" s="26">
        <f>IF(A13="","",IF(L13="Проведён",E13*IF(COUNTIF(Типы,C13)=0,0,VLOOKUP(C13,СПРАВОЧНИКИ!$A$7:$E$22,4,FALSE)),0))</f>
        <v>35280</v>
      </c>
      <c r="T13" s="26">
        <f>IF(A13="","",IF(L13="Проведён",E13*IF(COUNTIF(Типы,C13)=0,0,VLOOKUP(C13,СПРАВОЧНИКИ!$A$7:$E$22,5,FALSE)),0))</f>
        <v>35280</v>
      </c>
      <c r="U13" s="5" t="str">
        <f>IF(A13="","",IF(COUNTIF(Контрагенты,H13)=0,"Не задан",VLOOKUP(H13,СПРАВОЧНИКИ!$G$7:$H$66,2,FALSE)))</f>
        <v>ЮЛ</v>
      </c>
      <c r="V13" s="4" t="str">
        <f>IF(A13="",IF(COUNTA(B13:O13)&gt;0,"НЕТ ID",""),IF(OR(AND(OR(C13="Оплата клиента",C13="Возврат клиенту"),COUNTIFS(Docs[ID],J13,Docs[Тип долга],"ДЗ")&lt;&gt;1),AND(OR(C13="Оплата поставщику",C13="Возврат поставщика"),COUNTIFS(Docs[ID],J13,Docs[Тип долга],"КЗ",Docs[Вид],"&lt;&gt;Дивиденды")&lt;&gt;1),AND(C13="Дивиденды",COUNTIFS(Docs[ID],J13,Docs[Вид],"Дивиденды")&lt;&gt;1),AND(C13="Проценты",COUNTIFS(Docs[ID],J13,Docs[Вид],"Проценты")&lt;&gt;1),COUNTIF(Cash[ID],A13)&gt;1,NOT(ISNUMBER(B13)),B13&lt;НачалоУчета,YEAR(B13)&lt;&gt;Год,NOT(ISNUMBER(E13)),E13&lt;=0,N13&lt;0,COUNTIF(Типы,C13)&lt;&gt;1,COUNTIF(Категории,D13)&lt;&gt;1,COUNTIF(Счета,F13)&lt;&gt;1,COUNTIF(Проекты,I13)&lt;&gt;1,AND(H13&lt;&gt;"",COUNTIF(Контрагенты,H13)&lt;&gt;1),AND(C13="Перевод",OR(F13=G13,COUNTIF(Счета,G13)&lt;&gt;1)),AND(S13&lt;&gt;0,COUNTIF(Docs[ID],J13)&lt;&gt;1),AND(Форма="ООО",C13="Вывод ИП"),AND(Форма="ИП",C13="Дивиденды"),AND(L13&lt;&gt;"Проведён",L13&lt;&gt;"Черновик")),"ОШИБКА","ОК"))</f>
        <v>ОК</v>
      </c>
      <c r="W13" s="25">
        <f>IF(A13="","",SUMIF(Accounts[Счёт],F13,Accounts[Начальный])+SUMIFS($Q$7:Q13,$F$7:F13,F13)+SUMIFS($E$7:E13,$G$7:G13,F13,$C$7:C13,"Перевод",$L$7:L13,"Проведён"))</f>
        <v>826640</v>
      </c>
    </row>
    <row r="14" spans="1:23" x14ac:dyDescent="0.25">
      <c r="A14" s="3" t="s">
        <v>497</v>
      </c>
      <c r="B14" s="19">
        <v>46038</v>
      </c>
      <c r="C14" s="3" t="s">
        <v>484</v>
      </c>
      <c r="D14" s="3" t="s">
        <v>485</v>
      </c>
      <c r="E14" s="24">
        <v>25200</v>
      </c>
      <c r="F14" s="3" t="s">
        <v>474</v>
      </c>
      <c r="G14" s="3"/>
      <c r="H14" s="3" t="s">
        <v>498</v>
      </c>
      <c r="I14" s="3" t="s">
        <v>298</v>
      </c>
      <c r="J14" s="3" t="s">
        <v>499</v>
      </c>
      <c r="K14" s="3" t="s">
        <v>484</v>
      </c>
      <c r="L14" s="3" t="s">
        <v>476</v>
      </c>
      <c r="M14" s="3"/>
      <c r="N14" s="24">
        <v>0</v>
      </c>
      <c r="O14" s="3"/>
      <c r="P14" s="5">
        <f>IF(A14="","",IF(COUNTIF(Типы,C14)=0,0,VLOOKUP(C14,СПРАВОЧНИКИ!$A$7:$E$22,2,FALSE)))</f>
        <v>1</v>
      </c>
      <c r="Q14" s="25">
        <f t="shared" si="0"/>
        <v>25200</v>
      </c>
      <c r="R14" s="5" t="str">
        <f>IF(A14="","",IF(COUNTIF(Типы,C14)=0,"НЕИЗВЕСТНЫЙ ТИП",VLOOKUP(C14,СПРАВОЧНИКИ!$A$7:$E$22,3,FALSE)))</f>
        <v>Операционный</v>
      </c>
      <c r="S14" s="26">
        <f>IF(A14="","",IF(L14="Проведён",E14*IF(COUNTIF(Типы,C14)=0,0,VLOOKUP(C14,СПРАВОЧНИКИ!$A$7:$E$22,4,FALSE)),0))</f>
        <v>25200</v>
      </c>
      <c r="T14" s="26">
        <f>IF(A14="","",IF(L14="Проведён",E14*IF(COUNTIF(Типы,C14)=0,0,VLOOKUP(C14,СПРАВОЧНИКИ!$A$7:$E$22,5,FALSE)),0))</f>
        <v>25200</v>
      </c>
      <c r="U14" s="5" t="str">
        <f>IF(A14="","",IF(COUNTIF(Контрагенты,H14)=0,"Не задан",VLOOKUP(H14,СПРАВОЧНИКИ!$G$7:$H$66,2,FALSE)))</f>
        <v>ФЛ</v>
      </c>
      <c r="V14" s="4" t="str">
        <f>IF(A14="",IF(COUNTA(B14:O14)&gt;0,"НЕТ ID",""),IF(OR(AND(OR(C14="Оплата клиента",C14="Возврат клиенту"),COUNTIFS(Docs[ID],J14,Docs[Тип долга],"ДЗ")&lt;&gt;1),AND(OR(C14="Оплата поставщику",C14="Возврат поставщика"),COUNTIFS(Docs[ID],J14,Docs[Тип долга],"КЗ",Docs[Вид],"&lt;&gt;Дивиденды")&lt;&gt;1),AND(C14="Дивиденды",COUNTIFS(Docs[ID],J14,Docs[Вид],"Дивиденды")&lt;&gt;1),AND(C14="Проценты",COUNTIFS(Docs[ID],J14,Docs[Вид],"Проценты")&lt;&gt;1),COUNTIF(Cash[ID],A14)&gt;1,NOT(ISNUMBER(B14)),B14&lt;НачалоУчета,YEAR(B14)&lt;&gt;Год,NOT(ISNUMBER(E14)),E14&lt;=0,N14&lt;0,COUNTIF(Типы,C14)&lt;&gt;1,COUNTIF(Категории,D14)&lt;&gt;1,COUNTIF(Счета,F14)&lt;&gt;1,COUNTIF(Проекты,I14)&lt;&gt;1,AND(H14&lt;&gt;"",COUNTIF(Контрагенты,H14)&lt;&gt;1),AND(C14="Перевод",OR(F14=G14,COUNTIF(Счета,G14)&lt;&gt;1)),AND(S14&lt;&gt;0,COUNTIF(Docs[ID],J14)&lt;&gt;1),AND(Форма="ООО",C14="Вывод ИП"),AND(Форма="ИП",C14="Дивиденды"),AND(L14&lt;&gt;"Проведён",L14&lt;&gt;"Черновик")),"ОШИБКА","ОК"))</f>
        <v>ОК</v>
      </c>
      <c r="W14" s="25">
        <f>IF(A14="","",SUMIF(Accounts[Счёт],F14,Accounts[Начальный])+SUMIFS($Q$7:Q14,$F$7:F14,F14)+SUMIFS($E$7:E14,$G$7:G14,F14,$C$7:C14,"Перевод",$L$7:L14,"Проведён"))</f>
        <v>851840</v>
      </c>
    </row>
    <row r="15" spans="1:23" x14ac:dyDescent="0.25">
      <c r="A15" s="3" t="s">
        <v>500</v>
      </c>
      <c r="B15" s="19">
        <v>46039</v>
      </c>
      <c r="C15" s="3" t="s">
        <v>484</v>
      </c>
      <c r="D15" s="3" t="s">
        <v>485</v>
      </c>
      <c r="E15" s="24">
        <v>20160</v>
      </c>
      <c r="F15" s="3" t="s">
        <v>474</v>
      </c>
      <c r="G15" s="3"/>
      <c r="H15" s="3" t="s">
        <v>501</v>
      </c>
      <c r="I15" s="3" t="s">
        <v>382</v>
      </c>
      <c r="J15" s="3" t="s">
        <v>502</v>
      </c>
      <c r="K15" s="3" t="s">
        <v>484</v>
      </c>
      <c r="L15" s="3" t="s">
        <v>476</v>
      </c>
      <c r="M15" s="3"/>
      <c r="N15" s="24">
        <v>0</v>
      </c>
      <c r="O15" s="3"/>
      <c r="P15" s="5">
        <f>IF(A15="","",IF(COUNTIF(Типы,C15)=0,0,VLOOKUP(C15,СПРАВОЧНИКИ!$A$7:$E$22,2,FALSE)))</f>
        <v>1</v>
      </c>
      <c r="Q15" s="25">
        <f t="shared" si="0"/>
        <v>20160</v>
      </c>
      <c r="R15" s="5" t="str">
        <f>IF(A15="","",IF(COUNTIF(Типы,C15)=0,"НЕИЗВЕСТНЫЙ ТИП",VLOOKUP(C15,СПРАВОЧНИКИ!$A$7:$E$22,3,FALSE)))</f>
        <v>Операционный</v>
      </c>
      <c r="S15" s="26">
        <f>IF(A15="","",IF(L15="Проведён",E15*IF(COUNTIF(Типы,C15)=0,0,VLOOKUP(C15,СПРАВОЧНИКИ!$A$7:$E$22,4,FALSE)),0))</f>
        <v>20160</v>
      </c>
      <c r="T15" s="26">
        <f>IF(A15="","",IF(L15="Проведён",E15*IF(COUNTIF(Типы,C15)=0,0,VLOOKUP(C15,СПРАВОЧНИКИ!$A$7:$E$22,5,FALSE)),0))</f>
        <v>20160</v>
      </c>
      <c r="U15" s="5" t="str">
        <f>IF(A15="","",IF(COUNTIF(Контрагенты,H15)=0,"Не задан",VLOOKUP(H15,СПРАВОЧНИКИ!$G$7:$H$66,2,FALSE)))</f>
        <v>ЮЛ</v>
      </c>
      <c r="V15" s="4" t="str">
        <f>IF(A15="",IF(COUNTA(B15:O15)&gt;0,"НЕТ ID",""),IF(OR(AND(OR(C15="Оплата клиента",C15="Возврат клиенту"),COUNTIFS(Docs[ID],J15,Docs[Тип долга],"ДЗ")&lt;&gt;1),AND(OR(C15="Оплата поставщику",C15="Возврат поставщика"),COUNTIFS(Docs[ID],J15,Docs[Тип долга],"КЗ",Docs[Вид],"&lt;&gt;Дивиденды")&lt;&gt;1),AND(C15="Дивиденды",COUNTIFS(Docs[ID],J15,Docs[Вид],"Дивиденды")&lt;&gt;1),AND(C15="Проценты",COUNTIFS(Docs[ID],J15,Docs[Вид],"Проценты")&lt;&gt;1),COUNTIF(Cash[ID],A15)&gt;1,NOT(ISNUMBER(B15)),B15&lt;НачалоУчета,YEAR(B15)&lt;&gt;Год,NOT(ISNUMBER(E15)),E15&lt;=0,N15&lt;0,COUNTIF(Типы,C15)&lt;&gt;1,COUNTIF(Категории,D15)&lt;&gt;1,COUNTIF(Счета,F15)&lt;&gt;1,COUNTIF(Проекты,I15)&lt;&gt;1,AND(H15&lt;&gt;"",COUNTIF(Контрагенты,H15)&lt;&gt;1),AND(C15="Перевод",OR(F15=G15,COUNTIF(Счета,G15)&lt;&gt;1)),AND(S15&lt;&gt;0,COUNTIF(Docs[ID],J15)&lt;&gt;1),AND(Форма="ООО",C15="Вывод ИП"),AND(Форма="ИП",C15="Дивиденды"),AND(L15&lt;&gt;"Проведён",L15&lt;&gt;"Черновик")),"ОШИБКА","ОК"))</f>
        <v>ОК</v>
      </c>
      <c r="W15" s="25">
        <f>IF(A15="","",SUMIF(Accounts[Счёт],F15,Accounts[Начальный])+SUMIFS($Q$7:Q15,$F$7:F15,F15)+SUMIFS($E$7:E15,$G$7:G15,F15,$C$7:C15,"Перевод",$L$7:L15,"Проведён"))</f>
        <v>872000</v>
      </c>
    </row>
    <row r="16" spans="1:23" x14ac:dyDescent="0.25">
      <c r="A16" s="3" t="s">
        <v>503</v>
      </c>
      <c r="B16" s="19">
        <v>46044</v>
      </c>
      <c r="C16" s="3" t="s">
        <v>504</v>
      </c>
      <c r="D16" s="3" t="s">
        <v>505</v>
      </c>
      <c r="E16" s="24">
        <v>134400</v>
      </c>
      <c r="F16" s="3" t="s">
        <v>474</v>
      </c>
      <c r="G16" s="3"/>
      <c r="H16" s="3" t="s">
        <v>506</v>
      </c>
      <c r="I16" s="3" t="s">
        <v>298</v>
      </c>
      <c r="J16" s="3" t="s">
        <v>507</v>
      </c>
      <c r="K16" s="3" t="s">
        <v>504</v>
      </c>
      <c r="L16" s="3" t="s">
        <v>476</v>
      </c>
      <c r="M16" s="3"/>
      <c r="N16" s="24">
        <v>134400</v>
      </c>
      <c r="O16" s="3"/>
      <c r="P16" s="5">
        <f>IF(A16="","",IF(COUNTIF(Типы,C16)=0,0,VLOOKUP(C16,СПРАВОЧНИКИ!$A$7:$E$22,2,FALSE)))</f>
        <v>-1</v>
      </c>
      <c r="Q16" s="25">
        <f t="shared" si="0"/>
        <v>-134400</v>
      </c>
      <c r="R16" s="5" t="str">
        <f>IF(A16="","",IF(COUNTIF(Типы,C16)=0,"НЕИЗВЕСТНЫЙ ТИП",VLOOKUP(C16,СПРАВОЧНИКИ!$A$7:$E$22,3,FALSE)))</f>
        <v>Операционный</v>
      </c>
      <c r="S16" s="26">
        <f>IF(A16="","",IF(L16="Проведён",E16*IF(COUNTIF(Типы,C16)=0,0,VLOOKUP(C16,СПРАВОЧНИКИ!$A$7:$E$22,4,FALSE)),0))</f>
        <v>134400</v>
      </c>
      <c r="T16" s="26">
        <f>IF(A16="","",IF(L16="Проведён",E16*IF(COUNTIF(Типы,C16)=0,0,VLOOKUP(C16,СПРАВОЧНИКИ!$A$7:$E$22,5,FALSE)),0))</f>
        <v>0</v>
      </c>
      <c r="U16" s="5" t="str">
        <f>IF(A16="","",IF(COUNTIF(Контрагенты,H16)=0,"Не задан",VLOOKUP(H16,СПРАВОЧНИКИ!$G$7:$H$66,2,FALSE)))</f>
        <v>ИП</v>
      </c>
      <c r="V16" s="4" t="str">
        <f>IF(A16="",IF(COUNTA(B16:O16)&gt;0,"НЕТ ID",""),IF(OR(AND(OR(C16="Оплата клиента",C16="Возврат клиенту"),COUNTIFS(Docs[ID],J16,Docs[Тип долга],"ДЗ")&lt;&gt;1),AND(OR(C16="Оплата поставщику",C16="Возврат поставщика"),COUNTIFS(Docs[ID],J16,Docs[Тип долга],"КЗ",Docs[Вид],"&lt;&gt;Дивиденды")&lt;&gt;1),AND(C16="Дивиденды",COUNTIFS(Docs[ID],J16,Docs[Вид],"Дивиденды")&lt;&gt;1),AND(C16="Проценты",COUNTIFS(Docs[ID],J16,Docs[Вид],"Проценты")&lt;&gt;1),COUNTIF(Cash[ID],A16)&gt;1,NOT(ISNUMBER(B16)),B16&lt;НачалоУчета,YEAR(B16)&lt;&gt;Год,NOT(ISNUMBER(E16)),E16&lt;=0,N16&lt;0,COUNTIF(Типы,C16)&lt;&gt;1,COUNTIF(Категории,D16)&lt;&gt;1,COUNTIF(Счета,F16)&lt;&gt;1,COUNTIF(Проекты,I16)&lt;&gt;1,AND(H16&lt;&gt;"",COUNTIF(Контрагенты,H16)&lt;&gt;1),AND(C16="Перевод",OR(F16=G16,COUNTIF(Счета,G16)&lt;&gt;1)),AND(S16&lt;&gt;0,COUNTIF(Docs[ID],J16)&lt;&gt;1),AND(Форма="ООО",C16="Вывод ИП"),AND(Форма="ИП",C16="Дивиденды"),AND(L16&lt;&gt;"Проведён",L16&lt;&gt;"Черновик")),"ОШИБКА","ОК"))</f>
        <v>ОК</v>
      </c>
      <c r="W16" s="25">
        <f>IF(A16="","",SUMIF(Accounts[Счёт],F16,Accounts[Начальный])+SUMIFS($Q$7:Q16,$F$7:F16,F16)+SUMIFS($E$7:E16,$G$7:G16,F16,$C$7:C16,"Перевод",$L$7:L16,"Проведён"))</f>
        <v>737600</v>
      </c>
    </row>
    <row r="17" spans="1:23" x14ac:dyDescent="0.25">
      <c r="A17" s="3" t="s">
        <v>508</v>
      </c>
      <c r="B17" s="19">
        <v>46045</v>
      </c>
      <c r="C17" s="3" t="s">
        <v>504</v>
      </c>
      <c r="D17" s="3" t="s">
        <v>509</v>
      </c>
      <c r="E17" s="24">
        <v>65000</v>
      </c>
      <c r="F17" s="3" t="s">
        <v>474</v>
      </c>
      <c r="G17" s="3"/>
      <c r="H17" s="3" t="s">
        <v>510</v>
      </c>
      <c r="I17" s="3" t="s">
        <v>383</v>
      </c>
      <c r="J17" s="3" t="s">
        <v>511</v>
      </c>
      <c r="K17" s="3" t="s">
        <v>504</v>
      </c>
      <c r="L17" s="3" t="s">
        <v>476</v>
      </c>
      <c r="M17" s="3"/>
      <c r="N17" s="24">
        <v>65000</v>
      </c>
      <c r="O17" s="3"/>
      <c r="P17" s="5">
        <f>IF(A17="","",IF(COUNTIF(Типы,C17)=0,0,VLOOKUP(C17,СПРАВОЧНИКИ!$A$7:$E$22,2,FALSE)))</f>
        <v>-1</v>
      </c>
      <c r="Q17" s="25">
        <f t="shared" si="0"/>
        <v>-65000</v>
      </c>
      <c r="R17" s="5" t="str">
        <f>IF(A17="","",IF(COUNTIF(Типы,C17)=0,"НЕИЗВЕСТНЫЙ ТИП",VLOOKUP(C17,СПРАВОЧНИКИ!$A$7:$E$22,3,FALSE)))</f>
        <v>Операционный</v>
      </c>
      <c r="S17" s="26">
        <f>IF(A17="","",IF(L17="Проведён",E17*IF(COUNTIF(Типы,C17)=0,0,VLOOKUP(C17,СПРАВОЧНИКИ!$A$7:$E$22,4,FALSE)),0))</f>
        <v>65000</v>
      </c>
      <c r="T17" s="26">
        <f>IF(A17="","",IF(L17="Проведён",E17*IF(COUNTIF(Типы,C17)=0,0,VLOOKUP(C17,СПРАВОЧНИКИ!$A$7:$E$22,5,FALSE)),0))</f>
        <v>0</v>
      </c>
      <c r="U17" s="5" t="str">
        <f>IF(A17="","",IF(COUNTIF(Контрагенты,H17)=0,"Не задан",VLOOKUP(H17,СПРАВОЧНИКИ!$G$7:$H$66,2,FALSE)))</f>
        <v>ЮЛ</v>
      </c>
      <c r="V17" s="4" t="str">
        <f>IF(A17="",IF(COUNTA(B17:O17)&gt;0,"НЕТ ID",""),IF(OR(AND(OR(C17="Оплата клиента",C17="Возврат клиенту"),COUNTIFS(Docs[ID],J17,Docs[Тип долга],"ДЗ")&lt;&gt;1),AND(OR(C17="Оплата поставщику",C17="Возврат поставщика"),COUNTIFS(Docs[ID],J17,Docs[Тип долга],"КЗ",Docs[Вид],"&lt;&gt;Дивиденды")&lt;&gt;1),AND(C17="Дивиденды",COUNTIFS(Docs[ID],J17,Docs[Вид],"Дивиденды")&lt;&gt;1),AND(C17="Проценты",COUNTIFS(Docs[ID],J17,Docs[Вид],"Проценты")&lt;&gt;1),COUNTIF(Cash[ID],A17)&gt;1,NOT(ISNUMBER(B17)),B17&lt;НачалоУчета,YEAR(B17)&lt;&gt;Год,NOT(ISNUMBER(E17)),E17&lt;=0,N17&lt;0,COUNTIF(Типы,C17)&lt;&gt;1,COUNTIF(Категории,D17)&lt;&gt;1,COUNTIF(Счета,F17)&lt;&gt;1,COUNTIF(Проекты,I17)&lt;&gt;1,AND(H17&lt;&gt;"",COUNTIF(Контрагенты,H17)&lt;&gt;1),AND(C17="Перевод",OR(F17=G17,COUNTIF(Счета,G17)&lt;&gt;1)),AND(S17&lt;&gt;0,COUNTIF(Docs[ID],J17)&lt;&gt;1),AND(Форма="ООО",C17="Вывод ИП"),AND(Форма="ИП",C17="Дивиденды"),AND(L17&lt;&gt;"Проведён",L17&lt;&gt;"Черновик")),"ОШИБКА","ОК"))</f>
        <v>ОК</v>
      </c>
      <c r="W17" s="25">
        <f>IF(A17="","",SUMIF(Accounts[Счёт],F17,Accounts[Начальный])+SUMIFS($Q$7:Q17,$F$7:F17,F17)+SUMIFS($E$7:E17,$G$7:G17,F17,$C$7:C17,"Перевод",$L$7:L17,"Проведён"))</f>
        <v>672600</v>
      </c>
    </row>
    <row r="18" spans="1:23" x14ac:dyDescent="0.25">
      <c r="A18" s="3" t="s">
        <v>512</v>
      </c>
      <c r="B18" s="19">
        <v>46046</v>
      </c>
      <c r="C18" s="3" t="s">
        <v>484</v>
      </c>
      <c r="D18" s="3" t="s">
        <v>485</v>
      </c>
      <c r="E18" s="24">
        <v>47040</v>
      </c>
      <c r="F18" s="3" t="s">
        <v>474</v>
      </c>
      <c r="G18" s="3"/>
      <c r="H18" s="3" t="s">
        <v>486</v>
      </c>
      <c r="I18" s="3" t="s">
        <v>381</v>
      </c>
      <c r="J18" s="3" t="s">
        <v>487</v>
      </c>
      <c r="K18" s="3" t="s">
        <v>484</v>
      </c>
      <c r="L18" s="3" t="s">
        <v>476</v>
      </c>
      <c r="M18" s="3"/>
      <c r="N18" s="24">
        <v>0</v>
      </c>
      <c r="O18" s="3"/>
      <c r="P18" s="5">
        <f>IF(A18="","",IF(COUNTIF(Типы,C18)=0,0,VLOOKUP(C18,СПРАВОЧНИКИ!$A$7:$E$22,2,FALSE)))</f>
        <v>1</v>
      </c>
      <c r="Q18" s="25">
        <f t="shared" si="0"/>
        <v>47040</v>
      </c>
      <c r="R18" s="5" t="str">
        <f>IF(A18="","",IF(COUNTIF(Типы,C18)=0,"НЕИЗВЕСТНЫЙ ТИП",VLOOKUP(C18,СПРАВОЧНИКИ!$A$7:$E$22,3,FALSE)))</f>
        <v>Операционный</v>
      </c>
      <c r="S18" s="26">
        <f>IF(A18="","",IF(L18="Проведён",E18*IF(COUNTIF(Типы,C18)=0,0,VLOOKUP(C18,СПРАВОЧНИКИ!$A$7:$E$22,4,FALSE)),0))</f>
        <v>47040</v>
      </c>
      <c r="T18" s="26">
        <f>IF(A18="","",IF(L18="Проведён",E18*IF(COUNTIF(Типы,C18)=0,0,VLOOKUP(C18,СПРАВОЧНИКИ!$A$7:$E$22,5,FALSE)),0))</f>
        <v>47040</v>
      </c>
      <c r="U18" s="5" t="str">
        <f>IF(A18="","",IF(COUNTIF(Контрагенты,H18)=0,"Не задан",VLOOKUP(H18,СПРАВОЧНИКИ!$G$7:$H$66,2,FALSE)))</f>
        <v>ЮЛ</v>
      </c>
      <c r="V18" s="4" t="str">
        <f>IF(A18="",IF(COUNTA(B18:O18)&gt;0,"НЕТ ID",""),IF(OR(AND(OR(C18="Оплата клиента",C18="Возврат клиенту"),COUNTIFS(Docs[ID],J18,Docs[Тип долга],"ДЗ")&lt;&gt;1),AND(OR(C18="Оплата поставщику",C18="Возврат поставщика"),COUNTIFS(Docs[ID],J18,Docs[Тип долга],"КЗ",Docs[Вид],"&lt;&gt;Дивиденды")&lt;&gt;1),AND(C18="Дивиденды",COUNTIFS(Docs[ID],J18,Docs[Вид],"Дивиденды")&lt;&gt;1),AND(C18="Проценты",COUNTIFS(Docs[ID],J18,Docs[Вид],"Проценты")&lt;&gt;1),COUNTIF(Cash[ID],A18)&gt;1,NOT(ISNUMBER(B18)),B18&lt;НачалоУчета,YEAR(B18)&lt;&gt;Год,NOT(ISNUMBER(E18)),E18&lt;=0,N18&lt;0,COUNTIF(Типы,C18)&lt;&gt;1,COUNTIF(Категории,D18)&lt;&gt;1,COUNTIF(Счета,F18)&lt;&gt;1,COUNTIF(Проекты,I18)&lt;&gt;1,AND(H18&lt;&gt;"",COUNTIF(Контрагенты,H18)&lt;&gt;1),AND(C18="Перевод",OR(F18=G18,COUNTIF(Счета,G18)&lt;&gt;1)),AND(S18&lt;&gt;0,COUNTIF(Docs[ID],J18)&lt;&gt;1),AND(Форма="ООО",C18="Вывод ИП"),AND(Форма="ИП",C18="Дивиденды"),AND(L18&lt;&gt;"Проведён",L18&lt;&gt;"Черновик")),"ОШИБКА","ОК"))</f>
        <v>ОК</v>
      </c>
      <c r="W18" s="25">
        <f>IF(A18="","",SUMIF(Accounts[Счёт],F18,Accounts[Начальный])+SUMIFS($Q$7:Q18,$F$7:F18,F18)+SUMIFS($E$7:E18,$G$7:G18,F18,$C$7:C18,"Перевод",$L$7:L18,"Проведён"))</f>
        <v>719640</v>
      </c>
    </row>
    <row r="19" spans="1:23" x14ac:dyDescent="0.25">
      <c r="A19" s="3" t="s">
        <v>513</v>
      </c>
      <c r="B19" s="19">
        <v>46046</v>
      </c>
      <c r="C19" s="3" t="s">
        <v>504</v>
      </c>
      <c r="D19" s="3" t="s">
        <v>295</v>
      </c>
      <c r="E19" s="24">
        <v>45000</v>
      </c>
      <c r="F19" s="3" t="s">
        <v>474</v>
      </c>
      <c r="G19" s="3"/>
      <c r="H19" s="3" t="s">
        <v>514</v>
      </c>
      <c r="I19" s="3" t="s">
        <v>381</v>
      </c>
      <c r="J19" s="3" t="s">
        <v>515</v>
      </c>
      <c r="K19" s="3" t="s">
        <v>504</v>
      </c>
      <c r="L19" s="3" t="s">
        <v>476</v>
      </c>
      <c r="M19" s="3"/>
      <c r="N19" s="24">
        <v>45000</v>
      </c>
      <c r="O19" s="3" t="s">
        <v>295</v>
      </c>
      <c r="P19" s="5">
        <f>IF(A19="","",IF(COUNTIF(Типы,C19)=0,0,VLOOKUP(C19,СПРАВОЧНИКИ!$A$7:$E$22,2,FALSE)))</f>
        <v>-1</v>
      </c>
      <c r="Q19" s="25">
        <f t="shared" si="0"/>
        <v>-45000</v>
      </c>
      <c r="R19" s="5" t="str">
        <f>IF(A19="","",IF(COUNTIF(Типы,C19)=0,"НЕИЗВЕСТНЫЙ ТИП",VLOOKUP(C19,СПРАВОЧНИКИ!$A$7:$E$22,3,FALSE)))</f>
        <v>Операционный</v>
      </c>
      <c r="S19" s="26">
        <f>IF(A19="","",IF(L19="Проведён",E19*IF(COUNTIF(Типы,C19)=0,0,VLOOKUP(C19,СПРАВОЧНИКИ!$A$7:$E$22,4,FALSE)),0))</f>
        <v>45000</v>
      </c>
      <c r="T19" s="26">
        <f>IF(A19="","",IF(L19="Проведён",E19*IF(COUNTIF(Типы,C19)=0,0,VLOOKUP(C19,СПРАВОЧНИКИ!$A$7:$E$22,5,FALSE)),0))</f>
        <v>0</v>
      </c>
      <c r="U19" s="5" t="str">
        <f>IF(A19="","",IF(COUNTIF(Контрагенты,H19)=0,"Не задан",VLOOKUP(H19,СПРАВОЧНИКИ!$G$7:$H$66,2,FALSE)))</f>
        <v>ЮЛ</v>
      </c>
      <c r="V19" s="4" t="str">
        <f>IF(A19="",IF(COUNTA(B19:O19)&gt;0,"НЕТ ID",""),IF(OR(AND(OR(C19="Оплата клиента",C19="Возврат клиенту"),COUNTIFS(Docs[ID],J19,Docs[Тип долга],"ДЗ")&lt;&gt;1),AND(OR(C19="Оплата поставщику",C19="Возврат поставщика"),COUNTIFS(Docs[ID],J19,Docs[Тип долга],"КЗ",Docs[Вид],"&lt;&gt;Дивиденды")&lt;&gt;1),AND(C19="Дивиденды",COUNTIFS(Docs[ID],J19,Docs[Вид],"Дивиденды")&lt;&gt;1),AND(C19="Проценты",COUNTIFS(Docs[ID],J19,Docs[Вид],"Проценты")&lt;&gt;1),COUNTIF(Cash[ID],A19)&gt;1,NOT(ISNUMBER(B19)),B19&lt;НачалоУчета,YEAR(B19)&lt;&gt;Год,NOT(ISNUMBER(E19)),E19&lt;=0,N19&lt;0,COUNTIF(Типы,C19)&lt;&gt;1,COUNTIF(Категории,D19)&lt;&gt;1,COUNTIF(Счета,F19)&lt;&gt;1,COUNTIF(Проекты,I19)&lt;&gt;1,AND(H19&lt;&gt;"",COUNTIF(Контрагенты,H19)&lt;&gt;1),AND(C19="Перевод",OR(F19=G19,COUNTIF(Счета,G19)&lt;&gt;1)),AND(S19&lt;&gt;0,COUNTIF(Docs[ID],J19)&lt;&gt;1),AND(Форма="ООО",C19="Вывод ИП"),AND(Форма="ИП",C19="Дивиденды"),AND(L19&lt;&gt;"Проведён",L19&lt;&gt;"Черновик")),"ОШИБКА","ОК"))</f>
        <v>ОК</v>
      </c>
      <c r="W19" s="25">
        <f>IF(A19="","",SUMIF(Accounts[Счёт],F19,Accounts[Начальный])+SUMIFS($Q$7:Q19,$F$7:F19,F19)+SUMIFS($E$7:E19,$G$7:G19,F19,$C$7:C19,"Перевод",$L$7:L19,"Проведён"))</f>
        <v>674640</v>
      </c>
    </row>
    <row r="20" spans="1:23" x14ac:dyDescent="0.25">
      <c r="A20" s="3" t="s">
        <v>516</v>
      </c>
      <c r="B20" s="19">
        <v>46047</v>
      </c>
      <c r="C20" s="3" t="s">
        <v>484</v>
      </c>
      <c r="D20" s="3" t="s">
        <v>485</v>
      </c>
      <c r="E20" s="24">
        <v>36960</v>
      </c>
      <c r="F20" s="3" t="s">
        <v>474</v>
      </c>
      <c r="G20" s="3"/>
      <c r="H20" s="3" t="s">
        <v>489</v>
      </c>
      <c r="I20" s="3" t="s">
        <v>298</v>
      </c>
      <c r="J20" s="3" t="s">
        <v>490</v>
      </c>
      <c r="K20" s="3" t="s">
        <v>484</v>
      </c>
      <c r="L20" s="3" t="s">
        <v>476</v>
      </c>
      <c r="M20" s="3"/>
      <c r="N20" s="24">
        <v>0</v>
      </c>
      <c r="O20" s="3"/>
      <c r="P20" s="5">
        <f>IF(A20="","",IF(COUNTIF(Типы,C20)=0,0,VLOOKUP(C20,СПРАВОЧНИКИ!$A$7:$E$22,2,FALSE)))</f>
        <v>1</v>
      </c>
      <c r="Q20" s="25">
        <f t="shared" si="0"/>
        <v>36960</v>
      </c>
      <c r="R20" s="5" t="str">
        <f>IF(A20="","",IF(COUNTIF(Типы,C20)=0,"НЕИЗВЕСТНЫЙ ТИП",VLOOKUP(C20,СПРАВОЧНИКИ!$A$7:$E$22,3,FALSE)))</f>
        <v>Операционный</v>
      </c>
      <c r="S20" s="26">
        <f>IF(A20="","",IF(L20="Проведён",E20*IF(COUNTIF(Типы,C20)=0,0,VLOOKUP(C20,СПРАВОЧНИКИ!$A$7:$E$22,4,FALSE)),0))</f>
        <v>36960</v>
      </c>
      <c r="T20" s="26">
        <f>IF(A20="","",IF(L20="Проведён",E20*IF(COUNTIF(Типы,C20)=0,0,VLOOKUP(C20,СПРАВОЧНИКИ!$A$7:$E$22,5,FALSE)),0))</f>
        <v>36960</v>
      </c>
      <c r="U20" s="5" t="str">
        <f>IF(A20="","",IF(COUNTIF(Контрагенты,H20)=0,"Не задан",VLOOKUP(H20,СПРАВОЧНИКИ!$G$7:$H$66,2,FALSE)))</f>
        <v>ЮЛ</v>
      </c>
      <c r="V20" s="4" t="str">
        <f>IF(A20="",IF(COUNTA(B20:O20)&gt;0,"НЕТ ID",""),IF(OR(AND(OR(C20="Оплата клиента",C20="Возврат клиенту"),COUNTIFS(Docs[ID],J20,Docs[Тип долга],"ДЗ")&lt;&gt;1),AND(OR(C20="Оплата поставщику",C20="Возврат поставщика"),COUNTIFS(Docs[ID],J20,Docs[Тип долга],"КЗ",Docs[Вид],"&lt;&gt;Дивиденды")&lt;&gt;1),AND(C20="Дивиденды",COUNTIFS(Docs[ID],J20,Docs[Вид],"Дивиденды")&lt;&gt;1),AND(C20="Проценты",COUNTIFS(Docs[ID],J20,Docs[Вид],"Проценты")&lt;&gt;1),COUNTIF(Cash[ID],A20)&gt;1,NOT(ISNUMBER(B20)),B20&lt;НачалоУчета,YEAR(B20)&lt;&gt;Год,NOT(ISNUMBER(E20)),E20&lt;=0,N20&lt;0,COUNTIF(Типы,C20)&lt;&gt;1,COUNTIF(Категории,D20)&lt;&gt;1,COUNTIF(Счета,F20)&lt;&gt;1,COUNTIF(Проекты,I20)&lt;&gt;1,AND(H20&lt;&gt;"",COUNTIF(Контрагенты,H20)&lt;&gt;1),AND(C20="Перевод",OR(F20=G20,COUNTIF(Счета,G20)&lt;&gt;1)),AND(S20&lt;&gt;0,COUNTIF(Docs[ID],J20)&lt;&gt;1),AND(Форма="ООО",C20="Вывод ИП"),AND(Форма="ИП",C20="Дивиденды"),AND(L20&lt;&gt;"Проведён",L20&lt;&gt;"Черновик")),"ОШИБКА","ОК"))</f>
        <v>ОК</v>
      </c>
      <c r="W20" s="25">
        <f>IF(A20="","",SUMIF(Accounts[Счёт],F20,Accounts[Начальный])+SUMIFS($Q$7:Q20,$F$7:F20,F20)+SUMIFS($E$7:E20,$G$7:G20,F20,$C$7:C20,"Перевод",$L$7:L20,"Проведён"))</f>
        <v>711600</v>
      </c>
    </row>
    <row r="21" spans="1:23" x14ac:dyDescent="0.25">
      <c r="A21" s="3" t="s">
        <v>517</v>
      </c>
      <c r="B21" s="19">
        <v>46047</v>
      </c>
      <c r="C21" s="3" t="s">
        <v>504</v>
      </c>
      <c r="D21" s="3" t="s">
        <v>518</v>
      </c>
      <c r="E21" s="24">
        <v>18000</v>
      </c>
      <c r="F21" s="3" t="s">
        <v>474</v>
      </c>
      <c r="G21" s="3"/>
      <c r="H21" s="3" t="s">
        <v>519</v>
      </c>
      <c r="I21" s="3" t="s">
        <v>383</v>
      </c>
      <c r="J21" s="3" t="s">
        <v>520</v>
      </c>
      <c r="K21" s="3" t="s">
        <v>504</v>
      </c>
      <c r="L21" s="3" t="s">
        <v>476</v>
      </c>
      <c r="M21" s="3"/>
      <c r="N21" s="24">
        <v>18000</v>
      </c>
      <c r="O21" s="3"/>
      <c r="P21" s="5">
        <f>IF(A21="","",IF(COUNTIF(Типы,C21)=0,0,VLOOKUP(C21,СПРАВОЧНИКИ!$A$7:$E$22,2,FALSE)))</f>
        <v>-1</v>
      </c>
      <c r="Q21" s="25">
        <f t="shared" si="0"/>
        <v>-18000</v>
      </c>
      <c r="R21" s="5" t="str">
        <f>IF(A21="","",IF(COUNTIF(Типы,C21)=0,"НЕИЗВЕСТНЫЙ ТИП",VLOOKUP(C21,СПРАВОЧНИКИ!$A$7:$E$22,3,FALSE)))</f>
        <v>Операционный</v>
      </c>
      <c r="S21" s="26">
        <f>IF(A21="","",IF(L21="Проведён",E21*IF(COUNTIF(Типы,C21)=0,0,VLOOKUP(C21,СПРАВОЧНИКИ!$A$7:$E$22,4,FALSE)),0))</f>
        <v>18000</v>
      </c>
      <c r="T21" s="26">
        <f>IF(A21="","",IF(L21="Проведён",E21*IF(COUNTIF(Типы,C21)=0,0,VLOOKUP(C21,СПРАВОЧНИКИ!$A$7:$E$22,5,FALSE)),0))</f>
        <v>0</v>
      </c>
      <c r="U21" s="5" t="str">
        <f>IF(A21="","",IF(COUNTIF(Контрагенты,H21)=0,"Не задан",VLOOKUP(H21,СПРАВОЧНИКИ!$G$7:$H$66,2,FALSE)))</f>
        <v>ЮЛ</v>
      </c>
      <c r="V21" s="4" t="str">
        <f>IF(A21="",IF(COUNTA(B21:O21)&gt;0,"НЕТ ID",""),IF(OR(AND(OR(C21="Оплата клиента",C21="Возврат клиенту"),COUNTIFS(Docs[ID],J21,Docs[Тип долга],"ДЗ")&lt;&gt;1),AND(OR(C21="Оплата поставщику",C21="Возврат поставщика"),COUNTIFS(Docs[ID],J21,Docs[Тип долга],"КЗ",Docs[Вид],"&lt;&gt;Дивиденды")&lt;&gt;1),AND(C21="Дивиденды",COUNTIFS(Docs[ID],J21,Docs[Вид],"Дивиденды")&lt;&gt;1),AND(C21="Проценты",COUNTIFS(Docs[ID],J21,Docs[Вид],"Проценты")&lt;&gt;1),COUNTIF(Cash[ID],A21)&gt;1,NOT(ISNUMBER(B21)),B21&lt;НачалоУчета,YEAR(B21)&lt;&gt;Год,NOT(ISNUMBER(E21)),E21&lt;=0,N21&lt;0,COUNTIF(Типы,C21)&lt;&gt;1,COUNTIF(Категории,D21)&lt;&gt;1,COUNTIF(Счета,F21)&lt;&gt;1,COUNTIF(Проекты,I21)&lt;&gt;1,AND(H21&lt;&gt;"",COUNTIF(Контрагенты,H21)&lt;&gt;1),AND(C21="Перевод",OR(F21=G21,COUNTIF(Счета,G21)&lt;&gt;1)),AND(S21&lt;&gt;0,COUNTIF(Docs[ID],J21)&lt;&gt;1),AND(Форма="ООО",C21="Вывод ИП"),AND(Форма="ИП",C21="Дивиденды"),AND(L21&lt;&gt;"Проведён",L21&lt;&gt;"Черновик")),"ОШИБКА","ОК"))</f>
        <v>ОК</v>
      </c>
      <c r="W21" s="25">
        <f>IF(A21="","",SUMIF(Accounts[Счёт],F21,Accounts[Начальный])+SUMIFS($Q$7:Q21,$F$7:F21,F21)+SUMIFS($E$7:E21,$G$7:G21,F21,$C$7:C21,"Перевод",$L$7:L21,"Проведён"))</f>
        <v>693600</v>
      </c>
    </row>
    <row r="22" spans="1:23" x14ac:dyDescent="0.25">
      <c r="A22" s="3" t="s">
        <v>521</v>
      </c>
      <c r="B22" s="19">
        <v>46048</v>
      </c>
      <c r="C22" s="3" t="s">
        <v>484</v>
      </c>
      <c r="D22" s="3" t="s">
        <v>485</v>
      </c>
      <c r="E22" s="24">
        <v>30240</v>
      </c>
      <c r="F22" s="3" t="s">
        <v>474</v>
      </c>
      <c r="G22" s="3"/>
      <c r="H22" s="3" t="s">
        <v>492</v>
      </c>
      <c r="I22" s="3" t="s">
        <v>382</v>
      </c>
      <c r="J22" s="3" t="s">
        <v>493</v>
      </c>
      <c r="K22" s="3" t="s">
        <v>484</v>
      </c>
      <c r="L22" s="3" t="s">
        <v>476</v>
      </c>
      <c r="M22" s="3"/>
      <c r="N22" s="24">
        <v>0</v>
      </c>
      <c r="O22" s="3"/>
      <c r="P22" s="5">
        <f>IF(A22="","",IF(COUNTIF(Типы,C22)=0,0,VLOOKUP(C22,СПРАВОЧНИКИ!$A$7:$E$22,2,FALSE)))</f>
        <v>1</v>
      </c>
      <c r="Q22" s="25">
        <f t="shared" si="0"/>
        <v>30240</v>
      </c>
      <c r="R22" s="5" t="str">
        <f>IF(A22="","",IF(COUNTIF(Типы,C22)=0,"НЕИЗВЕСТНЫЙ ТИП",VLOOKUP(C22,СПРАВОЧНИКИ!$A$7:$E$22,3,FALSE)))</f>
        <v>Операционный</v>
      </c>
      <c r="S22" s="26">
        <f>IF(A22="","",IF(L22="Проведён",E22*IF(COUNTIF(Типы,C22)=0,0,VLOOKUP(C22,СПРАВОЧНИКИ!$A$7:$E$22,4,FALSE)),0))</f>
        <v>30240</v>
      </c>
      <c r="T22" s="26">
        <f>IF(A22="","",IF(L22="Проведён",E22*IF(COUNTIF(Типы,C22)=0,0,VLOOKUP(C22,СПРАВОЧНИКИ!$A$7:$E$22,5,FALSE)),0))</f>
        <v>30240</v>
      </c>
      <c r="U22" s="5" t="str">
        <f>IF(A22="","",IF(COUNTIF(Контрагенты,H22)=0,"Не задан",VLOOKUP(H22,СПРАВОЧНИКИ!$G$7:$H$66,2,FALSE)))</f>
        <v>ИП</v>
      </c>
      <c r="V22" s="4" t="str">
        <f>IF(A22="",IF(COUNTA(B22:O22)&gt;0,"НЕТ ID",""),IF(OR(AND(OR(C22="Оплата клиента",C22="Возврат клиенту"),COUNTIFS(Docs[ID],J22,Docs[Тип долга],"ДЗ")&lt;&gt;1),AND(OR(C22="Оплата поставщику",C22="Возврат поставщика"),COUNTIFS(Docs[ID],J22,Docs[Тип долга],"КЗ",Docs[Вид],"&lt;&gt;Дивиденды")&lt;&gt;1),AND(C22="Дивиденды",COUNTIFS(Docs[ID],J22,Docs[Вид],"Дивиденды")&lt;&gt;1),AND(C22="Проценты",COUNTIFS(Docs[ID],J22,Docs[Вид],"Проценты")&lt;&gt;1),COUNTIF(Cash[ID],A22)&gt;1,NOT(ISNUMBER(B22)),B22&lt;НачалоУчета,YEAR(B22)&lt;&gt;Год,NOT(ISNUMBER(E22)),E22&lt;=0,N22&lt;0,COUNTIF(Типы,C22)&lt;&gt;1,COUNTIF(Категории,D22)&lt;&gt;1,COUNTIF(Счета,F22)&lt;&gt;1,COUNTIF(Проекты,I22)&lt;&gt;1,AND(H22&lt;&gt;"",COUNTIF(Контрагенты,H22)&lt;&gt;1),AND(C22="Перевод",OR(F22=G22,COUNTIF(Счета,G22)&lt;&gt;1)),AND(S22&lt;&gt;0,COUNTIF(Docs[ID],J22)&lt;&gt;1),AND(Форма="ООО",C22="Вывод ИП"),AND(Форма="ИП",C22="Дивиденды"),AND(L22&lt;&gt;"Проведён",L22&lt;&gt;"Черновик")),"ОШИБКА","ОК"))</f>
        <v>ОК</v>
      </c>
      <c r="W22" s="25">
        <f>IF(A22="","",SUMIF(Accounts[Счёт],F22,Accounts[Начальный])+SUMIFS($Q$7:Q22,$F$7:F22,F22)+SUMIFS($E$7:E22,$G$7:G22,F22,$C$7:C22,"Перевод",$L$7:L22,"Проведён"))</f>
        <v>723840</v>
      </c>
    </row>
    <row r="23" spans="1:23" x14ac:dyDescent="0.25">
      <c r="A23" s="3" t="s">
        <v>522</v>
      </c>
      <c r="B23" s="19">
        <v>46048</v>
      </c>
      <c r="C23" s="3" t="s">
        <v>504</v>
      </c>
      <c r="D23" s="3" t="s">
        <v>523</v>
      </c>
      <c r="E23" s="24">
        <v>78300</v>
      </c>
      <c r="F23" s="3" t="s">
        <v>474</v>
      </c>
      <c r="G23" s="3"/>
      <c r="H23" s="3" t="s">
        <v>52</v>
      </c>
      <c r="I23" s="3" t="s">
        <v>383</v>
      </c>
      <c r="J23" s="3" t="s">
        <v>524</v>
      </c>
      <c r="K23" s="3" t="s">
        <v>504</v>
      </c>
      <c r="L23" s="3" t="s">
        <v>476</v>
      </c>
      <c r="M23" s="3"/>
      <c r="N23" s="24">
        <v>78300</v>
      </c>
      <c r="O23" s="3"/>
      <c r="P23" s="5">
        <f>IF(A23="","",IF(COUNTIF(Типы,C23)=0,0,VLOOKUP(C23,СПРАВОЧНИКИ!$A$7:$E$22,2,FALSE)))</f>
        <v>-1</v>
      </c>
      <c r="Q23" s="25">
        <f t="shared" si="0"/>
        <v>-78300</v>
      </c>
      <c r="R23" s="5" t="str">
        <f>IF(A23="","",IF(COUNTIF(Типы,C23)=0,"НЕИЗВЕСТНЫЙ ТИП",VLOOKUP(C23,СПРАВОЧНИКИ!$A$7:$E$22,3,FALSE)))</f>
        <v>Операционный</v>
      </c>
      <c r="S23" s="26">
        <f>IF(A23="","",IF(L23="Проведён",E23*IF(COUNTIF(Типы,C23)=0,0,VLOOKUP(C23,СПРАВОЧНИКИ!$A$7:$E$22,4,FALSE)),0))</f>
        <v>78300</v>
      </c>
      <c r="T23" s="26">
        <f>IF(A23="","",IF(L23="Проведён",E23*IF(COUNTIF(Типы,C23)=0,0,VLOOKUP(C23,СПРАВОЧНИКИ!$A$7:$E$22,5,FALSE)),0))</f>
        <v>0</v>
      </c>
      <c r="U23" s="5" t="str">
        <f>IF(A23="","",IF(COUNTIF(Контрагенты,H23)=0,"Не задан",VLOOKUP(H23,СПРАВОЧНИКИ!$G$7:$H$66,2,FALSE)))</f>
        <v>ФЛ</v>
      </c>
      <c r="V23" s="4" t="str">
        <f>IF(A23="",IF(COUNTA(B23:O23)&gt;0,"НЕТ ID",""),IF(OR(AND(OR(C23="Оплата клиента",C23="Возврат клиенту"),COUNTIFS(Docs[ID],J23,Docs[Тип долга],"ДЗ")&lt;&gt;1),AND(OR(C23="Оплата поставщику",C23="Возврат поставщика"),COUNTIFS(Docs[ID],J23,Docs[Тип долга],"КЗ",Docs[Вид],"&lt;&gt;Дивиденды")&lt;&gt;1),AND(C23="Дивиденды",COUNTIFS(Docs[ID],J23,Docs[Вид],"Дивиденды")&lt;&gt;1),AND(C23="Проценты",COUNTIFS(Docs[ID],J23,Docs[Вид],"Проценты")&lt;&gt;1),COUNTIF(Cash[ID],A23)&gt;1,NOT(ISNUMBER(B23)),B23&lt;НачалоУчета,YEAR(B23)&lt;&gt;Год,NOT(ISNUMBER(E23)),E23&lt;=0,N23&lt;0,COUNTIF(Типы,C23)&lt;&gt;1,COUNTIF(Категории,D23)&lt;&gt;1,COUNTIF(Счета,F23)&lt;&gt;1,COUNTIF(Проекты,I23)&lt;&gt;1,AND(H23&lt;&gt;"",COUNTIF(Контрагенты,H23)&lt;&gt;1),AND(C23="Перевод",OR(F23=G23,COUNTIF(Счета,G23)&lt;&gt;1)),AND(S23&lt;&gt;0,COUNTIF(Docs[ID],J23)&lt;&gt;1),AND(Форма="ООО",C23="Вывод ИП"),AND(Форма="ИП",C23="Дивиденды"),AND(L23&lt;&gt;"Проведён",L23&lt;&gt;"Черновик")),"ОШИБКА","ОК"))</f>
        <v>ОК</v>
      </c>
      <c r="W23" s="25">
        <f>IF(A23="","",SUMIF(Accounts[Счёт],F23,Accounts[Начальный])+SUMIFS($Q$7:Q23,$F$7:F23,F23)+SUMIFS($E$7:E23,$G$7:G23,F23,$C$7:C23,"Перевод",$L$7:L23,"Проведён"))</f>
        <v>645540</v>
      </c>
    </row>
    <row r="24" spans="1:23" x14ac:dyDescent="0.25">
      <c r="A24" s="3" t="s">
        <v>525</v>
      </c>
      <c r="B24" s="19">
        <v>46049</v>
      </c>
      <c r="C24" s="3" t="s">
        <v>484</v>
      </c>
      <c r="D24" s="3" t="s">
        <v>485</v>
      </c>
      <c r="E24" s="24">
        <v>23520</v>
      </c>
      <c r="F24" s="3" t="s">
        <v>474</v>
      </c>
      <c r="G24" s="3"/>
      <c r="H24" s="3" t="s">
        <v>495</v>
      </c>
      <c r="I24" s="3" t="s">
        <v>381</v>
      </c>
      <c r="J24" s="3" t="s">
        <v>496</v>
      </c>
      <c r="K24" s="3" t="s">
        <v>484</v>
      </c>
      <c r="L24" s="3" t="s">
        <v>476</v>
      </c>
      <c r="M24" s="3"/>
      <c r="N24" s="24">
        <v>0</v>
      </c>
      <c r="O24" s="3"/>
      <c r="P24" s="5">
        <f>IF(A24="","",IF(COUNTIF(Типы,C24)=0,0,VLOOKUP(C24,СПРАВОЧНИКИ!$A$7:$E$22,2,FALSE)))</f>
        <v>1</v>
      </c>
      <c r="Q24" s="25">
        <f t="shared" si="0"/>
        <v>23520</v>
      </c>
      <c r="R24" s="5" t="str">
        <f>IF(A24="","",IF(COUNTIF(Типы,C24)=0,"НЕИЗВЕСТНЫЙ ТИП",VLOOKUP(C24,СПРАВОЧНИКИ!$A$7:$E$22,3,FALSE)))</f>
        <v>Операционный</v>
      </c>
      <c r="S24" s="26">
        <f>IF(A24="","",IF(L24="Проведён",E24*IF(COUNTIF(Типы,C24)=0,0,VLOOKUP(C24,СПРАВОЧНИКИ!$A$7:$E$22,4,FALSE)),0))</f>
        <v>23520</v>
      </c>
      <c r="T24" s="26">
        <f>IF(A24="","",IF(L24="Проведён",E24*IF(COUNTIF(Типы,C24)=0,0,VLOOKUP(C24,СПРАВОЧНИКИ!$A$7:$E$22,5,FALSE)),0))</f>
        <v>23520</v>
      </c>
      <c r="U24" s="5" t="str">
        <f>IF(A24="","",IF(COUNTIF(Контрагенты,H24)=0,"Не задан",VLOOKUP(H24,СПРАВОЧНИКИ!$G$7:$H$66,2,FALSE)))</f>
        <v>ЮЛ</v>
      </c>
      <c r="V24" s="4" t="str">
        <f>IF(A24="",IF(COUNTA(B24:O24)&gt;0,"НЕТ ID",""),IF(OR(AND(OR(C24="Оплата клиента",C24="Возврат клиенту"),COUNTIFS(Docs[ID],J24,Docs[Тип долга],"ДЗ")&lt;&gt;1),AND(OR(C24="Оплата поставщику",C24="Возврат поставщика"),COUNTIFS(Docs[ID],J24,Docs[Тип долга],"КЗ",Docs[Вид],"&lt;&gt;Дивиденды")&lt;&gt;1),AND(C24="Дивиденды",COUNTIFS(Docs[ID],J24,Docs[Вид],"Дивиденды")&lt;&gt;1),AND(C24="Проценты",COUNTIFS(Docs[ID],J24,Docs[Вид],"Проценты")&lt;&gt;1),COUNTIF(Cash[ID],A24)&gt;1,NOT(ISNUMBER(B24)),B24&lt;НачалоУчета,YEAR(B24)&lt;&gt;Год,NOT(ISNUMBER(E24)),E24&lt;=0,N24&lt;0,COUNTIF(Типы,C24)&lt;&gt;1,COUNTIF(Категории,D24)&lt;&gt;1,COUNTIF(Счета,F24)&lt;&gt;1,COUNTIF(Проекты,I24)&lt;&gt;1,AND(H24&lt;&gt;"",COUNTIF(Контрагенты,H24)&lt;&gt;1),AND(C24="Перевод",OR(F24=G24,COUNTIF(Счета,G24)&lt;&gt;1)),AND(S24&lt;&gt;0,COUNTIF(Docs[ID],J24)&lt;&gt;1),AND(Форма="ООО",C24="Вывод ИП"),AND(Форма="ИП",C24="Дивиденды"),AND(L24&lt;&gt;"Проведён",L24&lt;&gt;"Черновик")),"ОШИБКА","ОК"))</f>
        <v>ОК</v>
      </c>
      <c r="W24" s="25">
        <f>IF(A24="","",SUMIF(Accounts[Счёт],F24,Accounts[Начальный])+SUMIFS($Q$7:Q24,$F$7:F24,F24)+SUMIFS($E$7:E24,$G$7:G24,F24,$C$7:C24,"Перевод",$L$7:L24,"Проведён"))</f>
        <v>669060</v>
      </c>
    </row>
    <row r="25" spans="1:23" x14ac:dyDescent="0.25">
      <c r="A25" s="3" t="s">
        <v>526</v>
      </c>
      <c r="B25" s="19">
        <v>46049</v>
      </c>
      <c r="C25" s="3" t="s">
        <v>504</v>
      </c>
      <c r="D25" s="3" t="s">
        <v>527</v>
      </c>
      <c r="E25" s="24">
        <v>11700</v>
      </c>
      <c r="F25" s="3" t="s">
        <v>474</v>
      </c>
      <c r="G25" s="3"/>
      <c r="H25" s="3" t="s">
        <v>528</v>
      </c>
      <c r="I25" s="3" t="s">
        <v>383</v>
      </c>
      <c r="J25" s="3" t="s">
        <v>529</v>
      </c>
      <c r="K25" s="3" t="s">
        <v>504</v>
      </c>
      <c r="L25" s="3" t="s">
        <v>476</v>
      </c>
      <c r="M25" s="3"/>
      <c r="N25" s="24">
        <v>11700</v>
      </c>
      <c r="O25" s="3"/>
      <c r="P25" s="5">
        <f>IF(A25="","",IF(COUNTIF(Типы,C25)=0,0,VLOOKUP(C25,СПРАВОЧНИКИ!$A$7:$E$22,2,FALSE)))</f>
        <v>-1</v>
      </c>
      <c r="Q25" s="25">
        <f t="shared" si="0"/>
        <v>-11700</v>
      </c>
      <c r="R25" s="5" t="str">
        <f>IF(A25="","",IF(COUNTIF(Типы,C25)=0,"НЕИЗВЕСТНЫЙ ТИП",VLOOKUP(C25,СПРАВОЧНИКИ!$A$7:$E$22,3,FALSE)))</f>
        <v>Операционный</v>
      </c>
      <c r="S25" s="26">
        <f>IF(A25="","",IF(L25="Проведён",E25*IF(COUNTIF(Типы,C25)=0,0,VLOOKUP(C25,СПРАВОЧНИКИ!$A$7:$E$22,4,FALSE)),0))</f>
        <v>11700</v>
      </c>
      <c r="T25" s="26">
        <f>IF(A25="","",IF(L25="Проведён",E25*IF(COUNTIF(Типы,C25)=0,0,VLOOKUP(C25,СПРАВОЧНИКИ!$A$7:$E$22,5,FALSE)),0))</f>
        <v>0</v>
      </c>
      <c r="U25" s="5" t="str">
        <f>IF(A25="","",IF(COUNTIF(Контрагенты,H25)=0,"Не задан",VLOOKUP(H25,СПРАВОЧНИКИ!$G$7:$H$66,2,FALSE)))</f>
        <v>ЮЛ</v>
      </c>
      <c r="V25" s="4" t="str">
        <f>IF(A25="",IF(COUNTA(B25:O25)&gt;0,"НЕТ ID",""),IF(OR(AND(OR(C25="Оплата клиента",C25="Возврат клиенту"),COUNTIFS(Docs[ID],J25,Docs[Тип долга],"ДЗ")&lt;&gt;1),AND(OR(C25="Оплата поставщику",C25="Возврат поставщика"),COUNTIFS(Docs[ID],J25,Docs[Тип долга],"КЗ",Docs[Вид],"&lt;&gt;Дивиденды")&lt;&gt;1),AND(C25="Дивиденды",COUNTIFS(Docs[ID],J25,Docs[Вид],"Дивиденды")&lt;&gt;1),AND(C25="Проценты",COUNTIFS(Docs[ID],J25,Docs[Вид],"Проценты")&lt;&gt;1),COUNTIF(Cash[ID],A25)&gt;1,NOT(ISNUMBER(B25)),B25&lt;НачалоУчета,YEAR(B25)&lt;&gt;Год,NOT(ISNUMBER(E25)),E25&lt;=0,N25&lt;0,COUNTIF(Типы,C25)&lt;&gt;1,COUNTIF(Категории,D25)&lt;&gt;1,COUNTIF(Счета,F25)&lt;&gt;1,COUNTIF(Проекты,I25)&lt;&gt;1,AND(H25&lt;&gt;"",COUNTIF(Контрагенты,H25)&lt;&gt;1),AND(C25="Перевод",OR(F25=G25,COUNTIF(Счета,G25)&lt;&gt;1)),AND(S25&lt;&gt;0,COUNTIF(Docs[ID],J25)&lt;&gt;1),AND(Форма="ООО",C25="Вывод ИП"),AND(Форма="ИП",C25="Дивиденды"),AND(L25&lt;&gt;"Проведён",L25&lt;&gt;"Черновик")),"ОШИБКА","ОК"))</f>
        <v>ОК</v>
      </c>
      <c r="W25" s="25">
        <f>IF(A25="","",SUMIF(Accounts[Счёт],F25,Accounts[Начальный])+SUMIFS($Q$7:Q25,$F$7:F25,F25)+SUMIFS($E$7:E25,$G$7:G25,F25,$C$7:C25,"Перевод",$L$7:L25,"Проведён"))</f>
        <v>657360</v>
      </c>
    </row>
    <row r="26" spans="1:23" x14ac:dyDescent="0.25">
      <c r="A26" s="3" t="s">
        <v>530</v>
      </c>
      <c r="B26" s="19">
        <v>46050</v>
      </c>
      <c r="C26" s="3" t="s">
        <v>484</v>
      </c>
      <c r="D26" s="3" t="s">
        <v>485</v>
      </c>
      <c r="E26" s="24">
        <v>16800</v>
      </c>
      <c r="F26" s="3" t="s">
        <v>474</v>
      </c>
      <c r="G26" s="3"/>
      <c r="H26" s="3" t="s">
        <v>498</v>
      </c>
      <c r="I26" s="3" t="s">
        <v>298</v>
      </c>
      <c r="J26" s="3" t="s">
        <v>499</v>
      </c>
      <c r="K26" s="3" t="s">
        <v>484</v>
      </c>
      <c r="L26" s="3" t="s">
        <v>476</v>
      </c>
      <c r="M26" s="3"/>
      <c r="N26" s="24">
        <v>0</v>
      </c>
      <c r="O26" s="3"/>
      <c r="P26" s="5">
        <f>IF(A26="","",IF(COUNTIF(Типы,C26)=0,0,VLOOKUP(C26,СПРАВОЧНИКИ!$A$7:$E$22,2,FALSE)))</f>
        <v>1</v>
      </c>
      <c r="Q26" s="25">
        <f t="shared" si="0"/>
        <v>16800</v>
      </c>
      <c r="R26" s="5" t="str">
        <f>IF(A26="","",IF(COUNTIF(Типы,C26)=0,"НЕИЗВЕСТНЫЙ ТИП",VLOOKUP(C26,СПРАВОЧНИКИ!$A$7:$E$22,3,FALSE)))</f>
        <v>Операционный</v>
      </c>
      <c r="S26" s="26">
        <f>IF(A26="","",IF(L26="Проведён",E26*IF(COUNTIF(Типы,C26)=0,0,VLOOKUP(C26,СПРАВОЧНИКИ!$A$7:$E$22,4,FALSE)),0))</f>
        <v>16800</v>
      </c>
      <c r="T26" s="26">
        <f>IF(A26="","",IF(L26="Проведён",E26*IF(COUNTIF(Типы,C26)=0,0,VLOOKUP(C26,СПРАВОЧНИКИ!$A$7:$E$22,5,FALSE)),0))</f>
        <v>16800</v>
      </c>
      <c r="U26" s="5" t="str">
        <f>IF(A26="","",IF(COUNTIF(Контрагенты,H26)=0,"Не задан",VLOOKUP(H26,СПРАВОЧНИКИ!$G$7:$H$66,2,FALSE)))</f>
        <v>ФЛ</v>
      </c>
      <c r="V26" s="4" t="str">
        <f>IF(A26="",IF(COUNTA(B26:O26)&gt;0,"НЕТ ID",""),IF(OR(AND(OR(C26="Оплата клиента",C26="Возврат клиенту"),COUNTIFS(Docs[ID],J26,Docs[Тип долга],"ДЗ")&lt;&gt;1),AND(OR(C26="Оплата поставщику",C26="Возврат поставщика"),COUNTIFS(Docs[ID],J26,Docs[Тип долга],"КЗ",Docs[Вид],"&lt;&gt;Дивиденды")&lt;&gt;1),AND(C26="Дивиденды",COUNTIFS(Docs[ID],J26,Docs[Вид],"Дивиденды")&lt;&gt;1),AND(C26="Проценты",COUNTIFS(Docs[ID],J26,Docs[Вид],"Проценты")&lt;&gt;1),COUNTIF(Cash[ID],A26)&gt;1,NOT(ISNUMBER(B26)),B26&lt;НачалоУчета,YEAR(B26)&lt;&gt;Год,NOT(ISNUMBER(E26)),E26&lt;=0,N26&lt;0,COUNTIF(Типы,C26)&lt;&gt;1,COUNTIF(Категории,D26)&lt;&gt;1,COUNTIF(Счета,F26)&lt;&gt;1,COUNTIF(Проекты,I26)&lt;&gt;1,AND(H26&lt;&gt;"",COUNTIF(Контрагенты,H26)&lt;&gt;1),AND(C26="Перевод",OR(F26=G26,COUNTIF(Счета,G26)&lt;&gt;1)),AND(S26&lt;&gt;0,COUNTIF(Docs[ID],J26)&lt;&gt;1),AND(Форма="ООО",C26="Вывод ИП"),AND(Форма="ИП",C26="Дивиденды"),AND(L26&lt;&gt;"Проведён",L26&lt;&gt;"Черновик")),"ОШИБКА","ОК"))</f>
        <v>ОК</v>
      </c>
      <c r="W26" s="25">
        <f>IF(A26="","",SUMIF(Accounts[Счёт],F26,Accounts[Начальный])+SUMIFS($Q$7:Q26,$F$7:F26,F26)+SUMIFS($E$7:E26,$G$7:G26,F26,$C$7:C26,"Перевод",$L$7:L26,"Проведён"))</f>
        <v>674160</v>
      </c>
    </row>
    <row r="27" spans="1:23" x14ac:dyDescent="0.25">
      <c r="A27" s="3" t="s">
        <v>531</v>
      </c>
      <c r="B27" s="19">
        <v>46050</v>
      </c>
      <c r="C27" s="3" t="s">
        <v>504</v>
      </c>
      <c r="D27" s="3" t="s">
        <v>532</v>
      </c>
      <c r="E27" s="24">
        <v>27000</v>
      </c>
      <c r="F27" s="3" t="s">
        <v>474</v>
      </c>
      <c r="G27" s="3"/>
      <c r="H27" s="3" t="s">
        <v>528</v>
      </c>
      <c r="I27" s="3" t="s">
        <v>383</v>
      </c>
      <c r="J27" s="3" t="s">
        <v>533</v>
      </c>
      <c r="K27" s="3" t="s">
        <v>504</v>
      </c>
      <c r="L27" s="3" t="s">
        <v>476</v>
      </c>
      <c r="M27" s="3"/>
      <c r="N27" s="24">
        <v>27000</v>
      </c>
      <c r="O27" s="3"/>
      <c r="P27" s="5">
        <f>IF(A27="","",IF(COUNTIF(Типы,C27)=0,0,VLOOKUP(C27,СПРАВОЧНИКИ!$A$7:$E$22,2,FALSE)))</f>
        <v>-1</v>
      </c>
      <c r="Q27" s="25">
        <f t="shared" si="0"/>
        <v>-27000</v>
      </c>
      <c r="R27" s="5" t="str">
        <f>IF(A27="","",IF(COUNTIF(Типы,C27)=0,"НЕИЗВЕСТНЫЙ ТИП",VLOOKUP(C27,СПРАВОЧНИКИ!$A$7:$E$22,3,FALSE)))</f>
        <v>Операционный</v>
      </c>
      <c r="S27" s="26">
        <f>IF(A27="","",IF(L27="Проведён",E27*IF(COUNTIF(Типы,C27)=0,0,VLOOKUP(C27,СПРАВОЧНИКИ!$A$7:$E$22,4,FALSE)),0))</f>
        <v>27000</v>
      </c>
      <c r="T27" s="26">
        <f>IF(A27="","",IF(L27="Проведён",E27*IF(COUNTIF(Типы,C27)=0,0,VLOOKUP(C27,СПРАВОЧНИКИ!$A$7:$E$22,5,FALSE)),0))</f>
        <v>0</v>
      </c>
      <c r="U27" s="5" t="str">
        <f>IF(A27="","",IF(COUNTIF(Контрагенты,H27)=0,"Не задан",VLOOKUP(H27,СПРАВОЧНИКИ!$G$7:$H$66,2,FALSE)))</f>
        <v>ЮЛ</v>
      </c>
      <c r="V27" s="4" t="str">
        <f>IF(A27="",IF(COUNTA(B27:O27)&gt;0,"НЕТ ID",""),IF(OR(AND(OR(C27="Оплата клиента",C27="Возврат клиенту"),COUNTIFS(Docs[ID],J27,Docs[Тип долга],"ДЗ")&lt;&gt;1),AND(OR(C27="Оплата поставщику",C27="Возврат поставщика"),COUNTIFS(Docs[ID],J27,Docs[Тип долга],"КЗ",Docs[Вид],"&lt;&gt;Дивиденды")&lt;&gt;1),AND(C27="Дивиденды",COUNTIFS(Docs[ID],J27,Docs[Вид],"Дивиденды")&lt;&gt;1),AND(C27="Проценты",COUNTIFS(Docs[ID],J27,Docs[Вид],"Проценты")&lt;&gt;1),COUNTIF(Cash[ID],A27)&gt;1,NOT(ISNUMBER(B27)),B27&lt;НачалоУчета,YEAR(B27)&lt;&gt;Год,NOT(ISNUMBER(E27)),E27&lt;=0,N27&lt;0,COUNTIF(Типы,C27)&lt;&gt;1,COUNTIF(Категории,D27)&lt;&gt;1,COUNTIF(Счета,F27)&lt;&gt;1,COUNTIF(Проекты,I27)&lt;&gt;1,AND(H27&lt;&gt;"",COUNTIF(Контрагенты,H27)&lt;&gt;1),AND(C27="Перевод",OR(F27=G27,COUNTIF(Счета,G27)&lt;&gt;1)),AND(S27&lt;&gt;0,COUNTIF(Docs[ID],J27)&lt;&gt;1),AND(Форма="ООО",C27="Вывод ИП"),AND(Форма="ИП",C27="Дивиденды"),AND(L27&lt;&gt;"Проведён",L27&lt;&gt;"Черновик")),"ОШИБКА","ОК"))</f>
        <v>ОК</v>
      </c>
      <c r="W27" s="25">
        <f>IF(A27="","",SUMIF(Accounts[Счёт],F27,Accounts[Начальный])+SUMIFS($Q$7:Q27,$F$7:F27,F27)+SUMIFS($E$7:E27,$G$7:G27,F27,$C$7:C27,"Перевод",$L$7:L27,"Проведён"))</f>
        <v>647160</v>
      </c>
    </row>
    <row r="28" spans="1:23" x14ac:dyDescent="0.25">
      <c r="A28" s="3" t="s">
        <v>534</v>
      </c>
      <c r="B28" s="19">
        <v>46050</v>
      </c>
      <c r="C28" s="3" t="s">
        <v>130</v>
      </c>
      <c r="D28" s="3" t="s">
        <v>130</v>
      </c>
      <c r="E28" s="24">
        <v>4500</v>
      </c>
      <c r="F28" s="3" t="s">
        <v>474</v>
      </c>
      <c r="G28" s="3"/>
      <c r="H28" s="3" t="s">
        <v>397</v>
      </c>
      <c r="I28" s="3" t="s">
        <v>383</v>
      </c>
      <c r="J28" s="3" t="s">
        <v>535</v>
      </c>
      <c r="K28" s="3" t="s">
        <v>130</v>
      </c>
      <c r="L28" s="3" t="s">
        <v>476</v>
      </c>
      <c r="M28" s="3"/>
      <c r="N28" s="24">
        <v>4500</v>
      </c>
      <c r="O28" s="3"/>
      <c r="P28" s="5">
        <f>IF(A28="","",IF(COUNTIF(Типы,C28)=0,0,VLOOKUP(C28,СПРАВОЧНИКИ!$A$7:$E$22,2,FALSE)))</f>
        <v>-1</v>
      </c>
      <c r="Q28" s="25">
        <f t="shared" si="0"/>
        <v>-4500</v>
      </c>
      <c r="R28" s="5" t="str">
        <f>IF(A28="","",IF(COUNTIF(Типы,C28)=0,"НЕИЗВЕСТНЫЙ ТИП",VLOOKUP(C28,СПРАВОЧНИКИ!$A$7:$E$22,3,FALSE)))</f>
        <v>Операционный</v>
      </c>
      <c r="S28" s="26">
        <f>IF(A28="","",IF(L28="Проведён",E28*IF(COUNTIF(Типы,C28)=0,0,VLOOKUP(C28,СПРАВОЧНИКИ!$A$7:$E$22,4,FALSE)),0))</f>
        <v>4500</v>
      </c>
      <c r="T28" s="26">
        <f>IF(A28="","",IF(L28="Проведён",E28*IF(COUNTIF(Типы,C28)=0,0,VLOOKUP(C28,СПРАВОЧНИКИ!$A$7:$E$22,5,FALSE)),0))</f>
        <v>0</v>
      </c>
      <c r="U28" s="5" t="str">
        <f>IF(A28="","",IF(COUNTIF(Контрагенты,H28)=0,"Не задан",VLOOKUP(H28,СПРАВОЧНИКИ!$G$7:$H$66,2,FALSE)))</f>
        <v>ЮЛ</v>
      </c>
      <c r="V28" s="4" t="str">
        <f>IF(A28="",IF(COUNTA(B28:O28)&gt;0,"НЕТ ID",""),IF(OR(AND(OR(C28="Оплата клиента",C28="Возврат клиенту"),COUNTIFS(Docs[ID],J28,Docs[Тип долга],"ДЗ")&lt;&gt;1),AND(OR(C28="Оплата поставщику",C28="Возврат поставщика"),COUNTIFS(Docs[ID],J28,Docs[Тип долга],"КЗ",Docs[Вид],"&lt;&gt;Дивиденды")&lt;&gt;1),AND(C28="Дивиденды",COUNTIFS(Docs[ID],J28,Docs[Вид],"Дивиденды")&lt;&gt;1),AND(C28="Проценты",COUNTIFS(Docs[ID],J28,Docs[Вид],"Проценты")&lt;&gt;1),COUNTIF(Cash[ID],A28)&gt;1,NOT(ISNUMBER(B28)),B28&lt;НачалоУчета,YEAR(B28)&lt;&gt;Год,NOT(ISNUMBER(E28)),E28&lt;=0,N28&lt;0,COUNTIF(Типы,C28)&lt;&gt;1,COUNTIF(Категории,D28)&lt;&gt;1,COUNTIF(Счета,F28)&lt;&gt;1,COUNTIF(Проекты,I28)&lt;&gt;1,AND(H28&lt;&gt;"",COUNTIF(Контрагенты,H28)&lt;&gt;1),AND(C28="Перевод",OR(F28=G28,COUNTIF(Счета,G28)&lt;&gt;1)),AND(S28&lt;&gt;0,COUNTIF(Docs[ID],J28)&lt;&gt;1),AND(Форма="ООО",C28="Вывод ИП"),AND(Форма="ИП",C28="Дивиденды"),AND(L28&lt;&gt;"Проведён",L28&lt;&gt;"Черновик")),"ОШИБКА","ОК"))</f>
        <v>ОК</v>
      </c>
      <c r="W28" s="25">
        <f>IF(A28="","",SUMIF(Accounts[Счёт],F28,Accounts[Начальный])+SUMIFS($Q$7:Q28,$F$7:F28,F28)+SUMIFS($E$7:E28,$G$7:G28,F28,$C$7:C28,"Перевод",$L$7:L28,"Проведён"))</f>
        <v>642660</v>
      </c>
    </row>
    <row r="29" spans="1:23" x14ac:dyDescent="0.25">
      <c r="A29" s="3" t="s">
        <v>536</v>
      </c>
      <c r="B29" s="19">
        <v>46050</v>
      </c>
      <c r="C29" s="3" t="s">
        <v>537</v>
      </c>
      <c r="D29" s="3" t="s">
        <v>479</v>
      </c>
      <c r="E29" s="24">
        <v>10477.23</v>
      </c>
      <c r="F29" s="3" t="s">
        <v>474</v>
      </c>
      <c r="G29" s="3"/>
      <c r="H29" s="3" t="s">
        <v>397</v>
      </c>
      <c r="I29" s="3" t="s">
        <v>383</v>
      </c>
      <c r="J29" s="3" t="s">
        <v>394</v>
      </c>
      <c r="K29" s="3" t="s">
        <v>537</v>
      </c>
      <c r="L29" s="3" t="s">
        <v>476</v>
      </c>
      <c r="M29" s="3"/>
      <c r="N29" s="24">
        <v>0</v>
      </c>
      <c r="O29" s="3"/>
      <c r="P29" s="5">
        <f>IF(A29="","",IF(COUNTIF(Типы,C29)=0,0,VLOOKUP(C29,СПРАВОЧНИКИ!$A$7:$E$22,2,FALSE)))</f>
        <v>-1</v>
      </c>
      <c r="Q29" s="25">
        <f t="shared" si="0"/>
        <v>-10477.23</v>
      </c>
      <c r="R29" s="5" t="str">
        <f>IF(A29="","",IF(COUNTIF(Типы,C29)=0,"НЕИЗВЕСТНЫЙ ТИП",VLOOKUP(C29,СПРАВОЧНИКИ!$A$7:$E$22,3,FALSE)))</f>
        <v>Финансовый</v>
      </c>
      <c r="S29" s="26">
        <f>IF(A29="","",IF(L29="Проведён",E29*IF(COUNTIF(Типы,C29)=0,0,VLOOKUP(C29,СПРАВОЧНИКИ!$A$7:$E$22,4,FALSE)),0))</f>
        <v>0</v>
      </c>
      <c r="T29" s="26">
        <f>IF(A29="","",IF(L29="Проведён",E29*IF(COUNTIF(Типы,C29)=0,0,VLOOKUP(C29,СПРАВОЧНИКИ!$A$7:$E$22,5,FALSE)),0))</f>
        <v>0</v>
      </c>
      <c r="U29" s="5" t="str">
        <f>IF(A29="","",IF(COUNTIF(Контрагенты,H29)=0,"Не задан",VLOOKUP(H29,СПРАВОЧНИКИ!$G$7:$H$66,2,FALSE)))</f>
        <v>ЮЛ</v>
      </c>
      <c r="V29" s="4" t="str">
        <f>IF(A29="",IF(COUNTA(B29:O29)&gt;0,"НЕТ ID",""),IF(OR(AND(OR(C29="Оплата клиента",C29="Возврат клиенту"),COUNTIFS(Docs[ID],J29,Docs[Тип долга],"ДЗ")&lt;&gt;1),AND(OR(C29="Оплата поставщику",C29="Возврат поставщика"),COUNTIFS(Docs[ID],J29,Docs[Тип долга],"КЗ",Docs[Вид],"&lt;&gt;Дивиденды")&lt;&gt;1),AND(C29="Дивиденды",COUNTIFS(Docs[ID],J29,Docs[Вид],"Дивиденды")&lt;&gt;1),AND(C29="Проценты",COUNTIFS(Docs[ID],J29,Docs[Вид],"Проценты")&lt;&gt;1),COUNTIF(Cash[ID],A29)&gt;1,NOT(ISNUMBER(B29)),B29&lt;НачалоУчета,YEAR(B29)&lt;&gt;Год,NOT(ISNUMBER(E29)),E29&lt;=0,N29&lt;0,COUNTIF(Типы,C29)&lt;&gt;1,COUNTIF(Категории,D29)&lt;&gt;1,COUNTIF(Счета,F29)&lt;&gt;1,COUNTIF(Проекты,I29)&lt;&gt;1,AND(H29&lt;&gt;"",COUNTIF(Контрагенты,H29)&lt;&gt;1),AND(C29="Перевод",OR(F29=G29,COUNTIF(Счета,G29)&lt;&gt;1)),AND(S29&lt;&gt;0,COUNTIF(Docs[ID],J29)&lt;&gt;1),AND(Форма="ООО",C29="Вывод ИП"),AND(Форма="ИП",C29="Дивиденды"),AND(L29&lt;&gt;"Проведён",L29&lt;&gt;"Черновик")),"ОШИБКА","ОК"))</f>
        <v>ОК</v>
      </c>
      <c r="W29" s="25">
        <f>IF(A29="","",SUMIF(Accounts[Счёт],F29,Accounts[Начальный])+SUMIFS($Q$7:Q29,$F$7:F29,F29)+SUMIFS($E$7:E29,$G$7:G29,F29,$C$7:C29,"Перевод",$L$7:L29,"Проведён"))</f>
        <v>632182.77</v>
      </c>
    </row>
    <row r="30" spans="1:23" x14ac:dyDescent="0.25">
      <c r="A30" s="3" t="s">
        <v>538</v>
      </c>
      <c r="B30" s="19">
        <v>46050</v>
      </c>
      <c r="C30" s="3" t="s">
        <v>539</v>
      </c>
      <c r="D30" s="3" t="s">
        <v>299</v>
      </c>
      <c r="E30" s="24">
        <v>15000</v>
      </c>
      <c r="F30" s="3" t="s">
        <v>474</v>
      </c>
      <c r="G30" s="3" t="s">
        <v>299</v>
      </c>
      <c r="H30" s="3"/>
      <c r="I30" s="3" t="s">
        <v>383</v>
      </c>
      <c r="J30" s="3"/>
      <c r="K30" s="3" t="s">
        <v>539</v>
      </c>
      <c r="L30" s="3" t="s">
        <v>476</v>
      </c>
      <c r="M30" s="3"/>
      <c r="N30" s="24">
        <v>0</v>
      </c>
      <c r="O30" s="3"/>
      <c r="P30" s="5">
        <f>IF(A30="","",IF(COUNTIF(Типы,C30)=0,0,VLOOKUP(C30,СПРАВОЧНИКИ!$A$7:$E$22,2,FALSE)))</f>
        <v>-1</v>
      </c>
      <c r="Q30" s="25">
        <f t="shared" si="0"/>
        <v>-15000</v>
      </c>
      <c r="R30" s="5" t="str">
        <f>IF(A30="","",IF(COUNTIF(Типы,C30)=0,"НЕИЗВЕСТНЫЙ ТИП",VLOOKUP(C30,СПРАВОЧНИКИ!$A$7:$E$22,3,FALSE)))</f>
        <v>Внутренний</v>
      </c>
      <c r="S30" s="26">
        <f>IF(A30="","",IF(L30="Проведён",E30*IF(COUNTIF(Типы,C30)=0,0,VLOOKUP(C30,СПРАВОЧНИКИ!$A$7:$E$22,4,FALSE)),0))</f>
        <v>0</v>
      </c>
      <c r="T30" s="26">
        <f>IF(A30="","",IF(L30="Проведён",E30*IF(COUNTIF(Типы,C30)=0,0,VLOOKUP(C30,СПРАВОЧНИКИ!$A$7:$E$22,5,FALSE)),0))</f>
        <v>0</v>
      </c>
      <c r="U30" s="5" t="str">
        <f>IF(A30="","",IF(COUNTIF(Контрагенты,H30)=0,"Не задан",VLOOKUP(H30,СПРАВОЧНИКИ!$G$7:$H$66,2,FALSE)))</f>
        <v>Не задан</v>
      </c>
      <c r="V30" s="4" t="str">
        <f>IF(A30="",IF(COUNTA(B30:O30)&gt;0,"НЕТ ID",""),IF(OR(AND(OR(C30="Оплата клиента",C30="Возврат клиенту"),COUNTIFS(Docs[ID],J30,Docs[Тип долга],"ДЗ")&lt;&gt;1),AND(OR(C30="Оплата поставщику",C30="Возврат поставщика"),COUNTIFS(Docs[ID],J30,Docs[Тип долга],"КЗ",Docs[Вид],"&lt;&gt;Дивиденды")&lt;&gt;1),AND(C30="Дивиденды",COUNTIFS(Docs[ID],J30,Docs[Вид],"Дивиденды")&lt;&gt;1),AND(C30="Проценты",COUNTIFS(Docs[ID],J30,Docs[Вид],"Проценты")&lt;&gt;1),COUNTIF(Cash[ID],A30)&gt;1,NOT(ISNUMBER(B30)),B30&lt;НачалоУчета,YEAR(B30)&lt;&gt;Год,NOT(ISNUMBER(E30)),E30&lt;=0,N30&lt;0,COUNTIF(Типы,C30)&lt;&gt;1,COUNTIF(Категории,D30)&lt;&gt;1,COUNTIF(Счета,F30)&lt;&gt;1,COUNTIF(Проекты,I30)&lt;&gt;1,AND(H30&lt;&gt;"",COUNTIF(Контрагенты,H30)&lt;&gt;1),AND(C30="Перевод",OR(F30=G30,COUNTIF(Счета,G30)&lt;&gt;1)),AND(S30&lt;&gt;0,COUNTIF(Docs[ID],J30)&lt;&gt;1),AND(Форма="ООО",C30="Вывод ИП"),AND(Форма="ИП",C30="Дивиденды"),AND(L30&lt;&gt;"Проведён",L30&lt;&gt;"Черновик")),"ОШИБКА","ОК"))</f>
        <v>ОК</v>
      </c>
      <c r="W30" s="25">
        <f>IF(A30="","",SUMIF(Accounts[Счёт],F30,Accounts[Начальный])+SUMIFS($Q$7:Q30,$F$7:F30,F30)+SUMIFS($E$7:E30,$G$7:G30,F30,$C$7:C30,"Перевод",$L$7:L30,"Проведён"))</f>
        <v>617182.77</v>
      </c>
    </row>
    <row r="31" spans="1:23" x14ac:dyDescent="0.25">
      <c r="A31" s="3" t="s">
        <v>540</v>
      </c>
      <c r="B31" s="19">
        <v>46051</v>
      </c>
      <c r="C31" s="3" t="s">
        <v>484</v>
      </c>
      <c r="D31" s="3" t="s">
        <v>485</v>
      </c>
      <c r="E31" s="24">
        <v>13440</v>
      </c>
      <c r="F31" s="3" t="s">
        <v>474</v>
      </c>
      <c r="G31" s="3"/>
      <c r="H31" s="3" t="s">
        <v>501</v>
      </c>
      <c r="I31" s="3" t="s">
        <v>382</v>
      </c>
      <c r="J31" s="3" t="s">
        <v>502</v>
      </c>
      <c r="K31" s="3" t="s">
        <v>484</v>
      </c>
      <c r="L31" s="3" t="s">
        <v>476</v>
      </c>
      <c r="M31" s="3"/>
      <c r="N31" s="24">
        <v>0</v>
      </c>
      <c r="O31" s="3"/>
      <c r="P31" s="5">
        <f>IF(A31="","",IF(COUNTIF(Типы,C31)=0,0,VLOOKUP(C31,СПРАВОЧНИКИ!$A$7:$E$22,2,FALSE)))</f>
        <v>1</v>
      </c>
      <c r="Q31" s="25">
        <f t="shared" si="0"/>
        <v>13440</v>
      </c>
      <c r="R31" s="5" t="str">
        <f>IF(A31="","",IF(COUNTIF(Типы,C31)=0,"НЕИЗВЕСТНЫЙ ТИП",VLOOKUP(C31,СПРАВОЧНИКИ!$A$7:$E$22,3,FALSE)))</f>
        <v>Операционный</v>
      </c>
      <c r="S31" s="26">
        <f>IF(A31="","",IF(L31="Проведён",E31*IF(COUNTIF(Типы,C31)=0,0,VLOOKUP(C31,СПРАВОЧНИКИ!$A$7:$E$22,4,FALSE)),0))</f>
        <v>13440</v>
      </c>
      <c r="T31" s="26">
        <f>IF(A31="","",IF(L31="Проведён",E31*IF(COUNTIF(Типы,C31)=0,0,VLOOKUP(C31,СПРАВОЧНИКИ!$A$7:$E$22,5,FALSE)),0))</f>
        <v>13440</v>
      </c>
      <c r="U31" s="5" t="str">
        <f>IF(A31="","",IF(COUNTIF(Контрагенты,H31)=0,"Не задан",VLOOKUP(H31,СПРАВОЧНИКИ!$G$7:$H$66,2,FALSE)))</f>
        <v>ЮЛ</v>
      </c>
      <c r="V31" s="4" t="str">
        <f>IF(A31="",IF(COUNTA(B31:O31)&gt;0,"НЕТ ID",""),IF(OR(AND(OR(C31="Оплата клиента",C31="Возврат клиенту"),COUNTIFS(Docs[ID],J31,Docs[Тип долга],"ДЗ")&lt;&gt;1),AND(OR(C31="Оплата поставщику",C31="Возврат поставщика"),COUNTIFS(Docs[ID],J31,Docs[Тип долга],"КЗ",Docs[Вид],"&lt;&gt;Дивиденды")&lt;&gt;1),AND(C31="Дивиденды",COUNTIFS(Docs[ID],J31,Docs[Вид],"Дивиденды")&lt;&gt;1),AND(C31="Проценты",COUNTIFS(Docs[ID],J31,Docs[Вид],"Проценты")&lt;&gt;1),COUNTIF(Cash[ID],A31)&gt;1,NOT(ISNUMBER(B31)),B31&lt;НачалоУчета,YEAR(B31)&lt;&gt;Год,NOT(ISNUMBER(E31)),E31&lt;=0,N31&lt;0,COUNTIF(Типы,C31)&lt;&gt;1,COUNTIF(Категории,D31)&lt;&gt;1,COUNTIF(Счета,F31)&lt;&gt;1,COUNTIF(Проекты,I31)&lt;&gt;1,AND(H31&lt;&gt;"",COUNTIF(Контрагенты,H31)&lt;&gt;1),AND(C31="Перевод",OR(F31=G31,COUNTIF(Счета,G31)&lt;&gt;1)),AND(S31&lt;&gt;0,COUNTIF(Docs[ID],J31)&lt;&gt;1),AND(Форма="ООО",C31="Вывод ИП"),AND(Форма="ИП",C31="Дивиденды"),AND(L31&lt;&gt;"Проведён",L31&lt;&gt;"Черновик")),"ОШИБКА","ОК"))</f>
        <v>ОК</v>
      </c>
      <c r="W31" s="25">
        <f>IF(A31="","",SUMIF(Accounts[Счёт],F31,Accounts[Начальный])+SUMIFS($Q$7:Q31,$F$7:F31,F31)+SUMIFS($E$7:E31,$G$7:G31,F31,$C$7:C31,"Перевод",$L$7:L31,"Проведён"))</f>
        <v>630622.77</v>
      </c>
    </row>
    <row r="32" spans="1:23" x14ac:dyDescent="0.25">
      <c r="A32" s="3" t="s">
        <v>541</v>
      </c>
      <c r="B32" s="19">
        <v>46065</v>
      </c>
      <c r="C32" s="3" t="s">
        <v>484</v>
      </c>
      <c r="D32" s="3" t="s">
        <v>485</v>
      </c>
      <c r="E32" s="24">
        <v>30240</v>
      </c>
      <c r="F32" s="3" t="s">
        <v>474</v>
      </c>
      <c r="G32" s="3"/>
      <c r="H32" s="3" t="s">
        <v>486</v>
      </c>
      <c r="I32" s="3" t="s">
        <v>381</v>
      </c>
      <c r="J32" s="3" t="s">
        <v>542</v>
      </c>
      <c r="K32" s="3" t="s">
        <v>484</v>
      </c>
      <c r="L32" s="3" t="s">
        <v>476</v>
      </c>
      <c r="M32" s="3"/>
      <c r="N32" s="24">
        <v>0</v>
      </c>
      <c r="O32" s="3"/>
      <c r="P32" s="5">
        <f>IF(A32="","",IF(COUNTIF(Типы,C32)=0,0,VLOOKUP(C32,СПРАВОЧНИКИ!$A$7:$E$22,2,FALSE)))</f>
        <v>1</v>
      </c>
      <c r="Q32" s="25">
        <f t="shared" si="0"/>
        <v>30240</v>
      </c>
      <c r="R32" s="5" t="str">
        <f>IF(A32="","",IF(COUNTIF(Типы,C32)=0,"НЕИЗВЕСТНЫЙ ТИП",VLOOKUP(C32,СПРАВОЧНИКИ!$A$7:$E$22,3,FALSE)))</f>
        <v>Операционный</v>
      </c>
      <c r="S32" s="26">
        <f>IF(A32="","",IF(L32="Проведён",E32*IF(COUNTIF(Типы,C32)=0,0,VLOOKUP(C32,СПРАВОЧНИКИ!$A$7:$E$22,4,FALSE)),0))</f>
        <v>30240</v>
      </c>
      <c r="T32" s="26">
        <f>IF(A32="","",IF(L32="Проведён",E32*IF(COUNTIF(Типы,C32)=0,0,VLOOKUP(C32,СПРАВОЧНИКИ!$A$7:$E$22,5,FALSE)),0))</f>
        <v>30240</v>
      </c>
      <c r="U32" s="5" t="str">
        <f>IF(A32="","",IF(COUNTIF(Контрагенты,H32)=0,"Не задан",VLOOKUP(H32,СПРАВОЧНИКИ!$G$7:$H$66,2,FALSE)))</f>
        <v>ЮЛ</v>
      </c>
      <c r="V32" s="4" t="str">
        <f>IF(A32="",IF(COUNTA(B32:O32)&gt;0,"НЕТ ID",""),IF(OR(AND(OR(C32="Оплата клиента",C32="Возврат клиенту"),COUNTIFS(Docs[ID],J32,Docs[Тип долга],"ДЗ")&lt;&gt;1),AND(OR(C32="Оплата поставщику",C32="Возврат поставщика"),COUNTIFS(Docs[ID],J32,Docs[Тип долга],"КЗ",Docs[Вид],"&lt;&gt;Дивиденды")&lt;&gt;1),AND(C32="Дивиденды",COUNTIFS(Docs[ID],J32,Docs[Вид],"Дивиденды")&lt;&gt;1),AND(C32="Проценты",COUNTIFS(Docs[ID],J32,Docs[Вид],"Проценты")&lt;&gt;1),COUNTIF(Cash[ID],A32)&gt;1,NOT(ISNUMBER(B32)),B32&lt;НачалоУчета,YEAR(B32)&lt;&gt;Год,NOT(ISNUMBER(E32)),E32&lt;=0,N32&lt;0,COUNTIF(Типы,C32)&lt;&gt;1,COUNTIF(Категории,D32)&lt;&gt;1,COUNTIF(Счета,F32)&lt;&gt;1,COUNTIF(Проекты,I32)&lt;&gt;1,AND(H32&lt;&gt;"",COUNTIF(Контрагенты,H32)&lt;&gt;1),AND(C32="Перевод",OR(F32=G32,COUNTIF(Счета,G32)&lt;&gt;1)),AND(S32&lt;&gt;0,COUNTIF(Docs[ID],J32)&lt;&gt;1),AND(Форма="ООО",C32="Вывод ИП"),AND(Форма="ИП",C32="Дивиденды"),AND(L32&lt;&gt;"Проведён",L32&lt;&gt;"Черновик")),"ОШИБКА","ОК"))</f>
        <v>ОК</v>
      </c>
      <c r="W32" s="25">
        <f>IF(A32="","",SUMIF(Accounts[Счёт],F32,Accounts[Начальный])+SUMIFS($Q$7:Q32,$F$7:F32,F32)+SUMIFS($E$7:E32,$G$7:G32,F32,$C$7:C32,"Перевод",$L$7:L32,"Проведён"))</f>
        <v>660862.77</v>
      </c>
    </row>
    <row r="33" spans="1:23" x14ac:dyDescent="0.25">
      <c r="A33" s="3" t="s">
        <v>543</v>
      </c>
      <c r="B33" s="19">
        <v>46066</v>
      </c>
      <c r="C33" s="3" t="s">
        <v>484</v>
      </c>
      <c r="D33" s="3" t="s">
        <v>485</v>
      </c>
      <c r="E33" s="24">
        <v>23760</v>
      </c>
      <c r="F33" s="3" t="s">
        <v>474</v>
      </c>
      <c r="G33" s="3"/>
      <c r="H33" s="3" t="s">
        <v>489</v>
      </c>
      <c r="I33" s="3" t="s">
        <v>298</v>
      </c>
      <c r="J33" s="3" t="s">
        <v>544</v>
      </c>
      <c r="K33" s="3" t="s">
        <v>484</v>
      </c>
      <c r="L33" s="3" t="s">
        <v>476</v>
      </c>
      <c r="M33" s="3"/>
      <c r="N33" s="24">
        <v>0</v>
      </c>
      <c r="O33" s="3"/>
      <c r="P33" s="5">
        <f>IF(A33="","",IF(COUNTIF(Типы,C33)=0,0,VLOOKUP(C33,СПРАВОЧНИКИ!$A$7:$E$22,2,FALSE)))</f>
        <v>1</v>
      </c>
      <c r="Q33" s="25">
        <f t="shared" si="0"/>
        <v>23760</v>
      </c>
      <c r="R33" s="5" t="str">
        <f>IF(A33="","",IF(COUNTIF(Типы,C33)=0,"НЕИЗВЕСТНЫЙ ТИП",VLOOKUP(C33,СПРАВОЧНИКИ!$A$7:$E$22,3,FALSE)))</f>
        <v>Операционный</v>
      </c>
      <c r="S33" s="26">
        <f>IF(A33="","",IF(L33="Проведён",E33*IF(COUNTIF(Типы,C33)=0,0,VLOOKUP(C33,СПРАВОЧНИКИ!$A$7:$E$22,4,FALSE)),0))</f>
        <v>23760</v>
      </c>
      <c r="T33" s="26">
        <f>IF(A33="","",IF(L33="Проведён",E33*IF(COUNTIF(Типы,C33)=0,0,VLOOKUP(C33,СПРАВОЧНИКИ!$A$7:$E$22,5,FALSE)),0))</f>
        <v>23760</v>
      </c>
      <c r="U33" s="5" t="str">
        <f>IF(A33="","",IF(COUNTIF(Контрагенты,H33)=0,"Не задан",VLOOKUP(H33,СПРАВОЧНИКИ!$G$7:$H$66,2,FALSE)))</f>
        <v>ЮЛ</v>
      </c>
      <c r="V33" s="4" t="str">
        <f>IF(A33="",IF(COUNTA(B33:O33)&gt;0,"НЕТ ID",""),IF(OR(AND(OR(C33="Оплата клиента",C33="Возврат клиенту"),COUNTIFS(Docs[ID],J33,Docs[Тип долга],"ДЗ")&lt;&gt;1),AND(OR(C33="Оплата поставщику",C33="Возврат поставщика"),COUNTIFS(Docs[ID],J33,Docs[Тип долга],"КЗ",Docs[Вид],"&lt;&gt;Дивиденды")&lt;&gt;1),AND(C33="Дивиденды",COUNTIFS(Docs[ID],J33,Docs[Вид],"Дивиденды")&lt;&gt;1),AND(C33="Проценты",COUNTIFS(Docs[ID],J33,Docs[Вид],"Проценты")&lt;&gt;1),COUNTIF(Cash[ID],A33)&gt;1,NOT(ISNUMBER(B33)),B33&lt;НачалоУчета,YEAR(B33)&lt;&gt;Год,NOT(ISNUMBER(E33)),E33&lt;=0,N33&lt;0,COUNTIF(Типы,C33)&lt;&gt;1,COUNTIF(Категории,D33)&lt;&gt;1,COUNTIF(Счета,F33)&lt;&gt;1,COUNTIF(Проекты,I33)&lt;&gt;1,AND(H33&lt;&gt;"",COUNTIF(Контрагенты,H33)&lt;&gt;1),AND(C33="Перевод",OR(F33=G33,COUNTIF(Счета,G33)&lt;&gt;1)),AND(S33&lt;&gt;0,COUNTIF(Docs[ID],J33)&lt;&gt;1),AND(Форма="ООО",C33="Вывод ИП"),AND(Форма="ИП",C33="Дивиденды"),AND(L33&lt;&gt;"Проведён",L33&lt;&gt;"Черновик")),"ОШИБКА","ОК"))</f>
        <v>ОК</v>
      </c>
      <c r="W33" s="25">
        <f>IF(A33="","",SUMIF(Accounts[Счёт],F33,Accounts[Начальный])+SUMIFS($Q$7:Q33,$F$7:F33,F33)+SUMIFS($E$7:E33,$G$7:G33,F33,$C$7:C33,"Перевод",$L$7:L33,"Проведён"))</f>
        <v>684622.77</v>
      </c>
    </row>
    <row r="34" spans="1:23" x14ac:dyDescent="0.25">
      <c r="A34" s="3" t="s">
        <v>545</v>
      </c>
      <c r="B34" s="19">
        <v>46067</v>
      </c>
      <c r="C34" s="3" t="s">
        <v>484</v>
      </c>
      <c r="D34" s="3" t="s">
        <v>485</v>
      </c>
      <c r="E34" s="24">
        <v>19440</v>
      </c>
      <c r="F34" s="3" t="s">
        <v>474</v>
      </c>
      <c r="G34" s="3"/>
      <c r="H34" s="3" t="s">
        <v>492</v>
      </c>
      <c r="I34" s="3" t="s">
        <v>382</v>
      </c>
      <c r="J34" s="3" t="s">
        <v>546</v>
      </c>
      <c r="K34" s="3" t="s">
        <v>484</v>
      </c>
      <c r="L34" s="3" t="s">
        <v>476</v>
      </c>
      <c r="M34" s="3"/>
      <c r="N34" s="24">
        <v>0</v>
      </c>
      <c r="O34" s="3"/>
      <c r="P34" s="5">
        <f>IF(A34="","",IF(COUNTIF(Типы,C34)=0,0,VLOOKUP(C34,СПРАВОЧНИКИ!$A$7:$E$22,2,FALSE)))</f>
        <v>1</v>
      </c>
      <c r="Q34" s="25">
        <f t="shared" si="0"/>
        <v>19440</v>
      </c>
      <c r="R34" s="5" t="str">
        <f>IF(A34="","",IF(COUNTIF(Типы,C34)=0,"НЕИЗВЕСТНЫЙ ТИП",VLOOKUP(C34,СПРАВОЧНИКИ!$A$7:$E$22,3,FALSE)))</f>
        <v>Операционный</v>
      </c>
      <c r="S34" s="26">
        <f>IF(A34="","",IF(L34="Проведён",E34*IF(COUNTIF(Типы,C34)=0,0,VLOOKUP(C34,СПРАВОЧНИКИ!$A$7:$E$22,4,FALSE)),0))</f>
        <v>19440</v>
      </c>
      <c r="T34" s="26">
        <f>IF(A34="","",IF(L34="Проведён",E34*IF(COUNTIF(Типы,C34)=0,0,VLOOKUP(C34,СПРАВОЧНИКИ!$A$7:$E$22,5,FALSE)),0))</f>
        <v>19440</v>
      </c>
      <c r="U34" s="5" t="str">
        <f>IF(A34="","",IF(COUNTIF(Контрагенты,H34)=0,"Не задан",VLOOKUP(H34,СПРАВОЧНИКИ!$G$7:$H$66,2,FALSE)))</f>
        <v>ИП</v>
      </c>
      <c r="V34" s="4" t="str">
        <f>IF(A34="",IF(COUNTA(B34:O34)&gt;0,"НЕТ ID",""),IF(OR(AND(OR(C34="Оплата клиента",C34="Возврат клиенту"),COUNTIFS(Docs[ID],J34,Docs[Тип долга],"ДЗ")&lt;&gt;1),AND(OR(C34="Оплата поставщику",C34="Возврат поставщика"),COUNTIFS(Docs[ID],J34,Docs[Тип долга],"КЗ",Docs[Вид],"&lt;&gt;Дивиденды")&lt;&gt;1),AND(C34="Дивиденды",COUNTIFS(Docs[ID],J34,Docs[Вид],"Дивиденды")&lt;&gt;1),AND(C34="Проценты",COUNTIFS(Docs[ID],J34,Docs[Вид],"Проценты")&lt;&gt;1),COUNTIF(Cash[ID],A34)&gt;1,NOT(ISNUMBER(B34)),B34&lt;НачалоУчета,YEAR(B34)&lt;&gt;Год,NOT(ISNUMBER(E34)),E34&lt;=0,N34&lt;0,COUNTIF(Типы,C34)&lt;&gt;1,COUNTIF(Категории,D34)&lt;&gt;1,COUNTIF(Счета,F34)&lt;&gt;1,COUNTIF(Проекты,I34)&lt;&gt;1,AND(H34&lt;&gt;"",COUNTIF(Контрагенты,H34)&lt;&gt;1),AND(C34="Перевод",OR(F34=G34,COUNTIF(Счета,G34)&lt;&gt;1)),AND(S34&lt;&gt;0,COUNTIF(Docs[ID],J34)&lt;&gt;1),AND(Форма="ООО",C34="Вывод ИП"),AND(Форма="ИП",C34="Дивиденды"),AND(L34&lt;&gt;"Проведён",L34&lt;&gt;"Черновик")),"ОШИБКА","ОК"))</f>
        <v>ОК</v>
      </c>
      <c r="W34" s="25">
        <f>IF(A34="","",SUMIF(Accounts[Счёт],F34,Accounts[Начальный])+SUMIFS($Q$7:Q34,$F$7:F34,F34)+SUMIFS($E$7:E34,$G$7:G34,F34,$C$7:C34,"Перевод",$L$7:L34,"Проведён"))</f>
        <v>704062.77</v>
      </c>
    </row>
    <row r="35" spans="1:23" x14ac:dyDescent="0.25">
      <c r="A35" s="3" t="s">
        <v>547</v>
      </c>
      <c r="B35" s="19">
        <v>46068</v>
      </c>
      <c r="C35" s="3" t="s">
        <v>484</v>
      </c>
      <c r="D35" s="3" t="s">
        <v>485</v>
      </c>
      <c r="E35" s="24">
        <v>15120</v>
      </c>
      <c r="F35" s="3" t="s">
        <v>474</v>
      </c>
      <c r="G35" s="3"/>
      <c r="H35" s="3" t="s">
        <v>495</v>
      </c>
      <c r="I35" s="3" t="s">
        <v>381</v>
      </c>
      <c r="J35" s="3" t="s">
        <v>548</v>
      </c>
      <c r="K35" s="3" t="s">
        <v>484</v>
      </c>
      <c r="L35" s="3" t="s">
        <v>476</v>
      </c>
      <c r="M35" s="3"/>
      <c r="N35" s="24">
        <v>0</v>
      </c>
      <c r="O35" s="3"/>
      <c r="P35" s="5">
        <f>IF(A35="","",IF(COUNTIF(Типы,C35)=0,0,VLOOKUP(C35,СПРАВОЧНИКИ!$A$7:$E$22,2,FALSE)))</f>
        <v>1</v>
      </c>
      <c r="Q35" s="25">
        <f t="shared" si="0"/>
        <v>15120</v>
      </c>
      <c r="R35" s="5" t="str">
        <f>IF(A35="","",IF(COUNTIF(Типы,C35)=0,"НЕИЗВЕСТНЫЙ ТИП",VLOOKUP(C35,СПРАВОЧНИКИ!$A$7:$E$22,3,FALSE)))</f>
        <v>Операционный</v>
      </c>
      <c r="S35" s="26">
        <f>IF(A35="","",IF(L35="Проведён",E35*IF(COUNTIF(Типы,C35)=0,0,VLOOKUP(C35,СПРАВОЧНИКИ!$A$7:$E$22,4,FALSE)),0))</f>
        <v>15120</v>
      </c>
      <c r="T35" s="26">
        <f>IF(A35="","",IF(L35="Проведён",E35*IF(COUNTIF(Типы,C35)=0,0,VLOOKUP(C35,СПРАВОЧНИКИ!$A$7:$E$22,5,FALSE)),0))</f>
        <v>15120</v>
      </c>
      <c r="U35" s="5" t="str">
        <f>IF(A35="","",IF(COUNTIF(Контрагенты,H35)=0,"Не задан",VLOOKUP(H35,СПРАВОЧНИКИ!$G$7:$H$66,2,FALSE)))</f>
        <v>ЮЛ</v>
      </c>
      <c r="V35" s="4" t="str">
        <f>IF(A35="",IF(COUNTA(B35:O35)&gt;0,"НЕТ ID",""),IF(OR(AND(OR(C35="Оплата клиента",C35="Возврат клиенту"),COUNTIFS(Docs[ID],J35,Docs[Тип долга],"ДЗ")&lt;&gt;1),AND(OR(C35="Оплата поставщику",C35="Возврат поставщика"),COUNTIFS(Docs[ID],J35,Docs[Тип долга],"КЗ",Docs[Вид],"&lt;&gt;Дивиденды")&lt;&gt;1),AND(C35="Дивиденды",COUNTIFS(Docs[ID],J35,Docs[Вид],"Дивиденды")&lt;&gt;1),AND(C35="Проценты",COUNTIFS(Docs[ID],J35,Docs[Вид],"Проценты")&lt;&gt;1),COUNTIF(Cash[ID],A35)&gt;1,NOT(ISNUMBER(B35)),B35&lt;НачалоУчета,YEAR(B35)&lt;&gt;Год,NOT(ISNUMBER(E35)),E35&lt;=0,N35&lt;0,COUNTIF(Типы,C35)&lt;&gt;1,COUNTIF(Категории,D35)&lt;&gt;1,COUNTIF(Счета,F35)&lt;&gt;1,COUNTIF(Проекты,I35)&lt;&gt;1,AND(H35&lt;&gt;"",COUNTIF(Контрагенты,H35)&lt;&gt;1),AND(C35="Перевод",OR(F35=G35,COUNTIF(Счета,G35)&lt;&gt;1)),AND(S35&lt;&gt;0,COUNTIF(Docs[ID],J35)&lt;&gt;1),AND(Форма="ООО",C35="Вывод ИП"),AND(Форма="ИП",C35="Дивиденды"),AND(L35&lt;&gt;"Проведён",L35&lt;&gt;"Черновик")),"ОШИБКА","ОК"))</f>
        <v>ОК</v>
      </c>
      <c r="W35" s="25">
        <f>IF(A35="","",SUMIF(Accounts[Счёт],F35,Accounts[Начальный])+SUMIFS($Q$7:Q35,$F$7:F35,F35)+SUMIFS($E$7:E35,$G$7:G35,F35,$C$7:C35,"Перевод",$L$7:L35,"Проведён"))</f>
        <v>719182.77</v>
      </c>
    </row>
    <row r="36" spans="1:23" x14ac:dyDescent="0.25">
      <c r="A36" s="3" t="s">
        <v>549</v>
      </c>
      <c r="B36" s="19">
        <v>46069</v>
      </c>
      <c r="C36" s="3" t="s">
        <v>484</v>
      </c>
      <c r="D36" s="3" t="s">
        <v>485</v>
      </c>
      <c r="E36" s="24">
        <v>10800</v>
      </c>
      <c r="F36" s="3" t="s">
        <v>474</v>
      </c>
      <c r="G36" s="3"/>
      <c r="H36" s="3" t="s">
        <v>498</v>
      </c>
      <c r="I36" s="3" t="s">
        <v>298</v>
      </c>
      <c r="J36" s="3" t="s">
        <v>550</v>
      </c>
      <c r="K36" s="3" t="s">
        <v>484</v>
      </c>
      <c r="L36" s="3" t="s">
        <v>476</v>
      </c>
      <c r="M36" s="3"/>
      <c r="N36" s="24">
        <v>0</v>
      </c>
      <c r="O36" s="3"/>
      <c r="P36" s="5">
        <f>IF(A36="","",IF(COUNTIF(Типы,C36)=0,0,VLOOKUP(C36,СПРАВОЧНИКИ!$A$7:$E$22,2,FALSE)))</f>
        <v>1</v>
      </c>
      <c r="Q36" s="25">
        <f t="shared" si="0"/>
        <v>10800</v>
      </c>
      <c r="R36" s="5" t="str">
        <f>IF(A36="","",IF(COUNTIF(Типы,C36)=0,"НЕИЗВЕСТНЫЙ ТИП",VLOOKUP(C36,СПРАВОЧНИКИ!$A$7:$E$22,3,FALSE)))</f>
        <v>Операционный</v>
      </c>
      <c r="S36" s="26">
        <f>IF(A36="","",IF(L36="Проведён",E36*IF(COUNTIF(Типы,C36)=0,0,VLOOKUP(C36,СПРАВОЧНИКИ!$A$7:$E$22,4,FALSE)),0))</f>
        <v>10800</v>
      </c>
      <c r="T36" s="26">
        <f>IF(A36="","",IF(L36="Проведён",E36*IF(COUNTIF(Типы,C36)=0,0,VLOOKUP(C36,СПРАВОЧНИКИ!$A$7:$E$22,5,FALSE)),0))</f>
        <v>10800</v>
      </c>
      <c r="U36" s="5" t="str">
        <f>IF(A36="","",IF(COUNTIF(Контрагенты,H36)=0,"Не задан",VLOOKUP(H36,СПРАВОЧНИКИ!$G$7:$H$66,2,FALSE)))</f>
        <v>ФЛ</v>
      </c>
      <c r="V36" s="4" t="str">
        <f>IF(A36="",IF(COUNTA(B36:O36)&gt;0,"НЕТ ID",""),IF(OR(AND(OR(C36="Оплата клиента",C36="Возврат клиенту"),COUNTIFS(Docs[ID],J36,Docs[Тип долга],"ДЗ")&lt;&gt;1),AND(OR(C36="Оплата поставщику",C36="Возврат поставщика"),COUNTIFS(Docs[ID],J36,Docs[Тип долга],"КЗ",Docs[Вид],"&lt;&gt;Дивиденды")&lt;&gt;1),AND(C36="Дивиденды",COUNTIFS(Docs[ID],J36,Docs[Вид],"Дивиденды")&lt;&gt;1),AND(C36="Проценты",COUNTIFS(Docs[ID],J36,Docs[Вид],"Проценты")&lt;&gt;1),COUNTIF(Cash[ID],A36)&gt;1,NOT(ISNUMBER(B36)),B36&lt;НачалоУчета,YEAR(B36)&lt;&gt;Год,NOT(ISNUMBER(E36)),E36&lt;=0,N36&lt;0,COUNTIF(Типы,C36)&lt;&gt;1,COUNTIF(Категории,D36)&lt;&gt;1,COUNTIF(Счета,F36)&lt;&gt;1,COUNTIF(Проекты,I36)&lt;&gt;1,AND(H36&lt;&gt;"",COUNTIF(Контрагенты,H36)&lt;&gt;1),AND(C36="Перевод",OR(F36=G36,COUNTIF(Счета,G36)&lt;&gt;1)),AND(S36&lt;&gt;0,COUNTIF(Docs[ID],J36)&lt;&gt;1),AND(Форма="ООО",C36="Вывод ИП"),AND(Форма="ИП",C36="Дивиденды"),AND(L36&lt;&gt;"Проведён",L36&lt;&gt;"Черновик")),"ОШИБКА","ОК"))</f>
        <v>ОК</v>
      </c>
      <c r="W36" s="25">
        <f>IF(A36="","",SUMIF(Accounts[Счёт],F36,Accounts[Начальный])+SUMIFS($Q$7:Q36,$F$7:F36,F36)+SUMIFS($E$7:E36,$G$7:G36,F36,$C$7:C36,"Перевод",$L$7:L36,"Проведён"))</f>
        <v>729982.77</v>
      </c>
    </row>
    <row r="37" spans="1:23" x14ac:dyDescent="0.25">
      <c r="A37" s="3" t="s">
        <v>551</v>
      </c>
      <c r="B37" s="19">
        <v>46070</v>
      </c>
      <c r="C37" s="3" t="s">
        <v>484</v>
      </c>
      <c r="D37" s="3" t="s">
        <v>485</v>
      </c>
      <c r="E37" s="24">
        <v>8640</v>
      </c>
      <c r="F37" s="3" t="s">
        <v>474</v>
      </c>
      <c r="G37" s="3"/>
      <c r="H37" s="3" t="s">
        <v>501</v>
      </c>
      <c r="I37" s="3" t="s">
        <v>382</v>
      </c>
      <c r="J37" s="3" t="s">
        <v>552</v>
      </c>
      <c r="K37" s="3" t="s">
        <v>484</v>
      </c>
      <c r="L37" s="3" t="s">
        <v>476</v>
      </c>
      <c r="M37" s="3"/>
      <c r="N37" s="24">
        <v>0</v>
      </c>
      <c r="O37" s="3"/>
      <c r="P37" s="5">
        <f>IF(A37="","",IF(COUNTIF(Типы,C37)=0,0,VLOOKUP(C37,СПРАВОЧНИКИ!$A$7:$E$22,2,FALSE)))</f>
        <v>1</v>
      </c>
      <c r="Q37" s="25">
        <f t="shared" si="0"/>
        <v>8640</v>
      </c>
      <c r="R37" s="5" t="str">
        <f>IF(A37="","",IF(COUNTIF(Типы,C37)=0,"НЕИЗВЕСТНЫЙ ТИП",VLOOKUP(C37,СПРАВОЧНИКИ!$A$7:$E$22,3,FALSE)))</f>
        <v>Операционный</v>
      </c>
      <c r="S37" s="26">
        <f>IF(A37="","",IF(L37="Проведён",E37*IF(COUNTIF(Типы,C37)=0,0,VLOOKUP(C37,СПРАВОЧНИКИ!$A$7:$E$22,4,FALSE)),0))</f>
        <v>8640</v>
      </c>
      <c r="T37" s="26">
        <f>IF(A37="","",IF(L37="Проведён",E37*IF(COUNTIF(Типы,C37)=0,0,VLOOKUP(C37,СПРАВОЧНИКИ!$A$7:$E$22,5,FALSE)),0))</f>
        <v>8640</v>
      </c>
      <c r="U37" s="5" t="str">
        <f>IF(A37="","",IF(COUNTIF(Контрагенты,H37)=0,"Не задан",VLOOKUP(H37,СПРАВОЧНИКИ!$G$7:$H$66,2,FALSE)))</f>
        <v>ЮЛ</v>
      </c>
      <c r="V37" s="4" t="str">
        <f>IF(A37="",IF(COUNTA(B37:O37)&gt;0,"НЕТ ID",""),IF(OR(AND(OR(C37="Оплата клиента",C37="Возврат клиенту"),COUNTIFS(Docs[ID],J37,Docs[Тип долга],"ДЗ")&lt;&gt;1),AND(OR(C37="Оплата поставщику",C37="Возврат поставщика"),COUNTIFS(Docs[ID],J37,Docs[Тип долга],"КЗ",Docs[Вид],"&lt;&gt;Дивиденды")&lt;&gt;1),AND(C37="Дивиденды",COUNTIFS(Docs[ID],J37,Docs[Вид],"Дивиденды")&lt;&gt;1),AND(C37="Проценты",COUNTIFS(Docs[ID],J37,Docs[Вид],"Проценты")&lt;&gt;1),COUNTIF(Cash[ID],A37)&gt;1,NOT(ISNUMBER(B37)),B37&lt;НачалоУчета,YEAR(B37)&lt;&gt;Год,NOT(ISNUMBER(E37)),E37&lt;=0,N37&lt;0,COUNTIF(Типы,C37)&lt;&gt;1,COUNTIF(Категории,D37)&lt;&gt;1,COUNTIF(Счета,F37)&lt;&gt;1,COUNTIF(Проекты,I37)&lt;&gt;1,AND(H37&lt;&gt;"",COUNTIF(Контрагенты,H37)&lt;&gt;1),AND(C37="Перевод",OR(F37=G37,COUNTIF(Счета,G37)&lt;&gt;1)),AND(S37&lt;&gt;0,COUNTIF(Docs[ID],J37)&lt;&gt;1),AND(Форма="ООО",C37="Вывод ИП"),AND(Форма="ИП",C37="Дивиденды"),AND(L37&lt;&gt;"Проведён",L37&lt;&gt;"Черновик")),"ОШИБКА","ОК"))</f>
        <v>ОК</v>
      </c>
      <c r="W37" s="25">
        <f>IF(A37="","",SUMIF(Accounts[Счёт],F37,Accounts[Начальный])+SUMIFS($Q$7:Q37,$F$7:F37,F37)+SUMIFS($E$7:E37,$G$7:G37,F37,$C$7:C37,"Перевод",$L$7:L37,"Проведён"))</f>
        <v>738622.77</v>
      </c>
    </row>
    <row r="38" spans="1:23" x14ac:dyDescent="0.25">
      <c r="A38" s="3" t="s">
        <v>553</v>
      </c>
      <c r="B38" s="19">
        <v>46075</v>
      </c>
      <c r="C38" s="3" t="s">
        <v>504</v>
      </c>
      <c r="D38" s="3" t="s">
        <v>505</v>
      </c>
      <c r="E38" s="24">
        <v>57600</v>
      </c>
      <c r="F38" s="3" t="s">
        <v>474</v>
      </c>
      <c r="G38" s="3"/>
      <c r="H38" s="3" t="s">
        <v>506</v>
      </c>
      <c r="I38" s="3" t="s">
        <v>298</v>
      </c>
      <c r="J38" s="3" t="s">
        <v>554</v>
      </c>
      <c r="K38" s="3" t="s">
        <v>504</v>
      </c>
      <c r="L38" s="3" t="s">
        <v>476</v>
      </c>
      <c r="M38" s="3"/>
      <c r="N38" s="24">
        <v>57600</v>
      </c>
      <c r="O38" s="3"/>
      <c r="P38" s="5">
        <f>IF(A38="","",IF(COUNTIF(Типы,C38)=0,0,VLOOKUP(C38,СПРАВОЧНИКИ!$A$7:$E$22,2,FALSE)))</f>
        <v>-1</v>
      </c>
      <c r="Q38" s="25">
        <f t="shared" si="0"/>
        <v>-57600</v>
      </c>
      <c r="R38" s="5" t="str">
        <f>IF(A38="","",IF(COUNTIF(Типы,C38)=0,"НЕИЗВЕСТНЫЙ ТИП",VLOOKUP(C38,СПРАВОЧНИКИ!$A$7:$E$22,3,FALSE)))</f>
        <v>Операционный</v>
      </c>
      <c r="S38" s="26">
        <f>IF(A38="","",IF(L38="Проведён",E38*IF(COUNTIF(Типы,C38)=0,0,VLOOKUP(C38,СПРАВОЧНИКИ!$A$7:$E$22,4,FALSE)),0))</f>
        <v>57600</v>
      </c>
      <c r="T38" s="26">
        <f>IF(A38="","",IF(L38="Проведён",E38*IF(COUNTIF(Типы,C38)=0,0,VLOOKUP(C38,СПРАВОЧНИКИ!$A$7:$E$22,5,FALSE)),0))</f>
        <v>0</v>
      </c>
      <c r="U38" s="5" t="str">
        <f>IF(A38="","",IF(COUNTIF(Контрагенты,H38)=0,"Не задан",VLOOKUP(H38,СПРАВОЧНИКИ!$G$7:$H$66,2,FALSE)))</f>
        <v>ИП</v>
      </c>
      <c r="V38" s="4" t="str">
        <f>IF(A38="",IF(COUNTA(B38:O38)&gt;0,"НЕТ ID",""),IF(OR(AND(OR(C38="Оплата клиента",C38="Возврат клиенту"),COUNTIFS(Docs[ID],J38,Docs[Тип долга],"ДЗ")&lt;&gt;1),AND(OR(C38="Оплата поставщику",C38="Возврат поставщика"),COUNTIFS(Docs[ID],J38,Docs[Тип долга],"КЗ",Docs[Вид],"&lt;&gt;Дивиденды")&lt;&gt;1),AND(C38="Дивиденды",COUNTIFS(Docs[ID],J38,Docs[Вид],"Дивиденды")&lt;&gt;1),AND(C38="Проценты",COUNTIFS(Docs[ID],J38,Docs[Вид],"Проценты")&lt;&gt;1),COUNTIF(Cash[ID],A38)&gt;1,NOT(ISNUMBER(B38)),B38&lt;НачалоУчета,YEAR(B38)&lt;&gt;Год,NOT(ISNUMBER(E38)),E38&lt;=0,N38&lt;0,COUNTIF(Типы,C38)&lt;&gt;1,COUNTIF(Категории,D38)&lt;&gt;1,COUNTIF(Счета,F38)&lt;&gt;1,COUNTIF(Проекты,I38)&lt;&gt;1,AND(H38&lt;&gt;"",COUNTIF(Контрагенты,H38)&lt;&gt;1),AND(C38="Перевод",OR(F38=G38,COUNTIF(Счета,G38)&lt;&gt;1)),AND(S38&lt;&gt;0,COUNTIF(Docs[ID],J38)&lt;&gt;1),AND(Форма="ООО",C38="Вывод ИП"),AND(Форма="ИП",C38="Дивиденды"),AND(L38&lt;&gt;"Проведён",L38&lt;&gt;"Черновик")),"ОШИБКА","ОК"))</f>
        <v>ОК</v>
      </c>
      <c r="W38" s="25">
        <f>IF(A38="","",SUMIF(Accounts[Счёт],F38,Accounts[Начальный])+SUMIFS($Q$7:Q38,$F$7:F38,F38)+SUMIFS($E$7:E38,$G$7:G38,F38,$C$7:C38,"Перевод",$L$7:L38,"Проведён"))</f>
        <v>681022.77</v>
      </c>
    </row>
    <row r="39" spans="1:23" x14ac:dyDescent="0.25">
      <c r="A39" s="3" t="s">
        <v>555</v>
      </c>
      <c r="B39" s="19">
        <v>46076</v>
      </c>
      <c r="C39" s="3" t="s">
        <v>504</v>
      </c>
      <c r="D39" s="3" t="s">
        <v>509</v>
      </c>
      <c r="E39" s="24">
        <v>65000</v>
      </c>
      <c r="F39" s="3" t="s">
        <v>474</v>
      </c>
      <c r="G39" s="3"/>
      <c r="H39" s="3" t="s">
        <v>510</v>
      </c>
      <c r="I39" s="3" t="s">
        <v>383</v>
      </c>
      <c r="J39" s="3" t="s">
        <v>556</v>
      </c>
      <c r="K39" s="3" t="s">
        <v>504</v>
      </c>
      <c r="L39" s="3" t="s">
        <v>476</v>
      </c>
      <c r="M39" s="3"/>
      <c r="N39" s="24">
        <v>65000</v>
      </c>
      <c r="O39" s="3"/>
      <c r="P39" s="5">
        <f>IF(A39="","",IF(COUNTIF(Типы,C39)=0,0,VLOOKUP(C39,СПРАВОЧНИКИ!$A$7:$E$22,2,FALSE)))</f>
        <v>-1</v>
      </c>
      <c r="Q39" s="25">
        <f t="shared" si="0"/>
        <v>-65000</v>
      </c>
      <c r="R39" s="5" t="str">
        <f>IF(A39="","",IF(COUNTIF(Типы,C39)=0,"НЕИЗВЕСТНЫЙ ТИП",VLOOKUP(C39,СПРАВОЧНИКИ!$A$7:$E$22,3,FALSE)))</f>
        <v>Операционный</v>
      </c>
      <c r="S39" s="26">
        <f>IF(A39="","",IF(L39="Проведён",E39*IF(COUNTIF(Типы,C39)=0,0,VLOOKUP(C39,СПРАВОЧНИКИ!$A$7:$E$22,4,FALSE)),0))</f>
        <v>65000</v>
      </c>
      <c r="T39" s="26">
        <f>IF(A39="","",IF(L39="Проведён",E39*IF(COUNTIF(Типы,C39)=0,0,VLOOKUP(C39,СПРАВОЧНИКИ!$A$7:$E$22,5,FALSE)),0))</f>
        <v>0</v>
      </c>
      <c r="U39" s="5" t="str">
        <f>IF(A39="","",IF(COUNTIF(Контрагенты,H39)=0,"Не задан",VLOOKUP(H39,СПРАВОЧНИКИ!$G$7:$H$66,2,FALSE)))</f>
        <v>ЮЛ</v>
      </c>
      <c r="V39" s="4" t="str">
        <f>IF(A39="",IF(COUNTA(B39:O39)&gt;0,"НЕТ ID",""),IF(OR(AND(OR(C39="Оплата клиента",C39="Возврат клиенту"),COUNTIFS(Docs[ID],J39,Docs[Тип долга],"ДЗ")&lt;&gt;1),AND(OR(C39="Оплата поставщику",C39="Возврат поставщика"),COUNTIFS(Docs[ID],J39,Docs[Тип долга],"КЗ",Docs[Вид],"&lt;&gt;Дивиденды")&lt;&gt;1),AND(C39="Дивиденды",COUNTIFS(Docs[ID],J39,Docs[Вид],"Дивиденды")&lt;&gt;1),AND(C39="Проценты",COUNTIFS(Docs[ID],J39,Docs[Вид],"Проценты")&lt;&gt;1),COUNTIF(Cash[ID],A39)&gt;1,NOT(ISNUMBER(B39)),B39&lt;НачалоУчета,YEAR(B39)&lt;&gt;Год,NOT(ISNUMBER(E39)),E39&lt;=0,N39&lt;0,COUNTIF(Типы,C39)&lt;&gt;1,COUNTIF(Категории,D39)&lt;&gt;1,COUNTIF(Счета,F39)&lt;&gt;1,COUNTIF(Проекты,I39)&lt;&gt;1,AND(H39&lt;&gt;"",COUNTIF(Контрагенты,H39)&lt;&gt;1),AND(C39="Перевод",OR(F39=G39,COUNTIF(Счета,G39)&lt;&gt;1)),AND(S39&lt;&gt;0,COUNTIF(Docs[ID],J39)&lt;&gt;1),AND(Форма="ООО",C39="Вывод ИП"),AND(Форма="ИП",C39="Дивиденды"),AND(L39&lt;&gt;"Проведён",L39&lt;&gt;"Черновик")),"ОШИБКА","ОК"))</f>
        <v>ОК</v>
      </c>
      <c r="W39" s="25">
        <f>IF(A39="","",SUMIF(Accounts[Счёт],F39,Accounts[Начальный])+SUMIFS($Q$7:Q39,$F$7:F39,F39)+SUMIFS($E$7:E39,$G$7:G39,F39,$C$7:C39,"Перевод",$L$7:L39,"Проведён"))</f>
        <v>616022.77</v>
      </c>
    </row>
    <row r="40" spans="1:23" x14ac:dyDescent="0.25">
      <c r="A40" s="3" t="s">
        <v>557</v>
      </c>
      <c r="B40" s="19">
        <v>46077</v>
      </c>
      <c r="C40" s="3" t="s">
        <v>484</v>
      </c>
      <c r="D40" s="3" t="s">
        <v>485</v>
      </c>
      <c r="E40" s="24">
        <v>20160</v>
      </c>
      <c r="F40" s="3" t="s">
        <v>474</v>
      </c>
      <c r="G40" s="3"/>
      <c r="H40" s="3" t="s">
        <v>486</v>
      </c>
      <c r="I40" s="3" t="s">
        <v>381</v>
      </c>
      <c r="J40" s="3" t="s">
        <v>542</v>
      </c>
      <c r="K40" s="3" t="s">
        <v>484</v>
      </c>
      <c r="L40" s="3" t="s">
        <v>476</v>
      </c>
      <c r="M40" s="3"/>
      <c r="N40" s="24">
        <v>0</v>
      </c>
      <c r="O40" s="3"/>
      <c r="P40" s="5">
        <f>IF(A40="","",IF(COUNTIF(Типы,C40)=0,0,VLOOKUP(C40,СПРАВОЧНИКИ!$A$7:$E$22,2,FALSE)))</f>
        <v>1</v>
      </c>
      <c r="Q40" s="25">
        <f t="shared" si="0"/>
        <v>20160</v>
      </c>
      <c r="R40" s="5" t="str">
        <f>IF(A40="","",IF(COUNTIF(Типы,C40)=0,"НЕИЗВЕСТНЫЙ ТИП",VLOOKUP(C40,СПРАВОЧНИКИ!$A$7:$E$22,3,FALSE)))</f>
        <v>Операционный</v>
      </c>
      <c r="S40" s="26">
        <f>IF(A40="","",IF(L40="Проведён",E40*IF(COUNTIF(Типы,C40)=0,0,VLOOKUP(C40,СПРАВОЧНИКИ!$A$7:$E$22,4,FALSE)),0))</f>
        <v>20160</v>
      </c>
      <c r="T40" s="26">
        <f>IF(A40="","",IF(L40="Проведён",E40*IF(COUNTIF(Типы,C40)=0,0,VLOOKUP(C40,СПРАВОЧНИКИ!$A$7:$E$22,5,FALSE)),0))</f>
        <v>20160</v>
      </c>
      <c r="U40" s="5" t="str">
        <f>IF(A40="","",IF(COUNTIF(Контрагенты,H40)=0,"Не задан",VLOOKUP(H40,СПРАВОЧНИКИ!$G$7:$H$66,2,FALSE)))</f>
        <v>ЮЛ</v>
      </c>
      <c r="V40" s="4" t="str">
        <f>IF(A40="",IF(COUNTA(B40:O40)&gt;0,"НЕТ ID",""),IF(OR(AND(OR(C40="Оплата клиента",C40="Возврат клиенту"),COUNTIFS(Docs[ID],J40,Docs[Тип долга],"ДЗ")&lt;&gt;1),AND(OR(C40="Оплата поставщику",C40="Возврат поставщика"),COUNTIFS(Docs[ID],J40,Docs[Тип долга],"КЗ",Docs[Вид],"&lt;&gt;Дивиденды")&lt;&gt;1),AND(C40="Дивиденды",COUNTIFS(Docs[ID],J40,Docs[Вид],"Дивиденды")&lt;&gt;1),AND(C40="Проценты",COUNTIFS(Docs[ID],J40,Docs[Вид],"Проценты")&lt;&gt;1),COUNTIF(Cash[ID],A40)&gt;1,NOT(ISNUMBER(B40)),B40&lt;НачалоУчета,YEAR(B40)&lt;&gt;Год,NOT(ISNUMBER(E40)),E40&lt;=0,N40&lt;0,COUNTIF(Типы,C40)&lt;&gt;1,COUNTIF(Категории,D40)&lt;&gt;1,COUNTIF(Счета,F40)&lt;&gt;1,COUNTIF(Проекты,I40)&lt;&gt;1,AND(H40&lt;&gt;"",COUNTIF(Контрагенты,H40)&lt;&gt;1),AND(C40="Перевод",OR(F40=G40,COUNTIF(Счета,G40)&lt;&gt;1)),AND(S40&lt;&gt;0,COUNTIF(Docs[ID],J40)&lt;&gt;1),AND(Форма="ООО",C40="Вывод ИП"),AND(Форма="ИП",C40="Дивиденды"),AND(L40&lt;&gt;"Проведён",L40&lt;&gt;"Черновик")),"ОШИБКА","ОК"))</f>
        <v>ОК</v>
      </c>
      <c r="W40" s="25">
        <f>IF(A40="","",SUMIF(Accounts[Счёт],F40,Accounts[Начальный])+SUMIFS($Q$7:Q40,$F$7:F40,F40)+SUMIFS($E$7:E40,$G$7:G40,F40,$C$7:C40,"Перевод",$L$7:L40,"Проведён"))</f>
        <v>636182.77</v>
      </c>
    </row>
    <row r="41" spans="1:23" x14ac:dyDescent="0.25">
      <c r="A41" s="3" t="s">
        <v>558</v>
      </c>
      <c r="B41" s="19">
        <v>46077</v>
      </c>
      <c r="C41" s="3" t="s">
        <v>504</v>
      </c>
      <c r="D41" s="3" t="s">
        <v>295</v>
      </c>
      <c r="E41" s="24">
        <v>45000</v>
      </c>
      <c r="F41" s="3" t="s">
        <v>474</v>
      </c>
      <c r="G41" s="3"/>
      <c r="H41" s="3" t="s">
        <v>514</v>
      </c>
      <c r="I41" s="3" t="s">
        <v>381</v>
      </c>
      <c r="J41" s="3" t="s">
        <v>559</v>
      </c>
      <c r="K41" s="3" t="s">
        <v>504</v>
      </c>
      <c r="L41" s="3" t="s">
        <v>476</v>
      </c>
      <c r="M41" s="3"/>
      <c r="N41" s="24">
        <v>45000</v>
      </c>
      <c r="O41" s="3" t="s">
        <v>295</v>
      </c>
      <c r="P41" s="5">
        <f>IF(A41="","",IF(COUNTIF(Типы,C41)=0,0,VLOOKUP(C41,СПРАВОЧНИКИ!$A$7:$E$22,2,FALSE)))</f>
        <v>-1</v>
      </c>
      <c r="Q41" s="25">
        <f t="shared" si="0"/>
        <v>-45000</v>
      </c>
      <c r="R41" s="5" t="str">
        <f>IF(A41="","",IF(COUNTIF(Типы,C41)=0,"НЕИЗВЕСТНЫЙ ТИП",VLOOKUP(C41,СПРАВОЧНИКИ!$A$7:$E$22,3,FALSE)))</f>
        <v>Операционный</v>
      </c>
      <c r="S41" s="26">
        <f>IF(A41="","",IF(L41="Проведён",E41*IF(COUNTIF(Типы,C41)=0,0,VLOOKUP(C41,СПРАВОЧНИКИ!$A$7:$E$22,4,FALSE)),0))</f>
        <v>45000</v>
      </c>
      <c r="T41" s="26">
        <f>IF(A41="","",IF(L41="Проведён",E41*IF(COUNTIF(Типы,C41)=0,0,VLOOKUP(C41,СПРАВОЧНИКИ!$A$7:$E$22,5,FALSE)),0))</f>
        <v>0</v>
      </c>
      <c r="U41" s="5" t="str">
        <f>IF(A41="","",IF(COUNTIF(Контрагенты,H41)=0,"Не задан",VLOOKUP(H41,СПРАВОЧНИКИ!$G$7:$H$66,2,FALSE)))</f>
        <v>ЮЛ</v>
      </c>
      <c r="V41" s="4" t="str">
        <f>IF(A41="",IF(COUNTA(B41:O41)&gt;0,"НЕТ ID",""),IF(OR(AND(OR(C41="Оплата клиента",C41="Возврат клиенту"),COUNTIFS(Docs[ID],J41,Docs[Тип долга],"ДЗ")&lt;&gt;1),AND(OR(C41="Оплата поставщику",C41="Возврат поставщика"),COUNTIFS(Docs[ID],J41,Docs[Тип долга],"КЗ",Docs[Вид],"&lt;&gt;Дивиденды")&lt;&gt;1),AND(C41="Дивиденды",COUNTIFS(Docs[ID],J41,Docs[Вид],"Дивиденды")&lt;&gt;1),AND(C41="Проценты",COUNTIFS(Docs[ID],J41,Docs[Вид],"Проценты")&lt;&gt;1),COUNTIF(Cash[ID],A41)&gt;1,NOT(ISNUMBER(B41)),B41&lt;НачалоУчета,YEAR(B41)&lt;&gt;Год,NOT(ISNUMBER(E41)),E41&lt;=0,N41&lt;0,COUNTIF(Типы,C41)&lt;&gt;1,COUNTIF(Категории,D41)&lt;&gt;1,COUNTIF(Счета,F41)&lt;&gt;1,COUNTIF(Проекты,I41)&lt;&gt;1,AND(H41&lt;&gt;"",COUNTIF(Контрагенты,H41)&lt;&gt;1),AND(C41="Перевод",OR(F41=G41,COUNTIF(Счета,G41)&lt;&gt;1)),AND(S41&lt;&gt;0,COUNTIF(Docs[ID],J41)&lt;&gt;1),AND(Форма="ООО",C41="Вывод ИП"),AND(Форма="ИП",C41="Дивиденды"),AND(L41&lt;&gt;"Проведён",L41&lt;&gt;"Черновик")),"ОШИБКА","ОК"))</f>
        <v>ОК</v>
      </c>
      <c r="W41" s="25">
        <f>IF(A41="","",SUMIF(Accounts[Счёт],F41,Accounts[Начальный])+SUMIFS($Q$7:Q41,$F$7:F41,F41)+SUMIFS($E$7:E41,$G$7:G41,F41,$C$7:C41,"Перевод",$L$7:L41,"Проведён"))</f>
        <v>591182.77</v>
      </c>
    </row>
    <row r="42" spans="1:23" x14ac:dyDescent="0.25">
      <c r="A42" s="3" t="s">
        <v>560</v>
      </c>
      <c r="B42" s="19">
        <v>46078</v>
      </c>
      <c r="C42" s="3" t="s">
        <v>484</v>
      </c>
      <c r="D42" s="3" t="s">
        <v>485</v>
      </c>
      <c r="E42" s="24">
        <v>15840</v>
      </c>
      <c r="F42" s="3" t="s">
        <v>474</v>
      </c>
      <c r="G42" s="3"/>
      <c r="H42" s="3" t="s">
        <v>489</v>
      </c>
      <c r="I42" s="3" t="s">
        <v>298</v>
      </c>
      <c r="J42" s="3" t="s">
        <v>544</v>
      </c>
      <c r="K42" s="3" t="s">
        <v>484</v>
      </c>
      <c r="L42" s="3" t="s">
        <v>476</v>
      </c>
      <c r="M42" s="3"/>
      <c r="N42" s="24">
        <v>0</v>
      </c>
      <c r="O42" s="3"/>
      <c r="P42" s="5">
        <f>IF(A42="","",IF(COUNTIF(Типы,C42)=0,0,VLOOKUP(C42,СПРАВОЧНИКИ!$A$7:$E$22,2,FALSE)))</f>
        <v>1</v>
      </c>
      <c r="Q42" s="25">
        <f t="shared" si="0"/>
        <v>15840</v>
      </c>
      <c r="R42" s="5" t="str">
        <f>IF(A42="","",IF(COUNTIF(Типы,C42)=0,"НЕИЗВЕСТНЫЙ ТИП",VLOOKUP(C42,СПРАВОЧНИКИ!$A$7:$E$22,3,FALSE)))</f>
        <v>Операционный</v>
      </c>
      <c r="S42" s="26">
        <f>IF(A42="","",IF(L42="Проведён",E42*IF(COUNTIF(Типы,C42)=0,0,VLOOKUP(C42,СПРАВОЧНИКИ!$A$7:$E$22,4,FALSE)),0))</f>
        <v>15840</v>
      </c>
      <c r="T42" s="26">
        <f>IF(A42="","",IF(L42="Проведён",E42*IF(COUNTIF(Типы,C42)=0,0,VLOOKUP(C42,СПРАВОЧНИКИ!$A$7:$E$22,5,FALSE)),0))</f>
        <v>15840</v>
      </c>
      <c r="U42" s="5" t="str">
        <f>IF(A42="","",IF(COUNTIF(Контрагенты,H42)=0,"Не задан",VLOOKUP(H42,СПРАВОЧНИКИ!$G$7:$H$66,2,FALSE)))</f>
        <v>ЮЛ</v>
      </c>
      <c r="V42" s="4" t="str">
        <f>IF(A42="",IF(COUNTA(B42:O42)&gt;0,"НЕТ ID",""),IF(OR(AND(OR(C42="Оплата клиента",C42="Возврат клиенту"),COUNTIFS(Docs[ID],J42,Docs[Тип долга],"ДЗ")&lt;&gt;1),AND(OR(C42="Оплата поставщику",C42="Возврат поставщика"),COUNTIFS(Docs[ID],J42,Docs[Тип долга],"КЗ",Docs[Вид],"&lt;&gt;Дивиденды")&lt;&gt;1),AND(C42="Дивиденды",COUNTIFS(Docs[ID],J42,Docs[Вид],"Дивиденды")&lt;&gt;1),AND(C42="Проценты",COUNTIFS(Docs[ID],J42,Docs[Вид],"Проценты")&lt;&gt;1),COUNTIF(Cash[ID],A42)&gt;1,NOT(ISNUMBER(B42)),B42&lt;НачалоУчета,YEAR(B42)&lt;&gt;Год,NOT(ISNUMBER(E42)),E42&lt;=0,N42&lt;0,COUNTIF(Типы,C42)&lt;&gt;1,COUNTIF(Категории,D42)&lt;&gt;1,COUNTIF(Счета,F42)&lt;&gt;1,COUNTIF(Проекты,I42)&lt;&gt;1,AND(H42&lt;&gt;"",COUNTIF(Контрагенты,H42)&lt;&gt;1),AND(C42="Перевод",OR(F42=G42,COUNTIF(Счета,G42)&lt;&gt;1)),AND(S42&lt;&gt;0,COUNTIF(Docs[ID],J42)&lt;&gt;1),AND(Форма="ООО",C42="Вывод ИП"),AND(Форма="ИП",C42="Дивиденды"),AND(L42&lt;&gt;"Проведён",L42&lt;&gt;"Черновик")),"ОШИБКА","ОК"))</f>
        <v>ОК</v>
      </c>
      <c r="W42" s="25">
        <f>IF(A42="","",SUMIF(Accounts[Счёт],F42,Accounts[Начальный])+SUMIFS($Q$7:Q42,$F$7:F42,F42)+SUMIFS($E$7:E42,$G$7:G42,F42,$C$7:C42,"Перевод",$L$7:L42,"Проведён"))</f>
        <v>607022.77</v>
      </c>
    </row>
    <row r="43" spans="1:23" x14ac:dyDescent="0.25">
      <c r="A43" s="3" t="s">
        <v>561</v>
      </c>
      <c r="B43" s="19">
        <v>46078</v>
      </c>
      <c r="C43" s="3" t="s">
        <v>504</v>
      </c>
      <c r="D43" s="3" t="s">
        <v>518</v>
      </c>
      <c r="E43" s="24">
        <v>18000</v>
      </c>
      <c r="F43" s="3" t="s">
        <v>474</v>
      </c>
      <c r="G43" s="3"/>
      <c r="H43" s="3" t="s">
        <v>519</v>
      </c>
      <c r="I43" s="3" t="s">
        <v>383</v>
      </c>
      <c r="J43" s="3" t="s">
        <v>562</v>
      </c>
      <c r="K43" s="3" t="s">
        <v>504</v>
      </c>
      <c r="L43" s="3" t="s">
        <v>476</v>
      </c>
      <c r="M43" s="3"/>
      <c r="N43" s="24">
        <v>18000</v>
      </c>
      <c r="O43" s="3"/>
      <c r="P43" s="5">
        <f>IF(A43="","",IF(COUNTIF(Типы,C43)=0,0,VLOOKUP(C43,СПРАВОЧНИКИ!$A$7:$E$22,2,FALSE)))</f>
        <v>-1</v>
      </c>
      <c r="Q43" s="25">
        <f t="shared" si="0"/>
        <v>-18000</v>
      </c>
      <c r="R43" s="5" t="str">
        <f>IF(A43="","",IF(COUNTIF(Типы,C43)=0,"НЕИЗВЕСТНЫЙ ТИП",VLOOKUP(C43,СПРАВОЧНИКИ!$A$7:$E$22,3,FALSE)))</f>
        <v>Операционный</v>
      </c>
      <c r="S43" s="26">
        <f>IF(A43="","",IF(L43="Проведён",E43*IF(COUNTIF(Типы,C43)=0,0,VLOOKUP(C43,СПРАВОЧНИКИ!$A$7:$E$22,4,FALSE)),0))</f>
        <v>18000</v>
      </c>
      <c r="T43" s="26">
        <f>IF(A43="","",IF(L43="Проведён",E43*IF(COUNTIF(Типы,C43)=0,0,VLOOKUP(C43,СПРАВОЧНИКИ!$A$7:$E$22,5,FALSE)),0))</f>
        <v>0</v>
      </c>
      <c r="U43" s="5" t="str">
        <f>IF(A43="","",IF(COUNTIF(Контрагенты,H43)=0,"Не задан",VLOOKUP(H43,СПРАВОЧНИКИ!$G$7:$H$66,2,FALSE)))</f>
        <v>ЮЛ</v>
      </c>
      <c r="V43" s="4" t="str">
        <f>IF(A43="",IF(COUNTA(B43:O43)&gt;0,"НЕТ ID",""),IF(OR(AND(OR(C43="Оплата клиента",C43="Возврат клиенту"),COUNTIFS(Docs[ID],J43,Docs[Тип долга],"ДЗ")&lt;&gt;1),AND(OR(C43="Оплата поставщику",C43="Возврат поставщика"),COUNTIFS(Docs[ID],J43,Docs[Тип долга],"КЗ",Docs[Вид],"&lt;&gt;Дивиденды")&lt;&gt;1),AND(C43="Дивиденды",COUNTIFS(Docs[ID],J43,Docs[Вид],"Дивиденды")&lt;&gt;1),AND(C43="Проценты",COUNTIFS(Docs[ID],J43,Docs[Вид],"Проценты")&lt;&gt;1),COUNTIF(Cash[ID],A43)&gt;1,NOT(ISNUMBER(B43)),B43&lt;НачалоУчета,YEAR(B43)&lt;&gt;Год,NOT(ISNUMBER(E43)),E43&lt;=0,N43&lt;0,COUNTIF(Типы,C43)&lt;&gt;1,COUNTIF(Категории,D43)&lt;&gt;1,COUNTIF(Счета,F43)&lt;&gt;1,COUNTIF(Проекты,I43)&lt;&gt;1,AND(H43&lt;&gt;"",COUNTIF(Контрагенты,H43)&lt;&gt;1),AND(C43="Перевод",OR(F43=G43,COUNTIF(Счета,G43)&lt;&gt;1)),AND(S43&lt;&gt;0,COUNTIF(Docs[ID],J43)&lt;&gt;1),AND(Форма="ООО",C43="Вывод ИП"),AND(Форма="ИП",C43="Дивиденды"),AND(L43&lt;&gt;"Проведён",L43&lt;&gt;"Черновик")),"ОШИБКА","ОК"))</f>
        <v>ОК</v>
      </c>
      <c r="W43" s="25">
        <f>IF(A43="","",SUMIF(Accounts[Счёт],F43,Accounts[Начальный])+SUMIFS($Q$7:Q43,$F$7:F43,F43)+SUMIFS($E$7:E43,$G$7:G43,F43,$C$7:C43,"Перевод",$L$7:L43,"Проведён"))</f>
        <v>589022.77</v>
      </c>
    </row>
    <row r="44" spans="1:23" x14ac:dyDescent="0.25">
      <c r="A44" s="3" t="s">
        <v>563</v>
      </c>
      <c r="B44" s="19">
        <v>46079</v>
      </c>
      <c r="C44" s="3" t="s">
        <v>484</v>
      </c>
      <c r="D44" s="3" t="s">
        <v>485</v>
      </c>
      <c r="E44" s="24">
        <v>12960</v>
      </c>
      <c r="F44" s="3" t="s">
        <v>474</v>
      </c>
      <c r="G44" s="3"/>
      <c r="H44" s="3" t="s">
        <v>492</v>
      </c>
      <c r="I44" s="3" t="s">
        <v>382</v>
      </c>
      <c r="J44" s="3" t="s">
        <v>546</v>
      </c>
      <c r="K44" s="3" t="s">
        <v>484</v>
      </c>
      <c r="L44" s="3" t="s">
        <v>476</v>
      </c>
      <c r="M44" s="3"/>
      <c r="N44" s="24">
        <v>0</v>
      </c>
      <c r="O44" s="3"/>
      <c r="P44" s="5">
        <f>IF(A44="","",IF(COUNTIF(Типы,C44)=0,0,VLOOKUP(C44,СПРАВОЧНИКИ!$A$7:$E$22,2,FALSE)))</f>
        <v>1</v>
      </c>
      <c r="Q44" s="25">
        <f t="shared" si="0"/>
        <v>12960</v>
      </c>
      <c r="R44" s="5" t="str">
        <f>IF(A44="","",IF(COUNTIF(Типы,C44)=0,"НЕИЗВЕСТНЫЙ ТИП",VLOOKUP(C44,СПРАВОЧНИКИ!$A$7:$E$22,3,FALSE)))</f>
        <v>Операционный</v>
      </c>
      <c r="S44" s="26">
        <f>IF(A44="","",IF(L44="Проведён",E44*IF(COUNTIF(Типы,C44)=0,0,VLOOKUP(C44,СПРАВОЧНИКИ!$A$7:$E$22,4,FALSE)),0))</f>
        <v>12960</v>
      </c>
      <c r="T44" s="26">
        <f>IF(A44="","",IF(L44="Проведён",E44*IF(COUNTIF(Типы,C44)=0,0,VLOOKUP(C44,СПРАВОЧНИКИ!$A$7:$E$22,5,FALSE)),0))</f>
        <v>12960</v>
      </c>
      <c r="U44" s="5" t="str">
        <f>IF(A44="","",IF(COUNTIF(Контрагенты,H44)=0,"Не задан",VLOOKUP(H44,СПРАВОЧНИКИ!$G$7:$H$66,2,FALSE)))</f>
        <v>ИП</v>
      </c>
      <c r="V44" s="4" t="str">
        <f>IF(A44="",IF(COUNTA(B44:O44)&gt;0,"НЕТ ID",""),IF(OR(AND(OR(C44="Оплата клиента",C44="Возврат клиенту"),COUNTIFS(Docs[ID],J44,Docs[Тип долга],"ДЗ")&lt;&gt;1),AND(OR(C44="Оплата поставщику",C44="Возврат поставщика"),COUNTIFS(Docs[ID],J44,Docs[Тип долга],"КЗ",Docs[Вид],"&lt;&gt;Дивиденды")&lt;&gt;1),AND(C44="Дивиденды",COUNTIFS(Docs[ID],J44,Docs[Вид],"Дивиденды")&lt;&gt;1),AND(C44="Проценты",COUNTIFS(Docs[ID],J44,Docs[Вид],"Проценты")&lt;&gt;1),COUNTIF(Cash[ID],A44)&gt;1,NOT(ISNUMBER(B44)),B44&lt;НачалоУчета,YEAR(B44)&lt;&gt;Год,NOT(ISNUMBER(E44)),E44&lt;=0,N44&lt;0,COUNTIF(Типы,C44)&lt;&gt;1,COUNTIF(Категории,D44)&lt;&gt;1,COUNTIF(Счета,F44)&lt;&gt;1,COUNTIF(Проекты,I44)&lt;&gt;1,AND(H44&lt;&gt;"",COUNTIF(Контрагенты,H44)&lt;&gt;1),AND(C44="Перевод",OR(F44=G44,COUNTIF(Счета,G44)&lt;&gt;1)),AND(S44&lt;&gt;0,COUNTIF(Docs[ID],J44)&lt;&gt;1),AND(Форма="ООО",C44="Вывод ИП"),AND(Форма="ИП",C44="Дивиденды"),AND(L44&lt;&gt;"Проведён",L44&lt;&gt;"Черновик")),"ОШИБКА","ОК"))</f>
        <v>ОК</v>
      </c>
      <c r="W44" s="25">
        <f>IF(A44="","",SUMIF(Accounts[Счёт],F44,Accounts[Начальный])+SUMIFS($Q$7:Q44,$F$7:F44,F44)+SUMIFS($E$7:E44,$G$7:G44,F44,$C$7:C44,"Перевод",$L$7:L44,"Проведён"))</f>
        <v>601982.77</v>
      </c>
    </row>
    <row r="45" spans="1:23" x14ac:dyDescent="0.25">
      <c r="A45" s="3" t="s">
        <v>564</v>
      </c>
      <c r="B45" s="19">
        <v>46079</v>
      </c>
      <c r="C45" s="3" t="s">
        <v>504</v>
      </c>
      <c r="D45" s="3" t="s">
        <v>523</v>
      </c>
      <c r="E45" s="24">
        <v>78300</v>
      </c>
      <c r="F45" s="3" t="s">
        <v>474</v>
      </c>
      <c r="G45" s="3"/>
      <c r="H45" s="3" t="s">
        <v>52</v>
      </c>
      <c r="I45" s="3" t="s">
        <v>383</v>
      </c>
      <c r="J45" s="3" t="s">
        <v>565</v>
      </c>
      <c r="K45" s="3" t="s">
        <v>504</v>
      </c>
      <c r="L45" s="3" t="s">
        <v>476</v>
      </c>
      <c r="M45" s="3"/>
      <c r="N45" s="24">
        <v>78300</v>
      </c>
      <c r="O45" s="3"/>
      <c r="P45" s="5">
        <f>IF(A45="","",IF(COUNTIF(Типы,C45)=0,0,VLOOKUP(C45,СПРАВОЧНИКИ!$A$7:$E$22,2,FALSE)))</f>
        <v>-1</v>
      </c>
      <c r="Q45" s="25">
        <f t="shared" si="0"/>
        <v>-78300</v>
      </c>
      <c r="R45" s="5" t="str">
        <f>IF(A45="","",IF(COUNTIF(Типы,C45)=0,"НЕИЗВЕСТНЫЙ ТИП",VLOOKUP(C45,СПРАВОЧНИКИ!$A$7:$E$22,3,FALSE)))</f>
        <v>Операционный</v>
      </c>
      <c r="S45" s="26">
        <f>IF(A45="","",IF(L45="Проведён",E45*IF(COUNTIF(Типы,C45)=0,0,VLOOKUP(C45,СПРАВОЧНИКИ!$A$7:$E$22,4,FALSE)),0))</f>
        <v>78300</v>
      </c>
      <c r="T45" s="26">
        <f>IF(A45="","",IF(L45="Проведён",E45*IF(COUNTIF(Типы,C45)=0,0,VLOOKUP(C45,СПРАВОЧНИКИ!$A$7:$E$22,5,FALSE)),0))</f>
        <v>0</v>
      </c>
      <c r="U45" s="5" t="str">
        <f>IF(A45="","",IF(COUNTIF(Контрагенты,H45)=0,"Не задан",VLOOKUP(H45,СПРАВОЧНИКИ!$G$7:$H$66,2,FALSE)))</f>
        <v>ФЛ</v>
      </c>
      <c r="V45" s="4" t="str">
        <f>IF(A45="",IF(COUNTA(B45:O45)&gt;0,"НЕТ ID",""),IF(OR(AND(OR(C45="Оплата клиента",C45="Возврат клиенту"),COUNTIFS(Docs[ID],J45,Docs[Тип долга],"ДЗ")&lt;&gt;1),AND(OR(C45="Оплата поставщику",C45="Возврат поставщика"),COUNTIFS(Docs[ID],J45,Docs[Тип долга],"КЗ",Docs[Вид],"&lt;&gt;Дивиденды")&lt;&gt;1),AND(C45="Дивиденды",COUNTIFS(Docs[ID],J45,Docs[Вид],"Дивиденды")&lt;&gt;1),AND(C45="Проценты",COUNTIFS(Docs[ID],J45,Docs[Вид],"Проценты")&lt;&gt;1),COUNTIF(Cash[ID],A45)&gt;1,NOT(ISNUMBER(B45)),B45&lt;НачалоУчета,YEAR(B45)&lt;&gt;Год,NOT(ISNUMBER(E45)),E45&lt;=0,N45&lt;0,COUNTIF(Типы,C45)&lt;&gt;1,COUNTIF(Категории,D45)&lt;&gt;1,COUNTIF(Счета,F45)&lt;&gt;1,COUNTIF(Проекты,I45)&lt;&gt;1,AND(H45&lt;&gt;"",COUNTIF(Контрагенты,H45)&lt;&gt;1),AND(C45="Перевод",OR(F45=G45,COUNTIF(Счета,G45)&lt;&gt;1)),AND(S45&lt;&gt;0,COUNTIF(Docs[ID],J45)&lt;&gt;1),AND(Форма="ООО",C45="Вывод ИП"),AND(Форма="ИП",C45="Дивиденды"),AND(L45&lt;&gt;"Проведён",L45&lt;&gt;"Черновик")),"ОШИБКА","ОК"))</f>
        <v>ОК</v>
      </c>
      <c r="W45" s="25">
        <f>IF(A45="","",SUMIF(Accounts[Счёт],F45,Accounts[Начальный])+SUMIFS($Q$7:Q45,$F$7:F45,F45)+SUMIFS($E$7:E45,$G$7:G45,F45,$C$7:C45,"Перевод",$L$7:L45,"Проведён"))</f>
        <v>523682.77</v>
      </c>
    </row>
    <row r="46" spans="1:23" x14ac:dyDescent="0.25">
      <c r="A46" s="3" t="s">
        <v>566</v>
      </c>
      <c r="B46" s="19">
        <v>46080</v>
      </c>
      <c r="C46" s="3" t="s">
        <v>484</v>
      </c>
      <c r="D46" s="3" t="s">
        <v>485</v>
      </c>
      <c r="E46" s="24">
        <v>10080</v>
      </c>
      <c r="F46" s="3" t="s">
        <v>474</v>
      </c>
      <c r="G46" s="3"/>
      <c r="H46" s="3" t="s">
        <v>495</v>
      </c>
      <c r="I46" s="3" t="s">
        <v>381</v>
      </c>
      <c r="J46" s="3" t="s">
        <v>548</v>
      </c>
      <c r="K46" s="3" t="s">
        <v>484</v>
      </c>
      <c r="L46" s="3" t="s">
        <v>476</v>
      </c>
      <c r="M46" s="3"/>
      <c r="N46" s="24">
        <v>0</v>
      </c>
      <c r="O46" s="3"/>
      <c r="P46" s="5">
        <f>IF(A46="","",IF(COUNTIF(Типы,C46)=0,0,VLOOKUP(C46,СПРАВОЧНИКИ!$A$7:$E$22,2,FALSE)))</f>
        <v>1</v>
      </c>
      <c r="Q46" s="25">
        <f t="shared" si="0"/>
        <v>10080</v>
      </c>
      <c r="R46" s="5" t="str">
        <f>IF(A46="","",IF(COUNTIF(Типы,C46)=0,"НЕИЗВЕСТНЫЙ ТИП",VLOOKUP(C46,СПРАВОЧНИКИ!$A$7:$E$22,3,FALSE)))</f>
        <v>Операционный</v>
      </c>
      <c r="S46" s="26">
        <f>IF(A46="","",IF(L46="Проведён",E46*IF(COUNTIF(Типы,C46)=0,0,VLOOKUP(C46,СПРАВОЧНИКИ!$A$7:$E$22,4,FALSE)),0))</f>
        <v>10080</v>
      </c>
      <c r="T46" s="26">
        <f>IF(A46="","",IF(L46="Проведён",E46*IF(COUNTIF(Типы,C46)=0,0,VLOOKUP(C46,СПРАВОЧНИКИ!$A$7:$E$22,5,FALSE)),0))</f>
        <v>10080</v>
      </c>
      <c r="U46" s="5" t="str">
        <f>IF(A46="","",IF(COUNTIF(Контрагенты,H46)=0,"Не задан",VLOOKUP(H46,СПРАВОЧНИКИ!$G$7:$H$66,2,FALSE)))</f>
        <v>ЮЛ</v>
      </c>
      <c r="V46" s="4" t="str">
        <f>IF(A46="",IF(COUNTA(B46:O46)&gt;0,"НЕТ ID",""),IF(OR(AND(OR(C46="Оплата клиента",C46="Возврат клиенту"),COUNTIFS(Docs[ID],J46,Docs[Тип долга],"ДЗ")&lt;&gt;1),AND(OR(C46="Оплата поставщику",C46="Возврат поставщика"),COUNTIFS(Docs[ID],J46,Docs[Тип долга],"КЗ",Docs[Вид],"&lt;&gt;Дивиденды")&lt;&gt;1),AND(C46="Дивиденды",COUNTIFS(Docs[ID],J46,Docs[Вид],"Дивиденды")&lt;&gt;1),AND(C46="Проценты",COUNTIFS(Docs[ID],J46,Docs[Вид],"Проценты")&lt;&gt;1),COUNTIF(Cash[ID],A46)&gt;1,NOT(ISNUMBER(B46)),B46&lt;НачалоУчета,YEAR(B46)&lt;&gt;Год,NOT(ISNUMBER(E46)),E46&lt;=0,N46&lt;0,COUNTIF(Типы,C46)&lt;&gt;1,COUNTIF(Категории,D46)&lt;&gt;1,COUNTIF(Счета,F46)&lt;&gt;1,COUNTIF(Проекты,I46)&lt;&gt;1,AND(H46&lt;&gt;"",COUNTIF(Контрагенты,H46)&lt;&gt;1),AND(C46="Перевод",OR(F46=G46,COUNTIF(Счета,G46)&lt;&gt;1)),AND(S46&lt;&gt;0,COUNTIF(Docs[ID],J46)&lt;&gt;1),AND(Форма="ООО",C46="Вывод ИП"),AND(Форма="ИП",C46="Дивиденды"),AND(L46&lt;&gt;"Проведён",L46&lt;&gt;"Черновик")),"ОШИБКА","ОК"))</f>
        <v>ОК</v>
      </c>
      <c r="W46" s="25">
        <f>IF(A46="","",SUMIF(Accounts[Счёт],F46,Accounts[Начальный])+SUMIFS($Q$7:Q46,$F$7:F46,F46)+SUMIFS($E$7:E46,$G$7:G46,F46,$C$7:C46,"Перевод",$L$7:L46,"Проведён"))</f>
        <v>533762.77</v>
      </c>
    </row>
    <row r="47" spans="1:23" x14ac:dyDescent="0.25">
      <c r="A47" s="3" t="s">
        <v>567</v>
      </c>
      <c r="B47" s="19">
        <v>46080</v>
      </c>
      <c r="C47" s="3" t="s">
        <v>504</v>
      </c>
      <c r="D47" s="3" t="s">
        <v>527</v>
      </c>
      <c r="E47" s="24">
        <v>11700</v>
      </c>
      <c r="F47" s="3" t="s">
        <v>474</v>
      </c>
      <c r="G47" s="3"/>
      <c r="H47" s="3" t="s">
        <v>528</v>
      </c>
      <c r="I47" s="3" t="s">
        <v>383</v>
      </c>
      <c r="J47" s="3" t="s">
        <v>568</v>
      </c>
      <c r="K47" s="3" t="s">
        <v>504</v>
      </c>
      <c r="L47" s="3" t="s">
        <v>476</v>
      </c>
      <c r="M47" s="3"/>
      <c r="N47" s="24">
        <v>11700</v>
      </c>
      <c r="O47" s="3"/>
      <c r="P47" s="5">
        <f>IF(A47="","",IF(COUNTIF(Типы,C47)=0,0,VLOOKUP(C47,СПРАВОЧНИКИ!$A$7:$E$22,2,FALSE)))</f>
        <v>-1</v>
      </c>
      <c r="Q47" s="25">
        <f t="shared" si="0"/>
        <v>-11700</v>
      </c>
      <c r="R47" s="5" t="str">
        <f>IF(A47="","",IF(COUNTIF(Типы,C47)=0,"НЕИЗВЕСТНЫЙ ТИП",VLOOKUP(C47,СПРАВОЧНИКИ!$A$7:$E$22,3,FALSE)))</f>
        <v>Операционный</v>
      </c>
      <c r="S47" s="26">
        <f>IF(A47="","",IF(L47="Проведён",E47*IF(COUNTIF(Типы,C47)=0,0,VLOOKUP(C47,СПРАВОЧНИКИ!$A$7:$E$22,4,FALSE)),0))</f>
        <v>11700</v>
      </c>
      <c r="T47" s="26">
        <f>IF(A47="","",IF(L47="Проведён",E47*IF(COUNTIF(Типы,C47)=0,0,VLOOKUP(C47,СПРАВОЧНИКИ!$A$7:$E$22,5,FALSE)),0))</f>
        <v>0</v>
      </c>
      <c r="U47" s="5" t="str">
        <f>IF(A47="","",IF(COUNTIF(Контрагенты,H47)=0,"Не задан",VLOOKUP(H47,СПРАВОЧНИКИ!$G$7:$H$66,2,FALSE)))</f>
        <v>ЮЛ</v>
      </c>
      <c r="V47" s="4" t="str">
        <f>IF(A47="",IF(COUNTA(B47:O47)&gt;0,"НЕТ ID",""),IF(OR(AND(OR(C47="Оплата клиента",C47="Возврат клиенту"),COUNTIFS(Docs[ID],J47,Docs[Тип долга],"ДЗ")&lt;&gt;1),AND(OR(C47="Оплата поставщику",C47="Возврат поставщика"),COUNTIFS(Docs[ID],J47,Docs[Тип долга],"КЗ",Docs[Вид],"&lt;&gt;Дивиденды")&lt;&gt;1),AND(C47="Дивиденды",COUNTIFS(Docs[ID],J47,Docs[Вид],"Дивиденды")&lt;&gt;1),AND(C47="Проценты",COUNTIFS(Docs[ID],J47,Docs[Вид],"Проценты")&lt;&gt;1),COUNTIF(Cash[ID],A47)&gt;1,NOT(ISNUMBER(B47)),B47&lt;НачалоУчета,YEAR(B47)&lt;&gt;Год,NOT(ISNUMBER(E47)),E47&lt;=0,N47&lt;0,COUNTIF(Типы,C47)&lt;&gt;1,COUNTIF(Категории,D47)&lt;&gt;1,COUNTIF(Счета,F47)&lt;&gt;1,COUNTIF(Проекты,I47)&lt;&gt;1,AND(H47&lt;&gt;"",COUNTIF(Контрагенты,H47)&lt;&gt;1),AND(C47="Перевод",OR(F47=G47,COUNTIF(Счета,G47)&lt;&gt;1)),AND(S47&lt;&gt;0,COUNTIF(Docs[ID],J47)&lt;&gt;1),AND(Форма="ООО",C47="Вывод ИП"),AND(Форма="ИП",C47="Дивиденды"),AND(L47&lt;&gt;"Проведён",L47&lt;&gt;"Черновик")),"ОШИБКА","ОК"))</f>
        <v>ОК</v>
      </c>
      <c r="W47" s="25">
        <f>IF(A47="","",SUMIF(Accounts[Счёт],F47,Accounts[Начальный])+SUMIFS($Q$7:Q47,$F$7:F47,F47)+SUMIFS($E$7:E47,$G$7:G47,F47,$C$7:C47,"Перевод",$L$7:L47,"Проведён"))</f>
        <v>522062.77</v>
      </c>
    </row>
    <row r="48" spans="1:23" x14ac:dyDescent="0.25">
      <c r="A48" s="3" t="s">
        <v>569</v>
      </c>
      <c r="B48" s="19">
        <v>46081</v>
      </c>
      <c r="C48" s="3" t="s">
        <v>484</v>
      </c>
      <c r="D48" s="3" t="s">
        <v>485</v>
      </c>
      <c r="E48" s="24">
        <v>7200</v>
      </c>
      <c r="F48" s="3" t="s">
        <v>474</v>
      </c>
      <c r="G48" s="3"/>
      <c r="H48" s="3" t="s">
        <v>498</v>
      </c>
      <c r="I48" s="3" t="s">
        <v>298</v>
      </c>
      <c r="J48" s="3" t="s">
        <v>550</v>
      </c>
      <c r="K48" s="3" t="s">
        <v>484</v>
      </c>
      <c r="L48" s="3" t="s">
        <v>476</v>
      </c>
      <c r="M48" s="3"/>
      <c r="N48" s="24">
        <v>0</v>
      </c>
      <c r="O48" s="3"/>
      <c r="P48" s="5">
        <f>IF(A48="","",IF(COUNTIF(Типы,C48)=0,0,VLOOKUP(C48,СПРАВОЧНИКИ!$A$7:$E$22,2,FALSE)))</f>
        <v>1</v>
      </c>
      <c r="Q48" s="25">
        <f t="shared" si="0"/>
        <v>7200</v>
      </c>
      <c r="R48" s="5" t="str">
        <f>IF(A48="","",IF(COUNTIF(Типы,C48)=0,"НЕИЗВЕСТНЫЙ ТИП",VLOOKUP(C48,СПРАВОЧНИКИ!$A$7:$E$22,3,FALSE)))</f>
        <v>Операционный</v>
      </c>
      <c r="S48" s="26">
        <f>IF(A48="","",IF(L48="Проведён",E48*IF(COUNTIF(Типы,C48)=0,0,VLOOKUP(C48,СПРАВОЧНИКИ!$A$7:$E$22,4,FALSE)),0))</f>
        <v>7200</v>
      </c>
      <c r="T48" s="26">
        <f>IF(A48="","",IF(L48="Проведён",E48*IF(COUNTIF(Типы,C48)=0,0,VLOOKUP(C48,СПРАВОЧНИКИ!$A$7:$E$22,5,FALSE)),0))</f>
        <v>7200</v>
      </c>
      <c r="U48" s="5" t="str">
        <f>IF(A48="","",IF(COUNTIF(Контрагенты,H48)=0,"Не задан",VLOOKUP(H48,СПРАВОЧНИКИ!$G$7:$H$66,2,FALSE)))</f>
        <v>ФЛ</v>
      </c>
      <c r="V48" s="4" t="str">
        <f>IF(A48="",IF(COUNTA(B48:O48)&gt;0,"НЕТ ID",""),IF(OR(AND(OR(C48="Оплата клиента",C48="Возврат клиенту"),COUNTIFS(Docs[ID],J48,Docs[Тип долга],"ДЗ")&lt;&gt;1),AND(OR(C48="Оплата поставщику",C48="Возврат поставщика"),COUNTIFS(Docs[ID],J48,Docs[Тип долга],"КЗ",Docs[Вид],"&lt;&gt;Дивиденды")&lt;&gt;1),AND(C48="Дивиденды",COUNTIFS(Docs[ID],J48,Docs[Вид],"Дивиденды")&lt;&gt;1),AND(C48="Проценты",COUNTIFS(Docs[ID],J48,Docs[Вид],"Проценты")&lt;&gt;1),COUNTIF(Cash[ID],A48)&gt;1,NOT(ISNUMBER(B48)),B48&lt;НачалоУчета,YEAR(B48)&lt;&gt;Год,NOT(ISNUMBER(E48)),E48&lt;=0,N48&lt;0,COUNTIF(Типы,C48)&lt;&gt;1,COUNTIF(Категории,D48)&lt;&gt;1,COUNTIF(Счета,F48)&lt;&gt;1,COUNTIF(Проекты,I48)&lt;&gt;1,AND(H48&lt;&gt;"",COUNTIF(Контрагенты,H48)&lt;&gt;1),AND(C48="Перевод",OR(F48=G48,COUNTIF(Счета,G48)&lt;&gt;1)),AND(S48&lt;&gt;0,COUNTIF(Docs[ID],J48)&lt;&gt;1),AND(Форма="ООО",C48="Вывод ИП"),AND(Форма="ИП",C48="Дивиденды"),AND(L48&lt;&gt;"Проведён",L48&lt;&gt;"Черновик")),"ОШИБКА","ОК"))</f>
        <v>ОК</v>
      </c>
      <c r="W48" s="25">
        <f>IF(A48="","",SUMIF(Accounts[Счёт],F48,Accounts[Начальный])+SUMIFS($Q$7:Q48,$F$7:F48,F48)+SUMIFS($E$7:E48,$G$7:G48,F48,$C$7:C48,"Перевод",$L$7:L48,"Проведён"))</f>
        <v>529262.77</v>
      </c>
    </row>
    <row r="49" spans="1:23" x14ac:dyDescent="0.25">
      <c r="A49" s="3" t="s">
        <v>570</v>
      </c>
      <c r="B49" s="19">
        <v>46081</v>
      </c>
      <c r="C49" s="3" t="s">
        <v>484</v>
      </c>
      <c r="D49" s="3" t="s">
        <v>485</v>
      </c>
      <c r="E49" s="24">
        <v>5760</v>
      </c>
      <c r="F49" s="3" t="s">
        <v>474</v>
      </c>
      <c r="G49" s="3"/>
      <c r="H49" s="3" t="s">
        <v>501</v>
      </c>
      <c r="I49" s="3" t="s">
        <v>382</v>
      </c>
      <c r="J49" s="3" t="s">
        <v>552</v>
      </c>
      <c r="K49" s="3" t="s">
        <v>484</v>
      </c>
      <c r="L49" s="3" t="s">
        <v>476</v>
      </c>
      <c r="M49" s="3"/>
      <c r="N49" s="24">
        <v>0</v>
      </c>
      <c r="O49" s="3"/>
      <c r="P49" s="5">
        <f>IF(A49="","",IF(COUNTIF(Типы,C49)=0,0,VLOOKUP(C49,СПРАВОЧНИКИ!$A$7:$E$22,2,FALSE)))</f>
        <v>1</v>
      </c>
      <c r="Q49" s="25">
        <f t="shared" si="0"/>
        <v>5760</v>
      </c>
      <c r="R49" s="5" t="str">
        <f>IF(A49="","",IF(COUNTIF(Типы,C49)=0,"НЕИЗВЕСТНЫЙ ТИП",VLOOKUP(C49,СПРАВОЧНИКИ!$A$7:$E$22,3,FALSE)))</f>
        <v>Операционный</v>
      </c>
      <c r="S49" s="26">
        <f>IF(A49="","",IF(L49="Проведён",E49*IF(COUNTIF(Типы,C49)=0,0,VLOOKUP(C49,СПРАВОЧНИКИ!$A$7:$E$22,4,FALSE)),0))</f>
        <v>5760</v>
      </c>
      <c r="T49" s="26">
        <f>IF(A49="","",IF(L49="Проведён",E49*IF(COUNTIF(Типы,C49)=0,0,VLOOKUP(C49,СПРАВОЧНИКИ!$A$7:$E$22,5,FALSE)),0))</f>
        <v>5760</v>
      </c>
      <c r="U49" s="5" t="str">
        <f>IF(A49="","",IF(COUNTIF(Контрагенты,H49)=0,"Не задан",VLOOKUP(H49,СПРАВОЧНИКИ!$G$7:$H$66,2,FALSE)))</f>
        <v>ЮЛ</v>
      </c>
      <c r="V49" s="4" t="str">
        <f>IF(A49="",IF(COUNTA(B49:O49)&gt;0,"НЕТ ID",""),IF(OR(AND(OR(C49="Оплата клиента",C49="Возврат клиенту"),COUNTIFS(Docs[ID],J49,Docs[Тип долга],"ДЗ")&lt;&gt;1),AND(OR(C49="Оплата поставщику",C49="Возврат поставщика"),COUNTIFS(Docs[ID],J49,Docs[Тип долга],"КЗ",Docs[Вид],"&lt;&gt;Дивиденды")&lt;&gt;1),AND(C49="Дивиденды",COUNTIFS(Docs[ID],J49,Docs[Вид],"Дивиденды")&lt;&gt;1),AND(C49="Проценты",COUNTIFS(Docs[ID],J49,Docs[Вид],"Проценты")&lt;&gt;1),COUNTIF(Cash[ID],A49)&gt;1,NOT(ISNUMBER(B49)),B49&lt;НачалоУчета,YEAR(B49)&lt;&gt;Год,NOT(ISNUMBER(E49)),E49&lt;=0,N49&lt;0,COUNTIF(Типы,C49)&lt;&gt;1,COUNTIF(Категории,D49)&lt;&gt;1,COUNTIF(Счета,F49)&lt;&gt;1,COUNTIF(Проекты,I49)&lt;&gt;1,AND(H49&lt;&gt;"",COUNTIF(Контрагенты,H49)&lt;&gt;1),AND(C49="Перевод",OR(F49=G49,COUNTIF(Счета,G49)&lt;&gt;1)),AND(S49&lt;&gt;0,COUNTIF(Docs[ID],J49)&lt;&gt;1),AND(Форма="ООО",C49="Вывод ИП"),AND(Форма="ИП",C49="Дивиденды"),AND(L49&lt;&gt;"Проведён",L49&lt;&gt;"Черновик")),"ОШИБКА","ОК"))</f>
        <v>ОК</v>
      </c>
      <c r="W49" s="25">
        <f>IF(A49="","",SUMIF(Accounts[Счёт],F49,Accounts[Начальный])+SUMIFS($Q$7:Q49,$F$7:F49,F49)+SUMIFS($E$7:E49,$G$7:G49,F49,$C$7:C49,"Перевод",$L$7:L49,"Проведён"))</f>
        <v>535022.77</v>
      </c>
    </row>
    <row r="50" spans="1:23" x14ac:dyDescent="0.25">
      <c r="A50" s="3" t="s">
        <v>571</v>
      </c>
      <c r="B50" s="19">
        <v>46081</v>
      </c>
      <c r="C50" s="3" t="s">
        <v>504</v>
      </c>
      <c r="D50" s="3" t="s">
        <v>532</v>
      </c>
      <c r="E50" s="24">
        <v>27000</v>
      </c>
      <c r="F50" s="3" t="s">
        <v>474</v>
      </c>
      <c r="G50" s="3"/>
      <c r="H50" s="3" t="s">
        <v>528</v>
      </c>
      <c r="I50" s="3" t="s">
        <v>383</v>
      </c>
      <c r="J50" s="3" t="s">
        <v>572</v>
      </c>
      <c r="K50" s="3" t="s">
        <v>504</v>
      </c>
      <c r="L50" s="3" t="s">
        <v>476</v>
      </c>
      <c r="M50" s="3"/>
      <c r="N50" s="24">
        <v>27000</v>
      </c>
      <c r="O50" s="3"/>
      <c r="P50" s="5">
        <f>IF(A50="","",IF(COUNTIF(Типы,C50)=0,0,VLOOKUP(C50,СПРАВОЧНИКИ!$A$7:$E$22,2,FALSE)))</f>
        <v>-1</v>
      </c>
      <c r="Q50" s="25">
        <f t="shared" si="0"/>
        <v>-27000</v>
      </c>
      <c r="R50" s="5" t="str">
        <f>IF(A50="","",IF(COUNTIF(Типы,C50)=0,"НЕИЗВЕСТНЫЙ ТИП",VLOOKUP(C50,СПРАВОЧНИКИ!$A$7:$E$22,3,FALSE)))</f>
        <v>Операционный</v>
      </c>
      <c r="S50" s="26">
        <f>IF(A50="","",IF(L50="Проведён",E50*IF(COUNTIF(Типы,C50)=0,0,VLOOKUP(C50,СПРАВОЧНИКИ!$A$7:$E$22,4,FALSE)),0))</f>
        <v>27000</v>
      </c>
      <c r="T50" s="26">
        <f>IF(A50="","",IF(L50="Проведён",E50*IF(COUNTIF(Типы,C50)=0,0,VLOOKUP(C50,СПРАВОЧНИКИ!$A$7:$E$22,5,FALSE)),0))</f>
        <v>0</v>
      </c>
      <c r="U50" s="5" t="str">
        <f>IF(A50="","",IF(COUNTIF(Контрагенты,H50)=0,"Не задан",VLOOKUP(H50,СПРАВОЧНИКИ!$G$7:$H$66,2,FALSE)))</f>
        <v>ЮЛ</v>
      </c>
      <c r="V50" s="4" t="str">
        <f>IF(A50="",IF(COUNTA(B50:O50)&gt;0,"НЕТ ID",""),IF(OR(AND(OR(C50="Оплата клиента",C50="Возврат клиенту"),COUNTIFS(Docs[ID],J50,Docs[Тип долга],"ДЗ")&lt;&gt;1),AND(OR(C50="Оплата поставщику",C50="Возврат поставщика"),COUNTIFS(Docs[ID],J50,Docs[Тип долга],"КЗ",Docs[Вид],"&lt;&gt;Дивиденды")&lt;&gt;1),AND(C50="Дивиденды",COUNTIFS(Docs[ID],J50,Docs[Вид],"Дивиденды")&lt;&gt;1),AND(C50="Проценты",COUNTIFS(Docs[ID],J50,Docs[Вид],"Проценты")&lt;&gt;1),COUNTIF(Cash[ID],A50)&gt;1,NOT(ISNUMBER(B50)),B50&lt;НачалоУчета,YEAR(B50)&lt;&gt;Год,NOT(ISNUMBER(E50)),E50&lt;=0,N50&lt;0,COUNTIF(Типы,C50)&lt;&gt;1,COUNTIF(Категории,D50)&lt;&gt;1,COUNTIF(Счета,F50)&lt;&gt;1,COUNTIF(Проекты,I50)&lt;&gt;1,AND(H50&lt;&gt;"",COUNTIF(Контрагенты,H50)&lt;&gt;1),AND(C50="Перевод",OR(F50=G50,COUNTIF(Счета,G50)&lt;&gt;1)),AND(S50&lt;&gt;0,COUNTIF(Docs[ID],J50)&lt;&gt;1),AND(Форма="ООО",C50="Вывод ИП"),AND(Форма="ИП",C50="Дивиденды"),AND(L50&lt;&gt;"Проведён",L50&lt;&gt;"Черновик")),"ОШИБКА","ОК"))</f>
        <v>ОК</v>
      </c>
      <c r="W50" s="25">
        <f>IF(A50="","",SUMIF(Accounts[Счёт],F50,Accounts[Начальный])+SUMIFS($Q$7:Q50,$F$7:F50,F50)+SUMIFS($E$7:E50,$G$7:G50,F50,$C$7:C50,"Перевод",$L$7:L50,"Проведён"))</f>
        <v>508022.77</v>
      </c>
    </row>
    <row r="51" spans="1:23" x14ac:dyDescent="0.25">
      <c r="A51" s="3" t="s">
        <v>573</v>
      </c>
      <c r="B51" s="19">
        <v>46081</v>
      </c>
      <c r="C51" s="3" t="s">
        <v>130</v>
      </c>
      <c r="D51" s="3" t="s">
        <v>130</v>
      </c>
      <c r="E51" s="24">
        <v>4342.84</v>
      </c>
      <c r="F51" s="3" t="s">
        <v>474</v>
      </c>
      <c r="G51" s="3"/>
      <c r="H51" s="3" t="s">
        <v>397</v>
      </c>
      <c r="I51" s="3" t="s">
        <v>383</v>
      </c>
      <c r="J51" s="3" t="s">
        <v>574</v>
      </c>
      <c r="K51" s="3" t="s">
        <v>130</v>
      </c>
      <c r="L51" s="3" t="s">
        <v>476</v>
      </c>
      <c r="M51" s="3"/>
      <c r="N51" s="24">
        <v>4342.84</v>
      </c>
      <c r="O51" s="3"/>
      <c r="P51" s="5">
        <f>IF(A51="","",IF(COUNTIF(Типы,C51)=0,0,VLOOKUP(C51,СПРАВОЧНИКИ!$A$7:$E$22,2,FALSE)))</f>
        <v>-1</v>
      </c>
      <c r="Q51" s="25">
        <f t="shared" si="0"/>
        <v>-4342.84</v>
      </c>
      <c r="R51" s="5" t="str">
        <f>IF(A51="","",IF(COUNTIF(Типы,C51)=0,"НЕИЗВЕСТНЫЙ ТИП",VLOOKUP(C51,СПРАВОЧНИКИ!$A$7:$E$22,3,FALSE)))</f>
        <v>Операционный</v>
      </c>
      <c r="S51" s="26">
        <f>IF(A51="","",IF(L51="Проведён",E51*IF(COUNTIF(Типы,C51)=0,0,VLOOKUP(C51,СПРАВОЧНИКИ!$A$7:$E$22,4,FALSE)),0))</f>
        <v>4342.84</v>
      </c>
      <c r="T51" s="26">
        <f>IF(A51="","",IF(L51="Проведён",E51*IF(COUNTIF(Типы,C51)=0,0,VLOOKUP(C51,СПРАВОЧНИКИ!$A$7:$E$22,5,FALSE)),0))</f>
        <v>0</v>
      </c>
      <c r="U51" s="5" t="str">
        <f>IF(A51="","",IF(COUNTIF(Контрагенты,H51)=0,"Не задан",VLOOKUP(H51,СПРАВОЧНИКИ!$G$7:$H$66,2,FALSE)))</f>
        <v>ЮЛ</v>
      </c>
      <c r="V51" s="4" t="str">
        <f>IF(A51="",IF(COUNTA(B51:O51)&gt;0,"НЕТ ID",""),IF(OR(AND(OR(C51="Оплата клиента",C51="Возврат клиенту"),COUNTIFS(Docs[ID],J51,Docs[Тип долга],"ДЗ")&lt;&gt;1),AND(OR(C51="Оплата поставщику",C51="Возврат поставщика"),COUNTIFS(Docs[ID],J51,Docs[Тип долга],"КЗ",Docs[Вид],"&lt;&gt;Дивиденды")&lt;&gt;1),AND(C51="Дивиденды",COUNTIFS(Docs[ID],J51,Docs[Вид],"Дивиденды")&lt;&gt;1),AND(C51="Проценты",COUNTIFS(Docs[ID],J51,Docs[Вид],"Проценты")&lt;&gt;1),COUNTIF(Cash[ID],A51)&gt;1,NOT(ISNUMBER(B51)),B51&lt;НачалоУчета,YEAR(B51)&lt;&gt;Год,NOT(ISNUMBER(E51)),E51&lt;=0,N51&lt;0,COUNTIF(Типы,C51)&lt;&gt;1,COUNTIF(Категории,D51)&lt;&gt;1,COUNTIF(Счета,F51)&lt;&gt;1,COUNTIF(Проекты,I51)&lt;&gt;1,AND(H51&lt;&gt;"",COUNTIF(Контрагенты,H51)&lt;&gt;1),AND(C51="Перевод",OR(F51=G51,COUNTIF(Счета,G51)&lt;&gt;1)),AND(S51&lt;&gt;0,COUNTIF(Docs[ID],J51)&lt;&gt;1),AND(Форма="ООО",C51="Вывод ИП"),AND(Форма="ИП",C51="Дивиденды"),AND(L51&lt;&gt;"Проведён",L51&lt;&gt;"Черновик")),"ОШИБКА","ОК"))</f>
        <v>ОК</v>
      </c>
      <c r="W51" s="25">
        <f>IF(A51="","",SUMIF(Accounts[Счёт],F51,Accounts[Начальный])+SUMIFS($Q$7:Q51,$F$7:F51,F51)+SUMIFS($E$7:E51,$G$7:G51,F51,$C$7:C51,"Перевод",$L$7:L51,"Проведён"))</f>
        <v>503679.93</v>
      </c>
    </row>
    <row r="52" spans="1:23" x14ac:dyDescent="0.25">
      <c r="A52" s="3" t="s">
        <v>575</v>
      </c>
      <c r="B52" s="19">
        <v>46081</v>
      </c>
      <c r="C52" s="3" t="s">
        <v>537</v>
      </c>
      <c r="D52" s="3" t="s">
        <v>479</v>
      </c>
      <c r="E52" s="24">
        <v>10634.39</v>
      </c>
      <c r="F52" s="3" t="s">
        <v>474</v>
      </c>
      <c r="G52" s="3"/>
      <c r="H52" s="3" t="s">
        <v>397</v>
      </c>
      <c r="I52" s="3" t="s">
        <v>383</v>
      </c>
      <c r="J52" s="3" t="s">
        <v>394</v>
      </c>
      <c r="K52" s="3" t="s">
        <v>537</v>
      </c>
      <c r="L52" s="3" t="s">
        <v>476</v>
      </c>
      <c r="M52" s="3"/>
      <c r="N52" s="24">
        <v>0</v>
      </c>
      <c r="O52" s="3"/>
      <c r="P52" s="5">
        <f>IF(A52="","",IF(COUNTIF(Типы,C52)=0,0,VLOOKUP(C52,СПРАВОЧНИКИ!$A$7:$E$22,2,FALSE)))</f>
        <v>-1</v>
      </c>
      <c r="Q52" s="25">
        <f t="shared" si="0"/>
        <v>-10634.39</v>
      </c>
      <c r="R52" s="5" t="str">
        <f>IF(A52="","",IF(COUNTIF(Типы,C52)=0,"НЕИЗВЕСТНЫЙ ТИП",VLOOKUP(C52,СПРАВОЧНИКИ!$A$7:$E$22,3,FALSE)))</f>
        <v>Финансовый</v>
      </c>
      <c r="S52" s="26">
        <f>IF(A52="","",IF(L52="Проведён",E52*IF(COUNTIF(Типы,C52)=0,0,VLOOKUP(C52,СПРАВОЧНИКИ!$A$7:$E$22,4,FALSE)),0))</f>
        <v>0</v>
      </c>
      <c r="T52" s="26">
        <f>IF(A52="","",IF(L52="Проведён",E52*IF(COUNTIF(Типы,C52)=0,0,VLOOKUP(C52,СПРАВОЧНИКИ!$A$7:$E$22,5,FALSE)),0))</f>
        <v>0</v>
      </c>
      <c r="U52" s="5" t="str">
        <f>IF(A52="","",IF(COUNTIF(Контрагенты,H52)=0,"Не задан",VLOOKUP(H52,СПРАВОЧНИКИ!$G$7:$H$66,2,FALSE)))</f>
        <v>ЮЛ</v>
      </c>
      <c r="V52" s="4" t="str">
        <f>IF(A52="",IF(COUNTA(B52:O52)&gt;0,"НЕТ ID",""),IF(OR(AND(OR(C52="Оплата клиента",C52="Возврат клиенту"),COUNTIFS(Docs[ID],J52,Docs[Тип долга],"ДЗ")&lt;&gt;1),AND(OR(C52="Оплата поставщику",C52="Возврат поставщика"),COUNTIFS(Docs[ID],J52,Docs[Тип долга],"КЗ",Docs[Вид],"&lt;&gt;Дивиденды")&lt;&gt;1),AND(C52="Дивиденды",COUNTIFS(Docs[ID],J52,Docs[Вид],"Дивиденды")&lt;&gt;1),AND(C52="Проценты",COUNTIFS(Docs[ID],J52,Docs[Вид],"Проценты")&lt;&gt;1),COUNTIF(Cash[ID],A52)&gt;1,NOT(ISNUMBER(B52)),B52&lt;НачалоУчета,YEAR(B52)&lt;&gt;Год,NOT(ISNUMBER(E52)),E52&lt;=0,N52&lt;0,COUNTIF(Типы,C52)&lt;&gt;1,COUNTIF(Категории,D52)&lt;&gt;1,COUNTIF(Счета,F52)&lt;&gt;1,COUNTIF(Проекты,I52)&lt;&gt;1,AND(H52&lt;&gt;"",COUNTIF(Контрагенты,H52)&lt;&gt;1),AND(C52="Перевод",OR(F52=G52,COUNTIF(Счета,G52)&lt;&gt;1)),AND(S52&lt;&gt;0,COUNTIF(Docs[ID],J52)&lt;&gt;1),AND(Форма="ООО",C52="Вывод ИП"),AND(Форма="ИП",C52="Дивиденды"),AND(L52&lt;&gt;"Проведён",L52&lt;&gt;"Черновик")),"ОШИБКА","ОК"))</f>
        <v>ОК</v>
      </c>
      <c r="W52" s="25">
        <f>IF(A52="","",SUMIF(Accounts[Счёт],F52,Accounts[Начальный])+SUMIFS($Q$7:Q52,$F$7:F52,F52)+SUMIFS($E$7:E52,$G$7:G52,F52,$C$7:C52,"Перевод",$L$7:L52,"Проведён"))</f>
        <v>493045.54</v>
      </c>
    </row>
    <row r="53" spans="1:23" x14ac:dyDescent="0.25">
      <c r="A53" s="3" t="s">
        <v>576</v>
      </c>
      <c r="B53" s="19">
        <v>46081</v>
      </c>
      <c r="C53" s="3" t="s">
        <v>539</v>
      </c>
      <c r="D53" s="3" t="s">
        <v>299</v>
      </c>
      <c r="E53" s="24">
        <v>15000</v>
      </c>
      <c r="F53" s="3" t="s">
        <v>474</v>
      </c>
      <c r="G53" s="3" t="s">
        <v>299</v>
      </c>
      <c r="H53" s="3"/>
      <c r="I53" s="3" t="s">
        <v>383</v>
      </c>
      <c r="J53" s="3"/>
      <c r="K53" s="3" t="s">
        <v>539</v>
      </c>
      <c r="L53" s="3" t="s">
        <v>476</v>
      </c>
      <c r="M53" s="3"/>
      <c r="N53" s="24">
        <v>0</v>
      </c>
      <c r="O53" s="3"/>
      <c r="P53" s="5">
        <f>IF(A53="","",IF(COUNTIF(Типы,C53)=0,0,VLOOKUP(C53,СПРАВОЧНИКИ!$A$7:$E$22,2,FALSE)))</f>
        <v>-1</v>
      </c>
      <c r="Q53" s="25">
        <f t="shared" si="0"/>
        <v>-15000</v>
      </c>
      <c r="R53" s="5" t="str">
        <f>IF(A53="","",IF(COUNTIF(Типы,C53)=0,"НЕИЗВЕСТНЫЙ ТИП",VLOOKUP(C53,СПРАВОЧНИКИ!$A$7:$E$22,3,FALSE)))</f>
        <v>Внутренний</v>
      </c>
      <c r="S53" s="26">
        <f>IF(A53="","",IF(L53="Проведён",E53*IF(COUNTIF(Типы,C53)=0,0,VLOOKUP(C53,СПРАВОЧНИКИ!$A$7:$E$22,4,FALSE)),0))</f>
        <v>0</v>
      </c>
      <c r="T53" s="26">
        <f>IF(A53="","",IF(L53="Проведён",E53*IF(COUNTIF(Типы,C53)=0,0,VLOOKUP(C53,СПРАВОЧНИКИ!$A$7:$E$22,5,FALSE)),0))</f>
        <v>0</v>
      </c>
      <c r="U53" s="5" t="str">
        <f>IF(A53="","",IF(COUNTIF(Контрагенты,H53)=0,"Не задан",VLOOKUP(H53,СПРАВОЧНИКИ!$G$7:$H$66,2,FALSE)))</f>
        <v>Не задан</v>
      </c>
      <c r="V53" s="4" t="str">
        <f>IF(A53="",IF(COUNTA(B53:O53)&gt;0,"НЕТ ID",""),IF(OR(AND(OR(C53="Оплата клиента",C53="Возврат клиенту"),COUNTIFS(Docs[ID],J53,Docs[Тип долга],"ДЗ")&lt;&gt;1),AND(OR(C53="Оплата поставщику",C53="Возврат поставщика"),COUNTIFS(Docs[ID],J53,Docs[Тип долга],"КЗ",Docs[Вид],"&lt;&gt;Дивиденды")&lt;&gt;1),AND(C53="Дивиденды",COUNTIFS(Docs[ID],J53,Docs[Вид],"Дивиденды")&lt;&gt;1),AND(C53="Проценты",COUNTIFS(Docs[ID],J53,Docs[Вид],"Проценты")&lt;&gt;1),COUNTIF(Cash[ID],A53)&gt;1,NOT(ISNUMBER(B53)),B53&lt;НачалоУчета,YEAR(B53)&lt;&gt;Год,NOT(ISNUMBER(E53)),E53&lt;=0,N53&lt;0,COUNTIF(Типы,C53)&lt;&gt;1,COUNTIF(Категории,D53)&lt;&gt;1,COUNTIF(Счета,F53)&lt;&gt;1,COUNTIF(Проекты,I53)&lt;&gt;1,AND(H53&lt;&gt;"",COUNTIF(Контрагенты,H53)&lt;&gt;1),AND(C53="Перевод",OR(F53=G53,COUNTIF(Счета,G53)&lt;&gt;1)),AND(S53&lt;&gt;0,COUNTIF(Docs[ID],J53)&lt;&gt;1),AND(Форма="ООО",C53="Вывод ИП"),AND(Форма="ИП",C53="Дивиденды"),AND(L53&lt;&gt;"Проведён",L53&lt;&gt;"Черновик")),"ОШИБКА","ОК"))</f>
        <v>ОК</v>
      </c>
      <c r="W53" s="25">
        <f>IF(A53="","",SUMIF(Accounts[Счёт],F53,Accounts[Начальный])+SUMIFS($Q$7:Q53,$F$7:F53,F53)+SUMIFS($E$7:E53,$G$7:G53,F53,$C$7:C53,"Перевод",$L$7:L53,"Проведён"))</f>
        <v>478045.54</v>
      </c>
    </row>
    <row r="54" spans="1:23" x14ac:dyDescent="0.25">
      <c r="A54" s="3" t="s">
        <v>577</v>
      </c>
      <c r="B54" s="19">
        <v>46093</v>
      </c>
      <c r="C54" s="3" t="s">
        <v>484</v>
      </c>
      <c r="D54" s="3" t="s">
        <v>485</v>
      </c>
      <c r="E54" s="24">
        <v>85680</v>
      </c>
      <c r="F54" s="3" t="s">
        <v>474</v>
      </c>
      <c r="G54" s="3"/>
      <c r="H54" s="3" t="s">
        <v>486</v>
      </c>
      <c r="I54" s="3" t="s">
        <v>381</v>
      </c>
      <c r="J54" s="3" t="s">
        <v>578</v>
      </c>
      <c r="K54" s="3" t="s">
        <v>484</v>
      </c>
      <c r="L54" s="3" t="s">
        <v>476</v>
      </c>
      <c r="M54" s="3"/>
      <c r="N54" s="24">
        <v>0</v>
      </c>
      <c r="O54" s="3"/>
      <c r="P54" s="5">
        <f>IF(A54="","",IF(COUNTIF(Типы,C54)=0,0,VLOOKUP(C54,СПРАВОЧНИКИ!$A$7:$E$22,2,FALSE)))</f>
        <v>1</v>
      </c>
      <c r="Q54" s="25">
        <f t="shared" si="0"/>
        <v>85680</v>
      </c>
      <c r="R54" s="5" t="str">
        <f>IF(A54="","",IF(COUNTIF(Типы,C54)=0,"НЕИЗВЕСТНЫЙ ТИП",VLOOKUP(C54,СПРАВОЧНИКИ!$A$7:$E$22,3,FALSE)))</f>
        <v>Операционный</v>
      </c>
      <c r="S54" s="26">
        <f>IF(A54="","",IF(L54="Проведён",E54*IF(COUNTIF(Типы,C54)=0,0,VLOOKUP(C54,СПРАВОЧНИКИ!$A$7:$E$22,4,FALSE)),0))</f>
        <v>85680</v>
      </c>
      <c r="T54" s="26">
        <f>IF(A54="","",IF(L54="Проведён",E54*IF(COUNTIF(Типы,C54)=0,0,VLOOKUP(C54,СПРАВОЧНИКИ!$A$7:$E$22,5,FALSE)),0))</f>
        <v>85680</v>
      </c>
      <c r="U54" s="5" t="str">
        <f>IF(A54="","",IF(COUNTIF(Контрагенты,H54)=0,"Не задан",VLOOKUP(H54,СПРАВОЧНИКИ!$G$7:$H$66,2,FALSE)))</f>
        <v>ЮЛ</v>
      </c>
      <c r="V54" s="4" t="str">
        <f>IF(A54="",IF(COUNTA(B54:O54)&gt;0,"НЕТ ID",""),IF(OR(AND(OR(C54="Оплата клиента",C54="Возврат клиенту"),COUNTIFS(Docs[ID],J54,Docs[Тип долга],"ДЗ")&lt;&gt;1),AND(OR(C54="Оплата поставщику",C54="Возврат поставщика"),COUNTIFS(Docs[ID],J54,Docs[Тип долга],"КЗ",Docs[Вид],"&lt;&gt;Дивиденды")&lt;&gt;1),AND(C54="Дивиденды",COUNTIFS(Docs[ID],J54,Docs[Вид],"Дивиденды")&lt;&gt;1),AND(C54="Проценты",COUNTIFS(Docs[ID],J54,Docs[Вид],"Проценты")&lt;&gt;1),COUNTIF(Cash[ID],A54)&gt;1,NOT(ISNUMBER(B54)),B54&lt;НачалоУчета,YEAR(B54)&lt;&gt;Год,NOT(ISNUMBER(E54)),E54&lt;=0,N54&lt;0,COUNTIF(Типы,C54)&lt;&gt;1,COUNTIF(Категории,D54)&lt;&gt;1,COUNTIF(Счета,F54)&lt;&gt;1,COUNTIF(Проекты,I54)&lt;&gt;1,AND(H54&lt;&gt;"",COUNTIF(Контрагенты,H54)&lt;&gt;1),AND(C54="Перевод",OR(F54=G54,COUNTIF(Счета,G54)&lt;&gt;1)),AND(S54&lt;&gt;0,COUNTIF(Docs[ID],J54)&lt;&gt;1),AND(Форма="ООО",C54="Вывод ИП"),AND(Форма="ИП",C54="Дивиденды"),AND(L54&lt;&gt;"Проведён",L54&lt;&gt;"Черновик")),"ОШИБКА","ОК"))</f>
        <v>ОК</v>
      </c>
      <c r="W54" s="25">
        <f>IF(A54="","",SUMIF(Accounts[Счёт],F54,Accounts[Начальный])+SUMIFS($Q$7:Q54,$F$7:F54,F54)+SUMIFS($E$7:E54,$G$7:G54,F54,$C$7:C54,"Перевод",$L$7:L54,"Проведён"))</f>
        <v>563725.54</v>
      </c>
    </row>
    <row r="55" spans="1:23" x14ac:dyDescent="0.25">
      <c r="A55" s="3" t="s">
        <v>579</v>
      </c>
      <c r="B55" s="19">
        <v>46094</v>
      </c>
      <c r="C55" s="3" t="s">
        <v>484</v>
      </c>
      <c r="D55" s="3" t="s">
        <v>485</v>
      </c>
      <c r="E55" s="24">
        <v>67320</v>
      </c>
      <c r="F55" s="3" t="s">
        <v>474</v>
      </c>
      <c r="G55" s="3"/>
      <c r="H55" s="3" t="s">
        <v>489</v>
      </c>
      <c r="I55" s="3" t="s">
        <v>298</v>
      </c>
      <c r="J55" s="3" t="s">
        <v>580</v>
      </c>
      <c r="K55" s="3" t="s">
        <v>484</v>
      </c>
      <c r="L55" s="3" t="s">
        <v>476</v>
      </c>
      <c r="M55" s="3"/>
      <c r="N55" s="24">
        <v>0</v>
      </c>
      <c r="O55" s="3"/>
      <c r="P55" s="5">
        <f>IF(A55="","",IF(COUNTIF(Типы,C55)=0,0,VLOOKUP(C55,СПРАВОЧНИКИ!$A$7:$E$22,2,FALSE)))</f>
        <v>1</v>
      </c>
      <c r="Q55" s="25">
        <f t="shared" si="0"/>
        <v>67320</v>
      </c>
      <c r="R55" s="5" t="str">
        <f>IF(A55="","",IF(COUNTIF(Типы,C55)=0,"НЕИЗВЕСТНЫЙ ТИП",VLOOKUP(C55,СПРАВОЧНИКИ!$A$7:$E$22,3,FALSE)))</f>
        <v>Операционный</v>
      </c>
      <c r="S55" s="26">
        <f>IF(A55="","",IF(L55="Проведён",E55*IF(COUNTIF(Типы,C55)=0,0,VLOOKUP(C55,СПРАВОЧНИКИ!$A$7:$E$22,4,FALSE)),0))</f>
        <v>67320</v>
      </c>
      <c r="T55" s="26">
        <f>IF(A55="","",IF(L55="Проведён",E55*IF(COUNTIF(Типы,C55)=0,0,VLOOKUP(C55,СПРАВОЧНИКИ!$A$7:$E$22,5,FALSE)),0))</f>
        <v>67320</v>
      </c>
      <c r="U55" s="5" t="str">
        <f>IF(A55="","",IF(COUNTIF(Контрагенты,H55)=0,"Не задан",VLOOKUP(H55,СПРАВОЧНИКИ!$G$7:$H$66,2,FALSE)))</f>
        <v>ЮЛ</v>
      </c>
      <c r="V55" s="4" t="str">
        <f>IF(A55="",IF(COUNTA(B55:O55)&gt;0,"НЕТ ID",""),IF(OR(AND(OR(C55="Оплата клиента",C55="Возврат клиенту"),COUNTIFS(Docs[ID],J55,Docs[Тип долга],"ДЗ")&lt;&gt;1),AND(OR(C55="Оплата поставщику",C55="Возврат поставщика"),COUNTIFS(Docs[ID],J55,Docs[Тип долга],"КЗ",Docs[Вид],"&lt;&gt;Дивиденды")&lt;&gt;1),AND(C55="Дивиденды",COUNTIFS(Docs[ID],J55,Docs[Вид],"Дивиденды")&lt;&gt;1),AND(C55="Проценты",COUNTIFS(Docs[ID],J55,Docs[Вид],"Проценты")&lt;&gt;1),COUNTIF(Cash[ID],A55)&gt;1,NOT(ISNUMBER(B55)),B55&lt;НачалоУчета,YEAR(B55)&lt;&gt;Год,NOT(ISNUMBER(E55)),E55&lt;=0,N55&lt;0,COUNTIF(Типы,C55)&lt;&gt;1,COUNTIF(Категории,D55)&lt;&gt;1,COUNTIF(Счета,F55)&lt;&gt;1,COUNTIF(Проекты,I55)&lt;&gt;1,AND(H55&lt;&gt;"",COUNTIF(Контрагенты,H55)&lt;&gt;1),AND(C55="Перевод",OR(F55=G55,COUNTIF(Счета,G55)&lt;&gt;1)),AND(S55&lt;&gt;0,COUNTIF(Docs[ID],J55)&lt;&gt;1),AND(Форма="ООО",C55="Вывод ИП"),AND(Форма="ИП",C55="Дивиденды"),AND(L55&lt;&gt;"Проведён",L55&lt;&gt;"Черновик")),"ОШИБКА","ОК"))</f>
        <v>ОК</v>
      </c>
      <c r="W55" s="25">
        <f>IF(A55="","",SUMIF(Accounts[Счёт],F55,Accounts[Начальный])+SUMIFS($Q$7:Q55,$F$7:F55,F55)+SUMIFS($E$7:E55,$G$7:G55,F55,$C$7:C55,"Перевод",$L$7:L55,"Проведён"))</f>
        <v>631045.54</v>
      </c>
    </row>
    <row r="56" spans="1:23" x14ac:dyDescent="0.25">
      <c r="A56" s="3" t="s">
        <v>581</v>
      </c>
      <c r="B56" s="19">
        <v>46095</v>
      </c>
      <c r="C56" s="3" t="s">
        <v>484</v>
      </c>
      <c r="D56" s="3" t="s">
        <v>485</v>
      </c>
      <c r="E56" s="24">
        <v>55080</v>
      </c>
      <c r="F56" s="3" t="s">
        <v>474</v>
      </c>
      <c r="G56" s="3"/>
      <c r="H56" s="3" t="s">
        <v>492</v>
      </c>
      <c r="I56" s="3" t="s">
        <v>382</v>
      </c>
      <c r="J56" s="3" t="s">
        <v>582</v>
      </c>
      <c r="K56" s="3" t="s">
        <v>484</v>
      </c>
      <c r="L56" s="3" t="s">
        <v>476</v>
      </c>
      <c r="M56" s="3"/>
      <c r="N56" s="24">
        <v>0</v>
      </c>
      <c r="O56" s="3"/>
      <c r="P56" s="5">
        <f>IF(A56="","",IF(COUNTIF(Типы,C56)=0,0,VLOOKUP(C56,СПРАВОЧНИКИ!$A$7:$E$22,2,FALSE)))</f>
        <v>1</v>
      </c>
      <c r="Q56" s="25">
        <f t="shared" si="0"/>
        <v>55080</v>
      </c>
      <c r="R56" s="5" t="str">
        <f>IF(A56="","",IF(COUNTIF(Типы,C56)=0,"НЕИЗВЕСТНЫЙ ТИП",VLOOKUP(C56,СПРАВОЧНИКИ!$A$7:$E$22,3,FALSE)))</f>
        <v>Операционный</v>
      </c>
      <c r="S56" s="26">
        <f>IF(A56="","",IF(L56="Проведён",E56*IF(COUNTIF(Типы,C56)=0,0,VLOOKUP(C56,СПРАВОЧНИКИ!$A$7:$E$22,4,FALSE)),0))</f>
        <v>55080</v>
      </c>
      <c r="T56" s="26">
        <f>IF(A56="","",IF(L56="Проведён",E56*IF(COUNTIF(Типы,C56)=0,0,VLOOKUP(C56,СПРАВОЧНИКИ!$A$7:$E$22,5,FALSE)),0))</f>
        <v>55080</v>
      </c>
      <c r="U56" s="5" t="str">
        <f>IF(A56="","",IF(COUNTIF(Контрагенты,H56)=0,"Не задан",VLOOKUP(H56,СПРАВОЧНИКИ!$G$7:$H$66,2,FALSE)))</f>
        <v>ИП</v>
      </c>
      <c r="V56" s="4" t="str">
        <f>IF(A56="",IF(COUNTA(B56:O56)&gt;0,"НЕТ ID",""),IF(OR(AND(OR(C56="Оплата клиента",C56="Возврат клиенту"),COUNTIFS(Docs[ID],J56,Docs[Тип долга],"ДЗ")&lt;&gt;1),AND(OR(C56="Оплата поставщику",C56="Возврат поставщика"),COUNTIFS(Docs[ID],J56,Docs[Тип долга],"КЗ",Docs[Вид],"&lt;&gt;Дивиденды")&lt;&gt;1),AND(C56="Дивиденды",COUNTIFS(Docs[ID],J56,Docs[Вид],"Дивиденды")&lt;&gt;1),AND(C56="Проценты",COUNTIFS(Docs[ID],J56,Docs[Вид],"Проценты")&lt;&gt;1),COUNTIF(Cash[ID],A56)&gt;1,NOT(ISNUMBER(B56)),B56&lt;НачалоУчета,YEAR(B56)&lt;&gt;Год,NOT(ISNUMBER(E56)),E56&lt;=0,N56&lt;0,COUNTIF(Типы,C56)&lt;&gt;1,COUNTIF(Категории,D56)&lt;&gt;1,COUNTIF(Счета,F56)&lt;&gt;1,COUNTIF(Проекты,I56)&lt;&gt;1,AND(H56&lt;&gt;"",COUNTIF(Контрагенты,H56)&lt;&gt;1),AND(C56="Перевод",OR(F56=G56,COUNTIF(Счета,G56)&lt;&gt;1)),AND(S56&lt;&gt;0,COUNTIF(Docs[ID],J56)&lt;&gt;1),AND(Форма="ООО",C56="Вывод ИП"),AND(Форма="ИП",C56="Дивиденды"),AND(L56&lt;&gt;"Проведён",L56&lt;&gt;"Черновик")),"ОШИБКА","ОК"))</f>
        <v>ОК</v>
      </c>
      <c r="W56" s="25">
        <f>IF(A56="","",SUMIF(Accounts[Счёт],F56,Accounts[Начальный])+SUMIFS($Q$7:Q56,$F$7:F56,F56)+SUMIFS($E$7:E56,$G$7:G56,F56,$C$7:C56,"Перевод",$L$7:L56,"Проведён"))</f>
        <v>686125.54</v>
      </c>
    </row>
    <row r="57" spans="1:23" x14ac:dyDescent="0.25">
      <c r="A57" s="3" t="s">
        <v>583</v>
      </c>
      <c r="B57" s="19">
        <v>46096</v>
      </c>
      <c r="C57" s="3" t="s">
        <v>484</v>
      </c>
      <c r="D57" s="3" t="s">
        <v>485</v>
      </c>
      <c r="E57" s="24">
        <v>42840</v>
      </c>
      <c r="F57" s="3" t="s">
        <v>474</v>
      </c>
      <c r="G57" s="3"/>
      <c r="H57" s="3" t="s">
        <v>495</v>
      </c>
      <c r="I57" s="3" t="s">
        <v>381</v>
      </c>
      <c r="J57" s="3" t="s">
        <v>584</v>
      </c>
      <c r="K57" s="3" t="s">
        <v>484</v>
      </c>
      <c r="L57" s="3" t="s">
        <v>476</v>
      </c>
      <c r="M57" s="3"/>
      <c r="N57" s="24">
        <v>0</v>
      </c>
      <c r="O57" s="3"/>
      <c r="P57" s="5">
        <f>IF(A57="","",IF(COUNTIF(Типы,C57)=0,0,VLOOKUP(C57,СПРАВОЧНИКИ!$A$7:$E$22,2,FALSE)))</f>
        <v>1</v>
      </c>
      <c r="Q57" s="25">
        <f t="shared" si="0"/>
        <v>42840</v>
      </c>
      <c r="R57" s="5" t="str">
        <f>IF(A57="","",IF(COUNTIF(Типы,C57)=0,"НЕИЗВЕСТНЫЙ ТИП",VLOOKUP(C57,СПРАВОЧНИКИ!$A$7:$E$22,3,FALSE)))</f>
        <v>Операционный</v>
      </c>
      <c r="S57" s="26">
        <f>IF(A57="","",IF(L57="Проведён",E57*IF(COUNTIF(Типы,C57)=0,0,VLOOKUP(C57,СПРАВОЧНИКИ!$A$7:$E$22,4,FALSE)),0))</f>
        <v>42840</v>
      </c>
      <c r="T57" s="26">
        <f>IF(A57="","",IF(L57="Проведён",E57*IF(COUNTIF(Типы,C57)=0,0,VLOOKUP(C57,СПРАВОЧНИКИ!$A$7:$E$22,5,FALSE)),0))</f>
        <v>42840</v>
      </c>
      <c r="U57" s="5" t="str">
        <f>IF(A57="","",IF(COUNTIF(Контрагенты,H57)=0,"Не задан",VLOOKUP(H57,СПРАВОЧНИКИ!$G$7:$H$66,2,FALSE)))</f>
        <v>ЮЛ</v>
      </c>
      <c r="V57" s="4" t="str">
        <f>IF(A57="",IF(COUNTA(B57:O57)&gt;0,"НЕТ ID",""),IF(OR(AND(OR(C57="Оплата клиента",C57="Возврат клиенту"),COUNTIFS(Docs[ID],J57,Docs[Тип долга],"ДЗ")&lt;&gt;1),AND(OR(C57="Оплата поставщику",C57="Возврат поставщика"),COUNTIFS(Docs[ID],J57,Docs[Тип долга],"КЗ",Docs[Вид],"&lt;&gt;Дивиденды")&lt;&gt;1),AND(C57="Дивиденды",COUNTIFS(Docs[ID],J57,Docs[Вид],"Дивиденды")&lt;&gt;1),AND(C57="Проценты",COUNTIFS(Docs[ID],J57,Docs[Вид],"Проценты")&lt;&gt;1),COUNTIF(Cash[ID],A57)&gt;1,NOT(ISNUMBER(B57)),B57&lt;НачалоУчета,YEAR(B57)&lt;&gt;Год,NOT(ISNUMBER(E57)),E57&lt;=0,N57&lt;0,COUNTIF(Типы,C57)&lt;&gt;1,COUNTIF(Категории,D57)&lt;&gt;1,COUNTIF(Счета,F57)&lt;&gt;1,COUNTIF(Проекты,I57)&lt;&gt;1,AND(H57&lt;&gt;"",COUNTIF(Контрагенты,H57)&lt;&gt;1),AND(C57="Перевод",OR(F57=G57,COUNTIF(Счета,G57)&lt;&gt;1)),AND(S57&lt;&gt;0,COUNTIF(Docs[ID],J57)&lt;&gt;1),AND(Форма="ООО",C57="Вывод ИП"),AND(Форма="ИП",C57="Дивиденды"),AND(L57&lt;&gt;"Проведён",L57&lt;&gt;"Черновик")),"ОШИБКА","ОК"))</f>
        <v>ОК</v>
      </c>
      <c r="W57" s="25">
        <f>IF(A57="","",SUMIF(Accounts[Счёт],F57,Accounts[Начальный])+SUMIFS($Q$7:Q57,$F$7:F57,F57)+SUMIFS($E$7:E57,$G$7:G57,F57,$C$7:C57,"Перевод",$L$7:L57,"Проведён"))</f>
        <v>728965.54</v>
      </c>
    </row>
    <row r="58" spans="1:23" x14ac:dyDescent="0.25">
      <c r="A58" s="3" t="s">
        <v>585</v>
      </c>
      <c r="B58" s="19">
        <v>46097</v>
      </c>
      <c r="C58" s="3" t="s">
        <v>484</v>
      </c>
      <c r="D58" s="3" t="s">
        <v>485</v>
      </c>
      <c r="E58" s="24">
        <v>30600</v>
      </c>
      <c r="F58" s="3" t="s">
        <v>474</v>
      </c>
      <c r="G58" s="3"/>
      <c r="H58" s="3" t="s">
        <v>498</v>
      </c>
      <c r="I58" s="3" t="s">
        <v>298</v>
      </c>
      <c r="J58" s="3" t="s">
        <v>586</v>
      </c>
      <c r="K58" s="3" t="s">
        <v>484</v>
      </c>
      <c r="L58" s="3" t="s">
        <v>476</v>
      </c>
      <c r="M58" s="3"/>
      <c r="N58" s="24">
        <v>0</v>
      </c>
      <c r="O58" s="3"/>
      <c r="P58" s="5">
        <f>IF(A58="","",IF(COUNTIF(Типы,C58)=0,0,VLOOKUP(C58,СПРАВОЧНИКИ!$A$7:$E$22,2,FALSE)))</f>
        <v>1</v>
      </c>
      <c r="Q58" s="25">
        <f t="shared" si="0"/>
        <v>30600</v>
      </c>
      <c r="R58" s="5" t="str">
        <f>IF(A58="","",IF(COUNTIF(Типы,C58)=0,"НЕИЗВЕСТНЫЙ ТИП",VLOOKUP(C58,СПРАВОЧНИКИ!$A$7:$E$22,3,FALSE)))</f>
        <v>Операционный</v>
      </c>
      <c r="S58" s="26">
        <f>IF(A58="","",IF(L58="Проведён",E58*IF(COUNTIF(Типы,C58)=0,0,VLOOKUP(C58,СПРАВОЧНИКИ!$A$7:$E$22,4,FALSE)),0))</f>
        <v>30600</v>
      </c>
      <c r="T58" s="26">
        <f>IF(A58="","",IF(L58="Проведён",E58*IF(COUNTIF(Типы,C58)=0,0,VLOOKUP(C58,СПРАВОЧНИКИ!$A$7:$E$22,5,FALSE)),0))</f>
        <v>30600</v>
      </c>
      <c r="U58" s="5" t="str">
        <f>IF(A58="","",IF(COUNTIF(Контрагенты,H58)=0,"Не задан",VLOOKUP(H58,СПРАВОЧНИКИ!$G$7:$H$66,2,FALSE)))</f>
        <v>ФЛ</v>
      </c>
      <c r="V58" s="4" t="str">
        <f>IF(A58="",IF(COUNTA(B58:O58)&gt;0,"НЕТ ID",""),IF(OR(AND(OR(C58="Оплата клиента",C58="Возврат клиенту"),COUNTIFS(Docs[ID],J58,Docs[Тип долга],"ДЗ")&lt;&gt;1),AND(OR(C58="Оплата поставщику",C58="Возврат поставщика"),COUNTIFS(Docs[ID],J58,Docs[Тип долга],"КЗ",Docs[Вид],"&lt;&gt;Дивиденды")&lt;&gt;1),AND(C58="Дивиденды",COUNTIFS(Docs[ID],J58,Docs[Вид],"Дивиденды")&lt;&gt;1),AND(C58="Проценты",COUNTIFS(Docs[ID],J58,Docs[Вид],"Проценты")&lt;&gt;1),COUNTIF(Cash[ID],A58)&gt;1,NOT(ISNUMBER(B58)),B58&lt;НачалоУчета,YEAR(B58)&lt;&gt;Год,NOT(ISNUMBER(E58)),E58&lt;=0,N58&lt;0,COUNTIF(Типы,C58)&lt;&gt;1,COUNTIF(Категории,D58)&lt;&gt;1,COUNTIF(Счета,F58)&lt;&gt;1,COUNTIF(Проекты,I58)&lt;&gt;1,AND(H58&lt;&gt;"",COUNTIF(Контрагенты,H58)&lt;&gt;1),AND(C58="Перевод",OR(F58=G58,COUNTIF(Счета,G58)&lt;&gt;1)),AND(S58&lt;&gt;0,COUNTIF(Docs[ID],J58)&lt;&gt;1),AND(Форма="ООО",C58="Вывод ИП"),AND(Форма="ИП",C58="Дивиденды"),AND(L58&lt;&gt;"Проведён",L58&lt;&gt;"Черновик")),"ОШИБКА","ОК"))</f>
        <v>ОК</v>
      </c>
      <c r="W58" s="25">
        <f>IF(A58="","",SUMIF(Accounts[Счёт],F58,Accounts[Начальный])+SUMIFS($Q$7:Q58,$F$7:F58,F58)+SUMIFS($E$7:E58,$G$7:G58,F58,$C$7:C58,"Перевод",$L$7:L58,"Проведён"))</f>
        <v>759565.54</v>
      </c>
    </row>
    <row r="59" spans="1:23" x14ac:dyDescent="0.25">
      <c r="A59" s="3" t="s">
        <v>587</v>
      </c>
      <c r="B59" s="19">
        <v>46098</v>
      </c>
      <c r="C59" s="3" t="s">
        <v>484</v>
      </c>
      <c r="D59" s="3" t="s">
        <v>485</v>
      </c>
      <c r="E59" s="24">
        <v>24480</v>
      </c>
      <c r="F59" s="3" t="s">
        <v>474</v>
      </c>
      <c r="G59" s="3"/>
      <c r="H59" s="3" t="s">
        <v>501</v>
      </c>
      <c r="I59" s="3" t="s">
        <v>382</v>
      </c>
      <c r="J59" s="3" t="s">
        <v>588</v>
      </c>
      <c r="K59" s="3" t="s">
        <v>484</v>
      </c>
      <c r="L59" s="3" t="s">
        <v>476</v>
      </c>
      <c r="M59" s="3"/>
      <c r="N59" s="24">
        <v>0</v>
      </c>
      <c r="O59" s="3"/>
      <c r="P59" s="5">
        <f>IF(A59="","",IF(COUNTIF(Типы,C59)=0,0,VLOOKUP(C59,СПРАВОЧНИКИ!$A$7:$E$22,2,FALSE)))</f>
        <v>1</v>
      </c>
      <c r="Q59" s="25">
        <f t="shared" si="0"/>
        <v>24480</v>
      </c>
      <c r="R59" s="5" t="str">
        <f>IF(A59="","",IF(COUNTIF(Типы,C59)=0,"НЕИЗВЕСТНЫЙ ТИП",VLOOKUP(C59,СПРАВОЧНИКИ!$A$7:$E$22,3,FALSE)))</f>
        <v>Операционный</v>
      </c>
      <c r="S59" s="26">
        <f>IF(A59="","",IF(L59="Проведён",E59*IF(COUNTIF(Типы,C59)=0,0,VLOOKUP(C59,СПРАВОЧНИКИ!$A$7:$E$22,4,FALSE)),0))</f>
        <v>24480</v>
      </c>
      <c r="T59" s="26">
        <f>IF(A59="","",IF(L59="Проведён",E59*IF(COUNTIF(Типы,C59)=0,0,VLOOKUP(C59,СПРАВОЧНИКИ!$A$7:$E$22,5,FALSE)),0))</f>
        <v>24480</v>
      </c>
      <c r="U59" s="5" t="str">
        <f>IF(A59="","",IF(COUNTIF(Контрагенты,H59)=0,"Не задан",VLOOKUP(H59,СПРАВОЧНИКИ!$G$7:$H$66,2,FALSE)))</f>
        <v>ЮЛ</v>
      </c>
      <c r="V59" s="4" t="str">
        <f>IF(A59="",IF(COUNTA(B59:O59)&gt;0,"НЕТ ID",""),IF(OR(AND(OR(C59="Оплата клиента",C59="Возврат клиенту"),COUNTIFS(Docs[ID],J59,Docs[Тип долга],"ДЗ")&lt;&gt;1),AND(OR(C59="Оплата поставщику",C59="Возврат поставщика"),COUNTIFS(Docs[ID],J59,Docs[Тип долга],"КЗ",Docs[Вид],"&lt;&gt;Дивиденды")&lt;&gt;1),AND(C59="Дивиденды",COUNTIFS(Docs[ID],J59,Docs[Вид],"Дивиденды")&lt;&gt;1),AND(C59="Проценты",COUNTIFS(Docs[ID],J59,Docs[Вид],"Проценты")&lt;&gt;1),COUNTIF(Cash[ID],A59)&gt;1,NOT(ISNUMBER(B59)),B59&lt;НачалоУчета,YEAR(B59)&lt;&gt;Год,NOT(ISNUMBER(E59)),E59&lt;=0,N59&lt;0,COUNTIF(Типы,C59)&lt;&gt;1,COUNTIF(Категории,D59)&lt;&gt;1,COUNTIF(Счета,F59)&lt;&gt;1,COUNTIF(Проекты,I59)&lt;&gt;1,AND(H59&lt;&gt;"",COUNTIF(Контрагенты,H59)&lt;&gt;1),AND(C59="Перевод",OR(F59=G59,COUNTIF(Счета,G59)&lt;&gt;1)),AND(S59&lt;&gt;0,COUNTIF(Docs[ID],J59)&lt;&gt;1),AND(Форма="ООО",C59="Вывод ИП"),AND(Форма="ИП",C59="Дивиденды"),AND(L59&lt;&gt;"Проведён",L59&lt;&gt;"Черновик")),"ОШИБКА","ОК"))</f>
        <v>ОК</v>
      </c>
      <c r="W59" s="25">
        <f>IF(A59="","",SUMIF(Accounts[Счёт],F59,Accounts[Начальный])+SUMIFS($Q$7:Q59,$F$7:F59,F59)+SUMIFS($E$7:E59,$G$7:G59,F59,$C$7:C59,"Перевод",$L$7:L59,"Проведён"))</f>
        <v>784045.54</v>
      </c>
    </row>
    <row r="60" spans="1:23" x14ac:dyDescent="0.25">
      <c r="A60" s="3" t="s">
        <v>589</v>
      </c>
      <c r="B60" s="19">
        <v>46103</v>
      </c>
      <c r="C60" s="3" t="s">
        <v>504</v>
      </c>
      <c r="D60" s="3" t="s">
        <v>505</v>
      </c>
      <c r="E60" s="24">
        <v>163200</v>
      </c>
      <c r="F60" s="3" t="s">
        <v>474</v>
      </c>
      <c r="G60" s="3"/>
      <c r="H60" s="3" t="s">
        <v>506</v>
      </c>
      <c r="I60" s="3" t="s">
        <v>298</v>
      </c>
      <c r="J60" s="3" t="s">
        <v>590</v>
      </c>
      <c r="K60" s="3" t="s">
        <v>504</v>
      </c>
      <c r="L60" s="3" t="s">
        <v>476</v>
      </c>
      <c r="M60" s="3"/>
      <c r="N60" s="24">
        <v>163200</v>
      </c>
      <c r="O60" s="3"/>
      <c r="P60" s="5">
        <f>IF(A60="","",IF(COUNTIF(Типы,C60)=0,0,VLOOKUP(C60,СПРАВОЧНИКИ!$A$7:$E$22,2,FALSE)))</f>
        <v>-1</v>
      </c>
      <c r="Q60" s="25">
        <f t="shared" si="0"/>
        <v>-163200</v>
      </c>
      <c r="R60" s="5" t="str">
        <f>IF(A60="","",IF(COUNTIF(Типы,C60)=0,"НЕИЗВЕСТНЫЙ ТИП",VLOOKUP(C60,СПРАВОЧНИКИ!$A$7:$E$22,3,FALSE)))</f>
        <v>Операционный</v>
      </c>
      <c r="S60" s="26">
        <f>IF(A60="","",IF(L60="Проведён",E60*IF(COUNTIF(Типы,C60)=0,0,VLOOKUP(C60,СПРАВОЧНИКИ!$A$7:$E$22,4,FALSE)),0))</f>
        <v>163200</v>
      </c>
      <c r="T60" s="26">
        <f>IF(A60="","",IF(L60="Проведён",E60*IF(COUNTIF(Типы,C60)=0,0,VLOOKUP(C60,СПРАВОЧНИКИ!$A$7:$E$22,5,FALSE)),0))</f>
        <v>0</v>
      </c>
      <c r="U60" s="5" t="str">
        <f>IF(A60="","",IF(COUNTIF(Контрагенты,H60)=0,"Не задан",VLOOKUP(H60,СПРАВОЧНИКИ!$G$7:$H$66,2,FALSE)))</f>
        <v>ИП</v>
      </c>
      <c r="V60" s="4" t="str">
        <f>IF(A60="",IF(COUNTA(B60:O60)&gt;0,"НЕТ ID",""),IF(OR(AND(OR(C60="Оплата клиента",C60="Возврат клиенту"),COUNTIFS(Docs[ID],J60,Docs[Тип долга],"ДЗ")&lt;&gt;1),AND(OR(C60="Оплата поставщику",C60="Возврат поставщика"),COUNTIFS(Docs[ID],J60,Docs[Тип долга],"КЗ",Docs[Вид],"&lt;&gt;Дивиденды")&lt;&gt;1),AND(C60="Дивиденды",COUNTIFS(Docs[ID],J60,Docs[Вид],"Дивиденды")&lt;&gt;1),AND(C60="Проценты",COUNTIFS(Docs[ID],J60,Docs[Вид],"Проценты")&lt;&gt;1),COUNTIF(Cash[ID],A60)&gt;1,NOT(ISNUMBER(B60)),B60&lt;НачалоУчета,YEAR(B60)&lt;&gt;Год,NOT(ISNUMBER(E60)),E60&lt;=0,N60&lt;0,COUNTIF(Типы,C60)&lt;&gt;1,COUNTIF(Категории,D60)&lt;&gt;1,COUNTIF(Счета,F60)&lt;&gt;1,COUNTIF(Проекты,I60)&lt;&gt;1,AND(H60&lt;&gt;"",COUNTIF(Контрагенты,H60)&lt;&gt;1),AND(C60="Перевод",OR(F60=G60,COUNTIF(Счета,G60)&lt;&gt;1)),AND(S60&lt;&gt;0,COUNTIF(Docs[ID],J60)&lt;&gt;1),AND(Форма="ООО",C60="Вывод ИП"),AND(Форма="ИП",C60="Дивиденды"),AND(L60&lt;&gt;"Проведён",L60&lt;&gt;"Черновик")),"ОШИБКА","ОК"))</f>
        <v>ОК</v>
      </c>
      <c r="W60" s="25">
        <f>IF(A60="","",SUMIF(Accounts[Счёт],F60,Accounts[Начальный])+SUMIFS($Q$7:Q60,$F$7:F60,F60)+SUMIFS($E$7:E60,$G$7:G60,F60,$C$7:C60,"Перевод",$L$7:L60,"Проведён"))</f>
        <v>620845.54</v>
      </c>
    </row>
    <row r="61" spans="1:23" x14ac:dyDescent="0.25">
      <c r="A61" s="3" t="s">
        <v>591</v>
      </c>
      <c r="B61" s="19">
        <v>46104</v>
      </c>
      <c r="C61" s="3" t="s">
        <v>504</v>
      </c>
      <c r="D61" s="3" t="s">
        <v>509</v>
      </c>
      <c r="E61" s="24">
        <v>65000</v>
      </c>
      <c r="F61" s="3" t="s">
        <v>474</v>
      </c>
      <c r="G61" s="3"/>
      <c r="H61" s="3" t="s">
        <v>510</v>
      </c>
      <c r="I61" s="3" t="s">
        <v>383</v>
      </c>
      <c r="J61" s="3" t="s">
        <v>592</v>
      </c>
      <c r="K61" s="3" t="s">
        <v>504</v>
      </c>
      <c r="L61" s="3" t="s">
        <v>476</v>
      </c>
      <c r="M61" s="3"/>
      <c r="N61" s="24">
        <v>65000</v>
      </c>
      <c r="O61" s="3"/>
      <c r="P61" s="5">
        <f>IF(A61="","",IF(COUNTIF(Типы,C61)=0,0,VLOOKUP(C61,СПРАВОЧНИКИ!$A$7:$E$22,2,FALSE)))</f>
        <v>-1</v>
      </c>
      <c r="Q61" s="25">
        <f t="shared" si="0"/>
        <v>-65000</v>
      </c>
      <c r="R61" s="5" t="str">
        <f>IF(A61="","",IF(COUNTIF(Типы,C61)=0,"НЕИЗВЕСТНЫЙ ТИП",VLOOKUP(C61,СПРАВОЧНИКИ!$A$7:$E$22,3,FALSE)))</f>
        <v>Операционный</v>
      </c>
      <c r="S61" s="26">
        <f>IF(A61="","",IF(L61="Проведён",E61*IF(COUNTIF(Типы,C61)=0,0,VLOOKUP(C61,СПРАВОЧНИКИ!$A$7:$E$22,4,FALSE)),0))</f>
        <v>65000</v>
      </c>
      <c r="T61" s="26">
        <f>IF(A61="","",IF(L61="Проведён",E61*IF(COUNTIF(Типы,C61)=0,0,VLOOKUP(C61,СПРАВОЧНИКИ!$A$7:$E$22,5,FALSE)),0))</f>
        <v>0</v>
      </c>
      <c r="U61" s="5" t="str">
        <f>IF(A61="","",IF(COUNTIF(Контрагенты,H61)=0,"Не задан",VLOOKUP(H61,СПРАВОЧНИКИ!$G$7:$H$66,2,FALSE)))</f>
        <v>ЮЛ</v>
      </c>
      <c r="V61" s="4" t="str">
        <f>IF(A61="",IF(COUNTA(B61:O61)&gt;0,"НЕТ ID",""),IF(OR(AND(OR(C61="Оплата клиента",C61="Возврат клиенту"),COUNTIFS(Docs[ID],J61,Docs[Тип долга],"ДЗ")&lt;&gt;1),AND(OR(C61="Оплата поставщику",C61="Возврат поставщика"),COUNTIFS(Docs[ID],J61,Docs[Тип долга],"КЗ",Docs[Вид],"&lt;&gt;Дивиденды")&lt;&gt;1),AND(C61="Дивиденды",COUNTIFS(Docs[ID],J61,Docs[Вид],"Дивиденды")&lt;&gt;1),AND(C61="Проценты",COUNTIFS(Docs[ID],J61,Docs[Вид],"Проценты")&lt;&gt;1),COUNTIF(Cash[ID],A61)&gt;1,NOT(ISNUMBER(B61)),B61&lt;НачалоУчета,YEAR(B61)&lt;&gt;Год,NOT(ISNUMBER(E61)),E61&lt;=0,N61&lt;0,COUNTIF(Типы,C61)&lt;&gt;1,COUNTIF(Категории,D61)&lt;&gt;1,COUNTIF(Счета,F61)&lt;&gt;1,COUNTIF(Проекты,I61)&lt;&gt;1,AND(H61&lt;&gt;"",COUNTIF(Контрагенты,H61)&lt;&gt;1),AND(C61="Перевод",OR(F61=G61,COUNTIF(Счета,G61)&lt;&gt;1)),AND(S61&lt;&gt;0,COUNTIF(Docs[ID],J61)&lt;&gt;1),AND(Форма="ООО",C61="Вывод ИП"),AND(Форма="ИП",C61="Дивиденды"),AND(L61&lt;&gt;"Проведён",L61&lt;&gt;"Черновик")),"ОШИБКА","ОК"))</f>
        <v>ОК</v>
      </c>
      <c r="W61" s="25">
        <f>IF(A61="","",SUMIF(Accounts[Счёт],F61,Accounts[Начальный])+SUMIFS($Q$7:Q61,$F$7:F61,F61)+SUMIFS($E$7:E61,$G$7:G61,F61,$C$7:C61,"Перевод",$L$7:L61,"Проведён"))</f>
        <v>555845.54</v>
      </c>
    </row>
    <row r="62" spans="1:23" x14ac:dyDescent="0.25">
      <c r="A62" s="3" t="s">
        <v>593</v>
      </c>
      <c r="B62" s="19">
        <v>46105</v>
      </c>
      <c r="C62" s="3" t="s">
        <v>484</v>
      </c>
      <c r="D62" s="3" t="s">
        <v>485</v>
      </c>
      <c r="E62" s="24">
        <v>57120</v>
      </c>
      <c r="F62" s="3" t="s">
        <v>474</v>
      </c>
      <c r="G62" s="3"/>
      <c r="H62" s="3" t="s">
        <v>486</v>
      </c>
      <c r="I62" s="3" t="s">
        <v>381</v>
      </c>
      <c r="J62" s="3" t="s">
        <v>578</v>
      </c>
      <c r="K62" s="3" t="s">
        <v>484</v>
      </c>
      <c r="L62" s="3" t="s">
        <v>476</v>
      </c>
      <c r="M62" s="3"/>
      <c r="N62" s="24">
        <v>0</v>
      </c>
      <c r="O62" s="3"/>
      <c r="P62" s="5">
        <f>IF(A62="","",IF(COUNTIF(Типы,C62)=0,0,VLOOKUP(C62,СПРАВОЧНИКИ!$A$7:$E$22,2,FALSE)))</f>
        <v>1</v>
      </c>
      <c r="Q62" s="25">
        <f t="shared" si="0"/>
        <v>57120</v>
      </c>
      <c r="R62" s="5" t="str">
        <f>IF(A62="","",IF(COUNTIF(Типы,C62)=0,"НЕИЗВЕСТНЫЙ ТИП",VLOOKUP(C62,СПРАВОЧНИКИ!$A$7:$E$22,3,FALSE)))</f>
        <v>Операционный</v>
      </c>
      <c r="S62" s="26">
        <f>IF(A62="","",IF(L62="Проведён",E62*IF(COUNTIF(Типы,C62)=0,0,VLOOKUP(C62,СПРАВОЧНИКИ!$A$7:$E$22,4,FALSE)),0))</f>
        <v>57120</v>
      </c>
      <c r="T62" s="26">
        <f>IF(A62="","",IF(L62="Проведён",E62*IF(COUNTIF(Типы,C62)=0,0,VLOOKUP(C62,СПРАВОЧНИКИ!$A$7:$E$22,5,FALSE)),0))</f>
        <v>57120</v>
      </c>
      <c r="U62" s="5" t="str">
        <f>IF(A62="","",IF(COUNTIF(Контрагенты,H62)=0,"Не задан",VLOOKUP(H62,СПРАВОЧНИКИ!$G$7:$H$66,2,FALSE)))</f>
        <v>ЮЛ</v>
      </c>
      <c r="V62" s="4" t="str">
        <f>IF(A62="",IF(COUNTA(B62:O62)&gt;0,"НЕТ ID",""),IF(OR(AND(OR(C62="Оплата клиента",C62="Возврат клиенту"),COUNTIFS(Docs[ID],J62,Docs[Тип долга],"ДЗ")&lt;&gt;1),AND(OR(C62="Оплата поставщику",C62="Возврат поставщика"),COUNTIFS(Docs[ID],J62,Docs[Тип долга],"КЗ",Docs[Вид],"&lt;&gt;Дивиденды")&lt;&gt;1),AND(C62="Дивиденды",COUNTIFS(Docs[ID],J62,Docs[Вид],"Дивиденды")&lt;&gt;1),AND(C62="Проценты",COUNTIFS(Docs[ID],J62,Docs[Вид],"Проценты")&lt;&gt;1),COUNTIF(Cash[ID],A62)&gt;1,NOT(ISNUMBER(B62)),B62&lt;НачалоУчета,YEAR(B62)&lt;&gt;Год,NOT(ISNUMBER(E62)),E62&lt;=0,N62&lt;0,COUNTIF(Типы,C62)&lt;&gt;1,COUNTIF(Категории,D62)&lt;&gt;1,COUNTIF(Счета,F62)&lt;&gt;1,COUNTIF(Проекты,I62)&lt;&gt;1,AND(H62&lt;&gt;"",COUNTIF(Контрагенты,H62)&lt;&gt;1),AND(C62="Перевод",OR(F62=G62,COUNTIF(Счета,G62)&lt;&gt;1)),AND(S62&lt;&gt;0,COUNTIF(Docs[ID],J62)&lt;&gt;1),AND(Форма="ООО",C62="Вывод ИП"),AND(Форма="ИП",C62="Дивиденды"),AND(L62&lt;&gt;"Проведён",L62&lt;&gt;"Черновик")),"ОШИБКА","ОК"))</f>
        <v>ОК</v>
      </c>
      <c r="W62" s="25">
        <f>IF(A62="","",SUMIF(Accounts[Счёт],F62,Accounts[Начальный])+SUMIFS($Q$7:Q62,$F$7:F62,F62)+SUMIFS($E$7:E62,$G$7:G62,F62,$C$7:C62,"Перевод",$L$7:L62,"Проведён"))</f>
        <v>612965.54</v>
      </c>
    </row>
    <row r="63" spans="1:23" x14ac:dyDescent="0.25">
      <c r="A63" s="3" t="s">
        <v>594</v>
      </c>
      <c r="B63" s="19">
        <v>46105</v>
      </c>
      <c r="C63" s="3" t="s">
        <v>504</v>
      </c>
      <c r="D63" s="3" t="s">
        <v>295</v>
      </c>
      <c r="E63" s="24">
        <v>45000</v>
      </c>
      <c r="F63" s="3" t="s">
        <v>474</v>
      </c>
      <c r="G63" s="3"/>
      <c r="H63" s="3" t="s">
        <v>514</v>
      </c>
      <c r="I63" s="3" t="s">
        <v>381</v>
      </c>
      <c r="J63" s="3" t="s">
        <v>595</v>
      </c>
      <c r="K63" s="3" t="s">
        <v>504</v>
      </c>
      <c r="L63" s="3" t="s">
        <v>476</v>
      </c>
      <c r="M63" s="3"/>
      <c r="N63" s="24">
        <v>45000</v>
      </c>
      <c r="O63" s="3" t="s">
        <v>295</v>
      </c>
      <c r="P63" s="5">
        <f>IF(A63="","",IF(COUNTIF(Типы,C63)=0,0,VLOOKUP(C63,СПРАВОЧНИКИ!$A$7:$E$22,2,FALSE)))</f>
        <v>-1</v>
      </c>
      <c r="Q63" s="25">
        <f t="shared" si="0"/>
        <v>-45000</v>
      </c>
      <c r="R63" s="5" t="str">
        <f>IF(A63="","",IF(COUNTIF(Типы,C63)=0,"НЕИЗВЕСТНЫЙ ТИП",VLOOKUP(C63,СПРАВОЧНИКИ!$A$7:$E$22,3,FALSE)))</f>
        <v>Операционный</v>
      </c>
      <c r="S63" s="26">
        <f>IF(A63="","",IF(L63="Проведён",E63*IF(COUNTIF(Типы,C63)=0,0,VLOOKUP(C63,СПРАВОЧНИКИ!$A$7:$E$22,4,FALSE)),0))</f>
        <v>45000</v>
      </c>
      <c r="T63" s="26">
        <f>IF(A63="","",IF(L63="Проведён",E63*IF(COUNTIF(Типы,C63)=0,0,VLOOKUP(C63,СПРАВОЧНИКИ!$A$7:$E$22,5,FALSE)),0))</f>
        <v>0</v>
      </c>
      <c r="U63" s="5" t="str">
        <f>IF(A63="","",IF(COUNTIF(Контрагенты,H63)=0,"Не задан",VLOOKUP(H63,СПРАВОЧНИКИ!$G$7:$H$66,2,FALSE)))</f>
        <v>ЮЛ</v>
      </c>
      <c r="V63" s="4" t="str">
        <f>IF(A63="",IF(COUNTA(B63:O63)&gt;0,"НЕТ ID",""),IF(OR(AND(OR(C63="Оплата клиента",C63="Возврат клиенту"),COUNTIFS(Docs[ID],J63,Docs[Тип долга],"ДЗ")&lt;&gt;1),AND(OR(C63="Оплата поставщику",C63="Возврат поставщика"),COUNTIFS(Docs[ID],J63,Docs[Тип долга],"КЗ",Docs[Вид],"&lt;&gt;Дивиденды")&lt;&gt;1),AND(C63="Дивиденды",COUNTIFS(Docs[ID],J63,Docs[Вид],"Дивиденды")&lt;&gt;1),AND(C63="Проценты",COUNTIFS(Docs[ID],J63,Docs[Вид],"Проценты")&lt;&gt;1),COUNTIF(Cash[ID],A63)&gt;1,NOT(ISNUMBER(B63)),B63&lt;НачалоУчета,YEAR(B63)&lt;&gt;Год,NOT(ISNUMBER(E63)),E63&lt;=0,N63&lt;0,COUNTIF(Типы,C63)&lt;&gt;1,COUNTIF(Категории,D63)&lt;&gt;1,COUNTIF(Счета,F63)&lt;&gt;1,COUNTIF(Проекты,I63)&lt;&gt;1,AND(H63&lt;&gt;"",COUNTIF(Контрагенты,H63)&lt;&gt;1),AND(C63="Перевод",OR(F63=G63,COUNTIF(Счета,G63)&lt;&gt;1)),AND(S63&lt;&gt;0,COUNTIF(Docs[ID],J63)&lt;&gt;1),AND(Форма="ООО",C63="Вывод ИП"),AND(Форма="ИП",C63="Дивиденды"),AND(L63&lt;&gt;"Проведён",L63&lt;&gt;"Черновик")),"ОШИБКА","ОК"))</f>
        <v>ОК</v>
      </c>
      <c r="W63" s="25">
        <f>IF(A63="","",SUMIF(Accounts[Счёт],F63,Accounts[Начальный])+SUMIFS($Q$7:Q63,$F$7:F63,F63)+SUMIFS($E$7:E63,$G$7:G63,F63,$C$7:C63,"Перевод",$L$7:L63,"Проведён"))</f>
        <v>567965.54</v>
      </c>
    </row>
    <row r="64" spans="1:23" x14ac:dyDescent="0.25">
      <c r="A64" s="3" t="s">
        <v>596</v>
      </c>
      <c r="B64" s="19">
        <v>46106</v>
      </c>
      <c r="C64" s="3" t="s">
        <v>484</v>
      </c>
      <c r="D64" s="3" t="s">
        <v>485</v>
      </c>
      <c r="E64" s="24">
        <v>44880</v>
      </c>
      <c r="F64" s="3" t="s">
        <v>474</v>
      </c>
      <c r="G64" s="3"/>
      <c r="H64" s="3" t="s">
        <v>489</v>
      </c>
      <c r="I64" s="3" t="s">
        <v>298</v>
      </c>
      <c r="J64" s="3" t="s">
        <v>580</v>
      </c>
      <c r="K64" s="3" t="s">
        <v>484</v>
      </c>
      <c r="L64" s="3" t="s">
        <v>476</v>
      </c>
      <c r="M64" s="3"/>
      <c r="N64" s="24">
        <v>0</v>
      </c>
      <c r="O64" s="3"/>
      <c r="P64" s="5">
        <f>IF(A64="","",IF(COUNTIF(Типы,C64)=0,0,VLOOKUP(C64,СПРАВОЧНИКИ!$A$7:$E$22,2,FALSE)))</f>
        <v>1</v>
      </c>
      <c r="Q64" s="25">
        <f t="shared" si="0"/>
        <v>44880</v>
      </c>
      <c r="R64" s="5" t="str">
        <f>IF(A64="","",IF(COUNTIF(Типы,C64)=0,"НЕИЗВЕСТНЫЙ ТИП",VLOOKUP(C64,СПРАВОЧНИКИ!$A$7:$E$22,3,FALSE)))</f>
        <v>Операционный</v>
      </c>
      <c r="S64" s="26">
        <f>IF(A64="","",IF(L64="Проведён",E64*IF(COUNTIF(Типы,C64)=0,0,VLOOKUP(C64,СПРАВОЧНИКИ!$A$7:$E$22,4,FALSE)),0))</f>
        <v>44880</v>
      </c>
      <c r="T64" s="26">
        <f>IF(A64="","",IF(L64="Проведён",E64*IF(COUNTIF(Типы,C64)=0,0,VLOOKUP(C64,СПРАВОЧНИКИ!$A$7:$E$22,5,FALSE)),0))</f>
        <v>44880</v>
      </c>
      <c r="U64" s="5" t="str">
        <f>IF(A64="","",IF(COUNTIF(Контрагенты,H64)=0,"Не задан",VLOOKUP(H64,СПРАВОЧНИКИ!$G$7:$H$66,2,FALSE)))</f>
        <v>ЮЛ</v>
      </c>
      <c r="V64" s="4" t="str">
        <f>IF(A64="",IF(COUNTA(B64:O64)&gt;0,"НЕТ ID",""),IF(OR(AND(OR(C64="Оплата клиента",C64="Возврат клиенту"),COUNTIFS(Docs[ID],J64,Docs[Тип долга],"ДЗ")&lt;&gt;1),AND(OR(C64="Оплата поставщику",C64="Возврат поставщика"),COUNTIFS(Docs[ID],J64,Docs[Тип долга],"КЗ",Docs[Вид],"&lt;&gt;Дивиденды")&lt;&gt;1),AND(C64="Дивиденды",COUNTIFS(Docs[ID],J64,Docs[Вид],"Дивиденды")&lt;&gt;1),AND(C64="Проценты",COUNTIFS(Docs[ID],J64,Docs[Вид],"Проценты")&lt;&gt;1),COUNTIF(Cash[ID],A64)&gt;1,NOT(ISNUMBER(B64)),B64&lt;НачалоУчета,YEAR(B64)&lt;&gt;Год,NOT(ISNUMBER(E64)),E64&lt;=0,N64&lt;0,COUNTIF(Типы,C64)&lt;&gt;1,COUNTIF(Категории,D64)&lt;&gt;1,COUNTIF(Счета,F64)&lt;&gt;1,COUNTIF(Проекты,I64)&lt;&gt;1,AND(H64&lt;&gt;"",COUNTIF(Контрагенты,H64)&lt;&gt;1),AND(C64="Перевод",OR(F64=G64,COUNTIF(Счета,G64)&lt;&gt;1)),AND(S64&lt;&gt;0,COUNTIF(Docs[ID],J64)&lt;&gt;1),AND(Форма="ООО",C64="Вывод ИП"),AND(Форма="ИП",C64="Дивиденды"),AND(L64&lt;&gt;"Проведён",L64&lt;&gt;"Черновик")),"ОШИБКА","ОК"))</f>
        <v>ОК</v>
      </c>
      <c r="W64" s="25">
        <f>IF(A64="","",SUMIF(Accounts[Счёт],F64,Accounts[Начальный])+SUMIFS($Q$7:Q64,$F$7:F64,F64)+SUMIFS($E$7:E64,$G$7:G64,F64,$C$7:C64,"Перевод",$L$7:L64,"Проведён"))</f>
        <v>612845.54</v>
      </c>
    </row>
    <row r="65" spans="1:23" x14ac:dyDescent="0.25">
      <c r="A65" s="3" t="s">
        <v>597</v>
      </c>
      <c r="B65" s="19">
        <v>46106</v>
      </c>
      <c r="C65" s="3" t="s">
        <v>504</v>
      </c>
      <c r="D65" s="3" t="s">
        <v>518</v>
      </c>
      <c r="E65" s="24">
        <v>18000</v>
      </c>
      <c r="F65" s="3" t="s">
        <v>474</v>
      </c>
      <c r="G65" s="3"/>
      <c r="H65" s="3" t="s">
        <v>519</v>
      </c>
      <c r="I65" s="3" t="s">
        <v>383</v>
      </c>
      <c r="J65" s="3" t="s">
        <v>598</v>
      </c>
      <c r="K65" s="3" t="s">
        <v>504</v>
      </c>
      <c r="L65" s="3" t="s">
        <v>476</v>
      </c>
      <c r="M65" s="3"/>
      <c r="N65" s="24">
        <v>18000</v>
      </c>
      <c r="O65" s="3"/>
      <c r="P65" s="5">
        <f>IF(A65="","",IF(COUNTIF(Типы,C65)=0,0,VLOOKUP(C65,СПРАВОЧНИКИ!$A$7:$E$22,2,FALSE)))</f>
        <v>-1</v>
      </c>
      <c r="Q65" s="25">
        <f t="shared" si="0"/>
        <v>-18000</v>
      </c>
      <c r="R65" s="5" t="str">
        <f>IF(A65="","",IF(COUNTIF(Типы,C65)=0,"НЕИЗВЕСТНЫЙ ТИП",VLOOKUP(C65,СПРАВОЧНИКИ!$A$7:$E$22,3,FALSE)))</f>
        <v>Операционный</v>
      </c>
      <c r="S65" s="26">
        <f>IF(A65="","",IF(L65="Проведён",E65*IF(COUNTIF(Типы,C65)=0,0,VLOOKUP(C65,СПРАВОЧНИКИ!$A$7:$E$22,4,FALSE)),0))</f>
        <v>18000</v>
      </c>
      <c r="T65" s="26">
        <f>IF(A65="","",IF(L65="Проведён",E65*IF(COUNTIF(Типы,C65)=0,0,VLOOKUP(C65,СПРАВОЧНИКИ!$A$7:$E$22,5,FALSE)),0))</f>
        <v>0</v>
      </c>
      <c r="U65" s="5" t="str">
        <f>IF(A65="","",IF(COUNTIF(Контрагенты,H65)=0,"Не задан",VLOOKUP(H65,СПРАВОЧНИКИ!$G$7:$H$66,2,FALSE)))</f>
        <v>ЮЛ</v>
      </c>
      <c r="V65" s="4" t="str">
        <f>IF(A65="",IF(COUNTA(B65:O65)&gt;0,"НЕТ ID",""),IF(OR(AND(OR(C65="Оплата клиента",C65="Возврат клиенту"),COUNTIFS(Docs[ID],J65,Docs[Тип долга],"ДЗ")&lt;&gt;1),AND(OR(C65="Оплата поставщику",C65="Возврат поставщика"),COUNTIFS(Docs[ID],J65,Docs[Тип долга],"КЗ",Docs[Вид],"&lt;&gt;Дивиденды")&lt;&gt;1),AND(C65="Дивиденды",COUNTIFS(Docs[ID],J65,Docs[Вид],"Дивиденды")&lt;&gt;1),AND(C65="Проценты",COUNTIFS(Docs[ID],J65,Docs[Вид],"Проценты")&lt;&gt;1),COUNTIF(Cash[ID],A65)&gt;1,NOT(ISNUMBER(B65)),B65&lt;НачалоУчета,YEAR(B65)&lt;&gt;Год,NOT(ISNUMBER(E65)),E65&lt;=0,N65&lt;0,COUNTIF(Типы,C65)&lt;&gt;1,COUNTIF(Категории,D65)&lt;&gt;1,COUNTIF(Счета,F65)&lt;&gt;1,COUNTIF(Проекты,I65)&lt;&gt;1,AND(H65&lt;&gt;"",COUNTIF(Контрагенты,H65)&lt;&gt;1),AND(C65="Перевод",OR(F65=G65,COUNTIF(Счета,G65)&lt;&gt;1)),AND(S65&lt;&gt;0,COUNTIF(Docs[ID],J65)&lt;&gt;1),AND(Форма="ООО",C65="Вывод ИП"),AND(Форма="ИП",C65="Дивиденды"),AND(L65&lt;&gt;"Проведён",L65&lt;&gt;"Черновик")),"ОШИБКА","ОК"))</f>
        <v>ОК</v>
      </c>
      <c r="W65" s="25">
        <f>IF(A65="","",SUMIF(Accounts[Счёт],F65,Accounts[Начальный])+SUMIFS($Q$7:Q65,$F$7:F65,F65)+SUMIFS($E$7:E65,$G$7:G65,F65,$C$7:C65,"Перевод",$L$7:L65,"Проведён"))</f>
        <v>594845.54</v>
      </c>
    </row>
    <row r="66" spans="1:23" x14ac:dyDescent="0.25">
      <c r="A66" s="3" t="s">
        <v>599</v>
      </c>
      <c r="B66" s="19">
        <v>46107</v>
      </c>
      <c r="C66" s="3" t="s">
        <v>484</v>
      </c>
      <c r="D66" s="3" t="s">
        <v>485</v>
      </c>
      <c r="E66" s="24">
        <v>36720</v>
      </c>
      <c r="F66" s="3" t="s">
        <v>474</v>
      </c>
      <c r="G66" s="3"/>
      <c r="H66" s="3" t="s">
        <v>492</v>
      </c>
      <c r="I66" s="3" t="s">
        <v>382</v>
      </c>
      <c r="J66" s="3" t="s">
        <v>582</v>
      </c>
      <c r="K66" s="3" t="s">
        <v>484</v>
      </c>
      <c r="L66" s="3" t="s">
        <v>476</v>
      </c>
      <c r="M66" s="3"/>
      <c r="N66" s="24">
        <v>0</v>
      </c>
      <c r="O66" s="3"/>
      <c r="P66" s="5">
        <f>IF(A66="","",IF(COUNTIF(Типы,C66)=0,0,VLOOKUP(C66,СПРАВОЧНИКИ!$A$7:$E$22,2,FALSE)))</f>
        <v>1</v>
      </c>
      <c r="Q66" s="25">
        <f t="shared" si="0"/>
        <v>36720</v>
      </c>
      <c r="R66" s="5" t="str">
        <f>IF(A66="","",IF(COUNTIF(Типы,C66)=0,"НЕИЗВЕСТНЫЙ ТИП",VLOOKUP(C66,СПРАВОЧНИКИ!$A$7:$E$22,3,FALSE)))</f>
        <v>Операционный</v>
      </c>
      <c r="S66" s="26">
        <f>IF(A66="","",IF(L66="Проведён",E66*IF(COUNTIF(Типы,C66)=0,0,VLOOKUP(C66,СПРАВОЧНИКИ!$A$7:$E$22,4,FALSE)),0))</f>
        <v>36720</v>
      </c>
      <c r="T66" s="26">
        <f>IF(A66="","",IF(L66="Проведён",E66*IF(COUNTIF(Типы,C66)=0,0,VLOOKUP(C66,СПРАВОЧНИКИ!$A$7:$E$22,5,FALSE)),0))</f>
        <v>36720</v>
      </c>
      <c r="U66" s="5" t="str">
        <f>IF(A66="","",IF(COUNTIF(Контрагенты,H66)=0,"Не задан",VLOOKUP(H66,СПРАВОЧНИКИ!$G$7:$H$66,2,FALSE)))</f>
        <v>ИП</v>
      </c>
      <c r="V66" s="4" t="str">
        <f>IF(A66="",IF(COUNTA(B66:O66)&gt;0,"НЕТ ID",""),IF(OR(AND(OR(C66="Оплата клиента",C66="Возврат клиенту"),COUNTIFS(Docs[ID],J66,Docs[Тип долга],"ДЗ")&lt;&gt;1),AND(OR(C66="Оплата поставщику",C66="Возврат поставщика"),COUNTIFS(Docs[ID],J66,Docs[Тип долга],"КЗ",Docs[Вид],"&lt;&gt;Дивиденды")&lt;&gt;1),AND(C66="Дивиденды",COUNTIFS(Docs[ID],J66,Docs[Вид],"Дивиденды")&lt;&gt;1),AND(C66="Проценты",COUNTIFS(Docs[ID],J66,Docs[Вид],"Проценты")&lt;&gt;1),COUNTIF(Cash[ID],A66)&gt;1,NOT(ISNUMBER(B66)),B66&lt;НачалоУчета,YEAR(B66)&lt;&gt;Год,NOT(ISNUMBER(E66)),E66&lt;=0,N66&lt;0,COUNTIF(Типы,C66)&lt;&gt;1,COUNTIF(Категории,D66)&lt;&gt;1,COUNTIF(Счета,F66)&lt;&gt;1,COUNTIF(Проекты,I66)&lt;&gt;1,AND(H66&lt;&gt;"",COUNTIF(Контрагенты,H66)&lt;&gt;1),AND(C66="Перевод",OR(F66=G66,COUNTIF(Счета,G66)&lt;&gt;1)),AND(S66&lt;&gt;0,COUNTIF(Docs[ID],J66)&lt;&gt;1),AND(Форма="ООО",C66="Вывод ИП"),AND(Форма="ИП",C66="Дивиденды"),AND(L66&lt;&gt;"Проведён",L66&lt;&gt;"Черновик")),"ОШИБКА","ОК"))</f>
        <v>ОК</v>
      </c>
      <c r="W66" s="25">
        <f>IF(A66="","",SUMIF(Accounts[Счёт],F66,Accounts[Начальный])+SUMIFS($Q$7:Q66,$F$7:F66,F66)+SUMIFS($E$7:E66,$G$7:G66,F66,$C$7:C66,"Перевод",$L$7:L66,"Проведён"))</f>
        <v>631565.54</v>
      </c>
    </row>
    <row r="67" spans="1:23" x14ac:dyDescent="0.25">
      <c r="A67" s="3" t="s">
        <v>600</v>
      </c>
      <c r="B67" s="19">
        <v>46107</v>
      </c>
      <c r="C67" s="3" t="s">
        <v>504</v>
      </c>
      <c r="D67" s="3" t="s">
        <v>523</v>
      </c>
      <c r="E67" s="24">
        <v>78300</v>
      </c>
      <c r="F67" s="3" t="s">
        <v>474</v>
      </c>
      <c r="G67" s="3"/>
      <c r="H67" s="3" t="s">
        <v>52</v>
      </c>
      <c r="I67" s="3" t="s">
        <v>383</v>
      </c>
      <c r="J67" s="3" t="s">
        <v>601</v>
      </c>
      <c r="K67" s="3" t="s">
        <v>504</v>
      </c>
      <c r="L67" s="3" t="s">
        <v>476</v>
      </c>
      <c r="M67" s="3"/>
      <c r="N67" s="24">
        <v>78300</v>
      </c>
      <c r="O67" s="3"/>
      <c r="P67" s="5">
        <f>IF(A67="","",IF(COUNTIF(Типы,C67)=0,0,VLOOKUP(C67,СПРАВОЧНИКИ!$A$7:$E$22,2,FALSE)))</f>
        <v>-1</v>
      </c>
      <c r="Q67" s="25">
        <f t="shared" si="0"/>
        <v>-78300</v>
      </c>
      <c r="R67" s="5" t="str">
        <f>IF(A67="","",IF(COUNTIF(Типы,C67)=0,"НЕИЗВЕСТНЫЙ ТИП",VLOOKUP(C67,СПРАВОЧНИКИ!$A$7:$E$22,3,FALSE)))</f>
        <v>Операционный</v>
      </c>
      <c r="S67" s="26">
        <f>IF(A67="","",IF(L67="Проведён",E67*IF(COUNTIF(Типы,C67)=0,0,VLOOKUP(C67,СПРАВОЧНИКИ!$A$7:$E$22,4,FALSE)),0))</f>
        <v>78300</v>
      </c>
      <c r="T67" s="26">
        <f>IF(A67="","",IF(L67="Проведён",E67*IF(COUNTIF(Типы,C67)=0,0,VLOOKUP(C67,СПРАВОЧНИКИ!$A$7:$E$22,5,FALSE)),0))</f>
        <v>0</v>
      </c>
      <c r="U67" s="5" t="str">
        <f>IF(A67="","",IF(COUNTIF(Контрагенты,H67)=0,"Не задан",VLOOKUP(H67,СПРАВОЧНИКИ!$G$7:$H$66,2,FALSE)))</f>
        <v>ФЛ</v>
      </c>
      <c r="V67" s="4" t="str">
        <f>IF(A67="",IF(COUNTA(B67:O67)&gt;0,"НЕТ ID",""),IF(OR(AND(OR(C67="Оплата клиента",C67="Возврат клиенту"),COUNTIFS(Docs[ID],J67,Docs[Тип долга],"ДЗ")&lt;&gt;1),AND(OR(C67="Оплата поставщику",C67="Возврат поставщика"),COUNTIFS(Docs[ID],J67,Docs[Тип долга],"КЗ",Docs[Вид],"&lt;&gt;Дивиденды")&lt;&gt;1),AND(C67="Дивиденды",COUNTIFS(Docs[ID],J67,Docs[Вид],"Дивиденды")&lt;&gt;1),AND(C67="Проценты",COUNTIFS(Docs[ID],J67,Docs[Вид],"Проценты")&lt;&gt;1),COUNTIF(Cash[ID],A67)&gt;1,NOT(ISNUMBER(B67)),B67&lt;НачалоУчета,YEAR(B67)&lt;&gt;Год,NOT(ISNUMBER(E67)),E67&lt;=0,N67&lt;0,COUNTIF(Типы,C67)&lt;&gt;1,COUNTIF(Категории,D67)&lt;&gt;1,COUNTIF(Счета,F67)&lt;&gt;1,COUNTIF(Проекты,I67)&lt;&gt;1,AND(H67&lt;&gt;"",COUNTIF(Контрагенты,H67)&lt;&gt;1),AND(C67="Перевод",OR(F67=G67,COUNTIF(Счета,G67)&lt;&gt;1)),AND(S67&lt;&gt;0,COUNTIF(Docs[ID],J67)&lt;&gt;1),AND(Форма="ООО",C67="Вывод ИП"),AND(Форма="ИП",C67="Дивиденды"),AND(L67&lt;&gt;"Проведён",L67&lt;&gt;"Черновик")),"ОШИБКА","ОК"))</f>
        <v>ОК</v>
      </c>
      <c r="W67" s="25">
        <f>IF(A67="","",SUMIF(Accounts[Счёт],F67,Accounts[Начальный])+SUMIFS($Q$7:Q67,$F$7:F67,F67)+SUMIFS($E$7:E67,$G$7:G67,F67,$C$7:C67,"Перевод",$L$7:L67,"Проведён"))</f>
        <v>553265.54</v>
      </c>
    </row>
    <row r="68" spans="1:23" x14ac:dyDescent="0.25">
      <c r="A68" s="3" t="s">
        <v>602</v>
      </c>
      <c r="B68" s="19">
        <v>46108</v>
      </c>
      <c r="C68" s="3" t="s">
        <v>484</v>
      </c>
      <c r="D68" s="3" t="s">
        <v>485</v>
      </c>
      <c r="E68" s="24">
        <v>28560</v>
      </c>
      <c r="F68" s="3" t="s">
        <v>474</v>
      </c>
      <c r="G68" s="3"/>
      <c r="H68" s="3" t="s">
        <v>495</v>
      </c>
      <c r="I68" s="3" t="s">
        <v>381</v>
      </c>
      <c r="J68" s="3" t="s">
        <v>584</v>
      </c>
      <c r="K68" s="3" t="s">
        <v>484</v>
      </c>
      <c r="L68" s="3" t="s">
        <v>476</v>
      </c>
      <c r="M68" s="3"/>
      <c r="N68" s="24">
        <v>0</v>
      </c>
      <c r="O68" s="3"/>
      <c r="P68" s="5">
        <f>IF(A68="","",IF(COUNTIF(Типы,C68)=0,0,VLOOKUP(C68,СПРАВОЧНИКИ!$A$7:$E$22,2,FALSE)))</f>
        <v>1</v>
      </c>
      <c r="Q68" s="25">
        <f t="shared" si="0"/>
        <v>28560</v>
      </c>
      <c r="R68" s="5" t="str">
        <f>IF(A68="","",IF(COUNTIF(Типы,C68)=0,"НЕИЗВЕСТНЫЙ ТИП",VLOOKUP(C68,СПРАВОЧНИКИ!$A$7:$E$22,3,FALSE)))</f>
        <v>Операционный</v>
      </c>
      <c r="S68" s="26">
        <f>IF(A68="","",IF(L68="Проведён",E68*IF(COUNTIF(Типы,C68)=0,0,VLOOKUP(C68,СПРАВОЧНИКИ!$A$7:$E$22,4,FALSE)),0))</f>
        <v>28560</v>
      </c>
      <c r="T68" s="26">
        <f>IF(A68="","",IF(L68="Проведён",E68*IF(COUNTIF(Типы,C68)=0,0,VLOOKUP(C68,СПРАВОЧНИКИ!$A$7:$E$22,5,FALSE)),0))</f>
        <v>28560</v>
      </c>
      <c r="U68" s="5" t="str">
        <f>IF(A68="","",IF(COUNTIF(Контрагенты,H68)=0,"Не задан",VLOOKUP(H68,СПРАВОЧНИКИ!$G$7:$H$66,2,FALSE)))</f>
        <v>ЮЛ</v>
      </c>
      <c r="V68" s="4" t="str">
        <f>IF(A68="",IF(COUNTA(B68:O68)&gt;0,"НЕТ ID",""),IF(OR(AND(OR(C68="Оплата клиента",C68="Возврат клиенту"),COUNTIFS(Docs[ID],J68,Docs[Тип долга],"ДЗ")&lt;&gt;1),AND(OR(C68="Оплата поставщику",C68="Возврат поставщика"),COUNTIFS(Docs[ID],J68,Docs[Тип долга],"КЗ",Docs[Вид],"&lt;&gt;Дивиденды")&lt;&gt;1),AND(C68="Дивиденды",COUNTIFS(Docs[ID],J68,Docs[Вид],"Дивиденды")&lt;&gt;1),AND(C68="Проценты",COUNTIFS(Docs[ID],J68,Docs[Вид],"Проценты")&lt;&gt;1),COUNTIF(Cash[ID],A68)&gt;1,NOT(ISNUMBER(B68)),B68&lt;НачалоУчета,YEAR(B68)&lt;&gt;Год,NOT(ISNUMBER(E68)),E68&lt;=0,N68&lt;0,COUNTIF(Типы,C68)&lt;&gt;1,COUNTIF(Категории,D68)&lt;&gt;1,COUNTIF(Счета,F68)&lt;&gt;1,COUNTIF(Проекты,I68)&lt;&gt;1,AND(H68&lt;&gt;"",COUNTIF(Контрагенты,H68)&lt;&gt;1),AND(C68="Перевод",OR(F68=G68,COUNTIF(Счета,G68)&lt;&gt;1)),AND(S68&lt;&gt;0,COUNTIF(Docs[ID],J68)&lt;&gt;1),AND(Форма="ООО",C68="Вывод ИП"),AND(Форма="ИП",C68="Дивиденды"),AND(L68&lt;&gt;"Проведён",L68&lt;&gt;"Черновик")),"ОШИБКА","ОК"))</f>
        <v>ОК</v>
      </c>
      <c r="W68" s="25">
        <f>IF(A68="","",SUMIF(Accounts[Счёт],F68,Accounts[Начальный])+SUMIFS($Q$7:Q68,$F$7:F68,F68)+SUMIFS($E$7:E68,$G$7:G68,F68,$C$7:C68,"Перевод",$L$7:L68,"Проведён"))</f>
        <v>581825.54</v>
      </c>
    </row>
    <row r="69" spans="1:23" x14ac:dyDescent="0.25">
      <c r="A69" s="3" t="s">
        <v>603</v>
      </c>
      <c r="B69" s="19">
        <v>46108</v>
      </c>
      <c r="C69" s="3" t="s">
        <v>504</v>
      </c>
      <c r="D69" s="3" t="s">
        <v>527</v>
      </c>
      <c r="E69" s="24">
        <v>11700</v>
      </c>
      <c r="F69" s="3" t="s">
        <v>474</v>
      </c>
      <c r="G69" s="3"/>
      <c r="H69" s="3" t="s">
        <v>528</v>
      </c>
      <c r="I69" s="3" t="s">
        <v>383</v>
      </c>
      <c r="J69" s="3" t="s">
        <v>604</v>
      </c>
      <c r="K69" s="3" t="s">
        <v>504</v>
      </c>
      <c r="L69" s="3" t="s">
        <v>476</v>
      </c>
      <c r="M69" s="3"/>
      <c r="N69" s="24">
        <v>11700</v>
      </c>
      <c r="O69" s="3"/>
      <c r="P69" s="5">
        <f>IF(A69="","",IF(COUNTIF(Типы,C69)=0,0,VLOOKUP(C69,СПРАВОЧНИКИ!$A$7:$E$22,2,FALSE)))</f>
        <v>-1</v>
      </c>
      <c r="Q69" s="25">
        <f t="shared" si="0"/>
        <v>-11700</v>
      </c>
      <c r="R69" s="5" t="str">
        <f>IF(A69="","",IF(COUNTIF(Типы,C69)=0,"НЕИЗВЕСТНЫЙ ТИП",VLOOKUP(C69,СПРАВОЧНИКИ!$A$7:$E$22,3,FALSE)))</f>
        <v>Операционный</v>
      </c>
      <c r="S69" s="26">
        <f>IF(A69="","",IF(L69="Проведён",E69*IF(COUNTIF(Типы,C69)=0,0,VLOOKUP(C69,СПРАВОЧНИКИ!$A$7:$E$22,4,FALSE)),0))</f>
        <v>11700</v>
      </c>
      <c r="T69" s="26">
        <f>IF(A69="","",IF(L69="Проведён",E69*IF(COUNTIF(Типы,C69)=0,0,VLOOKUP(C69,СПРАВОЧНИКИ!$A$7:$E$22,5,FALSE)),0))</f>
        <v>0</v>
      </c>
      <c r="U69" s="5" t="str">
        <f>IF(A69="","",IF(COUNTIF(Контрагенты,H69)=0,"Не задан",VLOOKUP(H69,СПРАВОЧНИКИ!$G$7:$H$66,2,FALSE)))</f>
        <v>ЮЛ</v>
      </c>
      <c r="V69" s="4" t="str">
        <f>IF(A69="",IF(COUNTA(B69:O69)&gt;0,"НЕТ ID",""),IF(OR(AND(OR(C69="Оплата клиента",C69="Возврат клиенту"),COUNTIFS(Docs[ID],J69,Docs[Тип долга],"ДЗ")&lt;&gt;1),AND(OR(C69="Оплата поставщику",C69="Возврат поставщика"),COUNTIFS(Docs[ID],J69,Docs[Тип долга],"КЗ",Docs[Вид],"&lt;&gt;Дивиденды")&lt;&gt;1),AND(C69="Дивиденды",COUNTIFS(Docs[ID],J69,Docs[Вид],"Дивиденды")&lt;&gt;1),AND(C69="Проценты",COUNTIFS(Docs[ID],J69,Docs[Вид],"Проценты")&lt;&gt;1),COUNTIF(Cash[ID],A69)&gt;1,NOT(ISNUMBER(B69)),B69&lt;НачалоУчета,YEAR(B69)&lt;&gt;Год,NOT(ISNUMBER(E69)),E69&lt;=0,N69&lt;0,COUNTIF(Типы,C69)&lt;&gt;1,COUNTIF(Категории,D69)&lt;&gt;1,COUNTIF(Счета,F69)&lt;&gt;1,COUNTIF(Проекты,I69)&lt;&gt;1,AND(H69&lt;&gt;"",COUNTIF(Контрагенты,H69)&lt;&gt;1),AND(C69="Перевод",OR(F69=G69,COUNTIF(Счета,G69)&lt;&gt;1)),AND(S69&lt;&gt;0,COUNTIF(Docs[ID],J69)&lt;&gt;1),AND(Форма="ООО",C69="Вывод ИП"),AND(Форма="ИП",C69="Дивиденды"),AND(L69&lt;&gt;"Проведён",L69&lt;&gt;"Черновик")),"ОШИБКА","ОК"))</f>
        <v>ОК</v>
      </c>
      <c r="W69" s="25">
        <f>IF(A69="","",SUMIF(Accounts[Счёт],F69,Accounts[Начальный])+SUMIFS($Q$7:Q69,$F$7:F69,F69)+SUMIFS($E$7:E69,$G$7:G69,F69,$C$7:C69,"Перевод",$L$7:L69,"Проведён"))</f>
        <v>570125.54</v>
      </c>
    </row>
    <row r="70" spans="1:23" x14ac:dyDescent="0.25">
      <c r="A70" s="3" t="s">
        <v>605</v>
      </c>
      <c r="B70" s="19">
        <v>46109</v>
      </c>
      <c r="C70" s="3" t="s">
        <v>484</v>
      </c>
      <c r="D70" s="3" t="s">
        <v>485</v>
      </c>
      <c r="E70" s="24">
        <v>20400</v>
      </c>
      <c r="F70" s="3" t="s">
        <v>474</v>
      </c>
      <c r="G70" s="3"/>
      <c r="H70" s="3" t="s">
        <v>498</v>
      </c>
      <c r="I70" s="3" t="s">
        <v>298</v>
      </c>
      <c r="J70" s="3" t="s">
        <v>586</v>
      </c>
      <c r="K70" s="3" t="s">
        <v>484</v>
      </c>
      <c r="L70" s="3" t="s">
        <v>476</v>
      </c>
      <c r="M70" s="3"/>
      <c r="N70" s="24">
        <v>0</v>
      </c>
      <c r="O70" s="3"/>
      <c r="P70" s="5">
        <f>IF(A70="","",IF(COUNTIF(Типы,C70)=0,0,VLOOKUP(C70,СПРАВОЧНИКИ!$A$7:$E$22,2,FALSE)))</f>
        <v>1</v>
      </c>
      <c r="Q70" s="25">
        <f t="shared" si="0"/>
        <v>20400</v>
      </c>
      <c r="R70" s="5" t="str">
        <f>IF(A70="","",IF(COUNTIF(Типы,C70)=0,"НЕИЗВЕСТНЫЙ ТИП",VLOOKUP(C70,СПРАВОЧНИКИ!$A$7:$E$22,3,FALSE)))</f>
        <v>Операционный</v>
      </c>
      <c r="S70" s="26">
        <f>IF(A70="","",IF(L70="Проведён",E70*IF(COUNTIF(Типы,C70)=0,0,VLOOKUP(C70,СПРАВОЧНИКИ!$A$7:$E$22,4,FALSE)),0))</f>
        <v>20400</v>
      </c>
      <c r="T70" s="26">
        <f>IF(A70="","",IF(L70="Проведён",E70*IF(COUNTIF(Типы,C70)=0,0,VLOOKUP(C70,СПРАВОЧНИКИ!$A$7:$E$22,5,FALSE)),0))</f>
        <v>20400</v>
      </c>
      <c r="U70" s="5" t="str">
        <f>IF(A70="","",IF(COUNTIF(Контрагенты,H70)=0,"Не задан",VLOOKUP(H70,СПРАВОЧНИКИ!$G$7:$H$66,2,FALSE)))</f>
        <v>ФЛ</v>
      </c>
      <c r="V70" s="4" t="str">
        <f>IF(A70="",IF(COUNTA(B70:O70)&gt;0,"НЕТ ID",""),IF(OR(AND(OR(C70="Оплата клиента",C70="Возврат клиенту"),COUNTIFS(Docs[ID],J70,Docs[Тип долга],"ДЗ")&lt;&gt;1),AND(OR(C70="Оплата поставщику",C70="Возврат поставщика"),COUNTIFS(Docs[ID],J70,Docs[Тип долга],"КЗ",Docs[Вид],"&lt;&gt;Дивиденды")&lt;&gt;1),AND(C70="Дивиденды",COUNTIFS(Docs[ID],J70,Docs[Вид],"Дивиденды")&lt;&gt;1),AND(C70="Проценты",COUNTIFS(Docs[ID],J70,Docs[Вид],"Проценты")&lt;&gt;1),COUNTIF(Cash[ID],A70)&gt;1,NOT(ISNUMBER(B70)),B70&lt;НачалоУчета,YEAR(B70)&lt;&gt;Год,NOT(ISNUMBER(E70)),E70&lt;=0,N70&lt;0,COUNTIF(Типы,C70)&lt;&gt;1,COUNTIF(Категории,D70)&lt;&gt;1,COUNTIF(Счета,F70)&lt;&gt;1,COUNTIF(Проекты,I70)&lt;&gt;1,AND(H70&lt;&gt;"",COUNTIF(Контрагенты,H70)&lt;&gt;1),AND(C70="Перевод",OR(F70=G70,COUNTIF(Счета,G70)&lt;&gt;1)),AND(S70&lt;&gt;0,COUNTIF(Docs[ID],J70)&lt;&gt;1),AND(Форма="ООО",C70="Вывод ИП"),AND(Форма="ИП",C70="Дивиденды"),AND(L70&lt;&gt;"Проведён",L70&lt;&gt;"Черновик")),"ОШИБКА","ОК"))</f>
        <v>ОК</v>
      </c>
      <c r="W70" s="25">
        <f>IF(A70="","",SUMIF(Accounts[Счёт],F70,Accounts[Начальный])+SUMIFS($Q$7:Q70,$F$7:F70,F70)+SUMIFS($E$7:E70,$G$7:G70,F70,$C$7:C70,"Перевод",$L$7:L70,"Проведён"))</f>
        <v>590525.54</v>
      </c>
    </row>
    <row r="71" spans="1:23" x14ac:dyDescent="0.25">
      <c r="A71" s="3" t="s">
        <v>606</v>
      </c>
      <c r="B71" s="19">
        <v>46109</v>
      </c>
      <c r="C71" s="3" t="s">
        <v>504</v>
      </c>
      <c r="D71" s="3" t="s">
        <v>532</v>
      </c>
      <c r="E71" s="24">
        <v>27000</v>
      </c>
      <c r="F71" s="3" t="s">
        <v>474</v>
      </c>
      <c r="G71" s="3"/>
      <c r="H71" s="3" t="s">
        <v>528</v>
      </c>
      <c r="I71" s="3" t="s">
        <v>383</v>
      </c>
      <c r="J71" s="3" t="s">
        <v>607</v>
      </c>
      <c r="K71" s="3" t="s">
        <v>504</v>
      </c>
      <c r="L71" s="3" t="s">
        <v>476</v>
      </c>
      <c r="M71" s="3"/>
      <c r="N71" s="24">
        <v>27000</v>
      </c>
      <c r="O71" s="3"/>
      <c r="P71" s="5">
        <f>IF(A71="","",IF(COUNTIF(Типы,C71)=0,0,VLOOKUP(C71,СПРАВОЧНИКИ!$A$7:$E$22,2,FALSE)))</f>
        <v>-1</v>
      </c>
      <c r="Q71" s="25">
        <f t="shared" ref="Q71:Q134" si="1">IF(A71="","",IF(L71="Проведён",E71*P71,0))</f>
        <v>-27000</v>
      </c>
      <c r="R71" s="5" t="str">
        <f>IF(A71="","",IF(COUNTIF(Типы,C71)=0,"НЕИЗВЕСТНЫЙ ТИП",VLOOKUP(C71,СПРАВОЧНИКИ!$A$7:$E$22,3,FALSE)))</f>
        <v>Операционный</v>
      </c>
      <c r="S71" s="26">
        <f>IF(A71="","",IF(L71="Проведён",E71*IF(COUNTIF(Типы,C71)=0,0,VLOOKUP(C71,СПРАВОЧНИКИ!$A$7:$E$22,4,FALSE)),0))</f>
        <v>27000</v>
      </c>
      <c r="T71" s="26">
        <f>IF(A71="","",IF(L71="Проведён",E71*IF(COUNTIF(Типы,C71)=0,0,VLOOKUP(C71,СПРАВОЧНИКИ!$A$7:$E$22,5,FALSE)),0))</f>
        <v>0</v>
      </c>
      <c r="U71" s="5" t="str">
        <f>IF(A71="","",IF(COUNTIF(Контрагенты,H71)=0,"Не задан",VLOOKUP(H71,СПРАВОЧНИКИ!$G$7:$H$66,2,FALSE)))</f>
        <v>ЮЛ</v>
      </c>
      <c r="V71" s="4" t="str">
        <f>IF(A71="",IF(COUNTA(B71:O71)&gt;0,"НЕТ ID",""),IF(OR(AND(OR(C71="Оплата клиента",C71="Возврат клиенту"),COUNTIFS(Docs[ID],J71,Docs[Тип долга],"ДЗ")&lt;&gt;1),AND(OR(C71="Оплата поставщику",C71="Возврат поставщика"),COUNTIFS(Docs[ID],J71,Docs[Тип долга],"КЗ",Docs[Вид],"&lt;&gt;Дивиденды")&lt;&gt;1),AND(C71="Дивиденды",COUNTIFS(Docs[ID],J71,Docs[Вид],"Дивиденды")&lt;&gt;1),AND(C71="Проценты",COUNTIFS(Docs[ID],J71,Docs[Вид],"Проценты")&lt;&gt;1),COUNTIF(Cash[ID],A71)&gt;1,NOT(ISNUMBER(B71)),B71&lt;НачалоУчета,YEAR(B71)&lt;&gt;Год,NOT(ISNUMBER(E71)),E71&lt;=0,N71&lt;0,COUNTIF(Типы,C71)&lt;&gt;1,COUNTIF(Категории,D71)&lt;&gt;1,COUNTIF(Счета,F71)&lt;&gt;1,COUNTIF(Проекты,I71)&lt;&gt;1,AND(H71&lt;&gt;"",COUNTIF(Контрагенты,H71)&lt;&gt;1),AND(C71="Перевод",OR(F71=G71,COUNTIF(Счета,G71)&lt;&gt;1)),AND(S71&lt;&gt;0,COUNTIF(Docs[ID],J71)&lt;&gt;1),AND(Форма="ООО",C71="Вывод ИП"),AND(Форма="ИП",C71="Дивиденды"),AND(L71&lt;&gt;"Проведён",L71&lt;&gt;"Черновик")),"ОШИБКА","ОК"))</f>
        <v>ОК</v>
      </c>
      <c r="W71" s="25">
        <f>IF(A71="","",SUMIF(Accounts[Счёт],F71,Accounts[Начальный])+SUMIFS($Q$7:Q71,$F$7:F71,F71)+SUMIFS($E$7:E71,$G$7:G71,F71,$C$7:C71,"Перевод",$L$7:L71,"Проведён"))</f>
        <v>563525.54</v>
      </c>
    </row>
    <row r="72" spans="1:23" x14ac:dyDescent="0.25">
      <c r="A72" s="3" t="s">
        <v>608</v>
      </c>
      <c r="B72" s="19">
        <v>46109</v>
      </c>
      <c r="C72" s="3" t="s">
        <v>130</v>
      </c>
      <c r="D72" s="3" t="s">
        <v>130</v>
      </c>
      <c r="E72" s="24">
        <v>4183.33</v>
      </c>
      <c r="F72" s="3" t="s">
        <v>474</v>
      </c>
      <c r="G72" s="3"/>
      <c r="H72" s="3" t="s">
        <v>397</v>
      </c>
      <c r="I72" s="3" t="s">
        <v>383</v>
      </c>
      <c r="J72" s="3" t="s">
        <v>609</v>
      </c>
      <c r="K72" s="3" t="s">
        <v>130</v>
      </c>
      <c r="L72" s="3" t="s">
        <v>476</v>
      </c>
      <c r="M72" s="3"/>
      <c r="N72" s="24">
        <v>4183.33</v>
      </c>
      <c r="O72" s="3"/>
      <c r="P72" s="5">
        <f>IF(A72="","",IF(COUNTIF(Типы,C72)=0,0,VLOOKUP(C72,СПРАВОЧНИКИ!$A$7:$E$22,2,FALSE)))</f>
        <v>-1</v>
      </c>
      <c r="Q72" s="25">
        <f t="shared" si="1"/>
        <v>-4183.33</v>
      </c>
      <c r="R72" s="5" t="str">
        <f>IF(A72="","",IF(COUNTIF(Типы,C72)=0,"НЕИЗВЕСТНЫЙ ТИП",VLOOKUP(C72,СПРАВОЧНИКИ!$A$7:$E$22,3,FALSE)))</f>
        <v>Операционный</v>
      </c>
      <c r="S72" s="26">
        <f>IF(A72="","",IF(L72="Проведён",E72*IF(COUNTIF(Типы,C72)=0,0,VLOOKUP(C72,СПРАВОЧНИКИ!$A$7:$E$22,4,FALSE)),0))</f>
        <v>4183.33</v>
      </c>
      <c r="T72" s="26">
        <f>IF(A72="","",IF(L72="Проведён",E72*IF(COUNTIF(Типы,C72)=0,0,VLOOKUP(C72,СПРАВОЧНИКИ!$A$7:$E$22,5,FALSE)),0))</f>
        <v>0</v>
      </c>
      <c r="U72" s="5" t="str">
        <f>IF(A72="","",IF(COUNTIF(Контрагенты,H72)=0,"Не задан",VLOOKUP(H72,СПРАВОЧНИКИ!$G$7:$H$66,2,FALSE)))</f>
        <v>ЮЛ</v>
      </c>
      <c r="V72" s="4" t="str">
        <f>IF(A72="",IF(COUNTA(B72:O72)&gt;0,"НЕТ ID",""),IF(OR(AND(OR(C72="Оплата клиента",C72="Возврат клиенту"),COUNTIFS(Docs[ID],J72,Docs[Тип долга],"ДЗ")&lt;&gt;1),AND(OR(C72="Оплата поставщику",C72="Возврат поставщика"),COUNTIFS(Docs[ID],J72,Docs[Тип долга],"КЗ",Docs[Вид],"&lt;&gt;Дивиденды")&lt;&gt;1),AND(C72="Дивиденды",COUNTIFS(Docs[ID],J72,Docs[Вид],"Дивиденды")&lt;&gt;1),AND(C72="Проценты",COUNTIFS(Docs[ID],J72,Docs[Вид],"Проценты")&lt;&gt;1),COUNTIF(Cash[ID],A72)&gt;1,NOT(ISNUMBER(B72)),B72&lt;НачалоУчета,YEAR(B72)&lt;&gt;Год,NOT(ISNUMBER(E72)),E72&lt;=0,N72&lt;0,COUNTIF(Типы,C72)&lt;&gt;1,COUNTIF(Категории,D72)&lt;&gt;1,COUNTIF(Счета,F72)&lt;&gt;1,COUNTIF(Проекты,I72)&lt;&gt;1,AND(H72&lt;&gt;"",COUNTIF(Контрагенты,H72)&lt;&gt;1),AND(C72="Перевод",OR(F72=G72,COUNTIF(Счета,G72)&lt;&gt;1)),AND(S72&lt;&gt;0,COUNTIF(Docs[ID],J72)&lt;&gt;1),AND(Форма="ООО",C72="Вывод ИП"),AND(Форма="ИП",C72="Дивиденды"),AND(L72&lt;&gt;"Проведён",L72&lt;&gt;"Черновик")),"ОШИБКА","ОК"))</f>
        <v>ОК</v>
      </c>
      <c r="W72" s="25">
        <f>IF(A72="","",SUMIF(Accounts[Счёт],F72,Accounts[Начальный])+SUMIFS($Q$7:Q72,$F$7:F72,F72)+SUMIFS($E$7:E72,$G$7:G72,F72,$C$7:C72,"Перевод",$L$7:L72,"Проведён"))</f>
        <v>559342.21000000008</v>
      </c>
    </row>
    <row r="73" spans="1:23" x14ac:dyDescent="0.25">
      <c r="A73" s="3" t="s">
        <v>610</v>
      </c>
      <c r="B73" s="19">
        <v>46109</v>
      </c>
      <c r="C73" s="3" t="s">
        <v>537</v>
      </c>
      <c r="D73" s="3" t="s">
        <v>479</v>
      </c>
      <c r="E73" s="24">
        <v>10793.9</v>
      </c>
      <c r="F73" s="3" t="s">
        <v>474</v>
      </c>
      <c r="G73" s="3"/>
      <c r="H73" s="3" t="s">
        <v>397</v>
      </c>
      <c r="I73" s="3" t="s">
        <v>383</v>
      </c>
      <c r="J73" s="3" t="s">
        <v>394</v>
      </c>
      <c r="K73" s="3" t="s">
        <v>537</v>
      </c>
      <c r="L73" s="3" t="s">
        <v>476</v>
      </c>
      <c r="M73" s="3"/>
      <c r="N73" s="24">
        <v>0</v>
      </c>
      <c r="O73" s="3"/>
      <c r="P73" s="5">
        <f>IF(A73="","",IF(COUNTIF(Типы,C73)=0,0,VLOOKUP(C73,СПРАВОЧНИКИ!$A$7:$E$22,2,FALSE)))</f>
        <v>-1</v>
      </c>
      <c r="Q73" s="25">
        <f t="shared" si="1"/>
        <v>-10793.9</v>
      </c>
      <c r="R73" s="5" t="str">
        <f>IF(A73="","",IF(COUNTIF(Типы,C73)=0,"НЕИЗВЕСТНЫЙ ТИП",VLOOKUP(C73,СПРАВОЧНИКИ!$A$7:$E$22,3,FALSE)))</f>
        <v>Финансовый</v>
      </c>
      <c r="S73" s="26">
        <f>IF(A73="","",IF(L73="Проведён",E73*IF(COUNTIF(Типы,C73)=0,0,VLOOKUP(C73,СПРАВОЧНИКИ!$A$7:$E$22,4,FALSE)),0))</f>
        <v>0</v>
      </c>
      <c r="T73" s="26">
        <f>IF(A73="","",IF(L73="Проведён",E73*IF(COUNTIF(Типы,C73)=0,0,VLOOKUP(C73,СПРАВОЧНИКИ!$A$7:$E$22,5,FALSE)),0))</f>
        <v>0</v>
      </c>
      <c r="U73" s="5" t="str">
        <f>IF(A73="","",IF(COUNTIF(Контрагенты,H73)=0,"Не задан",VLOOKUP(H73,СПРАВОЧНИКИ!$G$7:$H$66,2,FALSE)))</f>
        <v>ЮЛ</v>
      </c>
      <c r="V73" s="4" t="str">
        <f>IF(A73="",IF(COUNTA(B73:O73)&gt;0,"НЕТ ID",""),IF(OR(AND(OR(C73="Оплата клиента",C73="Возврат клиенту"),COUNTIFS(Docs[ID],J73,Docs[Тип долга],"ДЗ")&lt;&gt;1),AND(OR(C73="Оплата поставщику",C73="Возврат поставщика"),COUNTIFS(Docs[ID],J73,Docs[Тип долга],"КЗ",Docs[Вид],"&lt;&gt;Дивиденды")&lt;&gt;1),AND(C73="Дивиденды",COUNTIFS(Docs[ID],J73,Docs[Вид],"Дивиденды")&lt;&gt;1),AND(C73="Проценты",COUNTIFS(Docs[ID],J73,Docs[Вид],"Проценты")&lt;&gt;1),COUNTIF(Cash[ID],A73)&gt;1,NOT(ISNUMBER(B73)),B73&lt;НачалоУчета,YEAR(B73)&lt;&gt;Год,NOT(ISNUMBER(E73)),E73&lt;=0,N73&lt;0,COUNTIF(Типы,C73)&lt;&gt;1,COUNTIF(Категории,D73)&lt;&gt;1,COUNTIF(Счета,F73)&lt;&gt;1,COUNTIF(Проекты,I73)&lt;&gt;1,AND(H73&lt;&gt;"",COUNTIF(Контрагенты,H73)&lt;&gt;1),AND(C73="Перевод",OR(F73=G73,COUNTIF(Счета,G73)&lt;&gt;1)),AND(S73&lt;&gt;0,COUNTIF(Docs[ID],J73)&lt;&gt;1),AND(Форма="ООО",C73="Вывод ИП"),AND(Форма="ИП",C73="Дивиденды"),AND(L73&lt;&gt;"Проведён",L73&lt;&gt;"Черновик")),"ОШИБКА","ОК"))</f>
        <v>ОК</v>
      </c>
      <c r="W73" s="25">
        <f>IF(A73="","",SUMIF(Accounts[Счёт],F73,Accounts[Начальный])+SUMIFS($Q$7:Q73,$F$7:F73,F73)+SUMIFS($E$7:E73,$G$7:G73,F73,$C$7:C73,"Перевод",$L$7:L73,"Проведён"))</f>
        <v>548548.31000000006</v>
      </c>
    </row>
    <row r="74" spans="1:23" x14ac:dyDescent="0.25">
      <c r="A74" s="3" t="s">
        <v>611</v>
      </c>
      <c r="B74" s="19">
        <v>46109</v>
      </c>
      <c r="C74" s="3" t="s">
        <v>539</v>
      </c>
      <c r="D74" s="3" t="s">
        <v>299</v>
      </c>
      <c r="E74" s="24">
        <v>15000</v>
      </c>
      <c r="F74" s="3" t="s">
        <v>474</v>
      </c>
      <c r="G74" s="3" t="s">
        <v>299</v>
      </c>
      <c r="H74" s="3"/>
      <c r="I74" s="3" t="s">
        <v>383</v>
      </c>
      <c r="J74" s="3"/>
      <c r="K74" s="3" t="s">
        <v>539</v>
      </c>
      <c r="L74" s="3" t="s">
        <v>476</v>
      </c>
      <c r="M74" s="3"/>
      <c r="N74" s="24">
        <v>0</v>
      </c>
      <c r="O74" s="3"/>
      <c r="P74" s="5">
        <f>IF(A74="","",IF(COUNTIF(Типы,C74)=0,0,VLOOKUP(C74,СПРАВОЧНИКИ!$A$7:$E$22,2,FALSE)))</f>
        <v>-1</v>
      </c>
      <c r="Q74" s="25">
        <f t="shared" si="1"/>
        <v>-15000</v>
      </c>
      <c r="R74" s="5" t="str">
        <f>IF(A74="","",IF(COUNTIF(Типы,C74)=0,"НЕИЗВЕСТНЫЙ ТИП",VLOOKUP(C74,СПРАВОЧНИКИ!$A$7:$E$22,3,FALSE)))</f>
        <v>Внутренний</v>
      </c>
      <c r="S74" s="26">
        <f>IF(A74="","",IF(L74="Проведён",E74*IF(COUNTIF(Типы,C74)=0,0,VLOOKUP(C74,СПРАВОЧНИКИ!$A$7:$E$22,4,FALSE)),0))</f>
        <v>0</v>
      </c>
      <c r="T74" s="26">
        <f>IF(A74="","",IF(L74="Проведён",E74*IF(COUNTIF(Типы,C74)=0,0,VLOOKUP(C74,СПРАВОЧНИКИ!$A$7:$E$22,5,FALSE)),0))</f>
        <v>0</v>
      </c>
      <c r="U74" s="5" t="str">
        <f>IF(A74="","",IF(COUNTIF(Контрагенты,H74)=0,"Не задан",VLOOKUP(H74,СПРАВОЧНИКИ!$G$7:$H$66,2,FALSE)))</f>
        <v>Не задан</v>
      </c>
      <c r="V74" s="4" t="str">
        <f>IF(A74="",IF(COUNTA(B74:O74)&gt;0,"НЕТ ID",""),IF(OR(AND(OR(C74="Оплата клиента",C74="Возврат клиенту"),COUNTIFS(Docs[ID],J74,Docs[Тип долга],"ДЗ")&lt;&gt;1),AND(OR(C74="Оплата поставщику",C74="Возврат поставщика"),COUNTIFS(Docs[ID],J74,Docs[Тип долга],"КЗ",Docs[Вид],"&lt;&gt;Дивиденды")&lt;&gt;1),AND(C74="Дивиденды",COUNTIFS(Docs[ID],J74,Docs[Вид],"Дивиденды")&lt;&gt;1),AND(C74="Проценты",COUNTIFS(Docs[ID],J74,Docs[Вид],"Проценты")&lt;&gt;1),COUNTIF(Cash[ID],A74)&gt;1,NOT(ISNUMBER(B74)),B74&lt;НачалоУчета,YEAR(B74)&lt;&gt;Год,NOT(ISNUMBER(E74)),E74&lt;=0,N74&lt;0,COUNTIF(Типы,C74)&lt;&gt;1,COUNTIF(Категории,D74)&lt;&gt;1,COUNTIF(Счета,F74)&lt;&gt;1,COUNTIF(Проекты,I74)&lt;&gt;1,AND(H74&lt;&gt;"",COUNTIF(Контрагенты,H74)&lt;&gt;1),AND(C74="Перевод",OR(F74=G74,COUNTIF(Счета,G74)&lt;&gt;1)),AND(S74&lt;&gt;0,COUNTIF(Docs[ID],J74)&lt;&gt;1),AND(Форма="ООО",C74="Вывод ИП"),AND(Форма="ИП",C74="Дивиденды"),AND(L74&lt;&gt;"Проведён",L74&lt;&gt;"Черновик")),"ОШИБКА","ОК"))</f>
        <v>ОК</v>
      </c>
      <c r="W74" s="25">
        <f>IF(A74="","",SUMIF(Accounts[Счёт],F74,Accounts[Начальный])+SUMIFS($Q$7:Q74,$F$7:F74,F74)+SUMIFS($E$7:E74,$G$7:G74,F74,$C$7:C74,"Перевод",$L$7:L74,"Проведён"))</f>
        <v>533548.31000000006</v>
      </c>
    </row>
    <row r="75" spans="1:23" x14ac:dyDescent="0.25">
      <c r="A75" s="3" t="s">
        <v>612</v>
      </c>
      <c r="B75" s="19">
        <v>46109</v>
      </c>
      <c r="C75" s="3" t="s">
        <v>613</v>
      </c>
      <c r="D75" s="3" t="s">
        <v>300</v>
      </c>
      <c r="E75" s="24">
        <v>25000</v>
      </c>
      <c r="F75" s="3" t="s">
        <v>474</v>
      </c>
      <c r="G75" s="3"/>
      <c r="H75" s="3" t="s">
        <v>475</v>
      </c>
      <c r="I75" s="3" t="s">
        <v>383</v>
      </c>
      <c r="J75" s="3"/>
      <c r="K75" s="3" t="s">
        <v>613</v>
      </c>
      <c r="L75" s="3" t="s">
        <v>476</v>
      </c>
      <c r="M75" s="3"/>
      <c r="N75" s="24">
        <v>0</v>
      </c>
      <c r="O75" s="3" t="s">
        <v>300</v>
      </c>
      <c r="P75" s="5">
        <f>IF(A75="","",IF(COUNTIF(Типы,C75)=0,0,VLOOKUP(C75,СПРАВОЧНИКИ!$A$7:$E$22,2,FALSE)))</f>
        <v>-1</v>
      </c>
      <c r="Q75" s="25">
        <f t="shared" si="1"/>
        <v>-25000</v>
      </c>
      <c r="R75" s="5" t="str">
        <f>IF(A75="","",IF(COUNTIF(Типы,C75)=0,"НЕИЗВЕСТНЫЙ ТИП",VLOOKUP(C75,СПРАВОЧНИКИ!$A$7:$E$22,3,FALSE)))</f>
        <v>Финансовый</v>
      </c>
      <c r="S75" s="26">
        <f>IF(A75="","",IF(L75="Проведён",E75*IF(COUNTIF(Типы,C75)=0,0,VLOOKUP(C75,СПРАВОЧНИКИ!$A$7:$E$22,4,FALSE)),0))</f>
        <v>0</v>
      </c>
      <c r="T75" s="26">
        <f>IF(A75="","",IF(L75="Проведён",E75*IF(COUNTIF(Типы,C75)=0,0,VLOOKUP(C75,СПРАВОЧНИКИ!$A$7:$E$22,5,FALSE)),0))</f>
        <v>0</v>
      </c>
      <c r="U75" s="5" t="str">
        <f>IF(A75="","",IF(COUNTIF(Контрагенты,H75)=0,"Не задан",VLOOKUP(H75,СПРАВОЧНИКИ!$G$7:$H$66,2,FALSE)))</f>
        <v>ФЛ</v>
      </c>
      <c r="V75" s="4" t="str">
        <f>IF(A75="",IF(COUNTA(B75:O75)&gt;0,"НЕТ ID",""),IF(OR(AND(OR(C75="Оплата клиента",C75="Возврат клиенту"),COUNTIFS(Docs[ID],J75,Docs[Тип долга],"ДЗ")&lt;&gt;1),AND(OR(C75="Оплата поставщику",C75="Возврат поставщика"),COUNTIFS(Docs[ID],J75,Docs[Тип долга],"КЗ",Docs[Вид],"&lt;&gt;Дивиденды")&lt;&gt;1),AND(C75="Дивиденды",COUNTIFS(Docs[ID],J75,Docs[Вид],"Дивиденды")&lt;&gt;1),AND(C75="Проценты",COUNTIFS(Docs[ID],J75,Docs[Вид],"Проценты")&lt;&gt;1),COUNTIF(Cash[ID],A75)&gt;1,NOT(ISNUMBER(B75)),B75&lt;НачалоУчета,YEAR(B75)&lt;&gt;Год,NOT(ISNUMBER(E75)),E75&lt;=0,N75&lt;0,COUNTIF(Типы,C75)&lt;&gt;1,COUNTIF(Категории,D75)&lt;&gt;1,COUNTIF(Счета,F75)&lt;&gt;1,COUNTIF(Проекты,I75)&lt;&gt;1,AND(H75&lt;&gt;"",COUNTIF(Контрагенты,H75)&lt;&gt;1),AND(C75="Перевод",OR(F75=G75,COUNTIF(Счета,G75)&lt;&gt;1)),AND(S75&lt;&gt;0,COUNTIF(Docs[ID],J75)&lt;&gt;1),AND(Форма="ООО",C75="Вывод ИП"),AND(Форма="ИП",C75="Дивиденды"),AND(L75&lt;&gt;"Проведён",L75&lt;&gt;"Черновик")),"ОШИБКА","ОК"))</f>
        <v>ОК</v>
      </c>
      <c r="W75" s="25">
        <f>IF(A75="","",SUMIF(Accounts[Счёт],F75,Accounts[Начальный])+SUMIFS($Q$7:Q75,$F$7:F75,F75)+SUMIFS($E$7:E75,$G$7:G75,F75,$C$7:C75,"Перевод",$L$7:L75,"Проведён"))</f>
        <v>508548.31000000006</v>
      </c>
    </row>
    <row r="76" spans="1:23" x14ac:dyDescent="0.25">
      <c r="A76" s="3" t="s">
        <v>614</v>
      </c>
      <c r="B76" s="19">
        <v>46110</v>
      </c>
      <c r="C76" s="3" t="s">
        <v>484</v>
      </c>
      <c r="D76" s="3" t="s">
        <v>485</v>
      </c>
      <c r="E76" s="24">
        <v>16320</v>
      </c>
      <c r="F76" s="3" t="s">
        <v>474</v>
      </c>
      <c r="G76" s="3"/>
      <c r="H76" s="3" t="s">
        <v>501</v>
      </c>
      <c r="I76" s="3" t="s">
        <v>382</v>
      </c>
      <c r="J76" s="3" t="s">
        <v>588</v>
      </c>
      <c r="K76" s="3" t="s">
        <v>484</v>
      </c>
      <c r="L76" s="3" t="s">
        <v>476</v>
      </c>
      <c r="M76" s="3"/>
      <c r="N76" s="24">
        <v>0</v>
      </c>
      <c r="O76" s="3"/>
      <c r="P76" s="5">
        <f>IF(A76="","",IF(COUNTIF(Типы,C76)=0,0,VLOOKUP(C76,СПРАВОЧНИКИ!$A$7:$E$22,2,FALSE)))</f>
        <v>1</v>
      </c>
      <c r="Q76" s="25">
        <f t="shared" si="1"/>
        <v>16320</v>
      </c>
      <c r="R76" s="5" t="str">
        <f>IF(A76="","",IF(COUNTIF(Типы,C76)=0,"НЕИЗВЕСТНЫЙ ТИП",VLOOKUP(C76,СПРАВОЧНИКИ!$A$7:$E$22,3,FALSE)))</f>
        <v>Операционный</v>
      </c>
      <c r="S76" s="26">
        <f>IF(A76="","",IF(L76="Проведён",E76*IF(COUNTIF(Типы,C76)=0,0,VLOOKUP(C76,СПРАВОЧНИКИ!$A$7:$E$22,4,FALSE)),0))</f>
        <v>16320</v>
      </c>
      <c r="T76" s="26">
        <f>IF(A76="","",IF(L76="Проведён",E76*IF(COUNTIF(Типы,C76)=0,0,VLOOKUP(C76,СПРАВОЧНИКИ!$A$7:$E$22,5,FALSE)),0))</f>
        <v>16320</v>
      </c>
      <c r="U76" s="5" t="str">
        <f>IF(A76="","",IF(COUNTIF(Контрагенты,H76)=0,"Не задан",VLOOKUP(H76,СПРАВОЧНИКИ!$G$7:$H$66,2,FALSE)))</f>
        <v>ЮЛ</v>
      </c>
      <c r="V76" s="4" t="str">
        <f>IF(A76="",IF(COUNTA(B76:O76)&gt;0,"НЕТ ID",""),IF(OR(AND(OR(C76="Оплата клиента",C76="Возврат клиенту"),COUNTIFS(Docs[ID],J76,Docs[Тип долга],"ДЗ")&lt;&gt;1),AND(OR(C76="Оплата поставщику",C76="Возврат поставщика"),COUNTIFS(Docs[ID],J76,Docs[Тип долга],"КЗ",Docs[Вид],"&lt;&gt;Дивиденды")&lt;&gt;1),AND(C76="Дивиденды",COUNTIFS(Docs[ID],J76,Docs[Вид],"Дивиденды")&lt;&gt;1),AND(C76="Проценты",COUNTIFS(Docs[ID],J76,Docs[Вид],"Проценты")&lt;&gt;1),COUNTIF(Cash[ID],A76)&gt;1,NOT(ISNUMBER(B76)),B76&lt;НачалоУчета,YEAR(B76)&lt;&gt;Год,NOT(ISNUMBER(E76)),E76&lt;=0,N76&lt;0,COUNTIF(Типы,C76)&lt;&gt;1,COUNTIF(Категории,D76)&lt;&gt;1,COUNTIF(Счета,F76)&lt;&gt;1,COUNTIF(Проекты,I76)&lt;&gt;1,AND(H76&lt;&gt;"",COUNTIF(Контрагенты,H76)&lt;&gt;1),AND(C76="Перевод",OR(F76=G76,COUNTIF(Счета,G76)&lt;&gt;1)),AND(S76&lt;&gt;0,COUNTIF(Docs[ID],J76)&lt;&gt;1),AND(Форма="ООО",C76="Вывод ИП"),AND(Форма="ИП",C76="Дивиденды"),AND(L76&lt;&gt;"Проведён",L76&lt;&gt;"Черновик")),"ОШИБКА","ОК"))</f>
        <v>ОК</v>
      </c>
      <c r="W76" s="25">
        <f>IF(A76="","",SUMIF(Accounts[Счёт],F76,Accounts[Начальный])+SUMIFS($Q$7:Q76,$F$7:F76,F76)+SUMIFS($E$7:E76,$G$7:G76,F76,$C$7:C76,"Перевод",$L$7:L76,"Проведён"))</f>
        <v>524868.31000000006</v>
      </c>
    </row>
    <row r="77" spans="1:23" x14ac:dyDescent="0.25">
      <c r="A77" s="3" t="s">
        <v>615</v>
      </c>
      <c r="B77" s="19">
        <v>46111</v>
      </c>
      <c r="C77" s="3" t="s">
        <v>616</v>
      </c>
      <c r="D77" s="3" t="s">
        <v>485</v>
      </c>
      <c r="E77" s="24">
        <v>3000</v>
      </c>
      <c r="F77" s="3" t="s">
        <v>474</v>
      </c>
      <c r="G77" s="3"/>
      <c r="H77" s="3" t="s">
        <v>486</v>
      </c>
      <c r="I77" s="3" t="s">
        <v>381</v>
      </c>
      <c r="J77" s="3" t="s">
        <v>578</v>
      </c>
      <c r="K77" s="3" t="s">
        <v>616</v>
      </c>
      <c r="L77" s="3" t="s">
        <v>476</v>
      </c>
      <c r="M77" s="3"/>
      <c r="N77" s="24">
        <v>0</v>
      </c>
      <c r="O77" s="3"/>
      <c r="P77" s="5">
        <f>IF(A77="","",IF(COUNTIF(Типы,C77)=0,0,VLOOKUP(C77,СПРАВОЧНИКИ!$A$7:$E$22,2,FALSE)))</f>
        <v>-1</v>
      </c>
      <c r="Q77" s="25">
        <f t="shared" si="1"/>
        <v>-3000</v>
      </c>
      <c r="R77" s="5" t="str">
        <f>IF(A77="","",IF(COUNTIF(Типы,C77)=0,"НЕИЗВЕСТНЫЙ ТИП",VLOOKUP(C77,СПРАВОЧНИКИ!$A$7:$E$22,3,FALSE)))</f>
        <v>Операционный</v>
      </c>
      <c r="S77" s="26">
        <f>IF(A77="","",IF(L77="Проведён",E77*IF(COUNTIF(Типы,C77)=0,0,VLOOKUP(C77,СПРАВОЧНИКИ!$A$7:$E$22,4,FALSE)),0))</f>
        <v>-3000</v>
      </c>
      <c r="T77" s="26">
        <f>IF(A77="","",IF(L77="Проведён",E77*IF(COUNTIF(Типы,C77)=0,0,VLOOKUP(C77,СПРАВОЧНИКИ!$A$7:$E$22,5,FALSE)),0))</f>
        <v>-3000</v>
      </c>
      <c r="U77" s="5" t="str">
        <f>IF(A77="","",IF(COUNTIF(Контрагенты,H77)=0,"Не задан",VLOOKUP(H77,СПРАВОЧНИКИ!$G$7:$H$66,2,FALSE)))</f>
        <v>ЮЛ</v>
      </c>
      <c r="V77" s="4" t="str">
        <f>IF(A77="",IF(COUNTA(B77:O77)&gt;0,"НЕТ ID",""),IF(OR(AND(OR(C77="Оплата клиента",C77="Возврат клиенту"),COUNTIFS(Docs[ID],J77,Docs[Тип долга],"ДЗ")&lt;&gt;1),AND(OR(C77="Оплата поставщику",C77="Возврат поставщика"),COUNTIFS(Docs[ID],J77,Docs[Тип долга],"КЗ",Docs[Вид],"&lt;&gt;Дивиденды")&lt;&gt;1),AND(C77="Дивиденды",COUNTIFS(Docs[ID],J77,Docs[Вид],"Дивиденды")&lt;&gt;1),AND(C77="Проценты",COUNTIFS(Docs[ID],J77,Docs[Вид],"Проценты")&lt;&gt;1),COUNTIF(Cash[ID],A77)&gt;1,NOT(ISNUMBER(B77)),B77&lt;НачалоУчета,YEAR(B77)&lt;&gt;Год,NOT(ISNUMBER(E77)),E77&lt;=0,N77&lt;0,COUNTIF(Типы,C77)&lt;&gt;1,COUNTIF(Категории,D77)&lt;&gt;1,COUNTIF(Счета,F77)&lt;&gt;1,COUNTIF(Проекты,I77)&lt;&gt;1,AND(H77&lt;&gt;"",COUNTIF(Контрагенты,H77)&lt;&gt;1),AND(C77="Перевод",OR(F77=G77,COUNTIF(Счета,G77)&lt;&gt;1)),AND(S77&lt;&gt;0,COUNTIF(Docs[ID],J77)&lt;&gt;1),AND(Форма="ООО",C77="Вывод ИП"),AND(Форма="ИП",C77="Дивиденды"),AND(L77&lt;&gt;"Проведён",L77&lt;&gt;"Черновик")),"ОШИБКА","ОК"))</f>
        <v>ОК</v>
      </c>
      <c r="W77" s="25">
        <f>IF(A77="","",SUMIF(Accounts[Счёт],F77,Accounts[Начальный])+SUMIFS($Q$7:Q77,$F$7:F77,F77)+SUMIFS($E$7:E77,$G$7:G77,F77,$C$7:C77,"Перевод",$L$7:L77,"Проведён"))</f>
        <v>521868.31000000006</v>
      </c>
    </row>
    <row r="78" spans="1:23" x14ac:dyDescent="0.25">
      <c r="A78" s="3" t="s">
        <v>617</v>
      </c>
      <c r="B78" s="19">
        <v>46124</v>
      </c>
      <c r="C78" s="3" t="s">
        <v>484</v>
      </c>
      <c r="D78" s="3" t="s">
        <v>485</v>
      </c>
      <c r="E78" s="24">
        <v>92400</v>
      </c>
      <c r="F78" s="3" t="s">
        <v>474</v>
      </c>
      <c r="G78" s="3"/>
      <c r="H78" s="3" t="s">
        <v>486</v>
      </c>
      <c r="I78" s="3" t="s">
        <v>381</v>
      </c>
      <c r="J78" s="3" t="s">
        <v>618</v>
      </c>
      <c r="K78" s="3" t="s">
        <v>484</v>
      </c>
      <c r="L78" s="3" t="s">
        <v>476</v>
      </c>
      <c r="M78" s="3"/>
      <c r="N78" s="24">
        <v>0</v>
      </c>
      <c r="O78" s="3"/>
      <c r="P78" s="5">
        <f>IF(A78="","",IF(COUNTIF(Типы,C78)=0,0,VLOOKUP(C78,СПРАВОЧНИКИ!$A$7:$E$22,2,FALSE)))</f>
        <v>1</v>
      </c>
      <c r="Q78" s="25">
        <f t="shared" si="1"/>
        <v>92400</v>
      </c>
      <c r="R78" s="5" t="str">
        <f>IF(A78="","",IF(COUNTIF(Типы,C78)=0,"НЕИЗВЕСТНЫЙ ТИП",VLOOKUP(C78,СПРАВОЧНИКИ!$A$7:$E$22,3,FALSE)))</f>
        <v>Операционный</v>
      </c>
      <c r="S78" s="26">
        <f>IF(A78="","",IF(L78="Проведён",E78*IF(COUNTIF(Типы,C78)=0,0,VLOOKUP(C78,СПРАВОЧНИКИ!$A$7:$E$22,4,FALSE)),0))</f>
        <v>92400</v>
      </c>
      <c r="T78" s="26">
        <f>IF(A78="","",IF(L78="Проведён",E78*IF(COUNTIF(Типы,C78)=0,0,VLOOKUP(C78,СПРАВОЧНИКИ!$A$7:$E$22,5,FALSE)),0))</f>
        <v>92400</v>
      </c>
      <c r="U78" s="5" t="str">
        <f>IF(A78="","",IF(COUNTIF(Контрагенты,H78)=0,"Не задан",VLOOKUP(H78,СПРАВОЧНИКИ!$G$7:$H$66,2,FALSE)))</f>
        <v>ЮЛ</v>
      </c>
      <c r="V78" s="4" t="str">
        <f>IF(A78="",IF(COUNTA(B78:O78)&gt;0,"НЕТ ID",""),IF(OR(AND(OR(C78="Оплата клиента",C78="Возврат клиенту"),COUNTIFS(Docs[ID],J78,Docs[Тип долга],"ДЗ")&lt;&gt;1),AND(OR(C78="Оплата поставщику",C78="Возврат поставщика"),COUNTIFS(Docs[ID],J78,Docs[Тип долга],"КЗ",Docs[Вид],"&lt;&gt;Дивиденды")&lt;&gt;1),AND(C78="Дивиденды",COUNTIFS(Docs[ID],J78,Docs[Вид],"Дивиденды")&lt;&gt;1),AND(C78="Проценты",COUNTIFS(Docs[ID],J78,Docs[Вид],"Проценты")&lt;&gt;1),COUNTIF(Cash[ID],A78)&gt;1,NOT(ISNUMBER(B78)),B78&lt;НачалоУчета,YEAR(B78)&lt;&gt;Год,NOT(ISNUMBER(E78)),E78&lt;=0,N78&lt;0,COUNTIF(Типы,C78)&lt;&gt;1,COUNTIF(Категории,D78)&lt;&gt;1,COUNTIF(Счета,F78)&lt;&gt;1,COUNTIF(Проекты,I78)&lt;&gt;1,AND(H78&lt;&gt;"",COUNTIF(Контрагенты,H78)&lt;&gt;1),AND(C78="Перевод",OR(F78=G78,COUNTIF(Счета,G78)&lt;&gt;1)),AND(S78&lt;&gt;0,COUNTIF(Docs[ID],J78)&lt;&gt;1),AND(Форма="ООО",C78="Вывод ИП"),AND(Форма="ИП",C78="Дивиденды"),AND(L78&lt;&gt;"Проведён",L78&lt;&gt;"Черновик")),"ОШИБКА","ОК"))</f>
        <v>ОК</v>
      </c>
      <c r="W78" s="25">
        <f>IF(A78="","",SUMIF(Accounts[Счёт],F78,Accounts[Начальный])+SUMIFS($Q$7:Q78,$F$7:F78,F78)+SUMIFS($E$7:E78,$G$7:G78,F78,$C$7:C78,"Перевод",$L$7:L78,"Проведён"))</f>
        <v>614268.31000000006</v>
      </c>
    </row>
    <row r="79" spans="1:23" x14ac:dyDescent="0.25">
      <c r="A79" s="3" t="s">
        <v>619</v>
      </c>
      <c r="B79" s="19">
        <v>46125</v>
      </c>
      <c r="C79" s="3" t="s">
        <v>484</v>
      </c>
      <c r="D79" s="3" t="s">
        <v>485</v>
      </c>
      <c r="E79" s="24">
        <v>72600</v>
      </c>
      <c r="F79" s="3" t="s">
        <v>474</v>
      </c>
      <c r="G79" s="3"/>
      <c r="H79" s="3" t="s">
        <v>489</v>
      </c>
      <c r="I79" s="3" t="s">
        <v>298</v>
      </c>
      <c r="J79" s="3" t="s">
        <v>620</v>
      </c>
      <c r="K79" s="3" t="s">
        <v>484</v>
      </c>
      <c r="L79" s="3" t="s">
        <v>476</v>
      </c>
      <c r="M79" s="3"/>
      <c r="N79" s="24">
        <v>0</v>
      </c>
      <c r="O79" s="3"/>
      <c r="P79" s="5">
        <f>IF(A79="","",IF(COUNTIF(Типы,C79)=0,0,VLOOKUP(C79,СПРАВОЧНИКИ!$A$7:$E$22,2,FALSE)))</f>
        <v>1</v>
      </c>
      <c r="Q79" s="25">
        <f t="shared" si="1"/>
        <v>72600</v>
      </c>
      <c r="R79" s="5" t="str">
        <f>IF(A79="","",IF(COUNTIF(Типы,C79)=0,"НЕИЗВЕСТНЫЙ ТИП",VLOOKUP(C79,СПРАВОЧНИКИ!$A$7:$E$22,3,FALSE)))</f>
        <v>Операционный</v>
      </c>
      <c r="S79" s="26">
        <f>IF(A79="","",IF(L79="Проведён",E79*IF(COUNTIF(Типы,C79)=0,0,VLOOKUP(C79,СПРАВОЧНИКИ!$A$7:$E$22,4,FALSE)),0))</f>
        <v>72600</v>
      </c>
      <c r="T79" s="26">
        <f>IF(A79="","",IF(L79="Проведён",E79*IF(COUNTIF(Типы,C79)=0,0,VLOOKUP(C79,СПРАВОЧНИКИ!$A$7:$E$22,5,FALSE)),0))</f>
        <v>72600</v>
      </c>
      <c r="U79" s="5" t="str">
        <f>IF(A79="","",IF(COUNTIF(Контрагенты,H79)=0,"Не задан",VLOOKUP(H79,СПРАВОЧНИКИ!$G$7:$H$66,2,FALSE)))</f>
        <v>ЮЛ</v>
      </c>
      <c r="V79" s="4" t="str">
        <f>IF(A79="",IF(COUNTA(B79:O79)&gt;0,"НЕТ ID",""),IF(OR(AND(OR(C79="Оплата клиента",C79="Возврат клиенту"),COUNTIFS(Docs[ID],J79,Docs[Тип долга],"ДЗ")&lt;&gt;1),AND(OR(C79="Оплата поставщику",C79="Возврат поставщика"),COUNTIFS(Docs[ID],J79,Docs[Тип долга],"КЗ",Docs[Вид],"&lt;&gt;Дивиденды")&lt;&gt;1),AND(C79="Дивиденды",COUNTIFS(Docs[ID],J79,Docs[Вид],"Дивиденды")&lt;&gt;1),AND(C79="Проценты",COUNTIFS(Docs[ID],J79,Docs[Вид],"Проценты")&lt;&gt;1),COUNTIF(Cash[ID],A79)&gt;1,NOT(ISNUMBER(B79)),B79&lt;НачалоУчета,YEAR(B79)&lt;&gt;Год,NOT(ISNUMBER(E79)),E79&lt;=0,N79&lt;0,COUNTIF(Типы,C79)&lt;&gt;1,COUNTIF(Категории,D79)&lt;&gt;1,COUNTIF(Счета,F79)&lt;&gt;1,COUNTIF(Проекты,I79)&lt;&gt;1,AND(H79&lt;&gt;"",COUNTIF(Контрагенты,H79)&lt;&gt;1),AND(C79="Перевод",OR(F79=G79,COUNTIF(Счета,G79)&lt;&gt;1)),AND(S79&lt;&gt;0,COUNTIF(Docs[ID],J79)&lt;&gt;1),AND(Форма="ООО",C79="Вывод ИП"),AND(Форма="ИП",C79="Дивиденды"),AND(L79&lt;&gt;"Проведён",L79&lt;&gt;"Черновик")),"ОШИБКА","ОК"))</f>
        <v>ОК</v>
      </c>
      <c r="W79" s="25">
        <f>IF(A79="","",SUMIF(Accounts[Счёт],F79,Accounts[Начальный])+SUMIFS($Q$7:Q79,$F$7:F79,F79)+SUMIFS($E$7:E79,$G$7:G79,F79,$C$7:C79,"Перевод",$L$7:L79,"Проведён"))</f>
        <v>686868.31</v>
      </c>
    </row>
    <row r="80" spans="1:23" x14ac:dyDescent="0.25">
      <c r="A80" s="3" t="s">
        <v>621</v>
      </c>
      <c r="B80" s="19">
        <v>46126</v>
      </c>
      <c r="C80" s="3" t="s">
        <v>484</v>
      </c>
      <c r="D80" s="3" t="s">
        <v>485</v>
      </c>
      <c r="E80" s="24">
        <v>59400</v>
      </c>
      <c r="F80" s="3" t="s">
        <v>474</v>
      </c>
      <c r="G80" s="3"/>
      <c r="H80" s="3" t="s">
        <v>492</v>
      </c>
      <c r="I80" s="3" t="s">
        <v>382</v>
      </c>
      <c r="J80" s="3" t="s">
        <v>622</v>
      </c>
      <c r="K80" s="3" t="s">
        <v>484</v>
      </c>
      <c r="L80" s="3" t="s">
        <v>476</v>
      </c>
      <c r="M80" s="3"/>
      <c r="N80" s="24">
        <v>0</v>
      </c>
      <c r="O80" s="3"/>
      <c r="P80" s="5">
        <f>IF(A80="","",IF(COUNTIF(Типы,C80)=0,0,VLOOKUP(C80,СПРАВОЧНИКИ!$A$7:$E$22,2,FALSE)))</f>
        <v>1</v>
      </c>
      <c r="Q80" s="25">
        <f t="shared" si="1"/>
        <v>59400</v>
      </c>
      <c r="R80" s="5" t="str">
        <f>IF(A80="","",IF(COUNTIF(Типы,C80)=0,"НЕИЗВЕСТНЫЙ ТИП",VLOOKUP(C80,СПРАВОЧНИКИ!$A$7:$E$22,3,FALSE)))</f>
        <v>Операционный</v>
      </c>
      <c r="S80" s="26">
        <f>IF(A80="","",IF(L80="Проведён",E80*IF(COUNTIF(Типы,C80)=0,0,VLOOKUP(C80,СПРАВОЧНИКИ!$A$7:$E$22,4,FALSE)),0))</f>
        <v>59400</v>
      </c>
      <c r="T80" s="26">
        <f>IF(A80="","",IF(L80="Проведён",E80*IF(COUNTIF(Типы,C80)=0,0,VLOOKUP(C80,СПРАВОЧНИКИ!$A$7:$E$22,5,FALSE)),0))</f>
        <v>59400</v>
      </c>
      <c r="U80" s="5" t="str">
        <f>IF(A80="","",IF(COUNTIF(Контрагенты,H80)=0,"Не задан",VLOOKUP(H80,СПРАВОЧНИКИ!$G$7:$H$66,2,FALSE)))</f>
        <v>ИП</v>
      </c>
      <c r="V80" s="4" t="str">
        <f>IF(A80="",IF(COUNTA(B80:O80)&gt;0,"НЕТ ID",""),IF(OR(AND(OR(C80="Оплата клиента",C80="Возврат клиенту"),COUNTIFS(Docs[ID],J80,Docs[Тип долга],"ДЗ")&lt;&gt;1),AND(OR(C80="Оплата поставщику",C80="Возврат поставщика"),COUNTIFS(Docs[ID],J80,Docs[Тип долга],"КЗ",Docs[Вид],"&lt;&gt;Дивиденды")&lt;&gt;1),AND(C80="Дивиденды",COUNTIFS(Docs[ID],J80,Docs[Вид],"Дивиденды")&lt;&gt;1),AND(C80="Проценты",COUNTIFS(Docs[ID],J80,Docs[Вид],"Проценты")&lt;&gt;1),COUNTIF(Cash[ID],A80)&gt;1,NOT(ISNUMBER(B80)),B80&lt;НачалоУчета,YEAR(B80)&lt;&gt;Год,NOT(ISNUMBER(E80)),E80&lt;=0,N80&lt;0,COUNTIF(Типы,C80)&lt;&gt;1,COUNTIF(Категории,D80)&lt;&gt;1,COUNTIF(Счета,F80)&lt;&gt;1,COUNTIF(Проекты,I80)&lt;&gt;1,AND(H80&lt;&gt;"",COUNTIF(Контрагенты,H80)&lt;&gt;1),AND(C80="Перевод",OR(F80=G80,COUNTIF(Счета,G80)&lt;&gt;1)),AND(S80&lt;&gt;0,COUNTIF(Docs[ID],J80)&lt;&gt;1),AND(Форма="ООО",C80="Вывод ИП"),AND(Форма="ИП",C80="Дивиденды"),AND(L80&lt;&gt;"Проведён",L80&lt;&gt;"Черновик")),"ОШИБКА","ОК"))</f>
        <v>ОК</v>
      </c>
      <c r="W80" s="25">
        <f>IF(A80="","",SUMIF(Accounts[Счёт],F80,Accounts[Начальный])+SUMIFS($Q$7:Q80,$F$7:F80,F80)+SUMIFS($E$7:E80,$G$7:G80,F80,$C$7:C80,"Перевод",$L$7:L80,"Проведён"))</f>
        <v>746268.31</v>
      </c>
    </row>
    <row r="81" spans="1:23" x14ac:dyDescent="0.25">
      <c r="A81" s="3" t="s">
        <v>623</v>
      </c>
      <c r="B81" s="19">
        <v>46127</v>
      </c>
      <c r="C81" s="3" t="s">
        <v>484</v>
      </c>
      <c r="D81" s="3" t="s">
        <v>485</v>
      </c>
      <c r="E81" s="24">
        <v>46200</v>
      </c>
      <c r="F81" s="3" t="s">
        <v>474</v>
      </c>
      <c r="G81" s="3"/>
      <c r="H81" s="3" t="s">
        <v>495</v>
      </c>
      <c r="I81" s="3" t="s">
        <v>381</v>
      </c>
      <c r="J81" s="3" t="s">
        <v>624</v>
      </c>
      <c r="K81" s="3" t="s">
        <v>484</v>
      </c>
      <c r="L81" s="3" t="s">
        <v>476</v>
      </c>
      <c r="M81" s="3"/>
      <c r="N81" s="24">
        <v>0</v>
      </c>
      <c r="O81" s="3"/>
      <c r="P81" s="5">
        <f>IF(A81="","",IF(COUNTIF(Типы,C81)=0,0,VLOOKUP(C81,СПРАВОЧНИКИ!$A$7:$E$22,2,FALSE)))</f>
        <v>1</v>
      </c>
      <c r="Q81" s="25">
        <f t="shared" si="1"/>
        <v>46200</v>
      </c>
      <c r="R81" s="5" t="str">
        <f>IF(A81="","",IF(COUNTIF(Типы,C81)=0,"НЕИЗВЕСТНЫЙ ТИП",VLOOKUP(C81,СПРАВОЧНИКИ!$A$7:$E$22,3,FALSE)))</f>
        <v>Операционный</v>
      </c>
      <c r="S81" s="26">
        <f>IF(A81="","",IF(L81="Проведён",E81*IF(COUNTIF(Типы,C81)=0,0,VLOOKUP(C81,СПРАВОЧНИКИ!$A$7:$E$22,4,FALSE)),0))</f>
        <v>46200</v>
      </c>
      <c r="T81" s="26">
        <f>IF(A81="","",IF(L81="Проведён",E81*IF(COUNTIF(Типы,C81)=0,0,VLOOKUP(C81,СПРАВОЧНИКИ!$A$7:$E$22,5,FALSE)),0))</f>
        <v>46200</v>
      </c>
      <c r="U81" s="5" t="str">
        <f>IF(A81="","",IF(COUNTIF(Контрагенты,H81)=0,"Не задан",VLOOKUP(H81,СПРАВОЧНИКИ!$G$7:$H$66,2,FALSE)))</f>
        <v>ЮЛ</v>
      </c>
      <c r="V81" s="4" t="str">
        <f>IF(A81="",IF(COUNTA(B81:O81)&gt;0,"НЕТ ID",""),IF(OR(AND(OR(C81="Оплата клиента",C81="Возврат клиенту"),COUNTIFS(Docs[ID],J81,Docs[Тип долга],"ДЗ")&lt;&gt;1),AND(OR(C81="Оплата поставщику",C81="Возврат поставщика"),COUNTIFS(Docs[ID],J81,Docs[Тип долга],"КЗ",Docs[Вид],"&lt;&gt;Дивиденды")&lt;&gt;1),AND(C81="Дивиденды",COUNTIFS(Docs[ID],J81,Docs[Вид],"Дивиденды")&lt;&gt;1),AND(C81="Проценты",COUNTIFS(Docs[ID],J81,Docs[Вид],"Проценты")&lt;&gt;1),COUNTIF(Cash[ID],A81)&gt;1,NOT(ISNUMBER(B81)),B81&lt;НачалоУчета,YEAR(B81)&lt;&gt;Год,NOT(ISNUMBER(E81)),E81&lt;=0,N81&lt;0,COUNTIF(Типы,C81)&lt;&gt;1,COUNTIF(Категории,D81)&lt;&gt;1,COUNTIF(Счета,F81)&lt;&gt;1,COUNTIF(Проекты,I81)&lt;&gt;1,AND(H81&lt;&gt;"",COUNTIF(Контрагенты,H81)&lt;&gt;1),AND(C81="Перевод",OR(F81=G81,COUNTIF(Счета,G81)&lt;&gt;1)),AND(S81&lt;&gt;0,COUNTIF(Docs[ID],J81)&lt;&gt;1),AND(Форма="ООО",C81="Вывод ИП"),AND(Форма="ИП",C81="Дивиденды"),AND(L81&lt;&gt;"Проведён",L81&lt;&gt;"Черновик")),"ОШИБКА","ОК"))</f>
        <v>ОК</v>
      </c>
      <c r="W81" s="25">
        <f>IF(A81="","",SUMIF(Accounts[Счёт],F81,Accounts[Начальный])+SUMIFS($Q$7:Q81,$F$7:F81,F81)+SUMIFS($E$7:E81,$G$7:G81,F81,$C$7:C81,"Перевод",$L$7:L81,"Проведён"))</f>
        <v>792468.31</v>
      </c>
    </row>
    <row r="82" spans="1:23" x14ac:dyDescent="0.25">
      <c r="A82" s="3" t="s">
        <v>625</v>
      </c>
      <c r="B82" s="19">
        <v>46128</v>
      </c>
      <c r="C82" s="3" t="s">
        <v>484</v>
      </c>
      <c r="D82" s="3" t="s">
        <v>485</v>
      </c>
      <c r="E82" s="24">
        <v>33000</v>
      </c>
      <c r="F82" s="3" t="s">
        <v>474</v>
      </c>
      <c r="G82" s="3"/>
      <c r="H82" s="3" t="s">
        <v>498</v>
      </c>
      <c r="I82" s="3" t="s">
        <v>298</v>
      </c>
      <c r="J82" s="3" t="s">
        <v>626</v>
      </c>
      <c r="K82" s="3" t="s">
        <v>484</v>
      </c>
      <c r="L82" s="3" t="s">
        <v>476</v>
      </c>
      <c r="M82" s="3"/>
      <c r="N82" s="24">
        <v>0</v>
      </c>
      <c r="O82" s="3"/>
      <c r="P82" s="5">
        <f>IF(A82="","",IF(COUNTIF(Типы,C82)=0,0,VLOOKUP(C82,СПРАВОЧНИКИ!$A$7:$E$22,2,FALSE)))</f>
        <v>1</v>
      </c>
      <c r="Q82" s="25">
        <f t="shared" si="1"/>
        <v>33000</v>
      </c>
      <c r="R82" s="5" t="str">
        <f>IF(A82="","",IF(COUNTIF(Типы,C82)=0,"НЕИЗВЕСТНЫЙ ТИП",VLOOKUP(C82,СПРАВОЧНИКИ!$A$7:$E$22,3,FALSE)))</f>
        <v>Операционный</v>
      </c>
      <c r="S82" s="26">
        <f>IF(A82="","",IF(L82="Проведён",E82*IF(COUNTIF(Типы,C82)=0,0,VLOOKUP(C82,СПРАВОЧНИКИ!$A$7:$E$22,4,FALSE)),0))</f>
        <v>33000</v>
      </c>
      <c r="T82" s="26">
        <f>IF(A82="","",IF(L82="Проведён",E82*IF(COUNTIF(Типы,C82)=0,0,VLOOKUP(C82,СПРАВОЧНИКИ!$A$7:$E$22,5,FALSE)),0))</f>
        <v>33000</v>
      </c>
      <c r="U82" s="5" t="str">
        <f>IF(A82="","",IF(COUNTIF(Контрагенты,H82)=0,"Не задан",VLOOKUP(H82,СПРАВОЧНИКИ!$G$7:$H$66,2,FALSE)))</f>
        <v>ФЛ</v>
      </c>
      <c r="V82" s="4" t="str">
        <f>IF(A82="",IF(COUNTA(B82:O82)&gt;0,"НЕТ ID",""),IF(OR(AND(OR(C82="Оплата клиента",C82="Возврат клиенту"),COUNTIFS(Docs[ID],J82,Docs[Тип долга],"ДЗ")&lt;&gt;1),AND(OR(C82="Оплата поставщику",C82="Возврат поставщика"),COUNTIFS(Docs[ID],J82,Docs[Тип долга],"КЗ",Docs[Вид],"&lt;&gt;Дивиденды")&lt;&gt;1),AND(C82="Дивиденды",COUNTIFS(Docs[ID],J82,Docs[Вид],"Дивиденды")&lt;&gt;1),AND(C82="Проценты",COUNTIFS(Docs[ID],J82,Docs[Вид],"Проценты")&lt;&gt;1),COUNTIF(Cash[ID],A82)&gt;1,NOT(ISNUMBER(B82)),B82&lt;НачалоУчета,YEAR(B82)&lt;&gt;Год,NOT(ISNUMBER(E82)),E82&lt;=0,N82&lt;0,COUNTIF(Типы,C82)&lt;&gt;1,COUNTIF(Категории,D82)&lt;&gt;1,COUNTIF(Счета,F82)&lt;&gt;1,COUNTIF(Проекты,I82)&lt;&gt;1,AND(H82&lt;&gt;"",COUNTIF(Контрагенты,H82)&lt;&gt;1),AND(C82="Перевод",OR(F82=G82,COUNTIF(Счета,G82)&lt;&gt;1)),AND(S82&lt;&gt;0,COUNTIF(Docs[ID],J82)&lt;&gt;1),AND(Форма="ООО",C82="Вывод ИП"),AND(Форма="ИП",C82="Дивиденды"),AND(L82&lt;&gt;"Проведён",L82&lt;&gt;"Черновик")),"ОШИБКА","ОК"))</f>
        <v>ОК</v>
      </c>
      <c r="W82" s="25">
        <f>IF(A82="","",SUMIF(Accounts[Счёт],F82,Accounts[Начальный])+SUMIFS($Q$7:Q82,$F$7:F82,F82)+SUMIFS($E$7:E82,$G$7:G82,F82,$C$7:C82,"Перевод",$L$7:L82,"Проведён"))</f>
        <v>825468.31</v>
      </c>
    </row>
    <row r="83" spans="1:23" x14ac:dyDescent="0.25">
      <c r="A83" s="3" t="s">
        <v>627</v>
      </c>
      <c r="B83" s="19">
        <v>46129</v>
      </c>
      <c r="C83" s="3" t="s">
        <v>484</v>
      </c>
      <c r="D83" s="3" t="s">
        <v>485</v>
      </c>
      <c r="E83" s="24">
        <v>26400</v>
      </c>
      <c r="F83" s="3" t="s">
        <v>474</v>
      </c>
      <c r="G83" s="3"/>
      <c r="H83" s="3" t="s">
        <v>501</v>
      </c>
      <c r="I83" s="3" t="s">
        <v>382</v>
      </c>
      <c r="J83" s="3" t="s">
        <v>628</v>
      </c>
      <c r="K83" s="3" t="s">
        <v>484</v>
      </c>
      <c r="L83" s="3" t="s">
        <v>476</v>
      </c>
      <c r="M83" s="3"/>
      <c r="N83" s="24">
        <v>0</v>
      </c>
      <c r="O83" s="3"/>
      <c r="P83" s="5">
        <f>IF(A83="","",IF(COUNTIF(Типы,C83)=0,0,VLOOKUP(C83,СПРАВОЧНИКИ!$A$7:$E$22,2,FALSE)))</f>
        <v>1</v>
      </c>
      <c r="Q83" s="25">
        <f t="shared" si="1"/>
        <v>26400</v>
      </c>
      <c r="R83" s="5" t="str">
        <f>IF(A83="","",IF(COUNTIF(Типы,C83)=0,"НЕИЗВЕСТНЫЙ ТИП",VLOOKUP(C83,СПРАВОЧНИКИ!$A$7:$E$22,3,FALSE)))</f>
        <v>Операционный</v>
      </c>
      <c r="S83" s="26">
        <f>IF(A83="","",IF(L83="Проведён",E83*IF(COUNTIF(Типы,C83)=0,0,VLOOKUP(C83,СПРАВОЧНИКИ!$A$7:$E$22,4,FALSE)),0))</f>
        <v>26400</v>
      </c>
      <c r="T83" s="26">
        <f>IF(A83="","",IF(L83="Проведён",E83*IF(COUNTIF(Типы,C83)=0,0,VLOOKUP(C83,СПРАВОЧНИКИ!$A$7:$E$22,5,FALSE)),0))</f>
        <v>26400</v>
      </c>
      <c r="U83" s="5" t="str">
        <f>IF(A83="","",IF(COUNTIF(Контрагенты,H83)=0,"Не задан",VLOOKUP(H83,СПРАВОЧНИКИ!$G$7:$H$66,2,FALSE)))</f>
        <v>ЮЛ</v>
      </c>
      <c r="V83" s="4" t="str">
        <f>IF(A83="",IF(COUNTA(B83:O83)&gt;0,"НЕТ ID",""),IF(OR(AND(OR(C83="Оплата клиента",C83="Возврат клиенту"),COUNTIFS(Docs[ID],J83,Docs[Тип долга],"ДЗ")&lt;&gt;1),AND(OR(C83="Оплата поставщику",C83="Возврат поставщика"),COUNTIFS(Docs[ID],J83,Docs[Тип долга],"КЗ",Docs[Вид],"&lt;&gt;Дивиденды")&lt;&gt;1),AND(C83="Дивиденды",COUNTIFS(Docs[ID],J83,Docs[Вид],"Дивиденды")&lt;&gt;1),AND(C83="Проценты",COUNTIFS(Docs[ID],J83,Docs[Вид],"Проценты")&lt;&gt;1),COUNTIF(Cash[ID],A83)&gt;1,NOT(ISNUMBER(B83)),B83&lt;НачалоУчета,YEAR(B83)&lt;&gt;Год,NOT(ISNUMBER(E83)),E83&lt;=0,N83&lt;0,COUNTIF(Типы,C83)&lt;&gt;1,COUNTIF(Категории,D83)&lt;&gt;1,COUNTIF(Счета,F83)&lt;&gt;1,COUNTIF(Проекты,I83)&lt;&gt;1,AND(H83&lt;&gt;"",COUNTIF(Контрагенты,H83)&lt;&gt;1),AND(C83="Перевод",OR(F83=G83,COUNTIF(Счета,G83)&lt;&gt;1)),AND(S83&lt;&gt;0,COUNTIF(Docs[ID],J83)&lt;&gt;1),AND(Форма="ООО",C83="Вывод ИП"),AND(Форма="ИП",C83="Дивиденды"),AND(L83&lt;&gt;"Проведён",L83&lt;&gt;"Черновик")),"ОШИБКА","ОК"))</f>
        <v>ОК</v>
      </c>
      <c r="W83" s="25">
        <f>IF(A83="","",SUMIF(Accounts[Счёт],F83,Accounts[Начальный])+SUMIFS($Q$7:Q83,$F$7:F83,F83)+SUMIFS($E$7:E83,$G$7:G83,F83,$C$7:C83,"Перевод",$L$7:L83,"Проведён"))</f>
        <v>851868.31</v>
      </c>
    </row>
    <row r="84" spans="1:23" x14ac:dyDescent="0.25">
      <c r="A84" s="3" t="s">
        <v>629</v>
      </c>
      <c r="B84" s="19">
        <v>46134</v>
      </c>
      <c r="C84" s="3" t="s">
        <v>504</v>
      </c>
      <c r="D84" s="3" t="s">
        <v>505</v>
      </c>
      <c r="E84" s="24">
        <v>176000</v>
      </c>
      <c r="F84" s="3" t="s">
        <v>474</v>
      </c>
      <c r="G84" s="3"/>
      <c r="H84" s="3" t="s">
        <v>506</v>
      </c>
      <c r="I84" s="3" t="s">
        <v>298</v>
      </c>
      <c r="J84" s="3" t="s">
        <v>630</v>
      </c>
      <c r="K84" s="3" t="s">
        <v>504</v>
      </c>
      <c r="L84" s="3" t="s">
        <v>476</v>
      </c>
      <c r="M84" s="3"/>
      <c r="N84" s="24">
        <v>176000</v>
      </c>
      <c r="O84" s="3"/>
      <c r="P84" s="5">
        <f>IF(A84="","",IF(COUNTIF(Типы,C84)=0,0,VLOOKUP(C84,СПРАВОЧНИКИ!$A$7:$E$22,2,FALSE)))</f>
        <v>-1</v>
      </c>
      <c r="Q84" s="25">
        <f t="shared" si="1"/>
        <v>-176000</v>
      </c>
      <c r="R84" s="5" t="str">
        <f>IF(A84="","",IF(COUNTIF(Типы,C84)=0,"НЕИЗВЕСТНЫЙ ТИП",VLOOKUP(C84,СПРАВОЧНИКИ!$A$7:$E$22,3,FALSE)))</f>
        <v>Операционный</v>
      </c>
      <c r="S84" s="26">
        <f>IF(A84="","",IF(L84="Проведён",E84*IF(COUNTIF(Типы,C84)=0,0,VLOOKUP(C84,СПРАВОЧНИКИ!$A$7:$E$22,4,FALSE)),0))</f>
        <v>176000</v>
      </c>
      <c r="T84" s="26">
        <f>IF(A84="","",IF(L84="Проведён",E84*IF(COUNTIF(Типы,C84)=0,0,VLOOKUP(C84,СПРАВОЧНИКИ!$A$7:$E$22,5,FALSE)),0))</f>
        <v>0</v>
      </c>
      <c r="U84" s="5" t="str">
        <f>IF(A84="","",IF(COUNTIF(Контрагенты,H84)=0,"Не задан",VLOOKUP(H84,СПРАВОЧНИКИ!$G$7:$H$66,2,FALSE)))</f>
        <v>ИП</v>
      </c>
      <c r="V84" s="4" t="str">
        <f>IF(A84="",IF(COUNTA(B84:O84)&gt;0,"НЕТ ID",""),IF(OR(AND(OR(C84="Оплата клиента",C84="Возврат клиенту"),COUNTIFS(Docs[ID],J84,Docs[Тип долга],"ДЗ")&lt;&gt;1),AND(OR(C84="Оплата поставщику",C84="Возврат поставщика"),COUNTIFS(Docs[ID],J84,Docs[Тип долга],"КЗ",Docs[Вид],"&lt;&gt;Дивиденды")&lt;&gt;1),AND(C84="Дивиденды",COUNTIFS(Docs[ID],J84,Docs[Вид],"Дивиденды")&lt;&gt;1),AND(C84="Проценты",COUNTIFS(Docs[ID],J84,Docs[Вид],"Проценты")&lt;&gt;1),COUNTIF(Cash[ID],A84)&gt;1,NOT(ISNUMBER(B84)),B84&lt;НачалоУчета,YEAR(B84)&lt;&gt;Год,NOT(ISNUMBER(E84)),E84&lt;=0,N84&lt;0,COUNTIF(Типы,C84)&lt;&gt;1,COUNTIF(Категории,D84)&lt;&gt;1,COUNTIF(Счета,F84)&lt;&gt;1,COUNTIF(Проекты,I84)&lt;&gt;1,AND(H84&lt;&gt;"",COUNTIF(Контрагенты,H84)&lt;&gt;1),AND(C84="Перевод",OR(F84=G84,COUNTIF(Счета,G84)&lt;&gt;1)),AND(S84&lt;&gt;0,COUNTIF(Docs[ID],J84)&lt;&gt;1),AND(Форма="ООО",C84="Вывод ИП"),AND(Форма="ИП",C84="Дивиденды"),AND(L84&lt;&gt;"Проведён",L84&lt;&gt;"Черновик")),"ОШИБКА","ОК"))</f>
        <v>ОК</v>
      </c>
      <c r="W84" s="25">
        <f>IF(A84="","",SUMIF(Accounts[Счёт],F84,Accounts[Начальный])+SUMIFS($Q$7:Q84,$F$7:F84,F84)+SUMIFS($E$7:E84,$G$7:G84,F84,$C$7:C84,"Перевод",$L$7:L84,"Проведён"))</f>
        <v>675868.31</v>
      </c>
    </row>
    <row r="85" spans="1:23" x14ac:dyDescent="0.25">
      <c r="A85" s="3" t="s">
        <v>631</v>
      </c>
      <c r="B85" s="19">
        <v>46135</v>
      </c>
      <c r="C85" s="3" t="s">
        <v>504</v>
      </c>
      <c r="D85" s="3" t="s">
        <v>509</v>
      </c>
      <c r="E85" s="24">
        <v>65000</v>
      </c>
      <c r="F85" s="3" t="s">
        <v>474</v>
      </c>
      <c r="G85" s="3"/>
      <c r="H85" s="3" t="s">
        <v>510</v>
      </c>
      <c r="I85" s="3" t="s">
        <v>383</v>
      </c>
      <c r="J85" s="3" t="s">
        <v>632</v>
      </c>
      <c r="K85" s="3" t="s">
        <v>504</v>
      </c>
      <c r="L85" s="3" t="s">
        <v>476</v>
      </c>
      <c r="M85" s="3"/>
      <c r="N85" s="24">
        <v>65000</v>
      </c>
      <c r="O85" s="3"/>
      <c r="P85" s="5">
        <f>IF(A85="","",IF(COUNTIF(Типы,C85)=0,0,VLOOKUP(C85,СПРАВОЧНИКИ!$A$7:$E$22,2,FALSE)))</f>
        <v>-1</v>
      </c>
      <c r="Q85" s="25">
        <f t="shared" si="1"/>
        <v>-65000</v>
      </c>
      <c r="R85" s="5" t="str">
        <f>IF(A85="","",IF(COUNTIF(Типы,C85)=0,"НЕИЗВЕСТНЫЙ ТИП",VLOOKUP(C85,СПРАВОЧНИКИ!$A$7:$E$22,3,FALSE)))</f>
        <v>Операционный</v>
      </c>
      <c r="S85" s="26">
        <f>IF(A85="","",IF(L85="Проведён",E85*IF(COUNTIF(Типы,C85)=0,0,VLOOKUP(C85,СПРАВОЧНИКИ!$A$7:$E$22,4,FALSE)),0))</f>
        <v>65000</v>
      </c>
      <c r="T85" s="26">
        <f>IF(A85="","",IF(L85="Проведён",E85*IF(COUNTIF(Типы,C85)=0,0,VLOOKUP(C85,СПРАВОЧНИКИ!$A$7:$E$22,5,FALSE)),0))</f>
        <v>0</v>
      </c>
      <c r="U85" s="5" t="str">
        <f>IF(A85="","",IF(COUNTIF(Контрагенты,H85)=0,"Не задан",VLOOKUP(H85,СПРАВОЧНИКИ!$G$7:$H$66,2,FALSE)))</f>
        <v>ЮЛ</v>
      </c>
      <c r="V85" s="4" t="str">
        <f>IF(A85="",IF(COUNTA(B85:O85)&gt;0,"НЕТ ID",""),IF(OR(AND(OR(C85="Оплата клиента",C85="Возврат клиенту"),COUNTIFS(Docs[ID],J85,Docs[Тип долга],"ДЗ")&lt;&gt;1),AND(OR(C85="Оплата поставщику",C85="Возврат поставщика"),COUNTIFS(Docs[ID],J85,Docs[Тип долга],"КЗ",Docs[Вид],"&lt;&gt;Дивиденды")&lt;&gt;1),AND(C85="Дивиденды",COUNTIFS(Docs[ID],J85,Docs[Вид],"Дивиденды")&lt;&gt;1),AND(C85="Проценты",COUNTIFS(Docs[ID],J85,Docs[Вид],"Проценты")&lt;&gt;1),COUNTIF(Cash[ID],A85)&gt;1,NOT(ISNUMBER(B85)),B85&lt;НачалоУчета,YEAR(B85)&lt;&gt;Год,NOT(ISNUMBER(E85)),E85&lt;=0,N85&lt;0,COUNTIF(Типы,C85)&lt;&gt;1,COUNTIF(Категории,D85)&lt;&gt;1,COUNTIF(Счета,F85)&lt;&gt;1,COUNTIF(Проекты,I85)&lt;&gt;1,AND(H85&lt;&gt;"",COUNTIF(Контрагенты,H85)&lt;&gt;1),AND(C85="Перевод",OR(F85=G85,COUNTIF(Счета,G85)&lt;&gt;1)),AND(S85&lt;&gt;0,COUNTIF(Docs[ID],J85)&lt;&gt;1),AND(Форма="ООО",C85="Вывод ИП"),AND(Форма="ИП",C85="Дивиденды"),AND(L85&lt;&gt;"Проведён",L85&lt;&gt;"Черновик")),"ОШИБКА","ОК"))</f>
        <v>ОК</v>
      </c>
      <c r="W85" s="25">
        <f>IF(A85="","",SUMIF(Accounts[Счёт],F85,Accounts[Начальный])+SUMIFS($Q$7:Q85,$F$7:F85,F85)+SUMIFS($E$7:E85,$G$7:G85,F85,$C$7:C85,"Перевод",$L$7:L85,"Проведён"))</f>
        <v>610868.31000000006</v>
      </c>
    </row>
    <row r="86" spans="1:23" x14ac:dyDescent="0.25">
      <c r="A86" s="3" t="s">
        <v>633</v>
      </c>
      <c r="B86" s="19">
        <v>46136</v>
      </c>
      <c r="C86" s="3" t="s">
        <v>484</v>
      </c>
      <c r="D86" s="3" t="s">
        <v>485</v>
      </c>
      <c r="E86" s="24">
        <v>61600</v>
      </c>
      <c r="F86" s="3" t="s">
        <v>474</v>
      </c>
      <c r="G86" s="3"/>
      <c r="H86" s="3" t="s">
        <v>486</v>
      </c>
      <c r="I86" s="3" t="s">
        <v>381</v>
      </c>
      <c r="J86" s="3" t="s">
        <v>618</v>
      </c>
      <c r="K86" s="3" t="s">
        <v>484</v>
      </c>
      <c r="L86" s="3" t="s">
        <v>476</v>
      </c>
      <c r="M86" s="3"/>
      <c r="N86" s="24">
        <v>0</v>
      </c>
      <c r="O86" s="3"/>
      <c r="P86" s="5">
        <f>IF(A86="","",IF(COUNTIF(Типы,C86)=0,0,VLOOKUP(C86,СПРАВОЧНИКИ!$A$7:$E$22,2,FALSE)))</f>
        <v>1</v>
      </c>
      <c r="Q86" s="25">
        <f t="shared" si="1"/>
        <v>61600</v>
      </c>
      <c r="R86" s="5" t="str">
        <f>IF(A86="","",IF(COUNTIF(Типы,C86)=0,"НЕИЗВЕСТНЫЙ ТИП",VLOOKUP(C86,СПРАВОЧНИКИ!$A$7:$E$22,3,FALSE)))</f>
        <v>Операционный</v>
      </c>
      <c r="S86" s="26">
        <f>IF(A86="","",IF(L86="Проведён",E86*IF(COUNTIF(Типы,C86)=0,0,VLOOKUP(C86,СПРАВОЧНИКИ!$A$7:$E$22,4,FALSE)),0))</f>
        <v>61600</v>
      </c>
      <c r="T86" s="26">
        <f>IF(A86="","",IF(L86="Проведён",E86*IF(COUNTIF(Типы,C86)=0,0,VLOOKUP(C86,СПРАВОЧНИКИ!$A$7:$E$22,5,FALSE)),0))</f>
        <v>61600</v>
      </c>
      <c r="U86" s="5" t="str">
        <f>IF(A86="","",IF(COUNTIF(Контрагенты,H86)=0,"Не задан",VLOOKUP(H86,СПРАВОЧНИКИ!$G$7:$H$66,2,FALSE)))</f>
        <v>ЮЛ</v>
      </c>
      <c r="V86" s="4" t="str">
        <f>IF(A86="",IF(COUNTA(B86:O86)&gt;0,"НЕТ ID",""),IF(OR(AND(OR(C86="Оплата клиента",C86="Возврат клиенту"),COUNTIFS(Docs[ID],J86,Docs[Тип долга],"ДЗ")&lt;&gt;1),AND(OR(C86="Оплата поставщику",C86="Возврат поставщика"),COUNTIFS(Docs[ID],J86,Docs[Тип долга],"КЗ",Docs[Вид],"&lt;&gt;Дивиденды")&lt;&gt;1),AND(C86="Дивиденды",COUNTIFS(Docs[ID],J86,Docs[Вид],"Дивиденды")&lt;&gt;1),AND(C86="Проценты",COUNTIFS(Docs[ID],J86,Docs[Вид],"Проценты")&lt;&gt;1),COUNTIF(Cash[ID],A86)&gt;1,NOT(ISNUMBER(B86)),B86&lt;НачалоУчета,YEAR(B86)&lt;&gt;Год,NOT(ISNUMBER(E86)),E86&lt;=0,N86&lt;0,COUNTIF(Типы,C86)&lt;&gt;1,COUNTIF(Категории,D86)&lt;&gt;1,COUNTIF(Счета,F86)&lt;&gt;1,COUNTIF(Проекты,I86)&lt;&gt;1,AND(H86&lt;&gt;"",COUNTIF(Контрагенты,H86)&lt;&gt;1),AND(C86="Перевод",OR(F86=G86,COUNTIF(Счета,G86)&lt;&gt;1)),AND(S86&lt;&gt;0,COUNTIF(Docs[ID],J86)&lt;&gt;1),AND(Форма="ООО",C86="Вывод ИП"),AND(Форма="ИП",C86="Дивиденды"),AND(L86&lt;&gt;"Проведён",L86&lt;&gt;"Черновик")),"ОШИБКА","ОК"))</f>
        <v>ОК</v>
      </c>
      <c r="W86" s="25">
        <f>IF(A86="","",SUMIF(Accounts[Счёт],F86,Accounts[Начальный])+SUMIFS($Q$7:Q86,$F$7:F86,F86)+SUMIFS($E$7:E86,$G$7:G86,F86,$C$7:C86,"Перевод",$L$7:L86,"Проведён"))</f>
        <v>672468.31</v>
      </c>
    </row>
    <row r="87" spans="1:23" x14ac:dyDescent="0.25">
      <c r="A87" s="3" t="s">
        <v>634</v>
      </c>
      <c r="B87" s="19">
        <v>46136</v>
      </c>
      <c r="C87" s="3" t="s">
        <v>504</v>
      </c>
      <c r="D87" s="3" t="s">
        <v>295</v>
      </c>
      <c r="E87" s="24">
        <v>45000</v>
      </c>
      <c r="F87" s="3" t="s">
        <v>474</v>
      </c>
      <c r="G87" s="3"/>
      <c r="H87" s="3" t="s">
        <v>514</v>
      </c>
      <c r="I87" s="3" t="s">
        <v>381</v>
      </c>
      <c r="J87" s="3" t="s">
        <v>635</v>
      </c>
      <c r="K87" s="3" t="s">
        <v>504</v>
      </c>
      <c r="L87" s="3" t="s">
        <v>476</v>
      </c>
      <c r="M87" s="3"/>
      <c r="N87" s="24">
        <v>45000</v>
      </c>
      <c r="O87" s="3" t="s">
        <v>295</v>
      </c>
      <c r="P87" s="5">
        <f>IF(A87="","",IF(COUNTIF(Типы,C87)=0,0,VLOOKUP(C87,СПРАВОЧНИКИ!$A$7:$E$22,2,FALSE)))</f>
        <v>-1</v>
      </c>
      <c r="Q87" s="25">
        <f t="shared" si="1"/>
        <v>-45000</v>
      </c>
      <c r="R87" s="5" t="str">
        <f>IF(A87="","",IF(COUNTIF(Типы,C87)=0,"НЕИЗВЕСТНЫЙ ТИП",VLOOKUP(C87,СПРАВОЧНИКИ!$A$7:$E$22,3,FALSE)))</f>
        <v>Операционный</v>
      </c>
      <c r="S87" s="26">
        <f>IF(A87="","",IF(L87="Проведён",E87*IF(COUNTIF(Типы,C87)=0,0,VLOOKUP(C87,СПРАВОЧНИКИ!$A$7:$E$22,4,FALSE)),0))</f>
        <v>45000</v>
      </c>
      <c r="T87" s="26">
        <f>IF(A87="","",IF(L87="Проведён",E87*IF(COUNTIF(Типы,C87)=0,0,VLOOKUP(C87,СПРАВОЧНИКИ!$A$7:$E$22,5,FALSE)),0))</f>
        <v>0</v>
      </c>
      <c r="U87" s="5" t="str">
        <f>IF(A87="","",IF(COUNTIF(Контрагенты,H87)=0,"Не задан",VLOOKUP(H87,СПРАВОЧНИКИ!$G$7:$H$66,2,FALSE)))</f>
        <v>ЮЛ</v>
      </c>
      <c r="V87" s="4" t="str">
        <f>IF(A87="",IF(COUNTA(B87:O87)&gt;0,"НЕТ ID",""),IF(OR(AND(OR(C87="Оплата клиента",C87="Возврат клиенту"),COUNTIFS(Docs[ID],J87,Docs[Тип долга],"ДЗ")&lt;&gt;1),AND(OR(C87="Оплата поставщику",C87="Возврат поставщика"),COUNTIFS(Docs[ID],J87,Docs[Тип долга],"КЗ",Docs[Вид],"&lt;&gt;Дивиденды")&lt;&gt;1),AND(C87="Дивиденды",COUNTIFS(Docs[ID],J87,Docs[Вид],"Дивиденды")&lt;&gt;1),AND(C87="Проценты",COUNTIFS(Docs[ID],J87,Docs[Вид],"Проценты")&lt;&gt;1),COUNTIF(Cash[ID],A87)&gt;1,NOT(ISNUMBER(B87)),B87&lt;НачалоУчета,YEAR(B87)&lt;&gt;Год,NOT(ISNUMBER(E87)),E87&lt;=0,N87&lt;0,COUNTIF(Типы,C87)&lt;&gt;1,COUNTIF(Категории,D87)&lt;&gt;1,COUNTIF(Счета,F87)&lt;&gt;1,COUNTIF(Проекты,I87)&lt;&gt;1,AND(H87&lt;&gt;"",COUNTIF(Контрагенты,H87)&lt;&gt;1),AND(C87="Перевод",OR(F87=G87,COUNTIF(Счета,G87)&lt;&gt;1)),AND(S87&lt;&gt;0,COUNTIF(Docs[ID],J87)&lt;&gt;1),AND(Форма="ООО",C87="Вывод ИП"),AND(Форма="ИП",C87="Дивиденды"),AND(L87&lt;&gt;"Проведён",L87&lt;&gt;"Черновик")),"ОШИБКА","ОК"))</f>
        <v>ОК</v>
      </c>
      <c r="W87" s="25">
        <f>IF(A87="","",SUMIF(Accounts[Счёт],F87,Accounts[Начальный])+SUMIFS($Q$7:Q87,$F$7:F87,F87)+SUMIFS($E$7:E87,$G$7:G87,F87,$C$7:C87,"Перевод",$L$7:L87,"Проведён"))</f>
        <v>627468.31000000006</v>
      </c>
    </row>
    <row r="88" spans="1:23" x14ac:dyDescent="0.25">
      <c r="A88" s="3" t="s">
        <v>636</v>
      </c>
      <c r="B88" s="19">
        <v>46137</v>
      </c>
      <c r="C88" s="3" t="s">
        <v>484</v>
      </c>
      <c r="D88" s="3" t="s">
        <v>485</v>
      </c>
      <c r="E88" s="24">
        <v>48400</v>
      </c>
      <c r="F88" s="3" t="s">
        <v>474</v>
      </c>
      <c r="G88" s="3"/>
      <c r="H88" s="3" t="s">
        <v>489</v>
      </c>
      <c r="I88" s="3" t="s">
        <v>298</v>
      </c>
      <c r="J88" s="3" t="s">
        <v>620</v>
      </c>
      <c r="K88" s="3" t="s">
        <v>484</v>
      </c>
      <c r="L88" s="3" t="s">
        <v>476</v>
      </c>
      <c r="M88" s="3"/>
      <c r="N88" s="24">
        <v>0</v>
      </c>
      <c r="O88" s="3"/>
      <c r="P88" s="5">
        <f>IF(A88="","",IF(COUNTIF(Типы,C88)=0,0,VLOOKUP(C88,СПРАВОЧНИКИ!$A$7:$E$22,2,FALSE)))</f>
        <v>1</v>
      </c>
      <c r="Q88" s="25">
        <f t="shared" si="1"/>
        <v>48400</v>
      </c>
      <c r="R88" s="5" t="str">
        <f>IF(A88="","",IF(COUNTIF(Типы,C88)=0,"НЕИЗВЕСТНЫЙ ТИП",VLOOKUP(C88,СПРАВОЧНИКИ!$A$7:$E$22,3,FALSE)))</f>
        <v>Операционный</v>
      </c>
      <c r="S88" s="26">
        <f>IF(A88="","",IF(L88="Проведён",E88*IF(COUNTIF(Типы,C88)=0,0,VLOOKUP(C88,СПРАВОЧНИКИ!$A$7:$E$22,4,FALSE)),0))</f>
        <v>48400</v>
      </c>
      <c r="T88" s="26">
        <f>IF(A88="","",IF(L88="Проведён",E88*IF(COUNTIF(Типы,C88)=0,0,VLOOKUP(C88,СПРАВОЧНИКИ!$A$7:$E$22,5,FALSE)),0))</f>
        <v>48400</v>
      </c>
      <c r="U88" s="5" t="str">
        <f>IF(A88="","",IF(COUNTIF(Контрагенты,H88)=0,"Не задан",VLOOKUP(H88,СПРАВОЧНИКИ!$G$7:$H$66,2,FALSE)))</f>
        <v>ЮЛ</v>
      </c>
      <c r="V88" s="4" t="str">
        <f>IF(A88="",IF(COUNTA(B88:O88)&gt;0,"НЕТ ID",""),IF(OR(AND(OR(C88="Оплата клиента",C88="Возврат клиенту"),COUNTIFS(Docs[ID],J88,Docs[Тип долга],"ДЗ")&lt;&gt;1),AND(OR(C88="Оплата поставщику",C88="Возврат поставщика"),COUNTIFS(Docs[ID],J88,Docs[Тип долга],"КЗ",Docs[Вид],"&lt;&gt;Дивиденды")&lt;&gt;1),AND(C88="Дивиденды",COUNTIFS(Docs[ID],J88,Docs[Вид],"Дивиденды")&lt;&gt;1),AND(C88="Проценты",COUNTIFS(Docs[ID],J88,Docs[Вид],"Проценты")&lt;&gt;1),COUNTIF(Cash[ID],A88)&gt;1,NOT(ISNUMBER(B88)),B88&lt;НачалоУчета,YEAR(B88)&lt;&gt;Год,NOT(ISNUMBER(E88)),E88&lt;=0,N88&lt;0,COUNTIF(Типы,C88)&lt;&gt;1,COUNTIF(Категории,D88)&lt;&gt;1,COUNTIF(Счета,F88)&lt;&gt;1,COUNTIF(Проекты,I88)&lt;&gt;1,AND(H88&lt;&gt;"",COUNTIF(Контрагенты,H88)&lt;&gt;1),AND(C88="Перевод",OR(F88=G88,COUNTIF(Счета,G88)&lt;&gt;1)),AND(S88&lt;&gt;0,COUNTIF(Docs[ID],J88)&lt;&gt;1),AND(Форма="ООО",C88="Вывод ИП"),AND(Форма="ИП",C88="Дивиденды"),AND(L88&lt;&gt;"Проведён",L88&lt;&gt;"Черновик")),"ОШИБКА","ОК"))</f>
        <v>ОК</v>
      </c>
      <c r="W88" s="25">
        <f>IF(A88="","",SUMIF(Accounts[Счёт],F88,Accounts[Начальный])+SUMIFS($Q$7:Q88,$F$7:F88,F88)+SUMIFS($E$7:E88,$G$7:G88,F88,$C$7:C88,"Перевод",$L$7:L88,"Проведён"))</f>
        <v>675868.31</v>
      </c>
    </row>
    <row r="89" spans="1:23" x14ac:dyDescent="0.25">
      <c r="A89" s="3" t="s">
        <v>637</v>
      </c>
      <c r="B89" s="19">
        <v>46137</v>
      </c>
      <c r="C89" s="3" t="s">
        <v>504</v>
      </c>
      <c r="D89" s="3" t="s">
        <v>518</v>
      </c>
      <c r="E89" s="24">
        <v>18000</v>
      </c>
      <c r="F89" s="3" t="s">
        <v>474</v>
      </c>
      <c r="G89" s="3"/>
      <c r="H89" s="3" t="s">
        <v>519</v>
      </c>
      <c r="I89" s="3" t="s">
        <v>383</v>
      </c>
      <c r="J89" s="3" t="s">
        <v>638</v>
      </c>
      <c r="K89" s="3" t="s">
        <v>504</v>
      </c>
      <c r="L89" s="3" t="s">
        <v>476</v>
      </c>
      <c r="M89" s="3"/>
      <c r="N89" s="24">
        <v>18000</v>
      </c>
      <c r="O89" s="3"/>
      <c r="P89" s="5">
        <f>IF(A89="","",IF(COUNTIF(Типы,C89)=0,0,VLOOKUP(C89,СПРАВОЧНИКИ!$A$7:$E$22,2,FALSE)))</f>
        <v>-1</v>
      </c>
      <c r="Q89" s="25">
        <f t="shared" si="1"/>
        <v>-18000</v>
      </c>
      <c r="R89" s="5" t="str">
        <f>IF(A89="","",IF(COUNTIF(Типы,C89)=0,"НЕИЗВЕСТНЫЙ ТИП",VLOOKUP(C89,СПРАВОЧНИКИ!$A$7:$E$22,3,FALSE)))</f>
        <v>Операционный</v>
      </c>
      <c r="S89" s="26">
        <f>IF(A89="","",IF(L89="Проведён",E89*IF(COUNTIF(Типы,C89)=0,0,VLOOKUP(C89,СПРАВОЧНИКИ!$A$7:$E$22,4,FALSE)),0))</f>
        <v>18000</v>
      </c>
      <c r="T89" s="26">
        <f>IF(A89="","",IF(L89="Проведён",E89*IF(COUNTIF(Типы,C89)=0,0,VLOOKUP(C89,СПРАВОЧНИКИ!$A$7:$E$22,5,FALSE)),0))</f>
        <v>0</v>
      </c>
      <c r="U89" s="5" t="str">
        <f>IF(A89="","",IF(COUNTIF(Контрагенты,H89)=0,"Не задан",VLOOKUP(H89,СПРАВОЧНИКИ!$G$7:$H$66,2,FALSE)))</f>
        <v>ЮЛ</v>
      </c>
      <c r="V89" s="4" t="str">
        <f>IF(A89="",IF(COUNTA(B89:O89)&gt;0,"НЕТ ID",""),IF(OR(AND(OR(C89="Оплата клиента",C89="Возврат клиенту"),COUNTIFS(Docs[ID],J89,Docs[Тип долга],"ДЗ")&lt;&gt;1),AND(OR(C89="Оплата поставщику",C89="Возврат поставщика"),COUNTIFS(Docs[ID],J89,Docs[Тип долга],"КЗ",Docs[Вид],"&lt;&gt;Дивиденды")&lt;&gt;1),AND(C89="Дивиденды",COUNTIFS(Docs[ID],J89,Docs[Вид],"Дивиденды")&lt;&gt;1),AND(C89="Проценты",COUNTIFS(Docs[ID],J89,Docs[Вид],"Проценты")&lt;&gt;1),COUNTIF(Cash[ID],A89)&gt;1,NOT(ISNUMBER(B89)),B89&lt;НачалоУчета,YEAR(B89)&lt;&gt;Год,NOT(ISNUMBER(E89)),E89&lt;=0,N89&lt;0,COUNTIF(Типы,C89)&lt;&gt;1,COUNTIF(Категории,D89)&lt;&gt;1,COUNTIF(Счета,F89)&lt;&gt;1,COUNTIF(Проекты,I89)&lt;&gt;1,AND(H89&lt;&gt;"",COUNTIF(Контрагенты,H89)&lt;&gt;1),AND(C89="Перевод",OR(F89=G89,COUNTIF(Счета,G89)&lt;&gt;1)),AND(S89&lt;&gt;0,COUNTIF(Docs[ID],J89)&lt;&gt;1),AND(Форма="ООО",C89="Вывод ИП"),AND(Форма="ИП",C89="Дивиденды"),AND(L89&lt;&gt;"Проведён",L89&lt;&gt;"Черновик")),"ОШИБКА","ОК"))</f>
        <v>ОК</v>
      </c>
      <c r="W89" s="25">
        <f>IF(A89="","",SUMIF(Accounts[Счёт],F89,Accounts[Начальный])+SUMIFS($Q$7:Q89,$F$7:F89,F89)+SUMIFS($E$7:E89,$G$7:G89,F89,$C$7:C89,"Перевод",$L$7:L89,"Проведён"))</f>
        <v>657868.31000000006</v>
      </c>
    </row>
    <row r="90" spans="1:23" x14ac:dyDescent="0.25">
      <c r="A90" s="3" t="s">
        <v>639</v>
      </c>
      <c r="B90" s="19">
        <v>46137</v>
      </c>
      <c r="C90" s="3" t="s">
        <v>640</v>
      </c>
      <c r="D90" s="3" t="s">
        <v>641</v>
      </c>
      <c r="E90" s="24">
        <v>45000</v>
      </c>
      <c r="F90" s="3" t="s">
        <v>474</v>
      </c>
      <c r="G90" s="3"/>
      <c r="H90" s="3" t="s">
        <v>528</v>
      </c>
      <c r="I90" s="3" t="s">
        <v>383</v>
      </c>
      <c r="J90" s="3" t="s">
        <v>642</v>
      </c>
      <c r="K90" s="3" t="s">
        <v>640</v>
      </c>
      <c r="L90" s="3" t="s">
        <v>476</v>
      </c>
      <c r="M90" s="3"/>
      <c r="N90" s="24">
        <v>0</v>
      </c>
      <c r="O90" s="3"/>
      <c r="P90" s="5">
        <f>IF(A90="","",IF(COUNTIF(Типы,C90)=0,0,VLOOKUP(C90,СПРАВОЧНИКИ!$A$7:$E$22,2,FALSE)))</f>
        <v>-1</v>
      </c>
      <c r="Q90" s="25">
        <f t="shared" si="1"/>
        <v>-45000</v>
      </c>
      <c r="R90" s="5" t="str">
        <f>IF(A90="","",IF(COUNTIF(Типы,C90)=0,"НЕИЗВЕСТНЫЙ ТИП",VLOOKUP(C90,СПРАВОЧНИКИ!$A$7:$E$22,3,FALSE)))</f>
        <v>Операционный</v>
      </c>
      <c r="S90" s="26">
        <f>IF(A90="","",IF(L90="Проведён",E90*IF(COUNTIF(Типы,C90)=0,0,VLOOKUP(C90,СПРАВОЧНИКИ!$A$7:$E$22,4,FALSE)),0))</f>
        <v>0</v>
      </c>
      <c r="T90" s="26">
        <f>IF(A90="","",IF(L90="Проведён",E90*IF(COUNTIF(Типы,C90)=0,0,VLOOKUP(C90,СПРАВОЧНИКИ!$A$7:$E$22,5,FALSE)),0))</f>
        <v>0</v>
      </c>
      <c r="U90" s="5" t="str">
        <f>IF(A90="","",IF(COUNTIF(Контрагенты,H90)=0,"Не задан",VLOOKUP(H90,СПРАВОЧНИКИ!$G$7:$H$66,2,FALSE)))</f>
        <v>ЮЛ</v>
      </c>
      <c r="V90" s="4" t="str">
        <f>IF(A90="",IF(COUNTA(B90:O90)&gt;0,"НЕТ ID",""),IF(OR(AND(OR(C90="Оплата клиента",C90="Возврат клиенту"),COUNTIFS(Docs[ID],J90,Docs[Тип долга],"ДЗ")&lt;&gt;1),AND(OR(C90="Оплата поставщику",C90="Возврат поставщика"),COUNTIFS(Docs[ID],J90,Docs[Тип долга],"КЗ",Docs[Вид],"&lt;&gt;Дивиденды")&lt;&gt;1),AND(C90="Дивиденды",COUNTIFS(Docs[ID],J90,Docs[Вид],"Дивиденды")&lt;&gt;1),AND(C90="Проценты",COUNTIFS(Docs[ID],J90,Docs[Вид],"Проценты")&lt;&gt;1),COUNTIF(Cash[ID],A90)&gt;1,NOT(ISNUMBER(B90)),B90&lt;НачалоУчета,YEAR(B90)&lt;&gt;Год,NOT(ISNUMBER(E90)),E90&lt;=0,N90&lt;0,COUNTIF(Типы,C90)&lt;&gt;1,COUNTIF(Категории,D90)&lt;&gt;1,COUNTIF(Счета,F90)&lt;&gt;1,COUNTIF(Проекты,I90)&lt;&gt;1,AND(H90&lt;&gt;"",COUNTIF(Контрагенты,H90)&lt;&gt;1),AND(C90="Перевод",OR(F90=G90,COUNTIF(Счета,G90)&lt;&gt;1)),AND(S90&lt;&gt;0,COUNTIF(Docs[ID],J90)&lt;&gt;1),AND(Форма="ООО",C90="Вывод ИП"),AND(Форма="ИП",C90="Дивиденды"),AND(L90&lt;&gt;"Проведён",L90&lt;&gt;"Черновик")),"ОШИБКА","ОК"))</f>
        <v>ОК</v>
      </c>
      <c r="W90" s="25">
        <f>IF(A90="","",SUMIF(Accounts[Счёт],F90,Accounts[Начальный])+SUMIFS($Q$7:Q90,$F$7:F90,F90)+SUMIFS($E$7:E90,$G$7:G90,F90,$C$7:C90,"Перевод",$L$7:L90,"Проведён"))</f>
        <v>612868.31000000006</v>
      </c>
    </row>
    <row r="91" spans="1:23" x14ac:dyDescent="0.25">
      <c r="A91" s="3" t="s">
        <v>643</v>
      </c>
      <c r="B91" s="19">
        <v>46138</v>
      </c>
      <c r="C91" s="3" t="s">
        <v>484</v>
      </c>
      <c r="D91" s="3" t="s">
        <v>485</v>
      </c>
      <c r="E91" s="24">
        <v>39600</v>
      </c>
      <c r="F91" s="3" t="s">
        <v>474</v>
      </c>
      <c r="G91" s="3"/>
      <c r="H91" s="3" t="s">
        <v>492</v>
      </c>
      <c r="I91" s="3" t="s">
        <v>382</v>
      </c>
      <c r="J91" s="3" t="s">
        <v>622</v>
      </c>
      <c r="K91" s="3" t="s">
        <v>484</v>
      </c>
      <c r="L91" s="3" t="s">
        <v>476</v>
      </c>
      <c r="M91" s="3"/>
      <c r="N91" s="24">
        <v>0</v>
      </c>
      <c r="O91" s="3"/>
      <c r="P91" s="5">
        <f>IF(A91="","",IF(COUNTIF(Типы,C91)=0,0,VLOOKUP(C91,СПРАВОЧНИКИ!$A$7:$E$22,2,FALSE)))</f>
        <v>1</v>
      </c>
      <c r="Q91" s="25">
        <f t="shared" si="1"/>
        <v>39600</v>
      </c>
      <c r="R91" s="5" t="str">
        <f>IF(A91="","",IF(COUNTIF(Типы,C91)=0,"НЕИЗВЕСТНЫЙ ТИП",VLOOKUP(C91,СПРАВОЧНИКИ!$A$7:$E$22,3,FALSE)))</f>
        <v>Операционный</v>
      </c>
      <c r="S91" s="26">
        <f>IF(A91="","",IF(L91="Проведён",E91*IF(COUNTIF(Типы,C91)=0,0,VLOOKUP(C91,СПРАВОЧНИКИ!$A$7:$E$22,4,FALSE)),0))</f>
        <v>39600</v>
      </c>
      <c r="T91" s="26">
        <f>IF(A91="","",IF(L91="Проведён",E91*IF(COUNTIF(Типы,C91)=0,0,VLOOKUP(C91,СПРАВОЧНИКИ!$A$7:$E$22,5,FALSE)),0))</f>
        <v>39600</v>
      </c>
      <c r="U91" s="5" t="str">
        <f>IF(A91="","",IF(COUNTIF(Контрагенты,H91)=0,"Не задан",VLOOKUP(H91,СПРАВОЧНИКИ!$G$7:$H$66,2,FALSE)))</f>
        <v>ИП</v>
      </c>
      <c r="V91" s="4" t="str">
        <f>IF(A91="",IF(COUNTA(B91:O91)&gt;0,"НЕТ ID",""),IF(OR(AND(OR(C91="Оплата клиента",C91="Возврат клиенту"),COUNTIFS(Docs[ID],J91,Docs[Тип долга],"ДЗ")&lt;&gt;1),AND(OR(C91="Оплата поставщику",C91="Возврат поставщика"),COUNTIFS(Docs[ID],J91,Docs[Тип долга],"КЗ",Docs[Вид],"&lt;&gt;Дивиденды")&lt;&gt;1),AND(C91="Дивиденды",COUNTIFS(Docs[ID],J91,Docs[Вид],"Дивиденды")&lt;&gt;1),AND(C91="Проценты",COUNTIFS(Docs[ID],J91,Docs[Вид],"Проценты")&lt;&gt;1),COUNTIF(Cash[ID],A91)&gt;1,NOT(ISNUMBER(B91)),B91&lt;НачалоУчета,YEAR(B91)&lt;&gt;Год,NOT(ISNUMBER(E91)),E91&lt;=0,N91&lt;0,COUNTIF(Типы,C91)&lt;&gt;1,COUNTIF(Категории,D91)&lt;&gt;1,COUNTIF(Счета,F91)&lt;&gt;1,COUNTIF(Проекты,I91)&lt;&gt;1,AND(H91&lt;&gt;"",COUNTIF(Контрагенты,H91)&lt;&gt;1),AND(C91="Перевод",OR(F91=G91,COUNTIF(Счета,G91)&lt;&gt;1)),AND(S91&lt;&gt;0,COUNTIF(Docs[ID],J91)&lt;&gt;1),AND(Форма="ООО",C91="Вывод ИП"),AND(Форма="ИП",C91="Дивиденды"),AND(L91&lt;&gt;"Проведён",L91&lt;&gt;"Черновик")),"ОШИБКА","ОК"))</f>
        <v>ОК</v>
      </c>
      <c r="W91" s="25">
        <f>IF(A91="","",SUMIF(Accounts[Счёт],F91,Accounts[Начальный])+SUMIFS($Q$7:Q91,$F$7:F91,F91)+SUMIFS($E$7:E91,$G$7:G91,F91,$C$7:C91,"Перевод",$L$7:L91,"Проведён"))</f>
        <v>652468.31000000006</v>
      </c>
    </row>
    <row r="92" spans="1:23" x14ac:dyDescent="0.25">
      <c r="A92" s="3" t="s">
        <v>644</v>
      </c>
      <c r="B92" s="19">
        <v>46138</v>
      </c>
      <c r="C92" s="3" t="s">
        <v>504</v>
      </c>
      <c r="D92" s="3" t="s">
        <v>523</v>
      </c>
      <c r="E92" s="24">
        <v>78300</v>
      </c>
      <c r="F92" s="3" t="s">
        <v>474</v>
      </c>
      <c r="G92" s="3"/>
      <c r="H92" s="3" t="s">
        <v>52</v>
      </c>
      <c r="I92" s="3" t="s">
        <v>383</v>
      </c>
      <c r="J92" s="3" t="s">
        <v>645</v>
      </c>
      <c r="K92" s="3" t="s">
        <v>504</v>
      </c>
      <c r="L92" s="3" t="s">
        <v>476</v>
      </c>
      <c r="M92" s="3"/>
      <c r="N92" s="24">
        <v>78300</v>
      </c>
      <c r="O92" s="3"/>
      <c r="P92" s="5">
        <f>IF(A92="","",IF(COUNTIF(Типы,C92)=0,0,VLOOKUP(C92,СПРАВОЧНИКИ!$A$7:$E$22,2,FALSE)))</f>
        <v>-1</v>
      </c>
      <c r="Q92" s="25">
        <f t="shared" si="1"/>
        <v>-78300</v>
      </c>
      <c r="R92" s="5" t="str">
        <f>IF(A92="","",IF(COUNTIF(Типы,C92)=0,"НЕИЗВЕСТНЫЙ ТИП",VLOOKUP(C92,СПРАВОЧНИКИ!$A$7:$E$22,3,FALSE)))</f>
        <v>Операционный</v>
      </c>
      <c r="S92" s="26">
        <f>IF(A92="","",IF(L92="Проведён",E92*IF(COUNTIF(Типы,C92)=0,0,VLOOKUP(C92,СПРАВОЧНИКИ!$A$7:$E$22,4,FALSE)),0))</f>
        <v>78300</v>
      </c>
      <c r="T92" s="26">
        <f>IF(A92="","",IF(L92="Проведён",E92*IF(COUNTIF(Типы,C92)=0,0,VLOOKUP(C92,СПРАВОЧНИКИ!$A$7:$E$22,5,FALSE)),0))</f>
        <v>0</v>
      </c>
      <c r="U92" s="5" t="str">
        <f>IF(A92="","",IF(COUNTIF(Контрагенты,H92)=0,"Не задан",VLOOKUP(H92,СПРАВОЧНИКИ!$G$7:$H$66,2,FALSE)))</f>
        <v>ФЛ</v>
      </c>
      <c r="V92" s="4" t="str">
        <f>IF(A92="",IF(COUNTA(B92:O92)&gt;0,"НЕТ ID",""),IF(OR(AND(OR(C92="Оплата клиента",C92="Возврат клиенту"),COUNTIFS(Docs[ID],J92,Docs[Тип долга],"ДЗ")&lt;&gt;1),AND(OR(C92="Оплата поставщику",C92="Возврат поставщика"),COUNTIFS(Docs[ID],J92,Docs[Тип долга],"КЗ",Docs[Вид],"&lt;&gt;Дивиденды")&lt;&gt;1),AND(C92="Дивиденды",COUNTIFS(Docs[ID],J92,Docs[Вид],"Дивиденды")&lt;&gt;1),AND(C92="Проценты",COUNTIFS(Docs[ID],J92,Docs[Вид],"Проценты")&lt;&gt;1),COUNTIF(Cash[ID],A92)&gt;1,NOT(ISNUMBER(B92)),B92&lt;НачалоУчета,YEAR(B92)&lt;&gt;Год,NOT(ISNUMBER(E92)),E92&lt;=0,N92&lt;0,COUNTIF(Типы,C92)&lt;&gt;1,COUNTIF(Категории,D92)&lt;&gt;1,COUNTIF(Счета,F92)&lt;&gt;1,COUNTIF(Проекты,I92)&lt;&gt;1,AND(H92&lt;&gt;"",COUNTIF(Контрагенты,H92)&lt;&gt;1),AND(C92="Перевод",OR(F92=G92,COUNTIF(Счета,G92)&lt;&gt;1)),AND(S92&lt;&gt;0,COUNTIF(Docs[ID],J92)&lt;&gt;1),AND(Форма="ООО",C92="Вывод ИП"),AND(Форма="ИП",C92="Дивиденды"),AND(L92&lt;&gt;"Проведён",L92&lt;&gt;"Черновик")),"ОШИБКА","ОК"))</f>
        <v>ОК</v>
      </c>
      <c r="W92" s="25">
        <f>IF(A92="","",SUMIF(Accounts[Счёт],F92,Accounts[Начальный])+SUMIFS($Q$7:Q92,$F$7:F92,F92)+SUMIFS($E$7:E92,$G$7:G92,F92,$C$7:C92,"Перевод",$L$7:L92,"Проведён"))</f>
        <v>574168.31000000006</v>
      </c>
    </row>
    <row r="93" spans="1:23" x14ac:dyDescent="0.25">
      <c r="A93" s="3" t="s">
        <v>646</v>
      </c>
      <c r="B93" s="19">
        <v>46139</v>
      </c>
      <c r="C93" s="3" t="s">
        <v>484</v>
      </c>
      <c r="D93" s="3" t="s">
        <v>485</v>
      </c>
      <c r="E93" s="24">
        <v>30800</v>
      </c>
      <c r="F93" s="3" t="s">
        <v>474</v>
      </c>
      <c r="G93" s="3"/>
      <c r="H93" s="3" t="s">
        <v>495</v>
      </c>
      <c r="I93" s="3" t="s">
        <v>381</v>
      </c>
      <c r="J93" s="3" t="s">
        <v>624</v>
      </c>
      <c r="K93" s="3" t="s">
        <v>484</v>
      </c>
      <c r="L93" s="3" t="s">
        <v>476</v>
      </c>
      <c r="M93" s="3"/>
      <c r="N93" s="24">
        <v>0</v>
      </c>
      <c r="O93" s="3"/>
      <c r="P93" s="5">
        <f>IF(A93="","",IF(COUNTIF(Типы,C93)=0,0,VLOOKUP(C93,СПРАВОЧНИКИ!$A$7:$E$22,2,FALSE)))</f>
        <v>1</v>
      </c>
      <c r="Q93" s="25">
        <f t="shared" si="1"/>
        <v>30800</v>
      </c>
      <c r="R93" s="5" t="str">
        <f>IF(A93="","",IF(COUNTIF(Типы,C93)=0,"НЕИЗВЕСТНЫЙ ТИП",VLOOKUP(C93,СПРАВОЧНИКИ!$A$7:$E$22,3,FALSE)))</f>
        <v>Операционный</v>
      </c>
      <c r="S93" s="26">
        <f>IF(A93="","",IF(L93="Проведён",E93*IF(COUNTIF(Типы,C93)=0,0,VLOOKUP(C93,СПРАВОЧНИКИ!$A$7:$E$22,4,FALSE)),0))</f>
        <v>30800</v>
      </c>
      <c r="T93" s="26">
        <f>IF(A93="","",IF(L93="Проведён",E93*IF(COUNTIF(Типы,C93)=0,0,VLOOKUP(C93,СПРАВОЧНИКИ!$A$7:$E$22,5,FALSE)),0))</f>
        <v>30800</v>
      </c>
      <c r="U93" s="5" t="str">
        <f>IF(A93="","",IF(COUNTIF(Контрагенты,H93)=0,"Не задан",VLOOKUP(H93,СПРАВОЧНИКИ!$G$7:$H$66,2,FALSE)))</f>
        <v>ЮЛ</v>
      </c>
      <c r="V93" s="4" t="str">
        <f>IF(A93="",IF(COUNTA(B93:O93)&gt;0,"НЕТ ID",""),IF(OR(AND(OR(C93="Оплата клиента",C93="Возврат клиенту"),COUNTIFS(Docs[ID],J93,Docs[Тип долга],"ДЗ")&lt;&gt;1),AND(OR(C93="Оплата поставщику",C93="Возврат поставщика"),COUNTIFS(Docs[ID],J93,Docs[Тип долга],"КЗ",Docs[Вид],"&lt;&gt;Дивиденды")&lt;&gt;1),AND(C93="Дивиденды",COUNTIFS(Docs[ID],J93,Docs[Вид],"Дивиденды")&lt;&gt;1),AND(C93="Проценты",COUNTIFS(Docs[ID],J93,Docs[Вид],"Проценты")&lt;&gt;1),COUNTIF(Cash[ID],A93)&gt;1,NOT(ISNUMBER(B93)),B93&lt;НачалоУчета,YEAR(B93)&lt;&gt;Год,NOT(ISNUMBER(E93)),E93&lt;=0,N93&lt;0,COUNTIF(Типы,C93)&lt;&gt;1,COUNTIF(Категории,D93)&lt;&gt;1,COUNTIF(Счета,F93)&lt;&gt;1,COUNTIF(Проекты,I93)&lt;&gt;1,AND(H93&lt;&gt;"",COUNTIF(Контрагенты,H93)&lt;&gt;1),AND(C93="Перевод",OR(F93=G93,COUNTIF(Счета,G93)&lt;&gt;1)),AND(S93&lt;&gt;0,COUNTIF(Docs[ID],J93)&lt;&gt;1),AND(Форма="ООО",C93="Вывод ИП"),AND(Форма="ИП",C93="Дивиденды"),AND(L93&lt;&gt;"Проведён",L93&lt;&gt;"Черновик")),"ОШИБКА","ОК"))</f>
        <v>ОК</v>
      </c>
      <c r="W93" s="25">
        <f>IF(A93="","",SUMIF(Accounts[Счёт],F93,Accounts[Начальный])+SUMIFS($Q$7:Q93,$F$7:F93,F93)+SUMIFS($E$7:E93,$G$7:G93,F93,$C$7:C93,"Перевод",$L$7:L93,"Проведён"))</f>
        <v>604968.31000000006</v>
      </c>
    </row>
    <row r="94" spans="1:23" x14ac:dyDescent="0.25">
      <c r="A94" s="3" t="s">
        <v>647</v>
      </c>
      <c r="B94" s="19">
        <v>46139</v>
      </c>
      <c r="C94" s="3" t="s">
        <v>504</v>
      </c>
      <c r="D94" s="3" t="s">
        <v>527</v>
      </c>
      <c r="E94" s="24">
        <v>11700</v>
      </c>
      <c r="F94" s="3" t="s">
        <v>474</v>
      </c>
      <c r="G94" s="3"/>
      <c r="H94" s="3" t="s">
        <v>528</v>
      </c>
      <c r="I94" s="3" t="s">
        <v>383</v>
      </c>
      <c r="J94" s="3" t="s">
        <v>648</v>
      </c>
      <c r="K94" s="3" t="s">
        <v>504</v>
      </c>
      <c r="L94" s="3" t="s">
        <v>476</v>
      </c>
      <c r="M94" s="3"/>
      <c r="N94" s="24">
        <v>11700</v>
      </c>
      <c r="O94" s="3"/>
      <c r="P94" s="5">
        <f>IF(A94="","",IF(COUNTIF(Типы,C94)=0,0,VLOOKUP(C94,СПРАВОЧНИКИ!$A$7:$E$22,2,FALSE)))</f>
        <v>-1</v>
      </c>
      <c r="Q94" s="25">
        <f t="shared" si="1"/>
        <v>-11700</v>
      </c>
      <c r="R94" s="5" t="str">
        <f>IF(A94="","",IF(COUNTIF(Типы,C94)=0,"НЕИЗВЕСТНЫЙ ТИП",VLOOKUP(C94,СПРАВОЧНИКИ!$A$7:$E$22,3,FALSE)))</f>
        <v>Операционный</v>
      </c>
      <c r="S94" s="26">
        <f>IF(A94="","",IF(L94="Проведён",E94*IF(COUNTIF(Типы,C94)=0,0,VLOOKUP(C94,СПРАВОЧНИКИ!$A$7:$E$22,4,FALSE)),0))</f>
        <v>11700</v>
      </c>
      <c r="T94" s="26">
        <f>IF(A94="","",IF(L94="Проведён",E94*IF(COUNTIF(Типы,C94)=0,0,VLOOKUP(C94,СПРАВОЧНИКИ!$A$7:$E$22,5,FALSE)),0))</f>
        <v>0</v>
      </c>
      <c r="U94" s="5" t="str">
        <f>IF(A94="","",IF(COUNTIF(Контрагенты,H94)=0,"Не задан",VLOOKUP(H94,СПРАВОЧНИКИ!$G$7:$H$66,2,FALSE)))</f>
        <v>ЮЛ</v>
      </c>
      <c r="V94" s="4" t="str">
        <f>IF(A94="",IF(COUNTA(B94:O94)&gt;0,"НЕТ ID",""),IF(OR(AND(OR(C94="Оплата клиента",C94="Возврат клиенту"),COUNTIFS(Docs[ID],J94,Docs[Тип долга],"ДЗ")&lt;&gt;1),AND(OR(C94="Оплата поставщику",C94="Возврат поставщика"),COUNTIFS(Docs[ID],J94,Docs[Тип долга],"КЗ",Docs[Вид],"&lt;&gt;Дивиденды")&lt;&gt;1),AND(C94="Дивиденды",COUNTIFS(Docs[ID],J94,Docs[Вид],"Дивиденды")&lt;&gt;1),AND(C94="Проценты",COUNTIFS(Docs[ID],J94,Docs[Вид],"Проценты")&lt;&gt;1),COUNTIF(Cash[ID],A94)&gt;1,NOT(ISNUMBER(B94)),B94&lt;НачалоУчета,YEAR(B94)&lt;&gt;Год,NOT(ISNUMBER(E94)),E94&lt;=0,N94&lt;0,COUNTIF(Типы,C94)&lt;&gt;1,COUNTIF(Категории,D94)&lt;&gt;1,COUNTIF(Счета,F94)&lt;&gt;1,COUNTIF(Проекты,I94)&lt;&gt;1,AND(H94&lt;&gt;"",COUNTIF(Контрагенты,H94)&lt;&gt;1),AND(C94="Перевод",OR(F94=G94,COUNTIF(Счета,G94)&lt;&gt;1)),AND(S94&lt;&gt;0,COUNTIF(Docs[ID],J94)&lt;&gt;1),AND(Форма="ООО",C94="Вывод ИП"),AND(Форма="ИП",C94="Дивиденды"),AND(L94&lt;&gt;"Проведён",L94&lt;&gt;"Черновик")),"ОШИБКА","ОК"))</f>
        <v>ОК</v>
      </c>
      <c r="W94" s="25">
        <f>IF(A94="","",SUMIF(Accounts[Счёт],F94,Accounts[Начальный])+SUMIFS($Q$7:Q94,$F$7:F94,F94)+SUMIFS($E$7:E94,$G$7:G94,F94,$C$7:C94,"Перевод",$L$7:L94,"Проведён"))</f>
        <v>593268.31000000006</v>
      </c>
    </row>
    <row r="95" spans="1:23" x14ac:dyDescent="0.25">
      <c r="A95" s="3" t="s">
        <v>649</v>
      </c>
      <c r="B95" s="19">
        <v>46140</v>
      </c>
      <c r="C95" s="3" t="s">
        <v>484</v>
      </c>
      <c r="D95" s="3" t="s">
        <v>485</v>
      </c>
      <c r="E95" s="24">
        <v>22000</v>
      </c>
      <c r="F95" s="3" t="s">
        <v>474</v>
      </c>
      <c r="G95" s="3"/>
      <c r="H95" s="3" t="s">
        <v>498</v>
      </c>
      <c r="I95" s="3" t="s">
        <v>298</v>
      </c>
      <c r="J95" s="3" t="s">
        <v>626</v>
      </c>
      <c r="K95" s="3" t="s">
        <v>484</v>
      </c>
      <c r="L95" s="3" t="s">
        <v>476</v>
      </c>
      <c r="M95" s="3"/>
      <c r="N95" s="24">
        <v>0</v>
      </c>
      <c r="O95" s="3"/>
      <c r="P95" s="5">
        <f>IF(A95="","",IF(COUNTIF(Типы,C95)=0,0,VLOOKUP(C95,СПРАВОЧНИКИ!$A$7:$E$22,2,FALSE)))</f>
        <v>1</v>
      </c>
      <c r="Q95" s="25">
        <f t="shared" si="1"/>
        <v>22000</v>
      </c>
      <c r="R95" s="5" t="str">
        <f>IF(A95="","",IF(COUNTIF(Типы,C95)=0,"НЕИЗВЕСТНЫЙ ТИП",VLOOKUP(C95,СПРАВОЧНИКИ!$A$7:$E$22,3,FALSE)))</f>
        <v>Операционный</v>
      </c>
      <c r="S95" s="26">
        <f>IF(A95="","",IF(L95="Проведён",E95*IF(COUNTIF(Типы,C95)=0,0,VLOOKUP(C95,СПРАВОЧНИКИ!$A$7:$E$22,4,FALSE)),0))</f>
        <v>22000</v>
      </c>
      <c r="T95" s="26">
        <f>IF(A95="","",IF(L95="Проведён",E95*IF(COUNTIF(Типы,C95)=0,0,VLOOKUP(C95,СПРАВОЧНИКИ!$A$7:$E$22,5,FALSE)),0))</f>
        <v>22000</v>
      </c>
      <c r="U95" s="5" t="str">
        <f>IF(A95="","",IF(COUNTIF(Контрагенты,H95)=0,"Не задан",VLOOKUP(H95,СПРАВОЧНИКИ!$G$7:$H$66,2,FALSE)))</f>
        <v>ФЛ</v>
      </c>
      <c r="V95" s="4" t="str">
        <f>IF(A95="",IF(COUNTA(B95:O95)&gt;0,"НЕТ ID",""),IF(OR(AND(OR(C95="Оплата клиента",C95="Возврат клиенту"),COUNTIFS(Docs[ID],J95,Docs[Тип долга],"ДЗ")&lt;&gt;1),AND(OR(C95="Оплата поставщику",C95="Возврат поставщика"),COUNTIFS(Docs[ID],J95,Docs[Тип долга],"КЗ",Docs[Вид],"&lt;&gt;Дивиденды")&lt;&gt;1),AND(C95="Дивиденды",COUNTIFS(Docs[ID],J95,Docs[Вид],"Дивиденды")&lt;&gt;1),AND(C95="Проценты",COUNTIFS(Docs[ID],J95,Docs[Вид],"Проценты")&lt;&gt;1),COUNTIF(Cash[ID],A95)&gt;1,NOT(ISNUMBER(B95)),B95&lt;НачалоУчета,YEAR(B95)&lt;&gt;Год,NOT(ISNUMBER(E95)),E95&lt;=0,N95&lt;0,COUNTIF(Типы,C95)&lt;&gt;1,COUNTIF(Категории,D95)&lt;&gt;1,COUNTIF(Счета,F95)&lt;&gt;1,COUNTIF(Проекты,I95)&lt;&gt;1,AND(H95&lt;&gt;"",COUNTIF(Контрагенты,H95)&lt;&gt;1),AND(C95="Перевод",OR(F95=G95,COUNTIF(Счета,G95)&lt;&gt;1)),AND(S95&lt;&gt;0,COUNTIF(Docs[ID],J95)&lt;&gt;1),AND(Форма="ООО",C95="Вывод ИП"),AND(Форма="ИП",C95="Дивиденды"),AND(L95&lt;&gt;"Проведён",L95&lt;&gt;"Черновик")),"ОШИБКА","ОК"))</f>
        <v>ОК</v>
      </c>
      <c r="W95" s="25">
        <f>IF(A95="","",SUMIF(Accounts[Счёт],F95,Accounts[Начальный])+SUMIFS($Q$7:Q95,$F$7:F95,F95)+SUMIFS($E$7:E95,$G$7:G95,F95,$C$7:C95,"Перевод",$L$7:L95,"Проведён"))</f>
        <v>615268.31000000006</v>
      </c>
    </row>
    <row r="96" spans="1:23" x14ac:dyDescent="0.25">
      <c r="A96" s="3" t="s">
        <v>650</v>
      </c>
      <c r="B96" s="19">
        <v>46140</v>
      </c>
      <c r="C96" s="3" t="s">
        <v>504</v>
      </c>
      <c r="D96" s="3" t="s">
        <v>532</v>
      </c>
      <c r="E96" s="24">
        <v>27000</v>
      </c>
      <c r="F96" s="3" t="s">
        <v>474</v>
      </c>
      <c r="G96" s="3"/>
      <c r="H96" s="3" t="s">
        <v>528</v>
      </c>
      <c r="I96" s="3" t="s">
        <v>383</v>
      </c>
      <c r="J96" s="3" t="s">
        <v>651</v>
      </c>
      <c r="K96" s="3" t="s">
        <v>504</v>
      </c>
      <c r="L96" s="3" t="s">
        <v>476</v>
      </c>
      <c r="M96" s="3"/>
      <c r="N96" s="24">
        <v>27000</v>
      </c>
      <c r="O96" s="3"/>
      <c r="P96" s="5">
        <f>IF(A96="","",IF(COUNTIF(Типы,C96)=0,0,VLOOKUP(C96,СПРАВОЧНИКИ!$A$7:$E$22,2,FALSE)))</f>
        <v>-1</v>
      </c>
      <c r="Q96" s="25">
        <f t="shared" si="1"/>
        <v>-27000</v>
      </c>
      <c r="R96" s="5" t="str">
        <f>IF(A96="","",IF(COUNTIF(Типы,C96)=0,"НЕИЗВЕСТНЫЙ ТИП",VLOOKUP(C96,СПРАВОЧНИКИ!$A$7:$E$22,3,FALSE)))</f>
        <v>Операционный</v>
      </c>
      <c r="S96" s="26">
        <f>IF(A96="","",IF(L96="Проведён",E96*IF(COUNTIF(Типы,C96)=0,0,VLOOKUP(C96,СПРАВОЧНИКИ!$A$7:$E$22,4,FALSE)),0))</f>
        <v>27000</v>
      </c>
      <c r="T96" s="26">
        <f>IF(A96="","",IF(L96="Проведён",E96*IF(COUNTIF(Типы,C96)=0,0,VLOOKUP(C96,СПРАВОЧНИКИ!$A$7:$E$22,5,FALSE)),0))</f>
        <v>0</v>
      </c>
      <c r="U96" s="5" t="str">
        <f>IF(A96="","",IF(COUNTIF(Контрагенты,H96)=0,"Не задан",VLOOKUP(H96,СПРАВОЧНИКИ!$G$7:$H$66,2,FALSE)))</f>
        <v>ЮЛ</v>
      </c>
      <c r="V96" s="4" t="str">
        <f>IF(A96="",IF(COUNTA(B96:O96)&gt;0,"НЕТ ID",""),IF(OR(AND(OR(C96="Оплата клиента",C96="Возврат клиенту"),COUNTIFS(Docs[ID],J96,Docs[Тип долга],"ДЗ")&lt;&gt;1),AND(OR(C96="Оплата поставщику",C96="Возврат поставщика"),COUNTIFS(Docs[ID],J96,Docs[Тип долга],"КЗ",Docs[Вид],"&lt;&gt;Дивиденды")&lt;&gt;1),AND(C96="Дивиденды",COUNTIFS(Docs[ID],J96,Docs[Вид],"Дивиденды")&lt;&gt;1),AND(C96="Проценты",COUNTIFS(Docs[ID],J96,Docs[Вид],"Проценты")&lt;&gt;1),COUNTIF(Cash[ID],A96)&gt;1,NOT(ISNUMBER(B96)),B96&lt;НачалоУчета,YEAR(B96)&lt;&gt;Год,NOT(ISNUMBER(E96)),E96&lt;=0,N96&lt;0,COUNTIF(Типы,C96)&lt;&gt;1,COUNTIF(Категории,D96)&lt;&gt;1,COUNTIF(Счета,F96)&lt;&gt;1,COUNTIF(Проекты,I96)&lt;&gt;1,AND(H96&lt;&gt;"",COUNTIF(Контрагенты,H96)&lt;&gt;1),AND(C96="Перевод",OR(F96=G96,COUNTIF(Счета,G96)&lt;&gt;1)),AND(S96&lt;&gt;0,COUNTIF(Docs[ID],J96)&lt;&gt;1),AND(Форма="ООО",C96="Вывод ИП"),AND(Форма="ИП",C96="Дивиденды"),AND(L96&lt;&gt;"Проведён",L96&lt;&gt;"Черновик")),"ОШИБКА","ОК"))</f>
        <v>ОК</v>
      </c>
      <c r="W96" s="25">
        <f>IF(A96="","",SUMIF(Accounts[Счёт],F96,Accounts[Начальный])+SUMIFS($Q$7:Q96,$F$7:F96,F96)+SUMIFS($E$7:E96,$G$7:G96,F96,$C$7:C96,"Перевод",$L$7:L96,"Проведён"))</f>
        <v>588268.31000000006</v>
      </c>
    </row>
    <row r="97" spans="1:23" x14ac:dyDescent="0.25">
      <c r="A97" s="3" t="s">
        <v>652</v>
      </c>
      <c r="B97" s="19">
        <v>46140</v>
      </c>
      <c r="C97" s="3" t="s">
        <v>130</v>
      </c>
      <c r="D97" s="3" t="s">
        <v>130</v>
      </c>
      <c r="E97" s="24">
        <v>4021.42</v>
      </c>
      <c r="F97" s="3" t="s">
        <v>474</v>
      </c>
      <c r="G97" s="3"/>
      <c r="H97" s="3" t="s">
        <v>397</v>
      </c>
      <c r="I97" s="3" t="s">
        <v>383</v>
      </c>
      <c r="J97" s="3" t="s">
        <v>653</v>
      </c>
      <c r="K97" s="3" t="s">
        <v>130</v>
      </c>
      <c r="L97" s="3" t="s">
        <v>476</v>
      </c>
      <c r="M97" s="3"/>
      <c r="N97" s="24">
        <v>4021.42</v>
      </c>
      <c r="O97" s="3"/>
      <c r="P97" s="5">
        <f>IF(A97="","",IF(COUNTIF(Типы,C97)=0,0,VLOOKUP(C97,СПРАВОЧНИКИ!$A$7:$E$22,2,FALSE)))</f>
        <v>-1</v>
      </c>
      <c r="Q97" s="25">
        <f t="shared" si="1"/>
        <v>-4021.42</v>
      </c>
      <c r="R97" s="5" t="str">
        <f>IF(A97="","",IF(COUNTIF(Типы,C97)=0,"НЕИЗВЕСТНЫЙ ТИП",VLOOKUP(C97,СПРАВОЧНИКИ!$A$7:$E$22,3,FALSE)))</f>
        <v>Операционный</v>
      </c>
      <c r="S97" s="26">
        <f>IF(A97="","",IF(L97="Проведён",E97*IF(COUNTIF(Типы,C97)=0,0,VLOOKUP(C97,СПРАВОЧНИКИ!$A$7:$E$22,4,FALSE)),0))</f>
        <v>4021.42</v>
      </c>
      <c r="T97" s="26">
        <f>IF(A97="","",IF(L97="Проведён",E97*IF(COUNTIF(Типы,C97)=0,0,VLOOKUP(C97,СПРАВОЧНИКИ!$A$7:$E$22,5,FALSE)),0))</f>
        <v>0</v>
      </c>
      <c r="U97" s="5" t="str">
        <f>IF(A97="","",IF(COUNTIF(Контрагенты,H97)=0,"Не задан",VLOOKUP(H97,СПРАВОЧНИКИ!$G$7:$H$66,2,FALSE)))</f>
        <v>ЮЛ</v>
      </c>
      <c r="V97" s="4" t="str">
        <f>IF(A97="",IF(COUNTA(B97:O97)&gt;0,"НЕТ ID",""),IF(OR(AND(OR(C97="Оплата клиента",C97="Возврат клиенту"),COUNTIFS(Docs[ID],J97,Docs[Тип долга],"ДЗ")&lt;&gt;1),AND(OR(C97="Оплата поставщику",C97="Возврат поставщика"),COUNTIFS(Docs[ID],J97,Docs[Тип долга],"КЗ",Docs[Вид],"&lt;&gt;Дивиденды")&lt;&gt;1),AND(C97="Дивиденды",COUNTIFS(Docs[ID],J97,Docs[Вид],"Дивиденды")&lt;&gt;1),AND(C97="Проценты",COUNTIFS(Docs[ID],J97,Docs[Вид],"Проценты")&lt;&gt;1),COUNTIF(Cash[ID],A97)&gt;1,NOT(ISNUMBER(B97)),B97&lt;НачалоУчета,YEAR(B97)&lt;&gt;Год,NOT(ISNUMBER(E97)),E97&lt;=0,N97&lt;0,COUNTIF(Типы,C97)&lt;&gt;1,COUNTIF(Категории,D97)&lt;&gt;1,COUNTIF(Счета,F97)&lt;&gt;1,COUNTIF(Проекты,I97)&lt;&gt;1,AND(H97&lt;&gt;"",COUNTIF(Контрагенты,H97)&lt;&gt;1),AND(C97="Перевод",OR(F97=G97,COUNTIF(Счета,G97)&lt;&gt;1)),AND(S97&lt;&gt;0,COUNTIF(Docs[ID],J97)&lt;&gt;1),AND(Форма="ООО",C97="Вывод ИП"),AND(Форма="ИП",C97="Дивиденды"),AND(L97&lt;&gt;"Проведён",L97&lt;&gt;"Черновик")),"ОШИБКА","ОК"))</f>
        <v>ОК</v>
      </c>
      <c r="W97" s="25">
        <f>IF(A97="","",SUMIF(Accounts[Счёт],F97,Accounts[Начальный])+SUMIFS($Q$7:Q97,$F$7:F97,F97)+SUMIFS($E$7:E97,$G$7:G97,F97,$C$7:C97,"Перевод",$L$7:L97,"Проведён"))</f>
        <v>584246.89</v>
      </c>
    </row>
    <row r="98" spans="1:23" x14ac:dyDescent="0.25">
      <c r="A98" s="3" t="s">
        <v>654</v>
      </c>
      <c r="B98" s="19">
        <v>46140</v>
      </c>
      <c r="C98" s="3" t="s">
        <v>537</v>
      </c>
      <c r="D98" s="3" t="s">
        <v>479</v>
      </c>
      <c r="E98" s="24">
        <v>10955.81</v>
      </c>
      <c r="F98" s="3" t="s">
        <v>474</v>
      </c>
      <c r="G98" s="3"/>
      <c r="H98" s="3" t="s">
        <v>397</v>
      </c>
      <c r="I98" s="3" t="s">
        <v>383</v>
      </c>
      <c r="J98" s="3" t="s">
        <v>394</v>
      </c>
      <c r="K98" s="3" t="s">
        <v>537</v>
      </c>
      <c r="L98" s="3" t="s">
        <v>476</v>
      </c>
      <c r="M98" s="3"/>
      <c r="N98" s="24">
        <v>0</v>
      </c>
      <c r="O98" s="3"/>
      <c r="P98" s="5">
        <f>IF(A98="","",IF(COUNTIF(Типы,C98)=0,0,VLOOKUP(C98,СПРАВОЧНИКИ!$A$7:$E$22,2,FALSE)))</f>
        <v>-1</v>
      </c>
      <c r="Q98" s="25">
        <f t="shared" si="1"/>
        <v>-10955.81</v>
      </c>
      <c r="R98" s="5" t="str">
        <f>IF(A98="","",IF(COUNTIF(Типы,C98)=0,"НЕИЗВЕСТНЫЙ ТИП",VLOOKUP(C98,СПРАВОЧНИКИ!$A$7:$E$22,3,FALSE)))</f>
        <v>Финансовый</v>
      </c>
      <c r="S98" s="26">
        <f>IF(A98="","",IF(L98="Проведён",E98*IF(COUNTIF(Типы,C98)=0,0,VLOOKUP(C98,СПРАВОЧНИКИ!$A$7:$E$22,4,FALSE)),0))</f>
        <v>0</v>
      </c>
      <c r="T98" s="26">
        <f>IF(A98="","",IF(L98="Проведён",E98*IF(COUNTIF(Типы,C98)=0,0,VLOOKUP(C98,СПРАВОЧНИКИ!$A$7:$E$22,5,FALSE)),0))</f>
        <v>0</v>
      </c>
      <c r="U98" s="5" t="str">
        <f>IF(A98="","",IF(COUNTIF(Контрагенты,H98)=0,"Не задан",VLOOKUP(H98,СПРАВОЧНИКИ!$G$7:$H$66,2,FALSE)))</f>
        <v>ЮЛ</v>
      </c>
      <c r="V98" s="4" t="str">
        <f>IF(A98="",IF(COUNTA(B98:O98)&gt;0,"НЕТ ID",""),IF(OR(AND(OR(C98="Оплата клиента",C98="Возврат клиенту"),COUNTIFS(Docs[ID],J98,Docs[Тип долга],"ДЗ")&lt;&gt;1),AND(OR(C98="Оплата поставщику",C98="Возврат поставщика"),COUNTIFS(Docs[ID],J98,Docs[Тип долга],"КЗ",Docs[Вид],"&lt;&gt;Дивиденды")&lt;&gt;1),AND(C98="Дивиденды",COUNTIFS(Docs[ID],J98,Docs[Вид],"Дивиденды")&lt;&gt;1),AND(C98="Проценты",COUNTIFS(Docs[ID],J98,Docs[Вид],"Проценты")&lt;&gt;1),COUNTIF(Cash[ID],A98)&gt;1,NOT(ISNUMBER(B98)),B98&lt;НачалоУчета,YEAR(B98)&lt;&gt;Год,NOT(ISNUMBER(E98)),E98&lt;=0,N98&lt;0,COUNTIF(Типы,C98)&lt;&gt;1,COUNTIF(Категории,D98)&lt;&gt;1,COUNTIF(Счета,F98)&lt;&gt;1,COUNTIF(Проекты,I98)&lt;&gt;1,AND(H98&lt;&gt;"",COUNTIF(Контрагенты,H98)&lt;&gt;1),AND(C98="Перевод",OR(F98=G98,COUNTIF(Счета,G98)&lt;&gt;1)),AND(S98&lt;&gt;0,COUNTIF(Docs[ID],J98)&lt;&gt;1),AND(Форма="ООО",C98="Вывод ИП"),AND(Форма="ИП",C98="Дивиденды"),AND(L98&lt;&gt;"Проведён",L98&lt;&gt;"Черновик")),"ОШИБКА","ОК"))</f>
        <v>ОК</v>
      </c>
      <c r="W98" s="25">
        <f>IF(A98="","",SUMIF(Accounts[Счёт],F98,Accounts[Начальный])+SUMIFS($Q$7:Q98,$F$7:F98,F98)+SUMIFS($E$7:E98,$G$7:G98,F98,$C$7:C98,"Перевод",$L$7:L98,"Проведён"))</f>
        <v>573291.07999999996</v>
      </c>
    </row>
    <row r="99" spans="1:23" x14ac:dyDescent="0.25">
      <c r="A99" s="3" t="s">
        <v>655</v>
      </c>
      <c r="B99" s="19">
        <v>46140</v>
      </c>
      <c r="C99" s="3" t="s">
        <v>539</v>
      </c>
      <c r="D99" s="3" t="s">
        <v>299</v>
      </c>
      <c r="E99" s="24">
        <v>15000</v>
      </c>
      <c r="F99" s="3" t="s">
        <v>474</v>
      </c>
      <c r="G99" s="3" t="s">
        <v>299</v>
      </c>
      <c r="H99" s="3"/>
      <c r="I99" s="3" t="s">
        <v>383</v>
      </c>
      <c r="J99" s="3"/>
      <c r="K99" s="3" t="s">
        <v>539</v>
      </c>
      <c r="L99" s="3" t="s">
        <v>476</v>
      </c>
      <c r="M99" s="3"/>
      <c r="N99" s="24">
        <v>0</v>
      </c>
      <c r="O99" s="3"/>
      <c r="P99" s="5">
        <f>IF(A99="","",IF(COUNTIF(Типы,C99)=0,0,VLOOKUP(C99,СПРАВОЧНИКИ!$A$7:$E$22,2,FALSE)))</f>
        <v>-1</v>
      </c>
      <c r="Q99" s="25">
        <f t="shared" si="1"/>
        <v>-15000</v>
      </c>
      <c r="R99" s="5" t="str">
        <f>IF(A99="","",IF(COUNTIF(Типы,C99)=0,"НЕИЗВЕСТНЫЙ ТИП",VLOOKUP(C99,СПРАВОЧНИКИ!$A$7:$E$22,3,FALSE)))</f>
        <v>Внутренний</v>
      </c>
      <c r="S99" s="26">
        <f>IF(A99="","",IF(L99="Проведён",E99*IF(COUNTIF(Типы,C99)=0,0,VLOOKUP(C99,СПРАВОЧНИКИ!$A$7:$E$22,4,FALSE)),0))</f>
        <v>0</v>
      </c>
      <c r="T99" s="26">
        <f>IF(A99="","",IF(L99="Проведён",E99*IF(COUNTIF(Типы,C99)=0,0,VLOOKUP(C99,СПРАВОЧНИКИ!$A$7:$E$22,5,FALSE)),0))</f>
        <v>0</v>
      </c>
      <c r="U99" s="5" t="str">
        <f>IF(A99="","",IF(COUNTIF(Контрагенты,H99)=0,"Не задан",VLOOKUP(H99,СПРАВОЧНИКИ!$G$7:$H$66,2,FALSE)))</f>
        <v>Не задан</v>
      </c>
      <c r="V99" s="4" t="str">
        <f>IF(A99="",IF(COUNTA(B99:O99)&gt;0,"НЕТ ID",""),IF(OR(AND(OR(C99="Оплата клиента",C99="Возврат клиенту"),COUNTIFS(Docs[ID],J99,Docs[Тип долга],"ДЗ")&lt;&gt;1),AND(OR(C99="Оплата поставщику",C99="Возврат поставщика"),COUNTIFS(Docs[ID],J99,Docs[Тип долга],"КЗ",Docs[Вид],"&lt;&gt;Дивиденды")&lt;&gt;1),AND(C99="Дивиденды",COUNTIFS(Docs[ID],J99,Docs[Вид],"Дивиденды")&lt;&gt;1),AND(C99="Проценты",COUNTIFS(Docs[ID],J99,Docs[Вид],"Проценты")&lt;&gt;1),COUNTIF(Cash[ID],A99)&gt;1,NOT(ISNUMBER(B99)),B99&lt;НачалоУчета,YEAR(B99)&lt;&gt;Год,NOT(ISNUMBER(E99)),E99&lt;=0,N99&lt;0,COUNTIF(Типы,C99)&lt;&gt;1,COUNTIF(Категории,D99)&lt;&gt;1,COUNTIF(Счета,F99)&lt;&gt;1,COUNTIF(Проекты,I99)&lt;&gt;1,AND(H99&lt;&gt;"",COUNTIF(Контрагенты,H99)&lt;&gt;1),AND(C99="Перевод",OR(F99=G99,COUNTIF(Счета,G99)&lt;&gt;1)),AND(S99&lt;&gt;0,COUNTIF(Docs[ID],J99)&lt;&gt;1),AND(Форма="ООО",C99="Вывод ИП"),AND(Форма="ИП",C99="Дивиденды"),AND(L99&lt;&gt;"Проведён",L99&lt;&gt;"Черновик")),"ОШИБКА","ОК"))</f>
        <v>ОК</v>
      </c>
      <c r="W99" s="25">
        <f>IF(A99="","",SUMIF(Accounts[Счёт],F99,Accounts[Начальный])+SUMIFS($Q$7:Q99,$F$7:F99,F99)+SUMIFS($E$7:E99,$G$7:G99,F99,$C$7:C99,"Перевод",$L$7:L99,"Проведён"))</f>
        <v>558291.07999999996</v>
      </c>
    </row>
    <row r="100" spans="1:23" x14ac:dyDescent="0.25">
      <c r="A100" s="3" t="s">
        <v>656</v>
      </c>
      <c r="B100" s="19">
        <v>46141</v>
      </c>
      <c r="C100" s="3" t="s">
        <v>484</v>
      </c>
      <c r="D100" s="3" t="s">
        <v>485</v>
      </c>
      <c r="E100" s="24">
        <v>17600</v>
      </c>
      <c r="F100" s="3" t="s">
        <v>474</v>
      </c>
      <c r="G100" s="3"/>
      <c r="H100" s="3" t="s">
        <v>501</v>
      </c>
      <c r="I100" s="3" t="s">
        <v>382</v>
      </c>
      <c r="J100" s="3" t="s">
        <v>628</v>
      </c>
      <c r="K100" s="3" t="s">
        <v>484</v>
      </c>
      <c r="L100" s="3" t="s">
        <v>476</v>
      </c>
      <c r="M100" s="3"/>
      <c r="N100" s="24">
        <v>0</v>
      </c>
      <c r="O100" s="3"/>
      <c r="P100" s="5">
        <f>IF(A100="","",IF(COUNTIF(Типы,C100)=0,0,VLOOKUP(C100,СПРАВОЧНИКИ!$A$7:$E$22,2,FALSE)))</f>
        <v>1</v>
      </c>
      <c r="Q100" s="25">
        <f t="shared" si="1"/>
        <v>17600</v>
      </c>
      <c r="R100" s="5" t="str">
        <f>IF(A100="","",IF(COUNTIF(Типы,C100)=0,"НЕИЗВЕСТНЫЙ ТИП",VLOOKUP(C100,СПРАВОЧНИКИ!$A$7:$E$22,3,FALSE)))</f>
        <v>Операционный</v>
      </c>
      <c r="S100" s="26">
        <f>IF(A100="","",IF(L100="Проведён",E100*IF(COUNTIF(Типы,C100)=0,0,VLOOKUP(C100,СПРАВОЧНИКИ!$A$7:$E$22,4,FALSE)),0))</f>
        <v>17600</v>
      </c>
      <c r="T100" s="26">
        <f>IF(A100="","",IF(L100="Проведён",E100*IF(COUNTIF(Типы,C100)=0,0,VLOOKUP(C100,СПРАВОЧНИКИ!$A$7:$E$22,5,FALSE)),0))</f>
        <v>17600</v>
      </c>
      <c r="U100" s="5" t="str">
        <f>IF(A100="","",IF(COUNTIF(Контрагенты,H100)=0,"Не задан",VLOOKUP(H100,СПРАВОЧНИКИ!$G$7:$H$66,2,FALSE)))</f>
        <v>ЮЛ</v>
      </c>
      <c r="V100" s="4" t="str">
        <f>IF(A100="",IF(COUNTA(B100:O100)&gt;0,"НЕТ ID",""),IF(OR(AND(OR(C100="Оплата клиента",C100="Возврат клиенту"),COUNTIFS(Docs[ID],J100,Docs[Тип долга],"ДЗ")&lt;&gt;1),AND(OR(C100="Оплата поставщику",C100="Возврат поставщика"),COUNTIFS(Docs[ID],J100,Docs[Тип долга],"КЗ",Docs[Вид],"&lt;&gt;Дивиденды")&lt;&gt;1),AND(C100="Дивиденды",COUNTIFS(Docs[ID],J100,Docs[Вид],"Дивиденды")&lt;&gt;1),AND(C100="Проценты",COUNTIFS(Docs[ID],J100,Docs[Вид],"Проценты")&lt;&gt;1),COUNTIF(Cash[ID],A100)&gt;1,NOT(ISNUMBER(B100)),B100&lt;НачалоУчета,YEAR(B100)&lt;&gt;Год,NOT(ISNUMBER(E100)),E100&lt;=0,N100&lt;0,COUNTIF(Типы,C100)&lt;&gt;1,COUNTIF(Категории,D100)&lt;&gt;1,COUNTIF(Счета,F100)&lt;&gt;1,COUNTIF(Проекты,I100)&lt;&gt;1,AND(H100&lt;&gt;"",COUNTIF(Контрагенты,H100)&lt;&gt;1),AND(C100="Перевод",OR(F100=G100,COUNTIF(Счета,G100)&lt;&gt;1)),AND(S100&lt;&gt;0,COUNTIF(Docs[ID],J100)&lt;&gt;1),AND(Форма="ООО",C100="Вывод ИП"),AND(Форма="ИП",C100="Дивиденды"),AND(L100&lt;&gt;"Проведён",L100&lt;&gt;"Черновик")),"ОШИБКА","ОК"))</f>
        <v>ОК</v>
      </c>
      <c r="W100" s="25">
        <f>IF(A100="","",SUMIF(Accounts[Счёт],F100,Accounts[Начальный])+SUMIFS($Q$7:Q100,$F$7:F100,F100)+SUMIFS($E$7:E100,$G$7:G100,F100,$C$7:C100,"Перевод",$L$7:L100,"Проведён"))</f>
        <v>575891.07999999996</v>
      </c>
    </row>
    <row r="101" spans="1:23" x14ac:dyDescent="0.25">
      <c r="A101" s="3" t="s">
        <v>657</v>
      </c>
      <c r="B101" s="19">
        <v>46154</v>
      </c>
      <c r="C101" s="3" t="s">
        <v>484</v>
      </c>
      <c r="D101" s="3" t="s">
        <v>485</v>
      </c>
      <c r="E101" s="24">
        <v>97440</v>
      </c>
      <c r="F101" s="3" t="s">
        <v>474</v>
      </c>
      <c r="G101" s="3"/>
      <c r="H101" s="3" t="s">
        <v>486</v>
      </c>
      <c r="I101" s="3" t="s">
        <v>381</v>
      </c>
      <c r="J101" s="3" t="s">
        <v>658</v>
      </c>
      <c r="K101" s="3" t="s">
        <v>484</v>
      </c>
      <c r="L101" s="3" t="s">
        <v>476</v>
      </c>
      <c r="M101" s="3"/>
      <c r="N101" s="24">
        <v>0</v>
      </c>
      <c r="O101" s="3"/>
      <c r="P101" s="5">
        <f>IF(A101="","",IF(COUNTIF(Типы,C101)=0,0,VLOOKUP(C101,СПРАВОЧНИКИ!$A$7:$E$22,2,FALSE)))</f>
        <v>1</v>
      </c>
      <c r="Q101" s="25">
        <f t="shared" si="1"/>
        <v>97440</v>
      </c>
      <c r="R101" s="5" t="str">
        <f>IF(A101="","",IF(COUNTIF(Типы,C101)=0,"НЕИЗВЕСТНЫЙ ТИП",VLOOKUP(C101,СПРАВОЧНИКИ!$A$7:$E$22,3,FALSE)))</f>
        <v>Операционный</v>
      </c>
      <c r="S101" s="26">
        <f>IF(A101="","",IF(L101="Проведён",E101*IF(COUNTIF(Типы,C101)=0,0,VLOOKUP(C101,СПРАВОЧНИКИ!$A$7:$E$22,4,FALSE)),0))</f>
        <v>97440</v>
      </c>
      <c r="T101" s="26">
        <f>IF(A101="","",IF(L101="Проведён",E101*IF(COUNTIF(Типы,C101)=0,0,VLOOKUP(C101,СПРАВОЧНИКИ!$A$7:$E$22,5,FALSE)),0))</f>
        <v>97440</v>
      </c>
      <c r="U101" s="5" t="str">
        <f>IF(A101="","",IF(COUNTIF(Контрагенты,H101)=0,"Не задан",VLOOKUP(H101,СПРАВОЧНИКИ!$G$7:$H$66,2,FALSE)))</f>
        <v>ЮЛ</v>
      </c>
      <c r="V101" s="4" t="str">
        <f>IF(A101="",IF(COUNTA(B101:O101)&gt;0,"НЕТ ID",""),IF(OR(AND(OR(C101="Оплата клиента",C101="Возврат клиенту"),COUNTIFS(Docs[ID],J101,Docs[Тип долга],"ДЗ")&lt;&gt;1),AND(OR(C101="Оплата поставщику",C101="Возврат поставщика"),COUNTIFS(Docs[ID],J101,Docs[Тип долга],"КЗ",Docs[Вид],"&lt;&gt;Дивиденды")&lt;&gt;1),AND(C101="Дивиденды",COUNTIFS(Docs[ID],J101,Docs[Вид],"Дивиденды")&lt;&gt;1),AND(C101="Проценты",COUNTIFS(Docs[ID],J101,Docs[Вид],"Проценты")&lt;&gt;1),COUNTIF(Cash[ID],A101)&gt;1,NOT(ISNUMBER(B101)),B101&lt;НачалоУчета,YEAR(B101)&lt;&gt;Год,NOT(ISNUMBER(E101)),E101&lt;=0,N101&lt;0,COUNTIF(Типы,C101)&lt;&gt;1,COUNTIF(Категории,D101)&lt;&gt;1,COUNTIF(Счета,F101)&lt;&gt;1,COUNTIF(Проекты,I101)&lt;&gt;1,AND(H101&lt;&gt;"",COUNTIF(Контрагенты,H101)&lt;&gt;1),AND(C101="Перевод",OR(F101=G101,COUNTIF(Счета,G101)&lt;&gt;1)),AND(S101&lt;&gt;0,COUNTIF(Docs[ID],J101)&lt;&gt;1),AND(Форма="ООО",C101="Вывод ИП"),AND(Форма="ИП",C101="Дивиденды"),AND(L101&lt;&gt;"Проведён",L101&lt;&gt;"Черновик")),"ОШИБКА","ОК"))</f>
        <v>ОК</v>
      </c>
      <c r="W101" s="25">
        <f>IF(A101="","",SUMIF(Accounts[Счёт],F101,Accounts[Начальный])+SUMIFS($Q$7:Q101,$F$7:F101,F101)+SUMIFS($E$7:E101,$G$7:G101,F101,$C$7:C101,"Перевод",$L$7:L101,"Проведён"))</f>
        <v>673331.08</v>
      </c>
    </row>
    <row r="102" spans="1:23" x14ac:dyDescent="0.25">
      <c r="A102" s="3" t="s">
        <v>659</v>
      </c>
      <c r="B102" s="19">
        <v>46155</v>
      </c>
      <c r="C102" s="3" t="s">
        <v>484</v>
      </c>
      <c r="D102" s="3" t="s">
        <v>485</v>
      </c>
      <c r="E102" s="24">
        <v>76560</v>
      </c>
      <c r="F102" s="3" t="s">
        <v>474</v>
      </c>
      <c r="G102" s="3"/>
      <c r="H102" s="3" t="s">
        <v>489</v>
      </c>
      <c r="I102" s="3" t="s">
        <v>298</v>
      </c>
      <c r="J102" s="3" t="s">
        <v>660</v>
      </c>
      <c r="K102" s="3" t="s">
        <v>484</v>
      </c>
      <c r="L102" s="3" t="s">
        <v>476</v>
      </c>
      <c r="M102" s="3"/>
      <c r="N102" s="24">
        <v>0</v>
      </c>
      <c r="O102" s="3"/>
      <c r="P102" s="5">
        <f>IF(A102="","",IF(COUNTIF(Типы,C102)=0,0,VLOOKUP(C102,СПРАВОЧНИКИ!$A$7:$E$22,2,FALSE)))</f>
        <v>1</v>
      </c>
      <c r="Q102" s="25">
        <f t="shared" si="1"/>
        <v>76560</v>
      </c>
      <c r="R102" s="5" t="str">
        <f>IF(A102="","",IF(COUNTIF(Типы,C102)=0,"НЕИЗВЕСТНЫЙ ТИП",VLOOKUP(C102,СПРАВОЧНИКИ!$A$7:$E$22,3,FALSE)))</f>
        <v>Операционный</v>
      </c>
      <c r="S102" s="26">
        <f>IF(A102="","",IF(L102="Проведён",E102*IF(COUNTIF(Типы,C102)=0,0,VLOOKUP(C102,СПРАВОЧНИКИ!$A$7:$E$22,4,FALSE)),0))</f>
        <v>76560</v>
      </c>
      <c r="T102" s="26">
        <f>IF(A102="","",IF(L102="Проведён",E102*IF(COUNTIF(Типы,C102)=0,0,VLOOKUP(C102,СПРАВОЧНИКИ!$A$7:$E$22,5,FALSE)),0))</f>
        <v>76560</v>
      </c>
      <c r="U102" s="5" t="str">
        <f>IF(A102="","",IF(COUNTIF(Контрагенты,H102)=0,"Не задан",VLOOKUP(H102,СПРАВОЧНИКИ!$G$7:$H$66,2,FALSE)))</f>
        <v>ЮЛ</v>
      </c>
      <c r="V102" s="4" t="str">
        <f>IF(A102="",IF(COUNTA(B102:O102)&gt;0,"НЕТ ID",""),IF(OR(AND(OR(C102="Оплата клиента",C102="Возврат клиенту"),COUNTIFS(Docs[ID],J102,Docs[Тип долга],"ДЗ")&lt;&gt;1),AND(OR(C102="Оплата поставщику",C102="Возврат поставщика"),COUNTIFS(Docs[ID],J102,Docs[Тип долга],"КЗ",Docs[Вид],"&lt;&gt;Дивиденды")&lt;&gt;1),AND(C102="Дивиденды",COUNTIFS(Docs[ID],J102,Docs[Вид],"Дивиденды")&lt;&gt;1),AND(C102="Проценты",COUNTIFS(Docs[ID],J102,Docs[Вид],"Проценты")&lt;&gt;1),COUNTIF(Cash[ID],A102)&gt;1,NOT(ISNUMBER(B102)),B102&lt;НачалоУчета,YEAR(B102)&lt;&gt;Год,NOT(ISNUMBER(E102)),E102&lt;=0,N102&lt;0,COUNTIF(Типы,C102)&lt;&gt;1,COUNTIF(Категории,D102)&lt;&gt;1,COUNTIF(Счета,F102)&lt;&gt;1,COUNTIF(Проекты,I102)&lt;&gt;1,AND(H102&lt;&gt;"",COUNTIF(Контрагенты,H102)&lt;&gt;1),AND(C102="Перевод",OR(F102=G102,COUNTIF(Счета,G102)&lt;&gt;1)),AND(S102&lt;&gt;0,COUNTIF(Docs[ID],J102)&lt;&gt;1),AND(Форма="ООО",C102="Вывод ИП"),AND(Форма="ИП",C102="Дивиденды"),AND(L102&lt;&gt;"Проведён",L102&lt;&gt;"Черновик")),"ОШИБКА","ОК"))</f>
        <v>ОК</v>
      </c>
      <c r="W102" s="25">
        <f>IF(A102="","",SUMIF(Accounts[Счёт],F102,Accounts[Начальный])+SUMIFS($Q$7:Q102,$F$7:F102,F102)+SUMIFS($E$7:E102,$G$7:G102,F102,$C$7:C102,"Перевод",$L$7:L102,"Проведён"))</f>
        <v>749891.08</v>
      </c>
    </row>
    <row r="103" spans="1:23" x14ac:dyDescent="0.25">
      <c r="A103" s="3" t="s">
        <v>661</v>
      </c>
      <c r="B103" s="19">
        <v>46156</v>
      </c>
      <c r="C103" s="3" t="s">
        <v>484</v>
      </c>
      <c r="D103" s="3" t="s">
        <v>485</v>
      </c>
      <c r="E103" s="24">
        <v>62640</v>
      </c>
      <c r="F103" s="3" t="s">
        <v>474</v>
      </c>
      <c r="G103" s="3"/>
      <c r="H103" s="3" t="s">
        <v>492</v>
      </c>
      <c r="I103" s="3" t="s">
        <v>382</v>
      </c>
      <c r="J103" s="3" t="s">
        <v>662</v>
      </c>
      <c r="K103" s="3" t="s">
        <v>484</v>
      </c>
      <c r="L103" s="3" t="s">
        <v>476</v>
      </c>
      <c r="M103" s="3"/>
      <c r="N103" s="24">
        <v>0</v>
      </c>
      <c r="O103" s="3"/>
      <c r="P103" s="5">
        <f>IF(A103="","",IF(COUNTIF(Типы,C103)=0,0,VLOOKUP(C103,СПРАВОЧНИКИ!$A$7:$E$22,2,FALSE)))</f>
        <v>1</v>
      </c>
      <c r="Q103" s="25">
        <f t="shared" si="1"/>
        <v>62640</v>
      </c>
      <c r="R103" s="5" t="str">
        <f>IF(A103="","",IF(COUNTIF(Типы,C103)=0,"НЕИЗВЕСТНЫЙ ТИП",VLOOKUP(C103,СПРАВОЧНИКИ!$A$7:$E$22,3,FALSE)))</f>
        <v>Операционный</v>
      </c>
      <c r="S103" s="26">
        <f>IF(A103="","",IF(L103="Проведён",E103*IF(COUNTIF(Типы,C103)=0,0,VLOOKUP(C103,СПРАВОЧНИКИ!$A$7:$E$22,4,FALSE)),0))</f>
        <v>62640</v>
      </c>
      <c r="T103" s="26">
        <f>IF(A103="","",IF(L103="Проведён",E103*IF(COUNTIF(Типы,C103)=0,0,VLOOKUP(C103,СПРАВОЧНИКИ!$A$7:$E$22,5,FALSE)),0))</f>
        <v>62640</v>
      </c>
      <c r="U103" s="5" t="str">
        <f>IF(A103="","",IF(COUNTIF(Контрагенты,H103)=0,"Не задан",VLOOKUP(H103,СПРАВОЧНИКИ!$G$7:$H$66,2,FALSE)))</f>
        <v>ИП</v>
      </c>
      <c r="V103" s="4" t="str">
        <f>IF(A103="",IF(COUNTA(B103:O103)&gt;0,"НЕТ ID",""),IF(OR(AND(OR(C103="Оплата клиента",C103="Возврат клиенту"),COUNTIFS(Docs[ID],J103,Docs[Тип долга],"ДЗ")&lt;&gt;1),AND(OR(C103="Оплата поставщику",C103="Возврат поставщика"),COUNTIFS(Docs[ID],J103,Docs[Тип долга],"КЗ",Docs[Вид],"&lt;&gt;Дивиденды")&lt;&gt;1),AND(C103="Дивиденды",COUNTIFS(Docs[ID],J103,Docs[Вид],"Дивиденды")&lt;&gt;1),AND(C103="Проценты",COUNTIFS(Docs[ID],J103,Docs[Вид],"Проценты")&lt;&gt;1),COUNTIF(Cash[ID],A103)&gt;1,NOT(ISNUMBER(B103)),B103&lt;НачалоУчета,YEAR(B103)&lt;&gt;Год,NOT(ISNUMBER(E103)),E103&lt;=0,N103&lt;0,COUNTIF(Типы,C103)&lt;&gt;1,COUNTIF(Категории,D103)&lt;&gt;1,COUNTIF(Счета,F103)&lt;&gt;1,COUNTIF(Проекты,I103)&lt;&gt;1,AND(H103&lt;&gt;"",COUNTIF(Контрагенты,H103)&lt;&gt;1),AND(C103="Перевод",OR(F103=G103,COUNTIF(Счета,G103)&lt;&gt;1)),AND(S103&lt;&gt;0,COUNTIF(Docs[ID],J103)&lt;&gt;1),AND(Форма="ООО",C103="Вывод ИП"),AND(Форма="ИП",C103="Дивиденды"),AND(L103&lt;&gt;"Проведён",L103&lt;&gt;"Черновик")),"ОШИБКА","ОК"))</f>
        <v>ОК</v>
      </c>
      <c r="W103" s="25">
        <f>IF(A103="","",SUMIF(Accounts[Счёт],F103,Accounts[Начальный])+SUMIFS($Q$7:Q103,$F$7:F103,F103)+SUMIFS($E$7:E103,$G$7:G103,F103,$C$7:C103,"Перевод",$L$7:L103,"Проведён"))</f>
        <v>812531.08</v>
      </c>
    </row>
    <row r="104" spans="1:23" x14ac:dyDescent="0.25">
      <c r="A104" s="3" t="s">
        <v>663</v>
      </c>
      <c r="B104" s="19">
        <v>46157</v>
      </c>
      <c r="C104" s="3" t="s">
        <v>484</v>
      </c>
      <c r="D104" s="3" t="s">
        <v>485</v>
      </c>
      <c r="E104" s="24">
        <v>48720</v>
      </c>
      <c r="F104" s="3" t="s">
        <v>474</v>
      </c>
      <c r="G104" s="3"/>
      <c r="H104" s="3" t="s">
        <v>495</v>
      </c>
      <c r="I104" s="3" t="s">
        <v>381</v>
      </c>
      <c r="J104" s="3" t="s">
        <v>664</v>
      </c>
      <c r="K104" s="3" t="s">
        <v>484</v>
      </c>
      <c r="L104" s="3" t="s">
        <v>476</v>
      </c>
      <c r="M104" s="3"/>
      <c r="N104" s="24">
        <v>0</v>
      </c>
      <c r="O104" s="3"/>
      <c r="P104" s="5">
        <f>IF(A104="","",IF(COUNTIF(Типы,C104)=0,0,VLOOKUP(C104,СПРАВОЧНИКИ!$A$7:$E$22,2,FALSE)))</f>
        <v>1</v>
      </c>
      <c r="Q104" s="25">
        <f t="shared" si="1"/>
        <v>48720</v>
      </c>
      <c r="R104" s="5" t="str">
        <f>IF(A104="","",IF(COUNTIF(Типы,C104)=0,"НЕИЗВЕСТНЫЙ ТИП",VLOOKUP(C104,СПРАВОЧНИКИ!$A$7:$E$22,3,FALSE)))</f>
        <v>Операционный</v>
      </c>
      <c r="S104" s="26">
        <f>IF(A104="","",IF(L104="Проведён",E104*IF(COUNTIF(Типы,C104)=0,0,VLOOKUP(C104,СПРАВОЧНИКИ!$A$7:$E$22,4,FALSE)),0))</f>
        <v>48720</v>
      </c>
      <c r="T104" s="26">
        <f>IF(A104="","",IF(L104="Проведён",E104*IF(COUNTIF(Типы,C104)=0,0,VLOOKUP(C104,СПРАВОЧНИКИ!$A$7:$E$22,5,FALSE)),0))</f>
        <v>48720</v>
      </c>
      <c r="U104" s="5" t="str">
        <f>IF(A104="","",IF(COUNTIF(Контрагенты,H104)=0,"Не задан",VLOOKUP(H104,СПРАВОЧНИКИ!$G$7:$H$66,2,FALSE)))</f>
        <v>ЮЛ</v>
      </c>
      <c r="V104" s="4" t="str">
        <f>IF(A104="",IF(COUNTA(B104:O104)&gt;0,"НЕТ ID",""),IF(OR(AND(OR(C104="Оплата клиента",C104="Возврат клиенту"),COUNTIFS(Docs[ID],J104,Docs[Тип долга],"ДЗ")&lt;&gt;1),AND(OR(C104="Оплата поставщику",C104="Возврат поставщика"),COUNTIFS(Docs[ID],J104,Docs[Тип долга],"КЗ",Docs[Вид],"&lt;&gt;Дивиденды")&lt;&gt;1),AND(C104="Дивиденды",COUNTIFS(Docs[ID],J104,Docs[Вид],"Дивиденды")&lt;&gt;1),AND(C104="Проценты",COUNTIFS(Docs[ID],J104,Docs[Вид],"Проценты")&lt;&gt;1),COUNTIF(Cash[ID],A104)&gt;1,NOT(ISNUMBER(B104)),B104&lt;НачалоУчета,YEAR(B104)&lt;&gt;Год,NOT(ISNUMBER(E104)),E104&lt;=0,N104&lt;0,COUNTIF(Типы,C104)&lt;&gt;1,COUNTIF(Категории,D104)&lt;&gt;1,COUNTIF(Счета,F104)&lt;&gt;1,COUNTIF(Проекты,I104)&lt;&gt;1,AND(H104&lt;&gt;"",COUNTIF(Контрагенты,H104)&lt;&gt;1),AND(C104="Перевод",OR(F104=G104,COUNTIF(Счета,G104)&lt;&gt;1)),AND(S104&lt;&gt;0,COUNTIF(Docs[ID],J104)&lt;&gt;1),AND(Форма="ООО",C104="Вывод ИП"),AND(Форма="ИП",C104="Дивиденды"),AND(L104&lt;&gt;"Проведён",L104&lt;&gt;"Черновик")),"ОШИБКА","ОК"))</f>
        <v>ОК</v>
      </c>
      <c r="W104" s="25">
        <f>IF(A104="","",SUMIF(Accounts[Счёт],F104,Accounts[Начальный])+SUMIFS($Q$7:Q104,$F$7:F104,F104)+SUMIFS($E$7:E104,$G$7:G104,F104,$C$7:C104,"Перевод",$L$7:L104,"Проведён"))</f>
        <v>861251.08</v>
      </c>
    </row>
    <row r="105" spans="1:23" x14ac:dyDescent="0.25">
      <c r="A105" s="3" t="s">
        <v>665</v>
      </c>
      <c r="B105" s="19">
        <v>46158</v>
      </c>
      <c r="C105" s="3" t="s">
        <v>484</v>
      </c>
      <c r="D105" s="3" t="s">
        <v>485</v>
      </c>
      <c r="E105" s="24">
        <v>34800</v>
      </c>
      <c r="F105" s="3" t="s">
        <v>474</v>
      </c>
      <c r="G105" s="3"/>
      <c r="H105" s="3" t="s">
        <v>498</v>
      </c>
      <c r="I105" s="3" t="s">
        <v>298</v>
      </c>
      <c r="J105" s="3" t="s">
        <v>666</v>
      </c>
      <c r="K105" s="3" t="s">
        <v>484</v>
      </c>
      <c r="L105" s="3" t="s">
        <v>476</v>
      </c>
      <c r="M105" s="3"/>
      <c r="N105" s="24">
        <v>0</v>
      </c>
      <c r="O105" s="3"/>
      <c r="P105" s="5">
        <f>IF(A105="","",IF(COUNTIF(Типы,C105)=0,0,VLOOKUP(C105,СПРАВОЧНИКИ!$A$7:$E$22,2,FALSE)))</f>
        <v>1</v>
      </c>
      <c r="Q105" s="25">
        <f t="shared" si="1"/>
        <v>34800</v>
      </c>
      <c r="R105" s="5" t="str">
        <f>IF(A105="","",IF(COUNTIF(Типы,C105)=0,"НЕИЗВЕСТНЫЙ ТИП",VLOOKUP(C105,СПРАВОЧНИКИ!$A$7:$E$22,3,FALSE)))</f>
        <v>Операционный</v>
      </c>
      <c r="S105" s="26">
        <f>IF(A105="","",IF(L105="Проведён",E105*IF(COUNTIF(Типы,C105)=0,0,VLOOKUP(C105,СПРАВОЧНИКИ!$A$7:$E$22,4,FALSE)),0))</f>
        <v>34800</v>
      </c>
      <c r="T105" s="26">
        <f>IF(A105="","",IF(L105="Проведён",E105*IF(COUNTIF(Типы,C105)=0,0,VLOOKUP(C105,СПРАВОЧНИКИ!$A$7:$E$22,5,FALSE)),0))</f>
        <v>34800</v>
      </c>
      <c r="U105" s="5" t="str">
        <f>IF(A105="","",IF(COUNTIF(Контрагенты,H105)=0,"Не задан",VLOOKUP(H105,СПРАВОЧНИКИ!$G$7:$H$66,2,FALSE)))</f>
        <v>ФЛ</v>
      </c>
      <c r="V105" s="4" t="str">
        <f>IF(A105="",IF(COUNTA(B105:O105)&gt;0,"НЕТ ID",""),IF(OR(AND(OR(C105="Оплата клиента",C105="Возврат клиенту"),COUNTIFS(Docs[ID],J105,Docs[Тип долга],"ДЗ")&lt;&gt;1),AND(OR(C105="Оплата поставщику",C105="Возврат поставщика"),COUNTIFS(Docs[ID],J105,Docs[Тип долга],"КЗ",Docs[Вид],"&lt;&gt;Дивиденды")&lt;&gt;1),AND(C105="Дивиденды",COUNTIFS(Docs[ID],J105,Docs[Вид],"Дивиденды")&lt;&gt;1),AND(C105="Проценты",COUNTIFS(Docs[ID],J105,Docs[Вид],"Проценты")&lt;&gt;1),COUNTIF(Cash[ID],A105)&gt;1,NOT(ISNUMBER(B105)),B105&lt;НачалоУчета,YEAR(B105)&lt;&gt;Год,NOT(ISNUMBER(E105)),E105&lt;=0,N105&lt;0,COUNTIF(Типы,C105)&lt;&gt;1,COUNTIF(Категории,D105)&lt;&gt;1,COUNTIF(Счета,F105)&lt;&gt;1,COUNTIF(Проекты,I105)&lt;&gt;1,AND(H105&lt;&gt;"",COUNTIF(Контрагенты,H105)&lt;&gt;1),AND(C105="Перевод",OR(F105=G105,COUNTIF(Счета,G105)&lt;&gt;1)),AND(S105&lt;&gt;0,COUNTIF(Docs[ID],J105)&lt;&gt;1),AND(Форма="ООО",C105="Вывод ИП"),AND(Форма="ИП",C105="Дивиденды"),AND(L105&lt;&gt;"Проведён",L105&lt;&gt;"Черновик")),"ОШИБКА","ОК"))</f>
        <v>ОК</v>
      </c>
      <c r="W105" s="25">
        <f>IF(A105="","",SUMIF(Accounts[Счёт],F105,Accounts[Начальный])+SUMIFS($Q$7:Q105,$F$7:F105,F105)+SUMIFS($E$7:E105,$G$7:G105,F105,$C$7:C105,"Перевод",$L$7:L105,"Проведён"))</f>
        <v>896051.08</v>
      </c>
    </row>
    <row r="106" spans="1:23" x14ac:dyDescent="0.25">
      <c r="A106" s="3" t="s">
        <v>667</v>
      </c>
      <c r="B106" s="19">
        <v>46159</v>
      </c>
      <c r="C106" s="3" t="s">
        <v>484</v>
      </c>
      <c r="D106" s="3" t="s">
        <v>485</v>
      </c>
      <c r="E106" s="24">
        <v>27840</v>
      </c>
      <c r="F106" s="3" t="s">
        <v>474</v>
      </c>
      <c r="G106" s="3"/>
      <c r="H106" s="3" t="s">
        <v>501</v>
      </c>
      <c r="I106" s="3" t="s">
        <v>382</v>
      </c>
      <c r="J106" s="3" t="s">
        <v>668</v>
      </c>
      <c r="K106" s="3" t="s">
        <v>484</v>
      </c>
      <c r="L106" s="3" t="s">
        <v>476</v>
      </c>
      <c r="M106" s="3"/>
      <c r="N106" s="24">
        <v>0</v>
      </c>
      <c r="O106" s="3"/>
      <c r="P106" s="5">
        <f>IF(A106="","",IF(COUNTIF(Типы,C106)=0,0,VLOOKUP(C106,СПРАВОЧНИКИ!$A$7:$E$22,2,FALSE)))</f>
        <v>1</v>
      </c>
      <c r="Q106" s="25">
        <f t="shared" si="1"/>
        <v>27840</v>
      </c>
      <c r="R106" s="5" t="str">
        <f>IF(A106="","",IF(COUNTIF(Типы,C106)=0,"НЕИЗВЕСТНЫЙ ТИП",VLOOKUP(C106,СПРАВОЧНИКИ!$A$7:$E$22,3,FALSE)))</f>
        <v>Операционный</v>
      </c>
      <c r="S106" s="26">
        <f>IF(A106="","",IF(L106="Проведён",E106*IF(COUNTIF(Типы,C106)=0,0,VLOOKUP(C106,СПРАВОЧНИКИ!$A$7:$E$22,4,FALSE)),0))</f>
        <v>27840</v>
      </c>
      <c r="T106" s="26">
        <f>IF(A106="","",IF(L106="Проведён",E106*IF(COUNTIF(Типы,C106)=0,0,VLOOKUP(C106,СПРАВОЧНИКИ!$A$7:$E$22,5,FALSE)),0))</f>
        <v>27840</v>
      </c>
      <c r="U106" s="5" t="str">
        <f>IF(A106="","",IF(COUNTIF(Контрагенты,H106)=0,"Не задан",VLOOKUP(H106,СПРАВОЧНИКИ!$G$7:$H$66,2,FALSE)))</f>
        <v>ЮЛ</v>
      </c>
      <c r="V106" s="4" t="str">
        <f>IF(A106="",IF(COUNTA(B106:O106)&gt;0,"НЕТ ID",""),IF(OR(AND(OR(C106="Оплата клиента",C106="Возврат клиенту"),COUNTIFS(Docs[ID],J106,Docs[Тип долга],"ДЗ")&lt;&gt;1),AND(OR(C106="Оплата поставщику",C106="Возврат поставщика"),COUNTIFS(Docs[ID],J106,Docs[Тип долга],"КЗ",Docs[Вид],"&lt;&gt;Дивиденды")&lt;&gt;1),AND(C106="Дивиденды",COUNTIFS(Docs[ID],J106,Docs[Вид],"Дивиденды")&lt;&gt;1),AND(C106="Проценты",COUNTIFS(Docs[ID],J106,Docs[Вид],"Проценты")&lt;&gt;1),COUNTIF(Cash[ID],A106)&gt;1,NOT(ISNUMBER(B106)),B106&lt;НачалоУчета,YEAR(B106)&lt;&gt;Год,NOT(ISNUMBER(E106)),E106&lt;=0,N106&lt;0,COUNTIF(Типы,C106)&lt;&gt;1,COUNTIF(Категории,D106)&lt;&gt;1,COUNTIF(Счета,F106)&lt;&gt;1,COUNTIF(Проекты,I106)&lt;&gt;1,AND(H106&lt;&gt;"",COUNTIF(Контрагенты,H106)&lt;&gt;1),AND(C106="Перевод",OR(F106=G106,COUNTIF(Счета,G106)&lt;&gt;1)),AND(S106&lt;&gt;0,COUNTIF(Docs[ID],J106)&lt;&gt;1),AND(Форма="ООО",C106="Вывод ИП"),AND(Форма="ИП",C106="Дивиденды"),AND(L106&lt;&gt;"Проведён",L106&lt;&gt;"Черновик")),"ОШИБКА","ОК"))</f>
        <v>ОК</v>
      </c>
      <c r="W106" s="25">
        <f>IF(A106="","",SUMIF(Accounts[Счёт],F106,Accounts[Начальный])+SUMIFS($Q$7:Q106,$F$7:F106,F106)+SUMIFS($E$7:E106,$G$7:G106,F106,$C$7:C106,"Перевод",$L$7:L106,"Проведён"))</f>
        <v>923891.08</v>
      </c>
    </row>
    <row r="107" spans="1:23" x14ac:dyDescent="0.25">
      <c r="A107" s="3" t="s">
        <v>669</v>
      </c>
      <c r="B107" s="19">
        <v>46164</v>
      </c>
      <c r="C107" s="3" t="s">
        <v>504</v>
      </c>
      <c r="D107" s="3" t="s">
        <v>505</v>
      </c>
      <c r="E107" s="24">
        <v>185600</v>
      </c>
      <c r="F107" s="3" t="s">
        <v>474</v>
      </c>
      <c r="G107" s="3"/>
      <c r="H107" s="3" t="s">
        <v>506</v>
      </c>
      <c r="I107" s="3" t="s">
        <v>298</v>
      </c>
      <c r="J107" s="3" t="s">
        <v>670</v>
      </c>
      <c r="K107" s="3" t="s">
        <v>504</v>
      </c>
      <c r="L107" s="3" t="s">
        <v>476</v>
      </c>
      <c r="M107" s="3"/>
      <c r="N107" s="24">
        <v>185600</v>
      </c>
      <c r="O107" s="3"/>
      <c r="P107" s="5">
        <f>IF(A107="","",IF(COUNTIF(Типы,C107)=0,0,VLOOKUP(C107,СПРАВОЧНИКИ!$A$7:$E$22,2,FALSE)))</f>
        <v>-1</v>
      </c>
      <c r="Q107" s="25">
        <f t="shared" si="1"/>
        <v>-185600</v>
      </c>
      <c r="R107" s="5" t="str">
        <f>IF(A107="","",IF(COUNTIF(Типы,C107)=0,"НЕИЗВЕСТНЫЙ ТИП",VLOOKUP(C107,СПРАВОЧНИКИ!$A$7:$E$22,3,FALSE)))</f>
        <v>Операционный</v>
      </c>
      <c r="S107" s="26">
        <f>IF(A107="","",IF(L107="Проведён",E107*IF(COUNTIF(Типы,C107)=0,0,VLOOKUP(C107,СПРАВОЧНИКИ!$A$7:$E$22,4,FALSE)),0))</f>
        <v>185600</v>
      </c>
      <c r="T107" s="26">
        <f>IF(A107="","",IF(L107="Проведён",E107*IF(COUNTIF(Типы,C107)=0,0,VLOOKUP(C107,СПРАВОЧНИКИ!$A$7:$E$22,5,FALSE)),0))</f>
        <v>0</v>
      </c>
      <c r="U107" s="5" t="str">
        <f>IF(A107="","",IF(COUNTIF(Контрагенты,H107)=0,"Не задан",VLOOKUP(H107,СПРАВОЧНИКИ!$G$7:$H$66,2,FALSE)))</f>
        <v>ИП</v>
      </c>
      <c r="V107" s="4" t="str">
        <f>IF(A107="",IF(COUNTA(B107:O107)&gt;0,"НЕТ ID",""),IF(OR(AND(OR(C107="Оплата клиента",C107="Возврат клиенту"),COUNTIFS(Docs[ID],J107,Docs[Тип долга],"ДЗ")&lt;&gt;1),AND(OR(C107="Оплата поставщику",C107="Возврат поставщика"),COUNTIFS(Docs[ID],J107,Docs[Тип долга],"КЗ",Docs[Вид],"&lt;&gt;Дивиденды")&lt;&gt;1),AND(C107="Дивиденды",COUNTIFS(Docs[ID],J107,Docs[Вид],"Дивиденды")&lt;&gt;1),AND(C107="Проценты",COUNTIFS(Docs[ID],J107,Docs[Вид],"Проценты")&lt;&gt;1),COUNTIF(Cash[ID],A107)&gt;1,NOT(ISNUMBER(B107)),B107&lt;НачалоУчета,YEAR(B107)&lt;&gt;Год,NOT(ISNUMBER(E107)),E107&lt;=0,N107&lt;0,COUNTIF(Типы,C107)&lt;&gt;1,COUNTIF(Категории,D107)&lt;&gt;1,COUNTIF(Счета,F107)&lt;&gt;1,COUNTIF(Проекты,I107)&lt;&gt;1,AND(H107&lt;&gt;"",COUNTIF(Контрагенты,H107)&lt;&gt;1),AND(C107="Перевод",OR(F107=G107,COUNTIF(Счета,G107)&lt;&gt;1)),AND(S107&lt;&gt;0,COUNTIF(Docs[ID],J107)&lt;&gt;1),AND(Форма="ООО",C107="Вывод ИП"),AND(Форма="ИП",C107="Дивиденды"),AND(L107&lt;&gt;"Проведён",L107&lt;&gt;"Черновик")),"ОШИБКА","ОК"))</f>
        <v>ОК</v>
      </c>
      <c r="W107" s="25">
        <f>IF(A107="","",SUMIF(Accounts[Счёт],F107,Accounts[Начальный])+SUMIFS($Q$7:Q107,$F$7:F107,F107)+SUMIFS($E$7:E107,$G$7:G107,F107,$C$7:C107,"Перевод",$L$7:L107,"Проведён"))</f>
        <v>738291.08</v>
      </c>
    </row>
    <row r="108" spans="1:23" x14ac:dyDescent="0.25">
      <c r="A108" s="3" t="s">
        <v>671</v>
      </c>
      <c r="B108" s="19">
        <v>46165</v>
      </c>
      <c r="C108" s="3" t="s">
        <v>504</v>
      </c>
      <c r="D108" s="3" t="s">
        <v>509</v>
      </c>
      <c r="E108" s="24">
        <v>65000</v>
      </c>
      <c r="F108" s="3" t="s">
        <v>474</v>
      </c>
      <c r="G108" s="3"/>
      <c r="H108" s="3" t="s">
        <v>510</v>
      </c>
      <c r="I108" s="3" t="s">
        <v>383</v>
      </c>
      <c r="J108" s="3" t="s">
        <v>672</v>
      </c>
      <c r="K108" s="3" t="s">
        <v>504</v>
      </c>
      <c r="L108" s="3" t="s">
        <v>476</v>
      </c>
      <c r="M108" s="3"/>
      <c r="N108" s="24">
        <v>65000</v>
      </c>
      <c r="O108" s="3"/>
      <c r="P108" s="5">
        <f>IF(A108="","",IF(COUNTIF(Типы,C108)=0,0,VLOOKUP(C108,СПРАВОЧНИКИ!$A$7:$E$22,2,FALSE)))</f>
        <v>-1</v>
      </c>
      <c r="Q108" s="25">
        <f t="shared" si="1"/>
        <v>-65000</v>
      </c>
      <c r="R108" s="5" t="str">
        <f>IF(A108="","",IF(COUNTIF(Типы,C108)=0,"НЕИЗВЕСТНЫЙ ТИП",VLOOKUP(C108,СПРАВОЧНИКИ!$A$7:$E$22,3,FALSE)))</f>
        <v>Операционный</v>
      </c>
      <c r="S108" s="26">
        <f>IF(A108="","",IF(L108="Проведён",E108*IF(COUNTIF(Типы,C108)=0,0,VLOOKUP(C108,СПРАВОЧНИКИ!$A$7:$E$22,4,FALSE)),0))</f>
        <v>65000</v>
      </c>
      <c r="T108" s="26">
        <f>IF(A108="","",IF(L108="Проведён",E108*IF(COUNTIF(Типы,C108)=0,0,VLOOKUP(C108,СПРАВОЧНИКИ!$A$7:$E$22,5,FALSE)),0))</f>
        <v>0</v>
      </c>
      <c r="U108" s="5" t="str">
        <f>IF(A108="","",IF(COUNTIF(Контрагенты,H108)=0,"Не задан",VLOOKUP(H108,СПРАВОЧНИКИ!$G$7:$H$66,2,FALSE)))</f>
        <v>ЮЛ</v>
      </c>
      <c r="V108" s="4" t="str">
        <f>IF(A108="",IF(COUNTA(B108:O108)&gt;0,"НЕТ ID",""),IF(OR(AND(OR(C108="Оплата клиента",C108="Возврат клиенту"),COUNTIFS(Docs[ID],J108,Docs[Тип долга],"ДЗ")&lt;&gt;1),AND(OR(C108="Оплата поставщику",C108="Возврат поставщика"),COUNTIFS(Docs[ID],J108,Docs[Тип долга],"КЗ",Docs[Вид],"&lt;&gt;Дивиденды")&lt;&gt;1),AND(C108="Дивиденды",COUNTIFS(Docs[ID],J108,Docs[Вид],"Дивиденды")&lt;&gt;1),AND(C108="Проценты",COUNTIFS(Docs[ID],J108,Docs[Вид],"Проценты")&lt;&gt;1),COUNTIF(Cash[ID],A108)&gt;1,NOT(ISNUMBER(B108)),B108&lt;НачалоУчета,YEAR(B108)&lt;&gt;Год,NOT(ISNUMBER(E108)),E108&lt;=0,N108&lt;0,COUNTIF(Типы,C108)&lt;&gt;1,COUNTIF(Категории,D108)&lt;&gt;1,COUNTIF(Счета,F108)&lt;&gt;1,COUNTIF(Проекты,I108)&lt;&gt;1,AND(H108&lt;&gt;"",COUNTIF(Контрагенты,H108)&lt;&gt;1),AND(C108="Перевод",OR(F108=G108,COUNTIF(Счета,G108)&lt;&gt;1)),AND(S108&lt;&gt;0,COUNTIF(Docs[ID],J108)&lt;&gt;1),AND(Форма="ООО",C108="Вывод ИП"),AND(Форма="ИП",C108="Дивиденды"),AND(L108&lt;&gt;"Проведён",L108&lt;&gt;"Черновик")),"ОШИБКА","ОК"))</f>
        <v>ОК</v>
      </c>
      <c r="W108" s="25">
        <f>IF(A108="","",SUMIF(Accounts[Счёт],F108,Accounts[Начальный])+SUMIFS($Q$7:Q108,$F$7:F108,F108)+SUMIFS($E$7:E108,$G$7:G108,F108,$C$7:C108,"Перевод",$L$7:L108,"Проведён"))</f>
        <v>673291.08</v>
      </c>
    </row>
    <row r="109" spans="1:23" x14ac:dyDescent="0.25">
      <c r="A109" s="3" t="s">
        <v>673</v>
      </c>
      <c r="B109" s="19">
        <v>46166</v>
      </c>
      <c r="C109" s="3" t="s">
        <v>484</v>
      </c>
      <c r="D109" s="3" t="s">
        <v>485</v>
      </c>
      <c r="E109" s="24">
        <v>64960</v>
      </c>
      <c r="F109" s="3" t="s">
        <v>474</v>
      </c>
      <c r="G109" s="3"/>
      <c r="H109" s="3" t="s">
        <v>486</v>
      </c>
      <c r="I109" s="3" t="s">
        <v>381</v>
      </c>
      <c r="J109" s="3" t="s">
        <v>658</v>
      </c>
      <c r="K109" s="3" t="s">
        <v>484</v>
      </c>
      <c r="L109" s="3" t="s">
        <v>476</v>
      </c>
      <c r="M109" s="3"/>
      <c r="N109" s="24">
        <v>0</v>
      </c>
      <c r="O109" s="3"/>
      <c r="P109" s="5">
        <f>IF(A109="","",IF(COUNTIF(Типы,C109)=0,0,VLOOKUP(C109,СПРАВОЧНИКИ!$A$7:$E$22,2,FALSE)))</f>
        <v>1</v>
      </c>
      <c r="Q109" s="25">
        <f t="shared" si="1"/>
        <v>64960</v>
      </c>
      <c r="R109" s="5" t="str">
        <f>IF(A109="","",IF(COUNTIF(Типы,C109)=0,"НЕИЗВЕСТНЫЙ ТИП",VLOOKUP(C109,СПРАВОЧНИКИ!$A$7:$E$22,3,FALSE)))</f>
        <v>Операционный</v>
      </c>
      <c r="S109" s="26">
        <f>IF(A109="","",IF(L109="Проведён",E109*IF(COUNTIF(Типы,C109)=0,0,VLOOKUP(C109,СПРАВОЧНИКИ!$A$7:$E$22,4,FALSE)),0))</f>
        <v>64960</v>
      </c>
      <c r="T109" s="26">
        <f>IF(A109="","",IF(L109="Проведён",E109*IF(COUNTIF(Типы,C109)=0,0,VLOOKUP(C109,СПРАВОЧНИКИ!$A$7:$E$22,5,FALSE)),0))</f>
        <v>64960</v>
      </c>
      <c r="U109" s="5" t="str">
        <f>IF(A109="","",IF(COUNTIF(Контрагенты,H109)=0,"Не задан",VLOOKUP(H109,СПРАВОЧНИКИ!$G$7:$H$66,2,FALSE)))</f>
        <v>ЮЛ</v>
      </c>
      <c r="V109" s="4" t="str">
        <f>IF(A109="",IF(COUNTA(B109:O109)&gt;0,"НЕТ ID",""),IF(OR(AND(OR(C109="Оплата клиента",C109="Возврат клиенту"),COUNTIFS(Docs[ID],J109,Docs[Тип долга],"ДЗ")&lt;&gt;1),AND(OR(C109="Оплата поставщику",C109="Возврат поставщика"),COUNTIFS(Docs[ID],J109,Docs[Тип долга],"КЗ",Docs[Вид],"&lt;&gt;Дивиденды")&lt;&gt;1),AND(C109="Дивиденды",COUNTIFS(Docs[ID],J109,Docs[Вид],"Дивиденды")&lt;&gt;1),AND(C109="Проценты",COUNTIFS(Docs[ID],J109,Docs[Вид],"Проценты")&lt;&gt;1),COUNTIF(Cash[ID],A109)&gt;1,NOT(ISNUMBER(B109)),B109&lt;НачалоУчета,YEAR(B109)&lt;&gt;Год,NOT(ISNUMBER(E109)),E109&lt;=0,N109&lt;0,COUNTIF(Типы,C109)&lt;&gt;1,COUNTIF(Категории,D109)&lt;&gt;1,COUNTIF(Счета,F109)&lt;&gt;1,COUNTIF(Проекты,I109)&lt;&gt;1,AND(H109&lt;&gt;"",COUNTIF(Контрагенты,H109)&lt;&gt;1),AND(C109="Перевод",OR(F109=G109,COUNTIF(Счета,G109)&lt;&gt;1)),AND(S109&lt;&gt;0,COUNTIF(Docs[ID],J109)&lt;&gt;1),AND(Форма="ООО",C109="Вывод ИП"),AND(Форма="ИП",C109="Дивиденды"),AND(L109&lt;&gt;"Проведён",L109&lt;&gt;"Черновик")),"ОШИБКА","ОК"))</f>
        <v>ОК</v>
      </c>
      <c r="W109" s="25">
        <f>IF(A109="","",SUMIF(Accounts[Счёт],F109,Accounts[Начальный])+SUMIFS($Q$7:Q109,$F$7:F109,F109)+SUMIFS($E$7:E109,$G$7:G109,F109,$C$7:C109,"Перевод",$L$7:L109,"Проведён"))</f>
        <v>738251.08</v>
      </c>
    </row>
    <row r="110" spans="1:23" x14ac:dyDescent="0.25">
      <c r="A110" s="3" t="s">
        <v>674</v>
      </c>
      <c r="B110" s="19">
        <v>46166</v>
      </c>
      <c r="C110" s="3" t="s">
        <v>504</v>
      </c>
      <c r="D110" s="3" t="s">
        <v>295</v>
      </c>
      <c r="E110" s="24">
        <v>45000</v>
      </c>
      <c r="F110" s="3" t="s">
        <v>474</v>
      </c>
      <c r="G110" s="3"/>
      <c r="H110" s="3" t="s">
        <v>514</v>
      </c>
      <c r="I110" s="3" t="s">
        <v>381</v>
      </c>
      <c r="J110" s="3" t="s">
        <v>675</v>
      </c>
      <c r="K110" s="3" t="s">
        <v>504</v>
      </c>
      <c r="L110" s="3" t="s">
        <v>476</v>
      </c>
      <c r="M110" s="3"/>
      <c r="N110" s="24">
        <v>45000</v>
      </c>
      <c r="O110" s="3" t="s">
        <v>295</v>
      </c>
      <c r="P110" s="5">
        <f>IF(A110="","",IF(COUNTIF(Типы,C110)=0,0,VLOOKUP(C110,СПРАВОЧНИКИ!$A$7:$E$22,2,FALSE)))</f>
        <v>-1</v>
      </c>
      <c r="Q110" s="25">
        <f t="shared" si="1"/>
        <v>-45000</v>
      </c>
      <c r="R110" s="5" t="str">
        <f>IF(A110="","",IF(COUNTIF(Типы,C110)=0,"НЕИЗВЕСТНЫЙ ТИП",VLOOKUP(C110,СПРАВОЧНИКИ!$A$7:$E$22,3,FALSE)))</f>
        <v>Операционный</v>
      </c>
      <c r="S110" s="26">
        <f>IF(A110="","",IF(L110="Проведён",E110*IF(COUNTIF(Типы,C110)=0,0,VLOOKUP(C110,СПРАВОЧНИКИ!$A$7:$E$22,4,FALSE)),0))</f>
        <v>45000</v>
      </c>
      <c r="T110" s="26">
        <f>IF(A110="","",IF(L110="Проведён",E110*IF(COUNTIF(Типы,C110)=0,0,VLOOKUP(C110,СПРАВОЧНИКИ!$A$7:$E$22,5,FALSE)),0))</f>
        <v>0</v>
      </c>
      <c r="U110" s="5" t="str">
        <f>IF(A110="","",IF(COUNTIF(Контрагенты,H110)=0,"Не задан",VLOOKUP(H110,СПРАВОЧНИКИ!$G$7:$H$66,2,FALSE)))</f>
        <v>ЮЛ</v>
      </c>
      <c r="V110" s="4" t="str">
        <f>IF(A110="",IF(COUNTA(B110:O110)&gt;0,"НЕТ ID",""),IF(OR(AND(OR(C110="Оплата клиента",C110="Возврат клиенту"),COUNTIFS(Docs[ID],J110,Docs[Тип долга],"ДЗ")&lt;&gt;1),AND(OR(C110="Оплата поставщику",C110="Возврат поставщика"),COUNTIFS(Docs[ID],J110,Docs[Тип долга],"КЗ",Docs[Вид],"&lt;&gt;Дивиденды")&lt;&gt;1),AND(C110="Дивиденды",COUNTIFS(Docs[ID],J110,Docs[Вид],"Дивиденды")&lt;&gt;1),AND(C110="Проценты",COUNTIFS(Docs[ID],J110,Docs[Вид],"Проценты")&lt;&gt;1),COUNTIF(Cash[ID],A110)&gt;1,NOT(ISNUMBER(B110)),B110&lt;НачалоУчета,YEAR(B110)&lt;&gt;Год,NOT(ISNUMBER(E110)),E110&lt;=0,N110&lt;0,COUNTIF(Типы,C110)&lt;&gt;1,COUNTIF(Категории,D110)&lt;&gt;1,COUNTIF(Счета,F110)&lt;&gt;1,COUNTIF(Проекты,I110)&lt;&gt;1,AND(H110&lt;&gt;"",COUNTIF(Контрагенты,H110)&lt;&gt;1),AND(C110="Перевод",OR(F110=G110,COUNTIF(Счета,G110)&lt;&gt;1)),AND(S110&lt;&gt;0,COUNTIF(Docs[ID],J110)&lt;&gt;1),AND(Форма="ООО",C110="Вывод ИП"),AND(Форма="ИП",C110="Дивиденды"),AND(L110&lt;&gt;"Проведён",L110&lt;&gt;"Черновик")),"ОШИБКА","ОК"))</f>
        <v>ОК</v>
      </c>
      <c r="W110" s="25">
        <f>IF(A110="","",SUMIF(Accounts[Счёт],F110,Accounts[Начальный])+SUMIFS($Q$7:Q110,$F$7:F110,F110)+SUMIFS($E$7:E110,$G$7:G110,F110,$C$7:C110,"Перевод",$L$7:L110,"Проведён"))</f>
        <v>693251.08</v>
      </c>
    </row>
    <row r="111" spans="1:23" x14ac:dyDescent="0.25">
      <c r="A111" s="3" t="s">
        <v>676</v>
      </c>
      <c r="B111" s="19">
        <v>46167</v>
      </c>
      <c r="C111" s="3" t="s">
        <v>484</v>
      </c>
      <c r="D111" s="3" t="s">
        <v>485</v>
      </c>
      <c r="E111" s="24">
        <v>51040</v>
      </c>
      <c r="F111" s="3" t="s">
        <v>474</v>
      </c>
      <c r="G111" s="3"/>
      <c r="H111" s="3" t="s">
        <v>489</v>
      </c>
      <c r="I111" s="3" t="s">
        <v>298</v>
      </c>
      <c r="J111" s="3" t="s">
        <v>660</v>
      </c>
      <c r="K111" s="3" t="s">
        <v>484</v>
      </c>
      <c r="L111" s="3" t="s">
        <v>476</v>
      </c>
      <c r="M111" s="3"/>
      <c r="N111" s="24">
        <v>0</v>
      </c>
      <c r="O111" s="3"/>
      <c r="P111" s="5">
        <f>IF(A111="","",IF(COUNTIF(Типы,C111)=0,0,VLOOKUP(C111,СПРАВОЧНИКИ!$A$7:$E$22,2,FALSE)))</f>
        <v>1</v>
      </c>
      <c r="Q111" s="25">
        <f t="shared" si="1"/>
        <v>51040</v>
      </c>
      <c r="R111" s="5" t="str">
        <f>IF(A111="","",IF(COUNTIF(Типы,C111)=0,"НЕИЗВЕСТНЫЙ ТИП",VLOOKUP(C111,СПРАВОЧНИКИ!$A$7:$E$22,3,FALSE)))</f>
        <v>Операционный</v>
      </c>
      <c r="S111" s="26">
        <f>IF(A111="","",IF(L111="Проведён",E111*IF(COUNTIF(Типы,C111)=0,0,VLOOKUP(C111,СПРАВОЧНИКИ!$A$7:$E$22,4,FALSE)),0))</f>
        <v>51040</v>
      </c>
      <c r="T111" s="26">
        <f>IF(A111="","",IF(L111="Проведён",E111*IF(COUNTIF(Типы,C111)=0,0,VLOOKUP(C111,СПРАВОЧНИКИ!$A$7:$E$22,5,FALSE)),0))</f>
        <v>51040</v>
      </c>
      <c r="U111" s="5" t="str">
        <f>IF(A111="","",IF(COUNTIF(Контрагенты,H111)=0,"Не задан",VLOOKUP(H111,СПРАВОЧНИКИ!$G$7:$H$66,2,FALSE)))</f>
        <v>ЮЛ</v>
      </c>
      <c r="V111" s="4" t="str">
        <f>IF(A111="",IF(COUNTA(B111:O111)&gt;0,"НЕТ ID",""),IF(OR(AND(OR(C111="Оплата клиента",C111="Возврат клиенту"),COUNTIFS(Docs[ID],J111,Docs[Тип долга],"ДЗ")&lt;&gt;1),AND(OR(C111="Оплата поставщику",C111="Возврат поставщика"),COUNTIFS(Docs[ID],J111,Docs[Тип долга],"КЗ",Docs[Вид],"&lt;&gt;Дивиденды")&lt;&gt;1),AND(C111="Дивиденды",COUNTIFS(Docs[ID],J111,Docs[Вид],"Дивиденды")&lt;&gt;1),AND(C111="Проценты",COUNTIFS(Docs[ID],J111,Docs[Вид],"Проценты")&lt;&gt;1),COUNTIF(Cash[ID],A111)&gt;1,NOT(ISNUMBER(B111)),B111&lt;НачалоУчета,YEAR(B111)&lt;&gt;Год,NOT(ISNUMBER(E111)),E111&lt;=0,N111&lt;0,COUNTIF(Типы,C111)&lt;&gt;1,COUNTIF(Категории,D111)&lt;&gt;1,COUNTIF(Счета,F111)&lt;&gt;1,COUNTIF(Проекты,I111)&lt;&gt;1,AND(H111&lt;&gt;"",COUNTIF(Контрагенты,H111)&lt;&gt;1),AND(C111="Перевод",OR(F111=G111,COUNTIF(Счета,G111)&lt;&gt;1)),AND(S111&lt;&gt;0,COUNTIF(Docs[ID],J111)&lt;&gt;1),AND(Форма="ООО",C111="Вывод ИП"),AND(Форма="ИП",C111="Дивиденды"),AND(L111&lt;&gt;"Проведён",L111&lt;&gt;"Черновик")),"ОШИБКА","ОК"))</f>
        <v>ОК</v>
      </c>
      <c r="W111" s="25">
        <f>IF(A111="","",SUMIF(Accounts[Счёт],F111,Accounts[Начальный])+SUMIFS($Q$7:Q111,$F$7:F111,F111)+SUMIFS($E$7:E111,$G$7:G111,F111,$C$7:C111,"Перевод",$L$7:L111,"Проведён"))</f>
        <v>744291.08</v>
      </c>
    </row>
    <row r="112" spans="1:23" x14ac:dyDescent="0.25">
      <c r="A112" s="3" t="s">
        <v>677</v>
      </c>
      <c r="B112" s="19">
        <v>46167</v>
      </c>
      <c r="C112" s="3" t="s">
        <v>504</v>
      </c>
      <c r="D112" s="3" t="s">
        <v>518</v>
      </c>
      <c r="E112" s="24">
        <v>18000</v>
      </c>
      <c r="F112" s="3" t="s">
        <v>474</v>
      </c>
      <c r="G112" s="3"/>
      <c r="H112" s="3" t="s">
        <v>519</v>
      </c>
      <c r="I112" s="3" t="s">
        <v>383</v>
      </c>
      <c r="J112" s="3" t="s">
        <v>678</v>
      </c>
      <c r="K112" s="3" t="s">
        <v>504</v>
      </c>
      <c r="L112" s="3" t="s">
        <v>476</v>
      </c>
      <c r="M112" s="3"/>
      <c r="N112" s="24">
        <v>18000</v>
      </c>
      <c r="O112" s="3"/>
      <c r="P112" s="5">
        <f>IF(A112="","",IF(COUNTIF(Типы,C112)=0,0,VLOOKUP(C112,СПРАВОЧНИКИ!$A$7:$E$22,2,FALSE)))</f>
        <v>-1</v>
      </c>
      <c r="Q112" s="25">
        <f t="shared" si="1"/>
        <v>-18000</v>
      </c>
      <c r="R112" s="5" t="str">
        <f>IF(A112="","",IF(COUNTIF(Типы,C112)=0,"НЕИЗВЕСТНЫЙ ТИП",VLOOKUP(C112,СПРАВОЧНИКИ!$A$7:$E$22,3,FALSE)))</f>
        <v>Операционный</v>
      </c>
      <c r="S112" s="26">
        <f>IF(A112="","",IF(L112="Проведён",E112*IF(COUNTIF(Типы,C112)=0,0,VLOOKUP(C112,СПРАВОЧНИКИ!$A$7:$E$22,4,FALSE)),0))</f>
        <v>18000</v>
      </c>
      <c r="T112" s="26">
        <f>IF(A112="","",IF(L112="Проведён",E112*IF(COUNTIF(Типы,C112)=0,0,VLOOKUP(C112,СПРАВОЧНИКИ!$A$7:$E$22,5,FALSE)),0))</f>
        <v>0</v>
      </c>
      <c r="U112" s="5" t="str">
        <f>IF(A112="","",IF(COUNTIF(Контрагенты,H112)=0,"Не задан",VLOOKUP(H112,СПРАВОЧНИКИ!$G$7:$H$66,2,FALSE)))</f>
        <v>ЮЛ</v>
      </c>
      <c r="V112" s="4" t="str">
        <f>IF(A112="",IF(COUNTA(B112:O112)&gt;0,"НЕТ ID",""),IF(OR(AND(OR(C112="Оплата клиента",C112="Возврат клиенту"),COUNTIFS(Docs[ID],J112,Docs[Тип долга],"ДЗ")&lt;&gt;1),AND(OR(C112="Оплата поставщику",C112="Возврат поставщика"),COUNTIFS(Docs[ID],J112,Docs[Тип долга],"КЗ",Docs[Вид],"&lt;&gt;Дивиденды")&lt;&gt;1),AND(C112="Дивиденды",COUNTIFS(Docs[ID],J112,Docs[Вид],"Дивиденды")&lt;&gt;1),AND(C112="Проценты",COUNTIFS(Docs[ID],J112,Docs[Вид],"Проценты")&lt;&gt;1),COUNTIF(Cash[ID],A112)&gt;1,NOT(ISNUMBER(B112)),B112&lt;НачалоУчета,YEAR(B112)&lt;&gt;Год,NOT(ISNUMBER(E112)),E112&lt;=0,N112&lt;0,COUNTIF(Типы,C112)&lt;&gt;1,COUNTIF(Категории,D112)&lt;&gt;1,COUNTIF(Счета,F112)&lt;&gt;1,COUNTIF(Проекты,I112)&lt;&gt;1,AND(H112&lt;&gt;"",COUNTIF(Контрагенты,H112)&lt;&gt;1),AND(C112="Перевод",OR(F112=G112,COUNTIF(Счета,G112)&lt;&gt;1)),AND(S112&lt;&gt;0,COUNTIF(Docs[ID],J112)&lt;&gt;1),AND(Форма="ООО",C112="Вывод ИП"),AND(Форма="ИП",C112="Дивиденды"),AND(L112&lt;&gt;"Проведён",L112&lt;&gt;"Черновик")),"ОШИБКА","ОК"))</f>
        <v>ОК</v>
      </c>
      <c r="W112" s="25">
        <f>IF(A112="","",SUMIF(Accounts[Счёт],F112,Accounts[Начальный])+SUMIFS($Q$7:Q112,$F$7:F112,F112)+SUMIFS($E$7:E112,$G$7:G112,F112,$C$7:C112,"Перевод",$L$7:L112,"Проведён"))</f>
        <v>726291.08</v>
      </c>
    </row>
    <row r="113" spans="1:23" x14ac:dyDescent="0.25">
      <c r="A113" s="3" t="s">
        <v>679</v>
      </c>
      <c r="B113" s="19">
        <v>46168</v>
      </c>
      <c r="C113" s="3" t="s">
        <v>484</v>
      </c>
      <c r="D113" s="3" t="s">
        <v>485</v>
      </c>
      <c r="E113" s="24">
        <v>41760</v>
      </c>
      <c r="F113" s="3" t="s">
        <v>474</v>
      </c>
      <c r="G113" s="3"/>
      <c r="H113" s="3" t="s">
        <v>492</v>
      </c>
      <c r="I113" s="3" t="s">
        <v>382</v>
      </c>
      <c r="J113" s="3" t="s">
        <v>662</v>
      </c>
      <c r="K113" s="3" t="s">
        <v>484</v>
      </c>
      <c r="L113" s="3" t="s">
        <v>476</v>
      </c>
      <c r="M113" s="3"/>
      <c r="N113" s="24">
        <v>0</v>
      </c>
      <c r="O113" s="3"/>
      <c r="P113" s="5">
        <f>IF(A113="","",IF(COUNTIF(Типы,C113)=0,0,VLOOKUP(C113,СПРАВОЧНИКИ!$A$7:$E$22,2,FALSE)))</f>
        <v>1</v>
      </c>
      <c r="Q113" s="25">
        <f t="shared" si="1"/>
        <v>41760</v>
      </c>
      <c r="R113" s="5" t="str">
        <f>IF(A113="","",IF(COUNTIF(Типы,C113)=0,"НЕИЗВЕСТНЫЙ ТИП",VLOOKUP(C113,СПРАВОЧНИКИ!$A$7:$E$22,3,FALSE)))</f>
        <v>Операционный</v>
      </c>
      <c r="S113" s="26">
        <f>IF(A113="","",IF(L113="Проведён",E113*IF(COUNTIF(Типы,C113)=0,0,VLOOKUP(C113,СПРАВОЧНИКИ!$A$7:$E$22,4,FALSE)),0))</f>
        <v>41760</v>
      </c>
      <c r="T113" s="26">
        <f>IF(A113="","",IF(L113="Проведён",E113*IF(COUNTIF(Типы,C113)=0,0,VLOOKUP(C113,СПРАВОЧНИКИ!$A$7:$E$22,5,FALSE)),0))</f>
        <v>41760</v>
      </c>
      <c r="U113" s="5" t="str">
        <f>IF(A113="","",IF(COUNTIF(Контрагенты,H113)=0,"Не задан",VLOOKUP(H113,СПРАВОЧНИКИ!$G$7:$H$66,2,FALSE)))</f>
        <v>ИП</v>
      </c>
      <c r="V113" s="4" t="str">
        <f>IF(A113="",IF(COUNTA(B113:O113)&gt;0,"НЕТ ID",""),IF(OR(AND(OR(C113="Оплата клиента",C113="Возврат клиенту"),COUNTIFS(Docs[ID],J113,Docs[Тип долга],"ДЗ")&lt;&gt;1),AND(OR(C113="Оплата поставщику",C113="Возврат поставщика"),COUNTIFS(Docs[ID],J113,Docs[Тип долга],"КЗ",Docs[Вид],"&lt;&gt;Дивиденды")&lt;&gt;1),AND(C113="Дивиденды",COUNTIFS(Docs[ID],J113,Docs[Вид],"Дивиденды")&lt;&gt;1),AND(C113="Проценты",COUNTIFS(Docs[ID],J113,Docs[Вид],"Проценты")&lt;&gt;1),COUNTIF(Cash[ID],A113)&gt;1,NOT(ISNUMBER(B113)),B113&lt;НачалоУчета,YEAR(B113)&lt;&gt;Год,NOT(ISNUMBER(E113)),E113&lt;=0,N113&lt;0,COUNTIF(Типы,C113)&lt;&gt;1,COUNTIF(Категории,D113)&lt;&gt;1,COUNTIF(Счета,F113)&lt;&gt;1,COUNTIF(Проекты,I113)&lt;&gt;1,AND(H113&lt;&gt;"",COUNTIF(Контрагенты,H113)&lt;&gt;1),AND(C113="Перевод",OR(F113=G113,COUNTIF(Счета,G113)&lt;&gt;1)),AND(S113&lt;&gt;0,COUNTIF(Docs[ID],J113)&lt;&gt;1),AND(Форма="ООО",C113="Вывод ИП"),AND(Форма="ИП",C113="Дивиденды"),AND(L113&lt;&gt;"Проведён",L113&lt;&gt;"Черновик")),"ОШИБКА","ОК"))</f>
        <v>ОК</v>
      </c>
      <c r="W113" s="25">
        <f>IF(A113="","",SUMIF(Accounts[Счёт],F113,Accounts[Начальный])+SUMIFS($Q$7:Q113,$F$7:F113,F113)+SUMIFS($E$7:E113,$G$7:G113,F113,$C$7:C113,"Перевод",$L$7:L113,"Проведён"))</f>
        <v>768051.08</v>
      </c>
    </row>
    <row r="114" spans="1:23" x14ac:dyDescent="0.25">
      <c r="A114" s="3" t="s">
        <v>680</v>
      </c>
      <c r="B114" s="19">
        <v>46168</v>
      </c>
      <c r="C114" s="3" t="s">
        <v>504</v>
      </c>
      <c r="D114" s="3" t="s">
        <v>523</v>
      </c>
      <c r="E114" s="24">
        <v>78300</v>
      </c>
      <c r="F114" s="3" t="s">
        <v>474</v>
      </c>
      <c r="G114" s="3"/>
      <c r="H114" s="3" t="s">
        <v>52</v>
      </c>
      <c r="I114" s="3" t="s">
        <v>383</v>
      </c>
      <c r="J114" s="3" t="s">
        <v>681</v>
      </c>
      <c r="K114" s="3" t="s">
        <v>504</v>
      </c>
      <c r="L114" s="3" t="s">
        <v>476</v>
      </c>
      <c r="M114" s="3"/>
      <c r="N114" s="24">
        <v>78300</v>
      </c>
      <c r="O114" s="3"/>
      <c r="P114" s="5">
        <f>IF(A114="","",IF(COUNTIF(Типы,C114)=0,0,VLOOKUP(C114,СПРАВОЧНИКИ!$A$7:$E$22,2,FALSE)))</f>
        <v>-1</v>
      </c>
      <c r="Q114" s="25">
        <f t="shared" si="1"/>
        <v>-78300</v>
      </c>
      <c r="R114" s="5" t="str">
        <f>IF(A114="","",IF(COUNTIF(Типы,C114)=0,"НЕИЗВЕСТНЫЙ ТИП",VLOOKUP(C114,СПРАВОЧНИКИ!$A$7:$E$22,3,FALSE)))</f>
        <v>Операционный</v>
      </c>
      <c r="S114" s="26">
        <f>IF(A114="","",IF(L114="Проведён",E114*IF(COUNTIF(Типы,C114)=0,0,VLOOKUP(C114,СПРАВОЧНИКИ!$A$7:$E$22,4,FALSE)),0))</f>
        <v>78300</v>
      </c>
      <c r="T114" s="26">
        <f>IF(A114="","",IF(L114="Проведён",E114*IF(COUNTIF(Типы,C114)=0,0,VLOOKUP(C114,СПРАВОЧНИКИ!$A$7:$E$22,5,FALSE)),0))</f>
        <v>0</v>
      </c>
      <c r="U114" s="5" t="str">
        <f>IF(A114="","",IF(COUNTIF(Контрагенты,H114)=0,"Не задан",VLOOKUP(H114,СПРАВОЧНИКИ!$G$7:$H$66,2,FALSE)))</f>
        <v>ФЛ</v>
      </c>
      <c r="V114" s="4" t="str">
        <f>IF(A114="",IF(COUNTA(B114:O114)&gt;0,"НЕТ ID",""),IF(OR(AND(OR(C114="Оплата клиента",C114="Возврат клиенту"),COUNTIFS(Docs[ID],J114,Docs[Тип долга],"ДЗ")&lt;&gt;1),AND(OR(C114="Оплата поставщику",C114="Возврат поставщика"),COUNTIFS(Docs[ID],J114,Docs[Тип долга],"КЗ",Docs[Вид],"&lt;&gt;Дивиденды")&lt;&gt;1),AND(C114="Дивиденды",COUNTIFS(Docs[ID],J114,Docs[Вид],"Дивиденды")&lt;&gt;1),AND(C114="Проценты",COUNTIFS(Docs[ID],J114,Docs[Вид],"Проценты")&lt;&gt;1),COUNTIF(Cash[ID],A114)&gt;1,NOT(ISNUMBER(B114)),B114&lt;НачалоУчета,YEAR(B114)&lt;&gt;Год,NOT(ISNUMBER(E114)),E114&lt;=0,N114&lt;0,COUNTIF(Типы,C114)&lt;&gt;1,COUNTIF(Категории,D114)&lt;&gt;1,COUNTIF(Счета,F114)&lt;&gt;1,COUNTIF(Проекты,I114)&lt;&gt;1,AND(H114&lt;&gt;"",COUNTIF(Контрагенты,H114)&lt;&gt;1),AND(C114="Перевод",OR(F114=G114,COUNTIF(Счета,G114)&lt;&gt;1)),AND(S114&lt;&gt;0,COUNTIF(Docs[ID],J114)&lt;&gt;1),AND(Форма="ООО",C114="Вывод ИП"),AND(Форма="ИП",C114="Дивиденды"),AND(L114&lt;&gt;"Проведён",L114&lt;&gt;"Черновик")),"ОШИБКА","ОК"))</f>
        <v>ОК</v>
      </c>
      <c r="W114" s="25">
        <f>IF(A114="","",SUMIF(Accounts[Счёт],F114,Accounts[Начальный])+SUMIFS($Q$7:Q114,$F$7:F114,F114)+SUMIFS($E$7:E114,$G$7:G114,F114,$C$7:C114,"Перевод",$L$7:L114,"Проведён"))</f>
        <v>689751.08</v>
      </c>
    </row>
    <row r="115" spans="1:23" x14ac:dyDescent="0.25">
      <c r="A115" s="3" t="s">
        <v>682</v>
      </c>
      <c r="B115" s="19">
        <v>46169</v>
      </c>
      <c r="C115" s="3" t="s">
        <v>484</v>
      </c>
      <c r="D115" s="3" t="s">
        <v>485</v>
      </c>
      <c r="E115" s="24">
        <v>32480</v>
      </c>
      <c r="F115" s="3" t="s">
        <v>474</v>
      </c>
      <c r="G115" s="3"/>
      <c r="H115" s="3" t="s">
        <v>495</v>
      </c>
      <c r="I115" s="3" t="s">
        <v>381</v>
      </c>
      <c r="J115" s="3" t="s">
        <v>664</v>
      </c>
      <c r="K115" s="3" t="s">
        <v>484</v>
      </c>
      <c r="L115" s="3" t="s">
        <v>476</v>
      </c>
      <c r="M115" s="3"/>
      <c r="N115" s="24">
        <v>0</v>
      </c>
      <c r="O115" s="3"/>
      <c r="P115" s="5">
        <f>IF(A115="","",IF(COUNTIF(Типы,C115)=0,0,VLOOKUP(C115,СПРАВОЧНИКИ!$A$7:$E$22,2,FALSE)))</f>
        <v>1</v>
      </c>
      <c r="Q115" s="25">
        <f t="shared" si="1"/>
        <v>32480</v>
      </c>
      <c r="R115" s="5" t="str">
        <f>IF(A115="","",IF(COUNTIF(Типы,C115)=0,"НЕИЗВЕСТНЫЙ ТИП",VLOOKUP(C115,СПРАВОЧНИКИ!$A$7:$E$22,3,FALSE)))</f>
        <v>Операционный</v>
      </c>
      <c r="S115" s="26">
        <f>IF(A115="","",IF(L115="Проведён",E115*IF(COUNTIF(Типы,C115)=0,0,VLOOKUP(C115,СПРАВОЧНИКИ!$A$7:$E$22,4,FALSE)),0))</f>
        <v>32480</v>
      </c>
      <c r="T115" s="26">
        <f>IF(A115="","",IF(L115="Проведён",E115*IF(COUNTIF(Типы,C115)=0,0,VLOOKUP(C115,СПРАВОЧНИКИ!$A$7:$E$22,5,FALSE)),0))</f>
        <v>32480</v>
      </c>
      <c r="U115" s="5" t="str">
        <f>IF(A115="","",IF(COUNTIF(Контрагенты,H115)=0,"Не задан",VLOOKUP(H115,СПРАВОЧНИКИ!$G$7:$H$66,2,FALSE)))</f>
        <v>ЮЛ</v>
      </c>
      <c r="V115" s="4" t="str">
        <f>IF(A115="",IF(COUNTA(B115:O115)&gt;0,"НЕТ ID",""),IF(OR(AND(OR(C115="Оплата клиента",C115="Возврат клиенту"),COUNTIFS(Docs[ID],J115,Docs[Тип долга],"ДЗ")&lt;&gt;1),AND(OR(C115="Оплата поставщику",C115="Возврат поставщика"),COUNTIFS(Docs[ID],J115,Docs[Тип долга],"КЗ",Docs[Вид],"&lt;&gt;Дивиденды")&lt;&gt;1),AND(C115="Дивиденды",COUNTIFS(Docs[ID],J115,Docs[Вид],"Дивиденды")&lt;&gt;1),AND(C115="Проценты",COUNTIFS(Docs[ID],J115,Docs[Вид],"Проценты")&lt;&gt;1),COUNTIF(Cash[ID],A115)&gt;1,NOT(ISNUMBER(B115)),B115&lt;НачалоУчета,YEAR(B115)&lt;&gt;Год,NOT(ISNUMBER(E115)),E115&lt;=0,N115&lt;0,COUNTIF(Типы,C115)&lt;&gt;1,COUNTIF(Категории,D115)&lt;&gt;1,COUNTIF(Счета,F115)&lt;&gt;1,COUNTIF(Проекты,I115)&lt;&gt;1,AND(H115&lt;&gt;"",COUNTIF(Контрагенты,H115)&lt;&gt;1),AND(C115="Перевод",OR(F115=G115,COUNTIF(Счета,G115)&lt;&gt;1)),AND(S115&lt;&gt;0,COUNTIF(Docs[ID],J115)&lt;&gt;1),AND(Форма="ООО",C115="Вывод ИП"),AND(Форма="ИП",C115="Дивиденды"),AND(L115&lt;&gt;"Проведён",L115&lt;&gt;"Черновик")),"ОШИБКА","ОК"))</f>
        <v>ОК</v>
      </c>
      <c r="W115" s="25">
        <f>IF(A115="","",SUMIF(Accounts[Счёт],F115,Accounts[Начальный])+SUMIFS($Q$7:Q115,$F$7:F115,F115)+SUMIFS($E$7:E115,$G$7:G115,F115,$C$7:C115,"Перевод",$L$7:L115,"Проведён"))</f>
        <v>722231.08</v>
      </c>
    </row>
    <row r="116" spans="1:23" x14ac:dyDescent="0.25">
      <c r="A116" s="3" t="s">
        <v>683</v>
      </c>
      <c r="B116" s="19">
        <v>46169</v>
      </c>
      <c r="C116" s="3" t="s">
        <v>504</v>
      </c>
      <c r="D116" s="3" t="s">
        <v>527</v>
      </c>
      <c r="E116" s="24">
        <v>11700</v>
      </c>
      <c r="F116" s="3" t="s">
        <v>474</v>
      </c>
      <c r="G116" s="3"/>
      <c r="H116" s="3" t="s">
        <v>528</v>
      </c>
      <c r="I116" s="3" t="s">
        <v>383</v>
      </c>
      <c r="J116" s="3" t="s">
        <v>684</v>
      </c>
      <c r="K116" s="3" t="s">
        <v>504</v>
      </c>
      <c r="L116" s="3" t="s">
        <v>476</v>
      </c>
      <c r="M116" s="3"/>
      <c r="N116" s="24">
        <v>11700</v>
      </c>
      <c r="O116" s="3"/>
      <c r="P116" s="5">
        <f>IF(A116="","",IF(COUNTIF(Типы,C116)=0,0,VLOOKUP(C116,СПРАВОЧНИКИ!$A$7:$E$22,2,FALSE)))</f>
        <v>-1</v>
      </c>
      <c r="Q116" s="25">
        <f t="shared" si="1"/>
        <v>-11700</v>
      </c>
      <c r="R116" s="5" t="str">
        <f>IF(A116="","",IF(COUNTIF(Типы,C116)=0,"НЕИЗВЕСТНЫЙ ТИП",VLOOKUP(C116,СПРАВОЧНИКИ!$A$7:$E$22,3,FALSE)))</f>
        <v>Операционный</v>
      </c>
      <c r="S116" s="26">
        <f>IF(A116="","",IF(L116="Проведён",E116*IF(COUNTIF(Типы,C116)=0,0,VLOOKUP(C116,СПРАВОЧНИКИ!$A$7:$E$22,4,FALSE)),0))</f>
        <v>11700</v>
      </c>
      <c r="T116" s="26">
        <f>IF(A116="","",IF(L116="Проведён",E116*IF(COUNTIF(Типы,C116)=0,0,VLOOKUP(C116,СПРАВОЧНИКИ!$A$7:$E$22,5,FALSE)),0))</f>
        <v>0</v>
      </c>
      <c r="U116" s="5" t="str">
        <f>IF(A116="","",IF(COUNTIF(Контрагенты,H116)=0,"Не задан",VLOOKUP(H116,СПРАВОЧНИКИ!$G$7:$H$66,2,FALSE)))</f>
        <v>ЮЛ</v>
      </c>
      <c r="V116" s="4" t="str">
        <f>IF(A116="",IF(COUNTA(B116:O116)&gt;0,"НЕТ ID",""),IF(OR(AND(OR(C116="Оплата клиента",C116="Возврат клиенту"),COUNTIFS(Docs[ID],J116,Docs[Тип долга],"ДЗ")&lt;&gt;1),AND(OR(C116="Оплата поставщику",C116="Возврат поставщика"),COUNTIFS(Docs[ID],J116,Docs[Тип долга],"КЗ",Docs[Вид],"&lt;&gt;Дивиденды")&lt;&gt;1),AND(C116="Дивиденды",COUNTIFS(Docs[ID],J116,Docs[Вид],"Дивиденды")&lt;&gt;1),AND(C116="Проценты",COUNTIFS(Docs[ID],J116,Docs[Вид],"Проценты")&lt;&gt;1),COUNTIF(Cash[ID],A116)&gt;1,NOT(ISNUMBER(B116)),B116&lt;НачалоУчета,YEAR(B116)&lt;&gt;Год,NOT(ISNUMBER(E116)),E116&lt;=0,N116&lt;0,COUNTIF(Типы,C116)&lt;&gt;1,COUNTIF(Категории,D116)&lt;&gt;1,COUNTIF(Счета,F116)&lt;&gt;1,COUNTIF(Проекты,I116)&lt;&gt;1,AND(H116&lt;&gt;"",COUNTIF(Контрагенты,H116)&lt;&gt;1),AND(C116="Перевод",OR(F116=G116,COUNTIF(Счета,G116)&lt;&gt;1)),AND(S116&lt;&gt;0,COUNTIF(Docs[ID],J116)&lt;&gt;1),AND(Форма="ООО",C116="Вывод ИП"),AND(Форма="ИП",C116="Дивиденды"),AND(L116&lt;&gt;"Проведён",L116&lt;&gt;"Черновик")),"ОШИБКА","ОК"))</f>
        <v>ОК</v>
      </c>
      <c r="W116" s="25">
        <f>IF(A116="","",SUMIF(Accounts[Счёт],F116,Accounts[Начальный])+SUMIFS($Q$7:Q116,$F$7:F116,F116)+SUMIFS($E$7:E116,$G$7:G116,F116,$C$7:C116,"Перевод",$L$7:L116,"Проведён"))</f>
        <v>710531.08</v>
      </c>
    </row>
    <row r="117" spans="1:23" x14ac:dyDescent="0.25">
      <c r="A117" s="3" t="s">
        <v>685</v>
      </c>
      <c r="B117" s="19">
        <v>46170</v>
      </c>
      <c r="C117" s="3" t="s">
        <v>484</v>
      </c>
      <c r="D117" s="3" t="s">
        <v>485</v>
      </c>
      <c r="E117" s="24">
        <v>23200</v>
      </c>
      <c r="F117" s="3" t="s">
        <v>474</v>
      </c>
      <c r="G117" s="3"/>
      <c r="H117" s="3" t="s">
        <v>498</v>
      </c>
      <c r="I117" s="3" t="s">
        <v>298</v>
      </c>
      <c r="J117" s="3" t="s">
        <v>666</v>
      </c>
      <c r="K117" s="3" t="s">
        <v>484</v>
      </c>
      <c r="L117" s="3" t="s">
        <v>476</v>
      </c>
      <c r="M117" s="3"/>
      <c r="N117" s="24">
        <v>0</v>
      </c>
      <c r="O117" s="3"/>
      <c r="P117" s="5">
        <f>IF(A117="","",IF(COUNTIF(Типы,C117)=0,0,VLOOKUP(C117,СПРАВОЧНИКИ!$A$7:$E$22,2,FALSE)))</f>
        <v>1</v>
      </c>
      <c r="Q117" s="25">
        <f t="shared" si="1"/>
        <v>23200</v>
      </c>
      <c r="R117" s="5" t="str">
        <f>IF(A117="","",IF(COUNTIF(Типы,C117)=0,"НЕИЗВЕСТНЫЙ ТИП",VLOOKUP(C117,СПРАВОЧНИКИ!$A$7:$E$22,3,FALSE)))</f>
        <v>Операционный</v>
      </c>
      <c r="S117" s="26">
        <f>IF(A117="","",IF(L117="Проведён",E117*IF(COUNTIF(Типы,C117)=0,0,VLOOKUP(C117,СПРАВОЧНИКИ!$A$7:$E$22,4,FALSE)),0))</f>
        <v>23200</v>
      </c>
      <c r="T117" s="26">
        <f>IF(A117="","",IF(L117="Проведён",E117*IF(COUNTIF(Типы,C117)=0,0,VLOOKUP(C117,СПРАВОЧНИКИ!$A$7:$E$22,5,FALSE)),0))</f>
        <v>23200</v>
      </c>
      <c r="U117" s="5" t="str">
        <f>IF(A117="","",IF(COUNTIF(Контрагенты,H117)=0,"Не задан",VLOOKUP(H117,СПРАВОЧНИКИ!$G$7:$H$66,2,FALSE)))</f>
        <v>ФЛ</v>
      </c>
      <c r="V117" s="4" t="str">
        <f>IF(A117="",IF(COUNTA(B117:O117)&gt;0,"НЕТ ID",""),IF(OR(AND(OR(C117="Оплата клиента",C117="Возврат клиенту"),COUNTIFS(Docs[ID],J117,Docs[Тип долга],"ДЗ")&lt;&gt;1),AND(OR(C117="Оплата поставщику",C117="Возврат поставщика"),COUNTIFS(Docs[ID],J117,Docs[Тип долга],"КЗ",Docs[Вид],"&lt;&gt;Дивиденды")&lt;&gt;1),AND(C117="Дивиденды",COUNTIFS(Docs[ID],J117,Docs[Вид],"Дивиденды")&lt;&gt;1),AND(C117="Проценты",COUNTIFS(Docs[ID],J117,Docs[Вид],"Проценты")&lt;&gt;1),COUNTIF(Cash[ID],A117)&gt;1,NOT(ISNUMBER(B117)),B117&lt;НачалоУчета,YEAR(B117)&lt;&gt;Год,NOT(ISNUMBER(E117)),E117&lt;=0,N117&lt;0,COUNTIF(Типы,C117)&lt;&gt;1,COUNTIF(Категории,D117)&lt;&gt;1,COUNTIF(Счета,F117)&lt;&gt;1,COUNTIF(Проекты,I117)&lt;&gt;1,AND(H117&lt;&gt;"",COUNTIF(Контрагенты,H117)&lt;&gt;1),AND(C117="Перевод",OR(F117=G117,COUNTIF(Счета,G117)&lt;&gt;1)),AND(S117&lt;&gt;0,COUNTIF(Docs[ID],J117)&lt;&gt;1),AND(Форма="ООО",C117="Вывод ИП"),AND(Форма="ИП",C117="Дивиденды"),AND(L117&lt;&gt;"Проведён",L117&lt;&gt;"Черновик")),"ОШИБКА","ОК"))</f>
        <v>ОК</v>
      </c>
      <c r="W117" s="25">
        <f>IF(A117="","",SUMIF(Accounts[Счёт],F117,Accounts[Начальный])+SUMIFS($Q$7:Q117,$F$7:F117,F117)+SUMIFS($E$7:E117,$G$7:G117,F117,$C$7:C117,"Перевод",$L$7:L117,"Проведён"))</f>
        <v>733731.08</v>
      </c>
    </row>
    <row r="118" spans="1:23" x14ac:dyDescent="0.25">
      <c r="A118" s="3" t="s">
        <v>686</v>
      </c>
      <c r="B118" s="19">
        <v>46170</v>
      </c>
      <c r="C118" s="3" t="s">
        <v>504</v>
      </c>
      <c r="D118" s="3" t="s">
        <v>532</v>
      </c>
      <c r="E118" s="24">
        <v>27000</v>
      </c>
      <c r="F118" s="3" t="s">
        <v>474</v>
      </c>
      <c r="G118" s="3"/>
      <c r="H118" s="3" t="s">
        <v>528</v>
      </c>
      <c r="I118" s="3" t="s">
        <v>383</v>
      </c>
      <c r="J118" s="3" t="s">
        <v>687</v>
      </c>
      <c r="K118" s="3" t="s">
        <v>504</v>
      </c>
      <c r="L118" s="3" t="s">
        <v>476</v>
      </c>
      <c r="M118" s="3"/>
      <c r="N118" s="24">
        <v>27000</v>
      </c>
      <c r="O118" s="3"/>
      <c r="P118" s="5">
        <f>IF(A118="","",IF(COUNTIF(Типы,C118)=0,0,VLOOKUP(C118,СПРАВОЧНИКИ!$A$7:$E$22,2,FALSE)))</f>
        <v>-1</v>
      </c>
      <c r="Q118" s="25">
        <f t="shared" si="1"/>
        <v>-27000</v>
      </c>
      <c r="R118" s="5" t="str">
        <f>IF(A118="","",IF(COUNTIF(Типы,C118)=0,"НЕИЗВЕСТНЫЙ ТИП",VLOOKUP(C118,СПРАВОЧНИКИ!$A$7:$E$22,3,FALSE)))</f>
        <v>Операционный</v>
      </c>
      <c r="S118" s="26">
        <f>IF(A118="","",IF(L118="Проведён",E118*IF(COUNTIF(Типы,C118)=0,0,VLOOKUP(C118,СПРАВОЧНИКИ!$A$7:$E$22,4,FALSE)),0))</f>
        <v>27000</v>
      </c>
      <c r="T118" s="26">
        <f>IF(A118="","",IF(L118="Проведён",E118*IF(COUNTIF(Типы,C118)=0,0,VLOOKUP(C118,СПРАВОЧНИКИ!$A$7:$E$22,5,FALSE)),0))</f>
        <v>0</v>
      </c>
      <c r="U118" s="5" t="str">
        <f>IF(A118="","",IF(COUNTIF(Контрагенты,H118)=0,"Не задан",VLOOKUP(H118,СПРАВОЧНИКИ!$G$7:$H$66,2,FALSE)))</f>
        <v>ЮЛ</v>
      </c>
      <c r="V118" s="4" t="str">
        <f>IF(A118="",IF(COUNTA(B118:O118)&gt;0,"НЕТ ID",""),IF(OR(AND(OR(C118="Оплата клиента",C118="Возврат клиенту"),COUNTIFS(Docs[ID],J118,Docs[Тип долга],"ДЗ")&lt;&gt;1),AND(OR(C118="Оплата поставщику",C118="Возврат поставщика"),COUNTIFS(Docs[ID],J118,Docs[Тип долга],"КЗ",Docs[Вид],"&lt;&gt;Дивиденды")&lt;&gt;1),AND(C118="Дивиденды",COUNTIFS(Docs[ID],J118,Docs[Вид],"Дивиденды")&lt;&gt;1),AND(C118="Проценты",COUNTIFS(Docs[ID],J118,Docs[Вид],"Проценты")&lt;&gt;1),COUNTIF(Cash[ID],A118)&gt;1,NOT(ISNUMBER(B118)),B118&lt;НачалоУчета,YEAR(B118)&lt;&gt;Год,NOT(ISNUMBER(E118)),E118&lt;=0,N118&lt;0,COUNTIF(Типы,C118)&lt;&gt;1,COUNTIF(Категории,D118)&lt;&gt;1,COUNTIF(Счета,F118)&lt;&gt;1,COUNTIF(Проекты,I118)&lt;&gt;1,AND(H118&lt;&gt;"",COUNTIF(Контрагенты,H118)&lt;&gt;1),AND(C118="Перевод",OR(F118=G118,COUNTIF(Счета,G118)&lt;&gt;1)),AND(S118&lt;&gt;0,COUNTIF(Docs[ID],J118)&lt;&gt;1),AND(Форма="ООО",C118="Вывод ИП"),AND(Форма="ИП",C118="Дивиденды"),AND(L118&lt;&gt;"Проведён",L118&lt;&gt;"Черновик")),"ОШИБКА","ОК"))</f>
        <v>ОК</v>
      </c>
      <c r="W118" s="25">
        <f>IF(A118="","",SUMIF(Accounts[Счёт],F118,Accounts[Начальный])+SUMIFS($Q$7:Q118,$F$7:F118,F118)+SUMIFS($E$7:E118,$G$7:G118,F118,$C$7:C118,"Перевод",$L$7:L118,"Проведён"))</f>
        <v>706731.08</v>
      </c>
    </row>
    <row r="119" spans="1:23" x14ac:dyDescent="0.25">
      <c r="A119" s="3" t="s">
        <v>688</v>
      </c>
      <c r="B119" s="19">
        <v>46170</v>
      </c>
      <c r="C119" s="3" t="s">
        <v>130</v>
      </c>
      <c r="D119" s="3" t="s">
        <v>130</v>
      </c>
      <c r="E119" s="24">
        <v>3857.08</v>
      </c>
      <c r="F119" s="3" t="s">
        <v>474</v>
      </c>
      <c r="G119" s="3"/>
      <c r="H119" s="3" t="s">
        <v>397</v>
      </c>
      <c r="I119" s="3" t="s">
        <v>383</v>
      </c>
      <c r="J119" s="3" t="s">
        <v>689</v>
      </c>
      <c r="K119" s="3" t="s">
        <v>130</v>
      </c>
      <c r="L119" s="3" t="s">
        <v>476</v>
      </c>
      <c r="M119" s="3"/>
      <c r="N119" s="24">
        <v>3857.08</v>
      </c>
      <c r="O119" s="3"/>
      <c r="P119" s="5">
        <f>IF(A119="","",IF(COUNTIF(Типы,C119)=0,0,VLOOKUP(C119,СПРАВОЧНИКИ!$A$7:$E$22,2,FALSE)))</f>
        <v>-1</v>
      </c>
      <c r="Q119" s="25">
        <f t="shared" si="1"/>
        <v>-3857.08</v>
      </c>
      <c r="R119" s="5" t="str">
        <f>IF(A119="","",IF(COUNTIF(Типы,C119)=0,"НЕИЗВЕСТНЫЙ ТИП",VLOOKUP(C119,СПРАВОЧНИКИ!$A$7:$E$22,3,FALSE)))</f>
        <v>Операционный</v>
      </c>
      <c r="S119" s="26">
        <f>IF(A119="","",IF(L119="Проведён",E119*IF(COUNTIF(Типы,C119)=0,0,VLOOKUP(C119,СПРАВОЧНИКИ!$A$7:$E$22,4,FALSE)),0))</f>
        <v>3857.08</v>
      </c>
      <c r="T119" s="26">
        <f>IF(A119="","",IF(L119="Проведён",E119*IF(COUNTIF(Типы,C119)=0,0,VLOOKUP(C119,СПРАВОЧНИКИ!$A$7:$E$22,5,FALSE)),0))</f>
        <v>0</v>
      </c>
      <c r="U119" s="5" t="str">
        <f>IF(A119="","",IF(COUNTIF(Контрагенты,H119)=0,"Не задан",VLOOKUP(H119,СПРАВОЧНИКИ!$G$7:$H$66,2,FALSE)))</f>
        <v>ЮЛ</v>
      </c>
      <c r="V119" s="4" t="str">
        <f>IF(A119="",IF(COUNTA(B119:O119)&gt;0,"НЕТ ID",""),IF(OR(AND(OR(C119="Оплата клиента",C119="Возврат клиенту"),COUNTIFS(Docs[ID],J119,Docs[Тип долга],"ДЗ")&lt;&gt;1),AND(OR(C119="Оплата поставщику",C119="Возврат поставщика"),COUNTIFS(Docs[ID],J119,Docs[Тип долга],"КЗ",Docs[Вид],"&lt;&gt;Дивиденды")&lt;&gt;1),AND(C119="Дивиденды",COUNTIFS(Docs[ID],J119,Docs[Вид],"Дивиденды")&lt;&gt;1),AND(C119="Проценты",COUNTIFS(Docs[ID],J119,Docs[Вид],"Проценты")&lt;&gt;1),COUNTIF(Cash[ID],A119)&gt;1,NOT(ISNUMBER(B119)),B119&lt;НачалоУчета,YEAR(B119)&lt;&gt;Год,NOT(ISNUMBER(E119)),E119&lt;=0,N119&lt;0,COUNTIF(Типы,C119)&lt;&gt;1,COUNTIF(Категории,D119)&lt;&gt;1,COUNTIF(Счета,F119)&lt;&gt;1,COUNTIF(Проекты,I119)&lt;&gt;1,AND(H119&lt;&gt;"",COUNTIF(Контрагенты,H119)&lt;&gt;1),AND(C119="Перевод",OR(F119=G119,COUNTIF(Счета,G119)&lt;&gt;1)),AND(S119&lt;&gt;0,COUNTIF(Docs[ID],J119)&lt;&gt;1),AND(Форма="ООО",C119="Вывод ИП"),AND(Форма="ИП",C119="Дивиденды"),AND(L119&lt;&gt;"Проведён",L119&lt;&gt;"Черновик")),"ОШИБКА","ОК"))</f>
        <v>ОК</v>
      </c>
      <c r="W119" s="25">
        <f>IF(A119="","",SUMIF(Accounts[Счёт],F119,Accounts[Начальный])+SUMIFS($Q$7:Q119,$F$7:F119,F119)+SUMIFS($E$7:E119,$G$7:G119,F119,$C$7:C119,"Перевод",$L$7:L119,"Проведён"))</f>
        <v>702874</v>
      </c>
    </row>
    <row r="120" spans="1:23" x14ac:dyDescent="0.25">
      <c r="A120" s="3" t="s">
        <v>690</v>
      </c>
      <c r="B120" s="19">
        <v>46170</v>
      </c>
      <c r="C120" s="3" t="s">
        <v>537</v>
      </c>
      <c r="D120" s="3" t="s">
        <v>479</v>
      </c>
      <c r="E120" s="24">
        <v>11120.15</v>
      </c>
      <c r="F120" s="3" t="s">
        <v>474</v>
      </c>
      <c r="G120" s="3"/>
      <c r="H120" s="3" t="s">
        <v>397</v>
      </c>
      <c r="I120" s="3" t="s">
        <v>383</v>
      </c>
      <c r="J120" s="3" t="s">
        <v>394</v>
      </c>
      <c r="K120" s="3" t="s">
        <v>537</v>
      </c>
      <c r="L120" s="3" t="s">
        <v>476</v>
      </c>
      <c r="M120" s="3"/>
      <c r="N120" s="24">
        <v>0</v>
      </c>
      <c r="O120" s="3"/>
      <c r="P120" s="5">
        <f>IF(A120="","",IF(COUNTIF(Типы,C120)=0,0,VLOOKUP(C120,СПРАВОЧНИКИ!$A$7:$E$22,2,FALSE)))</f>
        <v>-1</v>
      </c>
      <c r="Q120" s="25">
        <f t="shared" si="1"/>
        <v>-11120.15</v>
      </c>
      <c r="R120" s="5" t="str">
        <f>IF(A120="","",IF(COUNTIF(Типы,C120)=0,"НЕИЗВЕСТНЫЙ ТИП",VLOOKUP(C120,СПРАВОЧНИКИ!$A$7:$E$22,3,FALSE)))</f>
        <v>Финансовый</v>
      </c>
      <c r="S120" s="26">
        <f>IF(A120="","",IF(L120="Проведён",E120*IF(COUNTIF(Типы,C120)=0,0,VLOOKUP(C120,СПРАВОЧНИКИ!$A$7:$E$22,4,FALSE)),0))</f>
        <v>0</v>
      </c>
      <c r="T120" s="26">
        <f>IF(A120="","",IF(L120="Проведён",E120*IF(COUNTIF(Типы,C120)=0,0,VLOOKUP(C120,СПРАВОЧНИКИ!$A$7:$E$22,5,FALSE)),0))</f>
        <v>0</v>
      </c>
      <c r="U120" s="5" t="str">
        <f>IF(A120="","",IF(COUNTIF(Контрагенты,H120)=0,"Не задан",VLOOKUP(H120,СПРАВОЧНИКИ!$G$7:$H$66,2,FALSE)))</f>
        <v>ЮЛ</v>
      </c>
      <c r="V120" s="4" t="str">
        <f>IF(A120="",IF(COUNTA(B120:O120)&gt;0,"НЕТ ID",""),IF(OR(AND(OR(C120="Оплата клиента",C120="Возврат клиенту"),COUNTIFS(Docs[ID],J120,Docs[Тип долга],"ДЗ")&lt;&gt;1),AND(OR(C120="Оплата поставщику",C120="Возврат поставщика"),COUNTIFS(Docs[ID],J120,Docs[Тип долга],"КЗ",Docs[Вид],"&lt;&gt;Дивиденды")&lt;&gt;1),AND(C120="Дивиденды",COUNTIFS(Docs[ID],J120,Docs[Вид],"Дивиденды")&lt;&gt;1),AND(C120="Проценты",COUNTIFS(Docs[ID],J120,Docs[Вид],"Проценты")&lt;&gt;1),COUNTIF(Cash[ID],A120)&gt;1,NOT(ISNUMBER(B120)),B120&lt;НачалоУчета,YEAR(B120)&lt;&gt;Год,NOT(ISNUMBER(E120)),E120&lt;=0,N120&lt;0,COUNTIF(Типы,C120)&lt;&gt;1,COUNTIF(Категории,D120)&lt;&gt;1,COUNTIF(Счета,F120)&lt;&gt;1,COUNTIF(Проекты,I120)&lt;&gt;1,AND(H120&lt;&gt;"",COUNTIF(Контрагенты,H120)&lt;&gt;1),AND(C120="Перевод",OR(F120=G120,COUNTIF(Счета,G120)&lt;&gt;1)),AND(S120&lt;&gt;0,COUNTIF(Docs[ID],J120)&lt;&gt;1),AND(Форма="ООО",C120="Вывод ИП"),AND(Форма="ИП",C120="Дивиденды"),AND(L120&lt;&gt;"Проведён",L120&lt;&gt;"Черновик")),"ОШИБКА","ОК"))</f>
        <v>ОК</v>
      </c>
      <c r="W120" s="25">
        <f>IF(A120="","",SUMIF(Accounts[Счёт],F120,Accounts[Начальный])+SUMIFS($Q$7:Q120,$F$7:F120,F120)+SUMIFS($E$7:E120,$G$7:G120,F120,$C$7:C120,"Перевод",$L$7:L120,"Проведён"))</f>
        <v>691753.85</v>
      </c>
    </row>
    <row r="121" spans="1:23" x14ac:dyDescent="0.25">
      <c r="A121" s="3" t="s">
        <v>691</v>
      </c>
      <c r="B121" s="19">
        <v>46170</v>
      </c>
      <c r="C121" s="3" t="s">
        <v>539</v>
      </c>
      <c r="D121" s="3" t="s">
        <v>299</v>
      </c>
      <c r="E121" s="24">
        <v>15000</v>
      </c>
      <c r="F121" s="3" t="s">
        <v>474</v>
      </c>
      <c r="G121" s="3" t="s">
        <v>299</v>
      </c>
      <c r="H121" s="3"/>
      <c r="I121" s="3" t="s">
        <v>383</v>
      </c>
      <c r="J121" s="3"/>
      <c r="K121" s="3" t="s">
        <v>539</v>
      </c>
      <c r="L121" s="3" t="s">
        <v>476</v>
      </c>
      <c r="M121" s="3"/>
      <c r="N121" s="24">
        <v>0</v>
      </c>
      <c r="O121" s="3"/>
      <c r="P121" s="5">
        <f>IF(A121="","",IF(COUNTIF(Типы,C121)=0,0,VLOOKUP(C121,СПРАВОЧНИКИ!$A$7:$E$22,2,FALSE)))</f>
        <v>-1</v>
      </c>
      <c r="Q121" s="25">
        <f t="shared" si="1"/>
        <v>-15000</v>
      </c>
      <c r="R121" s="5" t="str">
        <f>IF(A121="","",IF(COUNTIF(Типы,C121)=0,"НЕИЗВЕСТНЫЙ ТИП",VLOOKUP(C121,СПРАВОЧНИКИ!$A$7:$E$22,3,FALSE)))</f>
        <v>Внутренний</v>
      </c>
      <c r="S121" s="26">
        <f>IF(A121="","",IF(L121="Проведён",E121*IF(COUNTIF(Типы,C121)=0,0,VLOOKUP(C121,СПРАВОЧНИКИ!$A$7:$E$22,4,FALSE)),0))</f>
        <v>0</v>
      </c>
      <c r="T121" s="26">
        <f>IF(A121="","",IF(L121="Проведён",E121*IF(COUNTIF(Типы,C121)=0,0,VLOOKUP(C121,СПРАВОЧНИКИ!$A$7:$E$22,5,FALSE)),0))</f>
        <v>0</v>
      </c>
      <c r="U121" s="5" t="str">
        <f>IF(A121="","",IF(COUNTIF(Контрагенты,H121)=0,"Не задан",VLOOKUP(H121,СПРАВОЧНИКИ!$G$7:$H$66,2,FALSE)))</f>
        <v>Не задан</v>
      </c>
      <c r="V121" s="4" t="str">
        <f>IF(A121="",IF(COUNTA(B121:O121)&gt;0,"НЕТ ID",""),IF(OR(AND(OR(C121="Оплата клиента",C121="Возврат клиенту"),COUNTIFS(Docs[ID],J121,Docs[Тип долга],"ДЗ")&lt;&gt;1),AND(OR(C121="Оплата поставщику",C121="Возврат поставщика"),COUNTIFS(Docs[ID],J121,Docs[Тип долга],"КЗ",Docs[Вид],"&lt;&gt;Дивиденды")&lt;&gt;1),AND(C121="Дивиденды",COUNTIFS(Docs[ID],J121,Docs[Вид],"Дивиденды")&lt;&gt;1),AND(C121="Проценты",COUNTIFS(Docs[ID],J121,Docs[Вид],"Проценты")&lt;&gt;1),COUNTIF(Cash[ID],A121)&gt;1,NOT(ISNUMBER(B121)),B121&lt;НачалоУчета,YEAR(B121)&lt;&gt;Год,NOT(ISNUMBER(E121)),E121&lt;=0,N121&lt;0,COUNTIF(Типы,C121)&lt;&gt;1,COUNTIF(Категории,D121)&lt;&gt;1,COUNTIF(Счета,F121)&lt;&gt;1,COUNTIF(Проекты,I121)&lt;&gt;1,AND(H121&lt;&gt;"",COUNTIF(Контрагенты,H121)&lt;&gt;1),AND(C121="Перевод",OR(F121=G121,COUNTIF(Счета,G121)&lt;&gt;1)),AND(S121&lt;&gt;0,COUNTIF(Docs[ID],J121)&lt;&gt;1),AND(Форма="ООО",C121="Вывод ИП"),AND(Форма="ИП",C121="Дивиденды"),AND(L121&lt;&gt;"Проведён",L121&lt;&gt;"Черновик")),"ОШИБКА","ОК"))</f>
        <v>ОК</v>
      </c>
      <c r="W121" s="25">
        <f>IF(A121="","",SUMIF(Accounts[Счёт],F121,Accounts[Начальный])+SUMIFS($Q$7:Q121,$F$7:F121,F121)+SUMIFS($E$7:E121,$G$7:G121,F121,$C$7:C121,"Перевод",$L$7:L121,"Проведён"))</f>
        <v>676753.85</v>
      </c>
    </row>
    <row r="122" spans="1:23" x14ac:dyDescent="0.25">
      <c r="A122" s="3" t="s">
        <v>692</v>
      </c>
      <c r="B122" s="19">
        <v>46171</v>
      </c>
      <c r="C122" s="3" t="s">
        <v>484</v>
      </c>
      <c r="D122" s="3" t="s">
        <v>485</v>
      </c>
      <c r="E122" s="24">
        <v>18560</v>
      </c>
      <c r="F122" s="3" t="s">
        <v>474</v>
      </c>
      <c r="G122" s="3"/>
      <c r="H122" s="3" t="s">
        <v>501</v>
      </c>
      <c r="I122" s="3" t="s">
        <v>382</v>
      </c>
      <c r="J122" s="3" t="s">
        <v>668</v>
      </c>
      <c r="K122" s="3" t="s">
        <v>484</v>
      </c>
      <c r="L122" s="3" t="s">
        <v>476</v>
      </c>
      <c r="M122" s="3"/>
      <c r="N122" s="24">
        <v>0</v>
      </c>
      <c r="O122" s="3"/>
      <c r="P122" s="5">
        <f>IF(A122="","",IF(COUNTIF(Типы,C122)=0,0,VLOOKUP(C122,СПРАВОЧНИКИ!$A$7:$E$22,2,FALSE)))</f>
        <v>1</v>
      </c>
      <c r="Q122" s="25">
        <f t="shared" si="1"/>
        <v>18560</v>
      </c>
      <c r="R122" s="5" t="str">
        <f>IF(A122="","",IF(COUNTIF(Типы,C122)=0,"НЕИЗВЕСТНЫЙ ТИП",VLOOKUP(C122,СПРАВОЧНИКИ!$A$7:$E$22,3,FALSE)))</f>
        <v>Операционный</v>
      </c>
      <c r="S122" s="26">
        <f>IF(A122="","",IF(L122="Проведён",E122*IF(COUNTIF(Типы,C122)=0,0,VLOOKUP(C122,СПРАВОЧНИКИ!$A$7:$E$22,4,FALSE)),0))</f>
        <v>18560</v>
      </c>
      <c r="T122" s="26">
        <f>IF(A122="","",IF(L122="Проведён",E122*IF(COUNTIF(Типы,C122)=0,0,VLOOKUP(C122,СПРАВОЧНИКИ!$A$7:$E$22,5,FALSE)),0))</f>
        <v>18560</v>
      </c>
      <c r="U122" s="5" t="str">
        <f>IF(A122="","",IF(COUNTIF(Контрагенты,H122)=0,"Не задан",VLOOKUP(H122,СПРАВОЧНИКИ!$G$7:$H$66,2,FALSE)))</f>
        <v>ЮЛ</v>
      </c>
      <c r="V122" s="4" t="str">
        <f>IF(A122="",IF(COUNTA(B122:O122)&gt;0,"НЕТ ID",""),IF(OR(AND(OR(C122="Оплата клиента",C122="Возврат клиенту"),COUNTIFS(Docs[ID],J122,Docs[Тип долга],"ДЗ")&lt;&gt;1),AND(OR(C122="Оплата поставщику",C122="Возврат поставщика"),COUNTIFS(Docs[ID],J122,Docs[Тип долга],"КЗ",Docs[Вид],"&lt;&gt;Дивиденды")&lt;&gt;1),AND(C122="Дивиденды",COUNTIFS(Docs[ID],J122,Docs[Вид],"Дивиденды")&lt;&gt;1),AND(C122="Проценты",COUNTIFS(Docs[ID],J122,Docs[Вид],"Проценты")&lt;&gt;1),COUNTIF(Cash[ID],A122)&gt;1,NOT(ISNUMBER(B122)),B122&lt;НачалоУчета,YEAR(B122)&lt;&gt;Год,NOT(ISNUMBER(E122)),E122&lt;=0,N122&lt;0,COUNTIF(Типы,C122)&lt;&gt;1,COUNTIF(Категории,D122)&lt;&gt;1,COUNTIF(Счета,F122)&lt;&gt;1,COUNTIF(Проекты,I122)&lt;&gt;1,AND(H122&lt;&gt;"",COUNTIF(Контрагенты,H122)&lt;&gt;1),AND(C122="Перевод",OR(F122=G122,COUNTIF(Счета,G122)&lt;&gt;1)),AND(S122&lt;&gt;0,COUNTIF(Docs[ID],J122)&lt;&gt;1),AND(Форма="ООО",C122="Вывод ИП"),AND(Форма="ИП",C122="Дивиденды"),AND(L122&lt;&gt;"Проведён",L122&lt;&gt;"Черновик")),"ОШИБКА","ОК"))</f>
        <v>ОК</v>
      </c>
      <c r="W122" s="25">
        <f>IF(A122="","",SUMIF(Accounts[Счёт],F122,Accounts[Начальный])+SUMIFS($Q$7:Q122,$F$7:F122,F122)+SUMIFS($E$7:E122,$G$7:G122,F122,$C$7:C122,"Перевод",$L$7:L122,"Проведён"))</f>
        <v>695313.85</v>
      </c>
    </row>
    <row r="123" spans="1:23" x14ac:dyDescent="0.25">
      <c r="A123" s="3" t="s">
        <v>693</v>
      </c>
      <c r="B123" s="19">
        <v>46185</v>
      </c>
      <c r="C123" s="3" t="s">
        <v>484</v>
      </c>
      <c r="D123" s="3" t="s">
        <v>485</v>
      </c>
      <c r="E123" s="24">
        <v>104160</v>
      </c>
      <c r="F123" s="3" t="s">
        <v>474</v>
      </c>
      <c r="G123" s="3"/>
      <c r="H123" s="3" t="s">
        <v>486</v>
      </c>
      <c r="I123" s="3" t="s">
        <v>381</v>
      </c>
      <c r="J123" s="3" t="s">
        <v>694</v>
      </c>
      <c r="K123" s="3" t="s">
        <v>484</v>
      </c>
      <c r="L123" s="3" t="s">
        <v>476</v>
      </c>
      <c r="M123" s="3"/>
      <c r="N123" s="24">
        <v>0</v>
      </c>
      <c r="O123" s="3"/>
      <c r="P123" s="5">
        <f>IF(A123="","",IF(COUNTIF(Типы,C123)=0,0,VLOOKUP(C123,СПРАВОЧНИКИ!$A$7:$E$22,2,FALSE)))</f>
        <v>1</v>
      </c>
      <c r="Q123" s="25">
        <f t="shared" si="1"/>
        <v>104160</v>
      </c>
      <c r="R123" s="5" t="str">
        <f>IF(A123="","",IF(COUNTIF(Типы,C123)=0,"НЕИЗВЕСТНЫЙ ТИП",VLOOKUP(C123,СПРАВОЧНИКИ!$A$7:$E$22,3,FALSE)))</f>
        <v>Операционный</v>
      </c>
      <c r="S123" s="26">
        <f>IF(A123="","",IF(L123="Проведён",E123*IF(COUNTIF(Типы,C123)=0,0,VLOOKUP(C123,СПРАВОЧНИКИ!$A$7:$E$22,4,FALSE)),0))</f>
        <v>104160</v>
      </c>
      <c r="T123" s="26">
        <f>IF(A123="","",IF(L123="Проведён",E123*IF(COUNTIF(Типы,C123)=0,0,VLOOKUP(C123,СПРАВОЧНИКИ!$A$7:$E$22,5,FALSE)),0))</f>
        <v>104160</v>
      </c>
      <c r="U123" s="5" t="str">
        <f>IF(A123="","",IF(COUNTIF(Контрагенты,H123)=0,"Не задан",VLOOKUP(H123,СПРАВОЧНИКИ!$G$7:$H$66,2,FALSE)))</f>
        <v>ЮЛ</v>
      </c>
      <c r="V123" s="4" t="str">
        <f>IF(A123="",IF(COUNTA(B123:O123)&gt;0,"НЕТ ID",""),IF(OR(AND(OR(C123="Оплата клиента",C123="Возврат клиенту"),COUNTIFS(Docs[ID],J123,Docs[Тип долга],"ДЗ")&lt;&gt;1),AND(OR(C123="Оплата поставщику",C123="Возврат поставщика"),COUNTIFS(Docs[ID],J123,Docs[Тип долга],"КЗ",Docs[Вид],"&lt;&gt;Дивиденды")&lt;&gt;1),AND(C123="Дивиденды",COUNTIFS(Docs[ID],J123,Docs[Вид],"Дивиденды")&lt;&gt;1),AND(C123="Проценты",COUNTIFS(Docs[ID],J123,Docs[Вид],"Проценты")&lt;&gt;1),COUNTIF(Cash[ID],A123)&gt;1,NOT(ISNUMBER(B123)),B123&lt;НачалоУчета,YEAR(B123)&lt;&gt;Год,NOT(ISNUMBER(E123)),E123&lt;=0,N123&lt;0,COUNTIF(Типы,C123)&lt;&gt;1,COUNTIF(Категории,D123)&lt;&gt;1,COUNTIF(Счета,F123)&lt;&gt;1,COUNTIF(Проекты,I123)&lt;&gt;1,AND(H123&lt;&gt;"",COUNTIF(Контрагенты,H123)&lt;&gt;1),AND(C123="Перевод",OR(F123=G123,COUNTIF(Счета,G123)&lt;&gt;1)),AND(S123&lt;&gt;0,COUNTIF(Docs[ID],J123)&lt;&gt;1),AND(Форма="ООО",C123="Вывод ИП"),AND(Форма="ИП",C123="Дивиденды"),AND(L123&lt;&gt;"Проведён",L123&lt;&gt;"Черновик")),"ОШИБКА","ОК"))</f>
        <v>ОК</v>
      </c>
      <c r="W123" s="25">
        <f>IF(A123="","",SUMIF(Accounts[Счёт],F123,Accounts[Начальный])+SUMIFS($Q$7:Q123,$F$7:F123,F123)+SUMIFS($E$7:E123,$G$7:G123,F123,$C$7:C123,"Перевод",$L$7:L123,"Проведён"))</f>
        <v>799473.85</v>
      </c>
    </row>
    <row r="124" spans="1:23" x14ac:dyDescent="0.25">
      <c r="A124" s="3" t="s">
        <v>695</v>
      </c>
      <c r="B124" s="19">
        <v>46186</v>
      </c>
      <c r="C124" s="3" t="s">
        <v>484</v>
      </c>
      <c r="D124" s="3" t="s">
        <v>485</v>
      </c>
      <c r="E124" s="24">
        <v>81840</v>
      </c>
      <c r="F124" s="3" t="s">
        <v>474</v>
      </c>
      <c r="G124" s="3"/>
      <c r="H124" s="3" t="s">
        <v>489</v>
      </c>
      <c r="I124" s="3" t="s">
        <v>298</v>
      </c>
      <c r="J124" s="3" t="s">
        <v>696</v>
      </c>
      <c r="K124" s="3" t="s">
        <v>484</v>
      </c>
      <c r="L124" s="3" t="s">
        <v>476</v>
      </c>
      <c r="M124" s="3"/>
      <c r="N124" s="24">
        <v>0</v>
      </c>
      <c r="O124" s="3"/>
      <c r="P124" s="5">
        <f>IF(A124="","",IF(COUNTIF(Типы,C124)=0,0,VLOOKUP(C124,СПРАВОЧНИКИ!$A$7:$E$22,2,FALSE)))</f>
        <v>1</v>
      </c>
      <c r="Q124" s="25">
        <f t="shared" si="1"/>
        <v>81840</v>
      </c>
      <c r="R124" s="5" t="str">
        <f>IF(A124="","",IF(COUNTIF(Типы,C124)=0,"НЕИЗВЕСТНЫЙ ТИП",VLOOKUP(C124,СПРАВОЧНИКИ!$A$7:$E$22,3,FALSE)))</f>
        <v>Операционный</v>
      </c>
      <c r="S124" s="26">
        <f>IF(A124="","",IF(L124="Проведён",E124*IF(COUNTIF(Типы,C124)=0,0,VLOOKUP(C124,СПРАВОЧНИКИ!$A$7:$E$22,4,FALSE)),0))</f>
        <v>81840</v>
      </c>
      <c r="T124" s="26">
        <f>IF(A124="","",IF(L124="Проведён",E124*IF(COUNTIF(Типы,C124)=0,0,VLOOKUP(C124,СПРАВОЧНИКИ!$A$7:$E$22,5,FALSE)),0))</f>
        <v>81840</v>
      </c>
      <c r="U124" s="5" t="str">
        <f>IF(A124="","",IF(COUNTIF(Контрагенты,H124)=0,"Не задан",VLOOKUP(H124,СПРАВОЧНИКИ!$G$7:$H$66,2,FALSE)))</f>
        <v>ЮЛ</v>
      </c>
      <c r="V124" s="4" t="str">
        <f>IF(A124="",IF(COUNTA(B124:O124)&gt;0,"НЕТ ID",""),IF(OR(AND(OR(C124="Оплата клиента",C124="Возврат клиенту"),COUNTIFS(Docs[ID],J124,Docs[Тип долга],"ДЗ")&lt;&gt;1),AND(OR(C124="Оплата поставщику",C124="Возврат поставщика"),COUNTIFS(Docs[ID],J124,Docs[Тип долга],"КЗ",Docs[Вид],"&lt;&gt;Дивиденды")&lt;&gt;1),AND(C124="Дивиденды",COUNTIFS(Docs[ID],J124,Docs[Вид],"Дивиденды")&lt;&gt;1),AND(C124="Проценты",COUNTIFS(Docs[ID],J124,Docs[Вид],"Проценты")&lt;&gt;1),COUNTIF(Cash[ID],A124)&gt;1,NOT(ISNUMBER(B124)),B124&lt;НачалоУчета,YEAR(B124)&lt;&gt;Год,NOT(ISNUMBER(E124)),E124&lt;=0,N124&lt;0,COUNTIF(Типы,C124)&lt;&gt;1,COUNTIF(Категории,D124)&lt;&gt;1,COUNTIF(Счета,F124)&lt;&gt;1,COUNTIF(Проекты,I124)&lt;&gt;1,AND(H124&lt;&gt;"",COUNTIF(Контрагенты,H124)&lt;&gt;1),AND(C124="Перевод",OR(F124=G124,COUNTIF(Счета,G124)&lt;&gt;1)),AND(S124&lt;&gt;0,COUNTIF(Docs[ID],J124)&lt;&gt;1),AND(Форма="ООО",C124="Вывод ИП"),AND(Форма="ИП",C124="Дивиденды"),AND(L124&lt;&gt;"Проведён",L124&lt;&gt;"Черновик")),"ОШИБКА","ОК"))</f>
        <v>ОК</v>
      </c>
      <c r="W124" s="25">
        <f>IF(A124="","",SUMIF(Accounts[Счёт],F124,Accounts[Начальный])+SUMIFS($Q$7:Q124,$F$7:F124,F124)+SUMIFS($E$7:E124,$G$7:G124,F124,$C$7:C124,"Перевод",$L$7:L124,"Проведён"))</f>
        <v>881313.85</v>
      </c>
    </row>
    <row r="125" spans="1:23" x14ac:dyDescent="0.25">
      <c r="A125" s="3" t="s">
        <v>697</v>
      </c>
      <c r="B125" s="19">
        <v>46187</v>
      </c>
      <c r="C125" s="3" t="s">
        <v>484</v>
      </c>
      <c r="D125" s="3" t="s">
        <v>485</v>
      </c>
      <c r="E125" s="24">
        <v>66960</v>
      </c>
      <c r="F125" s="3" t="s">
        <v>474</v>
      </c>
      <c r="G125" s="3"/>
      <c r="H125" s="3" t="s">
        <v>492</v>
      </c>
      <c r="I125" s="3" t="s">
        <v>382</v>
      </c>
      <c r="J125" s="3" t="s">
        <v>698</v>
      </c>
      <c r="K125" s="3" t="s">
        <v>484</v>
      </c>
      <c r="L125" s="3" t="s">
        <v>476</v>
      </c>
      <c r="M125" s="3"/>
      <c r="N125" s="24">
        <v>0</v>
      </c>
      <c r="O125" s="3"/>
      <c r="P125" s="5">
        <f>IF(A125="","",IF(COUNTIF(Типы,C125)=0,0,VLOOKUP(C125,СПРАВОЧНИКИ!$A$7:$E$22,2,FALSE)))</f>
        <v>1</v>
      </c>
      <c r="Q125" s="25">
        <f t="shared" si="1"/>
        <v>66960</v>
      </c>
      <c r="R125" s="5" t="str">
        <f>IF(A125="","",IF(COUNTIF(Типы,C125)=0,"НЕИЗВЕСТНЫЙ ТИП",VLOOKUP(C125,СПРАВОЧНИКИ!$A$7:$E$22,3,FALSE)))</f>
        <v>Операционный</v>
      </c>
      <c r="S125" s="26">
        <f>IF(A125="","",IF(L125="Проведён",E125*IF(COUNTIF(Типы,C125)=0,0,VLOOKUP(C125,СПРАВОЧНИКИ!$A$7:$E$22,4,FALSE)),0))</f>
        <v>66960</v>
      </c>
      <c r="T125" s="26">
        <f>IF(A125="","",IF(L125="Проведён",E125*IF(COUNTIF(Типы,C125)=0,0,VLOOKUP(C125,СПРАВОЧНИКИ!$A$7:$E$22,5,FALSE)),0))</f>
        <v>66960</v>
      </c>
      <c r="U125" s="5" t="str">
        <f>IF(A125="","",IF(COUNTIF(Контрагенты,H125)=0,"Не задан",VLOOKUP(H125,СПРАВОЧНИКИ!$G$7:$H$66,2,FALSE)))</f>
        <v>ИП</v>
      </c>
      <c r="V125" s="4" t="str">
        <f>IF(A125="",IF(COUNTA(B125:O125)&gt;0,"НЕТ ID",""),IF(OR(AND(OR(C125="Оплата клиента",C125="Возврат клиенту"),COUNTIFS(Docs[ID],J125,Docs[Тип долга],"ДЗ")&lt;&gt;1),AND(OR(C125="Оплата поставщику",C125="Возврат поставщика"),COUNTIFS(Docs[ID],J125,Docs[Тип долга],"КЗ",Docs[Вид],"&lt;&gt;Дивиденды")&lt;&gt;1),AND(C125="Дивиденды",COUNTIFS(Docs[ID],J125,Docs[Вид],"Дивиденды")&lt;&gt;1),AND(C125="Проценты",COUNTIFS(Docs[ID],J125,Docs[Вид],"Проценты")&lt;&gt;1),COUNTIF(Cash[ID],A125)&gt;1,NOT(ISNUMBER(B125)),B125&lt;НачалоУчета,YEAR(B125)&lt;&gt;Год,NOT(ISNUMBER(E125)),E125&lt;=0,N125&lt;0,COUNTIF(Типы,C125)&lt;&gt;1,COUNTIF(Категории,D125)&lt;&gt;1,COUNTIF(Счета,F125)&lt;&gt;1,COUNTIF(Проекты,I125)&lt;&gt;1,AND(H125&lt;&gt;"",COUNTIF(Контрагенты,H125)&lt;&gt;1),AND(C125="Перевод",OR(F125=G125,COUNTIF(Счета,G125)&lt;&gt;1)),AND(S125&lt;&gt;0,COUNTIF(Docs[ID],J125)&lt;&gt;1),AND(Форма="ООО",C125="Вывод ИП"),AND(Форма="ИП",C125="Дивиденды"),AND(L125&lt;&gt;"Проведён",L125&lt;&gt;"Черновик")),"ОШИБКА","ОК"))</f>
        <v>ОК</v>
      </c>
      <c r="W125" s="25">
        <f>IF(A125="","",SUMIF(Accounts[Счёт],F125,Accounts[Начальный])+SUMIFS($Q$7:Q125,$F$7:F125,F125)+SUMIFS($E$7:E125,$G$7:G125,F125,$C$7:C125,"Перевод",$L$7:L125,"Проведён"))</f>
        <v>948273.85</v>
      </c>
    </row>
    <row r="126" spans="1:23" x14ac:dyDescent="0.25">
      <c r="A126" s="3" t="s">
        <v>699</v>
      </c>
      <c r="B126" s="19">
        <v>46188</v>
      </c>
      <c r="C126" s="3" t="s">
        <v>484</v>
      </c>
      <c r="D126" s="3" t="s">
        <v>485</v>
      </c>
      <c r="E126" s="24">
        <v>52080</v>
      </c>
      <c r="F126" s="3" t="s">
        <v>474</v>
      </c>
      <c r="G126" s="3"/>
      <c r="H126" s="3" t="s">
        <v>495</v>
      </c>
      <c r="I126" s="3" t="s">
        <v>381</v>
      </c>
      <c r="J126" s="3" t="s">
        <v>700</v>
      </c>
      <c r="K126" s="3" t="s">
        <v>484</v>
      </c>
      <c r="L126" s="3" t="s">
        <v>476</v>
      </c>
      <c r="M126" s="3"/>
      <c r="N126" s="24">
        <v>0</v>
      </c>
      <c r="O126" s="3"/>
      <c r="P126" s="5">
        <f>IF(A126="","",IF(COUNTIF(Типы,C126)=0,0,VLOOKUP(C126,СПРАВОЧНИКИ!$A$7:$E$22,2,FALSE)))</f>
        <v>1</v>
      </c>
      <c r="Q126" s="25">
        <f t="shared" si="1"/>
        <v>52080</v>
      </c>
      <c r="R126" s="5" t="str">
        <f>IF(A126="","",IF(COUNTIF(Типы,C126)=0,"НЕИЗВЕСТНЫЙ ТИП",VLOOKUP(C126,СПРАВОЧНИКИ!$A$7:$E$22,3,FALSE)))</f>
        <v>Операционный</v>
      </c>
      <c r="S126" s="26">
        <f>IF(A126="","",IF(L126="Проведён",E126*IF(COUNTIF(Типы,C126)=0,0,VLOOKUP(C126,СПРАВОЧНИКИ!$A$7:$E$22,4,FALSE)),0))</f>
        <v>52080</v>
      </c>
      <c r="T126" s="26">
        <f>IF(A126="","",IF(L126="Проведён",E126*IF(COUNTIF(Типы,C126)=0,0,VLOOKUP(C126,СПРАВОЧНИКИ!$A$7:$E$22,5,FALSE)),0))</f>
        <v>52080</v>
      </c>
      <c r="U126" s="5" t="str">
        <f>IF(A126="","",IF(COUNTIF(Контрагенты,H126)=0,"Не задан",VLOOKUP(H126,СПРАВОЧНИКИ!$G$7:$H$66,2,FALSE)))</f>
        <v>ЮЛ</v>
      </c>
      <c r="V126" s="4" t="str">
        <f>IF(A126="",IF(COUNTA(B126:O126)&gt;0,"НЕТ ID",""),IF(OR(AND(OR(C126="Оплата клиента",C126="Возврат клиенту"),COUNTIFS(Docs[ID],J126,Docs[Тип долга],"ДЗ")&lt;&gt;1),AND(OR(C126="Оплата поставщику",C126="Возврат поставщика"),COUNTIFS(Docs[ID],J126,Docs[Тип долга],"КЗ",Docs[Вид],"&lt;&gt;Дивиденды")&lt;&gt;1),AND(C126="Дивиденды",COUNTIFS(Docs[ID],J126,Docs[Вид],"Дивиденды")&lt;&gt;1),AND(C126="Проценты",COUNTIFS(Docs[ID],J126,Docs[Вид],"Проценты")&lt;&gt;1),COUNTIF(Cash[ID],A126)&gt;1,NOT(ISNUMBER(B126)),B126&lt;НачалоУчета,YEAR(B126)&lt;&gt;Год,NOT(ISNUMBER(E126)),E126&lt;=0,N126&lt;0,COUNTIF(Типы,C126)&lt;&gt;1,COUNTIF(Категории,D126)&lt;&gt;1,COUNTIF(Счета,F126)&lt;&gt;1,COUNTIF(Проекты,I126)&lt;&gt;1,AND(H126&lt;&gt;"",COUNTIF(Контрагенты,H126)&lt;&gt;1),AND(C126="Перевод",OR(F126=G126,COUNTIF(Счета,G126)&lt;&gt;1)),AND(S126&lt;&gt;0,COUNTIF(Docs[ID],J126)&lt;&gt;1),AND(Форма="ООО",C126="Вывод ИП"),AND(Форма="ИП",C126="Дивиденды"),AND(L126&lt;&gt;"Проведён",L126&lt;&gt;"Черновик")),"ОШИБКА","ОК"))</f>
        <v>ОК</v>
      </c>
      <c r="W126" s="25">
        <f>IF(A126="","",SUMIF(Accounts[Счёт],F126,Accounts[Начальный])+SUMIFS($Q$7:Q126,$F$7:F126,F126)+SUMIFS($E$7:E126,$G$7:G126,F126,$C$7:C126,"Перевод",$L$7:L126,"Проведён"))</f>
        <v>1000353.85</v>
      </c>
    </row>
    <row r="127" spans="1:23" x14ac:dyDescent="0.25">
      <c r="A127" s="3" t="s">
        <v>701</v>
      </c>
      <c r="B127" s="19">
        <v>46189</v>
      </c>
      <c r="C127" s="3" t="s">
        <v>484</v>
      </c>
      <c r="D127" s="3" t="s">
        <v>485</v>
      </c>
      <c r="E127" s="24">
        <v>37200</v>
      </c>
      <c r="F127" s="3" t="s">
        <v>474</v>
      </c>
      <c r="G127" s="3"/>
      <c r="H127" s="3" t="s">
        <v>498</v>
      </c>
      <c r="I127" s="3" t="s">
        <v>298</v>
      </c>
      <c r="J127" s="3" t="s">
        <v>702</v>
      </c>
      <c r="K127" s="3" t="s">
        <v>484</v>
      </c>
      <c r="L127" s="3" t="s">
        <v>476</v>
      </c>
      <c r="M127" s="3"/>
      <c r="N127" s="24">
        <v>0</v>
      </c>
      <c r="O127" s="3"/>
      <c r="P127" s="5">
        <f>IF(A127="","",IF(COUNTIF(Типы,C127)=0,0,VLOOKUP(C127,СПРАВОЧНИКИ!$A$7:$E$22,2,FALSE)))</f>
        <v>1</v>
      </c>
      <c r="Q127" s="25">
        <f t="shared" si="1"/>
        <v>37200</v>
      </c>
      <c r="R127" s="5" t="str">
        <f>IF(A127="","",IF(COUNTIF(Типы,C127)=0,"НЕИЗВЕСТНЫЙ ТИП",VLOOKUP(C127,СПРАВОЧНИКИ!$A$7:$E$22,3,FALSE)))</f>
        <v>Операционный</v>
      </c>
      <c r="S127" s="26">
        <f>IF(A127="","",IF(L127="Проведён",E127*IF(COUNTIF(Типы,C127)=0,0,VLOOKUP(C127,СПРАВОЧНИКИ!$A$7:$E$22,4,FALSE)),0))</f>
        <v>37200</v>
      </c>
      <c r="T127" s="26">
        <f>IF(A127="","",IF(L127="Проведён",E127*IF(COUNTIF(Типы,C127)=0,0,VLOOKUP(C127,СПРАВОЧНИКИ!$A$7:$E$22,5,FALSE)),0))</f>
        <v>37200</v>
      </c>
      <c r="U127" s="5" t="str">
        <f>IF(A127="","",IF(COUNTIF(Контрагенты,H127)=0,"Не задан",VLOOKUP(H127,СПРАВОЧНИКИ!$G$7:$H$66,2,FALSE)))</f>
        <v>ФЛ</v>
      </c>
      <c r="V127" s="4" t="str">
        <f>IF(A127="",IF(COUNTA(B127:O127)&gt;0,"НЕТ ID",""),IF(OR(AND(OR(C127="Оплата клиента",C127="Возврат клиенту"),COUNTIFS(Docs[ID],J127,Docs[Тип долга],"ДЗ")&lt;&gt;1),AND(OR(C127="Оплата поставщику",C127="Возврат поставщика"),COUNTIFS(Docs[ID],J127,Docs[Тип долга],"КЗ",Docs[Вид],"&lt;&gt;Дивиденды")&lt;&gt;1),AND(C127="Дивиденды",COUNTIFS(Docs[ID],J127,Docs[Вид],"Дивиденды")&lt;&gt;1),AND(C127="Проценты",COUNTIFS(Docs[ID],J127,Docs[Вид],"Проценты")&lt;&gt;1),COUNTIF(Cash[ID],A127)&gt;1,NOT(ISNUMBER(B127)),B127&lt;НачалоУчета,YEAR(B127)&lt;&gt;Год,NOT(ISNUMBER(E127)),E127&lt;=0,N127&lt;0,COUNTIF(Типы,C127)&lt;&gt;1,COUNTIF(Категории,D127)&lt;&gt;1,COUNTIF(Счета,F127)&lt;&gt;1,COUNTIF(Проекты,I127)&lt;&gt;1,AND(H127&lt;&gt;"",COUNTIF(Контрагенты,H127)&lt;&gt;1),AND(C127="Перевод",OR(F127=G127,COUNTIF(Счета,G127)&lt;&gt;1)),AND(S127&lt;&gt;0,COUNTIF(Docs[ID],J127)&lt;&gt;1),AND(Форма="ООО",C127="Вывод ИП"),AND(Форма="ИП",C127="Дивиденды"),AND(L127&lt;&gt;"Проведён",L127&lt;&gt;"Черновик")),"ОШИБКА","ОК"))</f>
        <v>ОК</v>
      </c>
      <c r="W127" s="25">
        <f>IF(A127="","",SUMIF(Accounts[Счёт],F127,Accounts[Начальный])+SUMIFS($Q$7:Q127,$F$7:F127,F127)+SUMIFS($E$7:E127,$G$7:G127,F127,$C$7:C127,"Перевод",$L$7:L127,"Проведён"))</f>
        <v>1037553.85</v>
      </c>
    </row>
    <row r="128" spans="1:23" x14ac:dyDescent="0.25">
      <c r="A128" s="3" t="s">
        <v>703</v>
      </c>
      <c r="B128" s="19">
        <v>46190</v>
      </c>
      <c r="C128" s="3" t="s">
        <v>484</v>
      </c>
      <c r="D128" s="3" t="s">
        <v>485</v>
      </c>
      <c r="E128" s="24">
        <v>29760</v>
      </c>
      <c r="F128" s="3" t="s">
        <v>474</v>
      </c>
      <c r="G128" s="3"/>
      <c r="H128" s="3" t="s">
        <v>501</v>
      </c>
      <c r="I128" s="3" t="s">
        <v>382</v>
      </c>
      <c r="J128" s="3" t="s">
        <v>704</v>
      </c>
      <c r="K128" s="3" t="s">
        <v>484</v>
      </c>
      <c r="L128" s="3" t="s">
        <v>476</v>
      </c>
      <c r="M128" s="3"/>
      <c r="N128" s="24">
        <v>0</v>
      </c>
      <c r="O128" s="3"/>
      <c r="P128" s="5">
        <f>IF(A128="","",IF(COUNTIF(Типы,C128)=0,0,VLOOKUP(C128,СПРАВОЧНИКИ!$A$7:$E$22,2,FALSE)))</f>
        <v>1</v>
      </c>
      <c r="Q128" s="25">
        <f t="shared" si="1"/>
        <v>29760</v>
      </c>
      <c r="R128" s="5" t="str">
        <f>IF(A128="","",IF(COUNTIF(Типы,C128)=0,"НЕИЗВЕСТНЫЙ ТИП",VLOOKUP(C128,СПРАВОЧНИКИ!$A$7:$E$22,3,FALSE)))</f>
        <v>Операционный</v>
      </c>
      <c r="S128" s="26">
        <f>IF(A128="","",IF(L128="Проведён",E128*IF(COUNTIF(Типы,C128)=0,0,VLOOKUP(C128,СПРАВОЧНИКИ!$A$7:$E$22,4,FALSE)),0))</f>
        <v>29760</v>
      </c>
      <c r="T128" s="26">
        <f>IF(A128="","",IF(L128="Проведён",E128*IF(COUNTIF(Типы,C128)=0,0,VLOOKUP(C128,СПРАВОЧНИКИ!$A$7:$E$22,5,FALSE)),0))</f>
        <v>29760</v>
      </c>
      <c r="U128" s="5" t="str">
        <f>IF(A128="","",IF(COUNTIF(Контрагенты,H128)=0,"Не задан",VLOOKUP(H128,СПРАВОЧНИКИ!$G$7:$H$66,2,FALSE)))</f>
        <v>ЮЛ</v>
      </c>
      <c r="V128" s="4" t="str">
        <f>IF(A128="",IF(COUNTA(B128:O128)&gt;0,"НЕТ ID",""),IF(OR(AND(OR(C128="Оплата клиента",C128="Возврат клиенту"),COUNTIFS(Docs[ID],J128,Docs[Тип долга],"ДЗ")&lt;&gt;1),AND(OR(C128="Оплата поставщику",C128="Возврат поставщика"),COUNTIFS(Docs[ID],J128,Docs[Тип долга],"КЗ",Docs[Вид],"&lt;&gt;Дивиденды")&lt;&gt;1),AND(C128="Дивиденды",COUNTIFS(Docs[ID],J128,Docs[Вид],"Дивиденды")&lt;&gt;1),AND(C128="Проценты",COUNTIFS(Docs[ID],J128,Docs[Вид],"Проценты")&lt;&gt;1),COUNTIF(Cash[ID],A128)&gt;1,NOT(ISNUMBER(B128)),B128&lt;НачалоУчета,YEAR(B128)&lt;&gt;Год,NOT(ISNUMBER(E128)),E128&lt;=0,N128&lt;0,COUNTIF(Типы,C128)&lt;&gt;1,COUNTIF(Категории,D128)&lt;&gt;1,COUNTIF(Счета,F128)&lt;&gt;1,COUNTIF(Проекты,I128)&lt;&gt;1,AND(H128&lt;&gt;"",COUNTIF(Контрагенты,H128)&lt;&gt;1),AND(C128="Перевод",OR(F128=G128,COUNTIF(Счета,G128)&lt;&gt;1)),AND(S128&lt;&gt;0,COUNTIF(Docs[ID],J128)&lt;&gt;1),AND(Форма="ООО",C128="Вывод ИП"),AND(Форма="ИП",C128="Дивиденды"),AND(L128&lt;&gt;"Проведён",L128&lt;&gt;"Черновик")),"ОШИБКА","ОК"))</f>
        <v>ОК</v>
      </c>
      <c r="W128" s="25">
        <f>IF(A128="","",SUMIF(Accounts[Счёт],F128,Accounts[Начальный])+SUMIFS($Q$7:Q128,$F$7:F128,F128)+SUMIFS($E$7:E128,$G$7:G128,F128,$C$7:C128,"Перевод",$L$7:L128,"Проведён"))</f>
        <v>1067313.8500000001</v>
      </c>
    </row>
    <row r="129" spans="1:23" x14ac:dyDescent="0.25">
      <c r="A129" s="3" t="s">
        <v>705</v>
      </c>
      <c r="B129" s="19">
        <v>46195</v>
      </c>
      <c r="C129" s="3" t="s">
        <v>504</v>
      </c>
      <c r="D129" s="3" t="s">
        <v>505</v>
      </c>
      <c r="E129" s="24">
        <v>198400</v>
      </c>
      <c r="F129" s="3" t="s">
        <v>474</v>
      </c>
      <c r="G129" s="3"/>
      <c r="H129" s="3" t="s">
        <v>506</v>
      </c>
      <c r="I129" s="3" t="s">
        <v>298</v>
      </c>
      <c r="J129" s="3" t="s">
        <v>706</v>
      </c>
      <c r="K129" s="3" t="s">
        <v>504</v>
      </c>
      <c r="L129" s="3" t="s">
        <v>476</v>
      </c>
      <c r="M129" s="3"/>
      <c r="N129" s="24">
        <v>198400</v>
      </c>
      <c r="O129" s="3"/>
      <c r="P129" s="5">
        <f>IF(A129="","",IF(COUNTIF(Типы,C129)=0,0,VLOOKUP(C129,СПРАВОЧНИКИ!$A$7:$E$22,2,FALSE)))</f>
        <v>-1</v>
      </c>
      <c r="Q129" s="25">
        <f t="shared" si="1"/>
        <v>-198400</v>
      </c>
      <c r="R129" s="5" t="str">
        <f>IF(A129="","",IF(COUNTIF(Типы,C129)=0,"НЕИЗВЕСТНЫЙ ТИП",VLOOKUP(C129,СПРАВОЧНИКИ!$A$7:$E$22,3,FALSE)))</f>
        <v>Операционный</v>
      </c>
      <c r="S129" s="26">
        <f>IF(A129="","",IF(L129="Проведён",E129*IF(COUNTIF(Типы,C129)=0,0,VLOOKUP(C129,СПРАВОЧНИКИ!$A$7:$E$22,4,FALSE)),0))</f>
        <v>198400</v>
      </c>
      <c r="T129" s="26">
        <f>IF(A129="","",IF(L129="Проведён",E129*IF(COUNTIF(Типы,C129)=0,0,VLOOKUP(C129,СПРАВОЧНИКИ!$A$7:$E$22,5,FALSE)),0))</f>
        <v>0</v>
      </c>
      <c r="U129" s="5" t="str">
        <f>IF(A129="","",IF(COUNTIF(Контрагенты,H129)=0,"Не задан",VLOOKUP(H129,СПРАВОЧНИКИ!$G$7:$H$66,2,FALSE)))</f>
        <v>ИП</v>
      </c>
      <c r="V129" s="4" t="str">
        <f>IF(A129="",IF(COUNTA(B129:O129)&gt;0,"НЕТ ID",""),IF(OR(AND(OR(C129="Оплата клиента",C129="Возврат клиенту"),COUNTIFS(Docs[ID],J129,Docs[Тип долга],"ДЗ")&lt;&gt;1),AND(OR(C129="Оплата поставщику",C129="Возврат поставщика"),COUNTIFS(Docs[ID],J129,Docs[Тип долга],"КЗ",Docs[Вид],"&lt;&gt;Дивиденды")&lt;&gt;1),AND(C129="Дивиденды",COUNTIFS(Docs[ID],J129,Docs[Вид],"Дивиденды")&lt;&gt;1),AND(C129="Проценты",COUNTIFS(Docs[ID],J129,Docs[Вид],"Проценты")&lt;&gt;1),COUNTIF(Cash[ID],A129)&gt;1,NOT(ISNUMBER(B129)),B129&lt;НачалоУчета,YEAR(B129)&lt;&gt;Год,NOT(ISNUMBER(E129)),E129&lt;=0,N129&lt;0,COUNTIF(Типы,C129)&lt;&gt;1,COUNTIF(Категории,D129)&lt;&gt;1,COUNTIF(Счета,F129)&lt;&gt;1,COUNTIF(Проекты,I129)&lt;&gt;1,AND(H129&lt;&gt;"",COUNTIF(Контрагенты,H129)&lt;&gt;1),AND(C129="Перевод",OR(F129=G129,COUNTIF(Счета,G129)&lt;&gt;1)),AND(S129&lt;&gt;0,COUNTIF(Docs[ID],J129)&lt;&gt;1),AND(Форма="ООО",C129="Вывод ИП"),AND(Форма="ИП",C129="Дивиденды"),AND(L129&lt;&gt;"Проведён",L129&lt;&gt;"Черновик")),"ОШИБКА","ОК"))</f>
        <v>ОК</v>
      </c>
      <c r="W129" s="25">
        <f>IF(A129="","",SUMIF(Accounts[Счёт],F129,Accounts[Начальный])+SUMIFS($Q$7:Q129,$F$7:F129,F129)+SUMIFS($E$7:E129,$G$7:G129,F129,$C$7:C129,"Перевод",$L$7:L129,"Проведён"))</f>
        <v>868913.85000000009</v>
      </c>
    </row>
    <row r="130" spans="1:23" x14ac:dyDescent="0.25">
      <c r="A130" s="3" t="s">
        <v>707</v>
      </c>
      <c r="B130" s="19">
        <v>46196</v>
      </c>
      <c r="C130" s="3" t="s">
        <v>504</v>
      </c>
      <c r="D130" s="3" t="s">
        <v>509</v>
      </c>
      <c r="E130" s="24">
        <v>65000</v>
      </c>
      <c r="F130" s="3" t="s">
        <v>474</v>
      </c>
      <c r="G130" s="3"/>
      <c r="H130" s="3" t="s">
        <v>510</v>
      </c>
      <c r="I130" s="3" t="s">
        <v>383</v>
      </c>
      <c r="J130" s="3" t="s">
        <v>708</v>
      </c>
      <c r="K130" s="3" t="s">
        <v>504</v>
      </c>
      <c r="L130" s="3" t="s">
        <v>476</v>
      </c>
      <c r="M130" s="3"/>
      <c r="N130" s="24">
        <v>65000</v>
      </c>
      <c r="O130" s="3"/>
      <c r="P130" s="5">
        <f>IF(A130="","",IF(COUNTIF(Типы,C130)=0,0,VLOOKUP(C130,СПРАВОЧНИКИ!$A$7:$E$22,2,FALSE)))</f>
        <v>-1</v>
      </c>
      <c r="Q130" s="25">
        <f t="shared" si="1"/>
        <v>-65000</v>
      </c>
      <c r="R130" s="5" t="str">
        <f>IF(A130="","",IF(COUNTIF(Типы,C130)=0,"НЕИЗВЕСТНЫЙ ТИП",VLOOKUP(C130,СПРАВОЧНИКИ!$A$7:$E$22,3,FALSE)))</f>
        <v>Операционный</v>
      </c>
      <c r="S130" s="26">
        <f>IF(A130="","",IF(L130="Проведён",E130*IF(COUNTIF(Типы,C130)=0,0,VLOOKUP(C130,СПРАВОЧНИКИ!$A$7:$E$22,4,FALSE)),0))</f>
        <v>65000</v>
      </c>
      <c r="T130" s="26">
        <f>IF(A130="","",IF(L130="Проведён",E130*IF(COUNTIF(Типы,C130)=0,0,VLOOKUP(C130,СПРАВОЧНИКИ!$A$7:$E$22,5,FALSE)),0))</f>
        <v>0</v>
      </c>
      <c r="U130" s="5" t="str">
        <f>IF(A130="","",IF(COUNTIF(Контрагенты,H130)=0,"Не задан",VLOOKUP(H130,СПРАВОЧНИКИ!$G$7:$H$66,2,FALSE)))</f>
        <v>ЮЛ</v>
      </c>
      <c r="V130" s="4" t="str">
        <f>IF(A130="",IF(COUNTA(B130:O130)&gt;0,"НЕТ ID",""),IF(OR(AND(OR(C130="Оплата клиента",C130="Возврат клиенту"),COUNTIFS(Docs[ID],J130,Docs[Тип долга],"ДЗ")&lt;&gt;1),AND(OR(C130="Оплата поставщику",C130="Возврат поставщика"),COUNTIFS(Docs[ID],J130,Docs[Тип долга],"КЗ",Docs[Вид],"&lt;&gt;Дивиденды")&lt;&gt;1),AND(C130="Дивиденды",COUNTIFS(Docs[ID],J130,Docs[Вид],"Дивиденды")&lt;&gt;1),AND(C130="Проценты",COUNTIFS(Docs[ID],J130,Docs[Вид],"Проценты")&lt;&gt;1),COUNTIF(Cash[ID],A130)&gt;1,NOT(ISNUMBER(B130)),B130&lt;НачалоУчета,YEAR(B130)&lt;&gt;Год,NOT(ISNUMBER(E130)),E130&lt;=0,N130&lt;0,COUNTIF(Типы,C130)&lt;&gt;1,COUNTIF(Категории,D130)&lt;&gt;1,COUNTIF(Счета,F130)&lt;&gt;1,COUNTIF(Проекты,I130)&lt;&gt;1,AND(H130&lt;&gt;"",COUNTIF(Контрагенты,H130)&lt;&gt;1),AND(C130="Перевод",OR(F130=G130,COUNTIF(Счета,G130)&lt;&gt;1)),AND(S130&lt;&gt;0,COUNTIF(Docs[ID],J130)&lt;&gt;1),AND(Форма="ООО",C130="Вывод ИП"),AND(Форма="ИП",C130="Дивиденды"),AND(L130&lt;&gt;"Проведён",L130&lt;&gt;"Черновик")),"ОШИБКА","ОК"))</f>
        <v>ОК</v>
      </c>
      <c r="W130" s="25">
        <f>IF(A130="","",SUMIF(Accounts[Счёт],F130,Accounts[Начальный])+SUMIFS($Q$7:Q130,$F$7:F130,F130)+SUMIFS($E$7:E130,$G$7:G130,F130,$C$7:C130,"Перевод",$L$7:L130,"Проведён"))</f>
        <v>803913.85000000009</v>
      </c>
    </row>
    <row r="131" spans="1:23" x14ac:dyDescent="0.25">
      <c r="A131" s="3" t="s">
        <v>709</v>
      </c>
      <c r="B131" s="19">
        <v>46197</v>
      </c>
      <c r="C131" s="3" t="s">
        <v>484</v>
      </c>
      <c r="D131" s="3" t="s">
        <v>485</v>
      </c>
      <c r="E131" s="24">
        <v>69440</v>
      </c>
      <c r="F131" s="3" t="s">
        <v>474</v>
      </c>
      <c r="G131" s="3"/>
      <c r="H131" s="3" t="s">
        <v>486</v>
      </c>
      <c r="I131" s="3" t="s">
        <v>381</v>
      </c>
      <c r="J131" s="3" t="s">
        <v>694</v>
      </c>
      <c r="K131" s="3" t="s">
        <v>484</v>
      </c>
      <c r="L131" s="3" t="s">
        <v>476</v>
      </c>
      <c r="M131" s="3"/>
      <c r="N131" s="24">
        <v>0</v>
      </c>
      <c r="O131" s="3"/>
      <c r="P131" s="5">
        <f>IF(A131="","",IF(COUNTIF(Типы,C131)=0,0,VLOOKUP(C131,СПРАВОЧНИКИ!$A$7:$E$22,2,FALSE)))</f>
        <v>1</v>
      </c>
      <c r="Q131" s="25">
        <f t="shared" si="1"/>
        <v>69440</v>
      </c>
      <c r="R131" s="5" t="str">
        <f>IF(A131="","",IF(COUNTIF(Типы,C131)=0,"НЕИЗВЕСТНЫЙ ТИП",VLOOKUP(C131,СПРАВОЧНИКИ!$A$7:$E$22,3,FALSE)))</f>
        <v>Операционный</v>
      </c>
      <c r="S131" s="26">
        <f>IF(A131="","",IF(L131="Проведён",E131*IF(COUNTIF(Типы,C131)=0,0,VLOOKUP(C131,СПРАВОЧНИКИ!$A$7:$E$22,4,FALSE)),0))</f>
        <v>69440</v>
      </c>
      <c r="T131" s="26">
        <f>IF(A131="","",IF(L131="Проведён",E131*IF(COUNTIF(Типы,C131)=0,0,VLOOKUP(C131,СПРАВОЧНИКИ!$A$7:$E$22,5,FALSE)),0))</f>
        <v>69440</v>
      </c>
      <c r="U131" s="5" t="str">
        <f>IF(A131="","",IF(COUNTIF(Контрагенты,H131)=0,"Не задан",VLOOKUP(H131,СПРАВОЧНИКИ!$G$7:$H$66,2,FALSE)))</f>
        <v>ЮЛ</v>
      </c>
      <c r="V131" s="4" t="str">
        <f>IF(A131="",IF(COUNTA(B131:O131)&gt;0,"НЕТ ID",""),IF(OR(AND(OR(C131="Оплата клиента",C131="Возврат клиенту"),COUNTIFS(Docs[ID],J131,Docs[Тип долга],"ДЗ")&lt;&gt;1),AND(OR(C131="Оплата поставщику",C131="Возврат поставщика"),COUNTIFS(Docs[ID],J131,Docs[Тип долга],"КЗ",Docs[Вид],"&lt;&gt;Дивиденды")&lt;&gt;1),AND(C131="Дивиденды",COUNTIFS(Docs[ID],J131,Docs[Вид],"Дивиденды")&lt;&gt;1),AND(C131="Проценты",COUNTIFS(Docs[ID],J131,Docs[Вид],"Проценты")&lt;&gt;1),COUNTIF(Cash[ID],A131)&gt;1,NOT(ISNUMBER(B131)),B131&lt;НачалоУчета,YEAR(B131)&lt;&gt;Год,NOT(ISNUMBER(E131)),E131&lt;=0,N131&lt;0,COUNTIF(Типы,C131)&lt;&gt;1,COUNTIF(Категории,D131)&lt;&gt;1,COUNTIF(Счета,F131)&lt;&gt;1,COUNTIF(Проекты,I131)&lt;&gt;1,AND(H131&lt;&gt;"",COUNTIF(Контрагенты,H131)&lt;&gt;1),AND(C131="Перевод",OR(F131=G131,COUNTIF(Счета,G131)&lt;&gt;1)),AND(S131&lt;&gt;0,COUNTIF(Docs[ID],J131)&lt;&gt;1),AND(Форма="ООО",C131="Вывод ИП"),AND(Форма="ИП",C131="Дивиденды"),AND(L131&lt;&gt;"Проведён",L131&lt;&gt;"Черновик")),"ОШИБКА","ОК"))</f>
        <v>ОК</v>
      </c>
      <c r="W131" s="25">
        <f>IF(A131="","",SUMIF(Accounts[Счёт],F131,Accounts[Начальный])+SUMIFS($Q$7:Q131,$F$7:F131,F131)+SUMIFS($E$7:E131,$G$7:G131,F131,$C$7:C131,"Перевод",$L$7:L131,"Проведён"))</f>
        <v>873353.85000000009</v>
      </c>
    </row>
    <row r="132" spans="1:23" x14ac:dyDescent="0.25">
      <c r="A132" s="3" t="s">
        <v>710</v>
      </c>
      <c r="B132" s="19">
        <v>46197</v>
      </c>
      <c r="C132" s="3" t="s">
        <v>504</v>
      </c>
      <c r="D132" s="3" t="s">
        <v>295</v>
      </c>
      <c r="E132" s="24">
        <v>45000</v>
      </c>
      <c r="F132" s="3" t="s">
        <v>474</v>
      </c>
      <c r="G132" s="3"/>
      <c r="H132" s="3" t="s">
        <v>514</v>
      </c>
      <c r="I132" s="3" t="s">
        <v>381</v>
      </c>
      <c r="J132" s="3" t="s">
        <v>711</v>
      </c>
      <c r="K132" s="3" t="s">
        <v>504</v>
      </c>
      <c r="L132" s="3" t="s">
        <v>476</v>
      </c>
      <c r="M132" s="3"/>
      <c r="N132" s="24">
        <v>45000</v>
      </c>
      <c r="O132" s="3" t="s">
        <v>295</v>
      </c>
      <c r="P132" s="5">
        <f>IF(A132="","",IF(COUNTIF(Типы,C132)=0,0,VLOOKUP(C132,СПРАВОЧНИКИ!$A$7:$E$22,2,FALSE)))</f>
        <v>-1</v>
      </c>
      <c r="Q132" s="25">
        <f t="shared" si="1"/>
        <v>-45000</v>
      </c>
      <c r="R132" s="5" t="str">
        <f>IF(A132="","",IF(COUNTIF(Типы,C132)=0,"НЕИЗВЕСТНЫЙ ТИП",VLOOKUP(C132,СПРАВОЧНИКИ!$A$7:$E$22,3,FALSE)))</f>
        <v>Операционный</v>
      </c>
      <c r="S132" s="26">
        <f>IF(A132="","",IF(L132="Проведён",E132*IF(COUNTIF(Типы,C132)=0,0,VLOOKUP(C132,СПРАВОЧНИКИ!$A$7:$E$22,4,FALSE)),0))</f>
        <v>45000</v>
      </c>
      <c r="T132" s="26">
        <f>IF(A132="","",IF(L132="Проведён",E132*IF(COUNTIF(Типы,C132)=0,0,VLOOKUP(C132,СПРАВОЧНИКИ!$A$7:$E$22,5,FALSE)),0))</f>
        <v>0</v>
      </c>
      <c r="U132" s="5" t="str">
        <f>IF(A132="","",IF(COUNTIF(Контрагенты,H132)=0,"Не задан",VLOOKUP(H132,СПРАВОЧНИКИ!$G$7:$H$66,2,FALSE)))</f>
        <v>ЮЛ</v>
      </c>
      <c r="V132" s="4" t="str">
        <f>IF(A132="",IF(COUNTA(B132:O132)&gt;0,"НЕТ ID",""),IF(OR(AND(OR(C132="Оплата клиента",C132="Возврат клиенту"),COUNTIFS(Docs[ID],J132,Docs[Тип долга],"ДЗ")&lt;&gt;1),AND(OR(C132="Оплата поставщику",C132="Возврат поставщика"),COUNTIFS(Docs[ID],J132,Docs[Тип долга],"КЗ",Docs[Вид],"&lt;&gt;Дивиденды")&lt;&gt;1),AND(C132="Дивиденды",COUNTIFS(Docs[ID],J132,Docs[Вид],"Дивиденды")&lt;&gt;1),AND(C132="Проценты",COUNTIFS(Docs[ID],J132,Docs[Вид],"Проценты")&lt;&gt;1),COUNTIF(Cash[ID],A132)&gt;1,NOT(ISNUMBER(B132)),B132&lt;НачалоУчета,YEAR(B132)&lt;&gt;Год,NOT(ISNUMBER(E132)),E132&lt;=0,N132&lt;0,COUNTIF(Типы,C132)&lt;&gt;1,COUNTIF(Категории,D132)&lt;&gt;1,COUNTIF(Счета,F132)&lt;&gt;1,COUNTIF(Проекты,I132)&lt;&gt;1,AND(H132&lt;&gt;"",COUNTIF(Контрагенты,H132)&lt;&gt;1),AND(C132="Перевод",OR(F132=G132,COUNTIF(Счета,G132)&lt;&gt;1)),AND(S132&lt;&gt;0,COUNTIF(Docs[ID],J132)&lt;&gt;1),AND(Форма="ООО",C132="Вывод ИП"),AND(Форма="ИП",C132="Дивиденды"),AND(L132&lt;&gt;"Проведён",L132&lt;&gt;"Черновик")),"ОШИБКА","ОК"))</f>
        <v>ОК</v>
      </c>
      <c r="W132" s="25">
        <f>IF(A132="","",SUMIF(Accounts[Счёт],F132,Accounts[Начальный])+SUMIFS($Q$7:Q132,$F$7:F132,F132)+SUMIFS($E$7:E132,$G$7:G132,F132,$C$7:C132,"Перевод",$L$7:L132,"Проведён"))</f>
        <v>828353.85000000009</v>
      </c>
    </row>
    <row r="133" spans="1:23" x14ac:dyDescent="0.25">
      <c r="A133" s="3" t="s">
        <v>712</v>
      </c>
      <c r="B133" s="19">
        <v>46198</v>
      </c>
      <c r="C133" s="3" t="s">
        <v>484</v>
      </c>
      <c r="D133" s="3" t="s">
        <v>485</v>
      </c>
      <c r="E133" s="24">
        <v>54560</v>
      </c>
      <c r="F133" s="3" t="s">
        <v>474</v>
      </c>
      <c r="G133" s="3"/>
      <c r="H133" s="3" t="s">
        <v>489</v>
      </c>
      <c r="I133" s="3" t="s">
        <v>298</v>
      </c>
      <c r="J133" s="3" t="s">
        <v>696</v>
      </c>
      <c r="K133" s="3" t="s">
        <v>484</v>
      </c>
      <c r="L133" s="3" t="s">
        <v>476</v>
      </c>
      <c r="M133" s="3"/>
      <c r="N133" s="24">
        <v>0</v>
      </c>
      <c r="O133" s="3"/>
      <c r="P133" s="5">
        <f>IF(A133="","",IF(COUNTIF(Типы,C133)=0,0,VLOOKUP(C133,СПРАВОЧНИКИ!$A$7:$E$22,2,FALSE)))</f>
        <v>1</v>
      </c>
      <c r="Q133" s="25">
        <f t="shared" si="1"/>
        <v>54560</v>
      </c>
      <c r="R133" s="5" t="str">
        <f>IF(A133="","",IF(COUNTIF(Типы,C133)=0,"НЕИЗВЕСТНЫЙ ТИП",VLOOKUP(C133,СПРАВОЧНИКИ!$A$7:$E$22,3,FALSE)))</f>
        <v>Операционный</v>
      </c>
      <c r="S133" s="26">
        <f>IF(A133="","",IF(L133="Проведён",E133*IF(COUNTIF(Типы,C133)=0,0,VLOOKUP(C133,СПРАВОЧНИКИ!$A$7:$E$22,4,FALSE)),0))</f>
        <v>54560</v>
      </c>
      <c r="T133" s="26">
        <f>IF(A133="","",IF(L133="Проведён",E133*IF(COUNTIF(Типы,C133)=0,0,VLOOKUP(C133,СПРАВОЧНИКИ!$A$7:$E$22,5,FALSE)),0))</f>
        <v>54560</v>
      </c>
      <c r="U133" s="5" t="str">
        <f>IF(A133="","",IF(COUNTIF(Контрагенты,H133)=0,"Не задан",VLOOKUP(H133,СПРАВОЧНИКИ!$G$7:$H$66,2,FALSE)))</f>
        <v>ЮЛ</v>
      </c>
      <c r="V133" s="4" t="str">
        <f>IF(A133="",IF(COUNTA(B133:O133)&gt;0,"НЕТ ID",""),IF(OR(AND(OR(C133="Оплата клиента",C133="Возврат клиенту"),COUNTIFS(Docs[ID],J133,Docs[Тип долга],"ДЗ")&lt;&gt;1),AND(OR(C133="Оплата поставщику",C133="Возврат поставщика"),COUNTIFS(Docs[ID],J133,Docs[Тип долга],"КЗ",Docs[Вид],"&lt;&gt;Дивиденды")&lt;&gt;1),AND(C133="Дивиденды",COUNTIFS(Docs[ID],J133,Docs[Вид],"Дивиденды")&lt;&gt;1),AND(C133="Проценты",COUNTIFS(Docs[ID],J133,Docs[Вид],"Проценты")&lt;&gt;1),COUNTIF(Cash[ID],A133)&gt;1,NOT(ISNUMBER(B133)),B133&lt;НачалоУчета,YEAR(B133)&lt;&gt;Год,NOT(ISNUMBER(E133)),E133&lt;=0,N133&lt;0,COUNTIF(Типы,C133)&lt;&gt;1,COUNTIF(Категории,D133)&lt;&gt;1,COUNTIF(Счета,F133)&lt;&gt;1,COUNTIF(Проекты,I133)&lt;&gt;1,AND(H133&lt;&gt;"",COUNTIF(Контрагенты,H133)&lt;&gt;1),AND(C133="Перевод",OR(F133=G133,COUNTIF(Счета,G133)&lt;&gt;1)),AND(S133&lt;&gt;0,COUNTIF(Docs[ID],J133)&lt;&gt;1),AND(Форма="ООО",C133="Вывод ИП"),AND(Форма="ИП",C133="Дивиденды"),AND(L133&lt;&gt;"Проведён",L133&lt;&gt;"Черновик")),"ОШИБКА","ОК"))</f>
        <v>ОК</v>
      </c>
      <c r="W133" s="25">
        <f>IF(A133="","",SUMIF(Accounts[Счёт],F133,Accounts[Начальный])+SUMIFS($Q$7:Q133,$F$7:F133,F133)+SUMIFS($E$7:E133,$G$7:G133,F133,$C$7:C133,"Перевод",$L$7:L133,"Проведён"))</f>
        <v>882913.85000000009</v>
      </c>
    </row>
    <row r="134" spans="1:23" x14ac:dyDescent="0.25">
      <c r="A134" s="3" t="s">
        <v>713</v>
      </c>
      <c r="B134" s="19">
        <v>46198</v>
      </c>
      <c r="C134" s="3" t="s">
        <v>504</v>
      </c>
      <c r="D134" s="3" t="s">
        <v>518</v>
      </c>
      <c r="E134" s="24">
        <v>18000</v>
      </c>
      <c r="F134" s="3" t="s">
        <v>474</v>
      </c>
      <c r="G134" s="3"/>
      <c r="H134" s="3" t="s">
        <v>519</v>
      </c>
      <c r="I134" s="3" t="s">
        <v>383</v>
      </c>
      <c r="J134" s="3" t="s">
        <v>714</v>
      </c>
      <c r="K134" s="3" t="s">
        <v>504</v>
      </c>
      <c r="L134" s="3" t="s">
        <v>476</v>
      </c>
      <c r="M134" s="3"/>
      <c r="N134" s="24">
        <v>18000</v>
      </c>
      <c r="O134" s="3"/>
      <c r="P134" s="5">
        <f>IF(A134="","",IF(COUNTIF(Типы,C134)=0,0,VLOOKUP(C134,СПРАВОЧНИКИ!$A$7:$E$22,2,FALSE)))</f>
        <v>-1</v>
      </c>
      <c r="Q134" s="25">
        <f t="shared" si="1"/>
        <v>-18000</v>
      </c>
      <c r="R134" s="5" t="str">
        <f>IF(A134="","",IF(COUNTIF(Типы,C134)=0,"НЕИЗВЕСТНЫЙ ТИП",VLOOKUP(C134,СПРАВОЧНИКИ!$A$7:$E$22,3,FALSE)))</f>
        <v>Операционный</v>
      </c>
      <c r="S134" s="26">
        <f>IF(A134="","",IF(L134="Проведён",E134*IF(COUNTIF(Типы,C134)=0,0,VLOOKUP(C134,СПРАВОЧНИКИ!$A$7:$E$22,4,FALSE)),0))</f>
        <v>18000</v>
      </c>
      <c r="T134" s="26">
        <f>IF(A134="","",IF(L134="Проведён",E134*IF(COUNTIF(Типы,C134)=0,0,VLOOKUP(C134,СПРАВОЧНИКИ!$A$7:$E$22,5,FALSE)),0))</f>
        <v>0</v>
      </c>
      <c r="U134" s="5" t="str">
        <f>IF(A134="","",IF(COUNTIF(Контрагенты,H134)=0,"Не задан",VLOOKUP(H134,СПРАВОЧНИКИ!$G$7:$H$66,2,FALSE)))</f>
        <v>ЮЛ</v>
      </c>
      <c r="V134" s="4" t="str">
        <f>IF(A134="",IF(COUNTA(B134:O134)&gt;0,"НЕТ ID",""),IF(OR(AND(OR(C134="Оплата клиента",C134="Возврат клиенту"),COUNTIFS(Docs[ID],J134,Docs[Тип долга],"ДЗ")&lt;&gt;1),AND(OR(C134="Оплата поставщику",C134="Возврат поставщика"),COUNTIFS(Docs[ID],J134,Docs[Тип долга],"КЗ",Docs[Вид],"&lt;&gt;Дивиденды")&lt;&gt;1),AND(C134="Дивиденды",COUNTIFS(Docs[ID],J134,Docs[Вид],"Дивиденды")&lt;&gt;1),AND(C134="Проценты",COUNTIFS(Docs[ID],J134,Docs[Вид],"Проценты")&lt;&gt;1),COUNTIF(Cash[ID],A134)&gt;1,NOT(ISNUMBER(B134)),B134&lt;НачалоУчета,YEAR(B134)&lt;&gt;Год,NOT(ISNUMBER(E134)),E134&lt;=0,N134&lt;0,COUNTIF(Типы,C134)&lt;&gt;1,COUNTIF(Категории,D134)&lt;&gt;1,COUNTIF(Счета,F134)&lt;&gt;1,COUNTIF(Проекты,I134)&lt;&gt;1,AND(H134&lt;&gt;"",COUNTIF(Контрагенты,H134)&lt;&gt;1),AND(C134="Перевод",OR(F134=G134,COUNTIF(Счета,G134)&lt;&gt;1)),AND(S134&lt;&gt;0,COUNTIF(Docs[ID],J134)&lt;&gt;1),AND(Форма="ООО",C134="Вывод ИП"),AND(Форма="ИП",C134="Дивиденды"),AND(L134&lt;&gt;"Проведён",L134&lt;&gt;"Черновик")),"ОШИБКА","ОК"))</f>
        <v>ОК</v>
      </c>
      <c r="W134" s="25">
        <f>IF(A134="","",SUMIF(Accounts[Счёт],F134,Accounts[Начальный])+SUMIFS($Q$7:Q134,$F$7:F134,F134)+SUMIFS($E$7:E134,$G$7:G134,F134,$C$7:C134,"Перевод",$L$7:L134,"Проведён"))</f>
        <v>864913.85000000009</v>
      </c>
    </row>
    <row r="135" spans="1:23" x14ac:dyDescent="0.25">
      <c r="A135" s="3" t="s">
        <v>715</v>
      </c>
      <c r="B135" s="19">
        <v>46199</v>
      </c>
      <c r="C135" s="3" t="s">
        <v>484</v>
      </c>
      <c r="D135" s="3" t="s">
        <v>485</v>
      </c>
      <c r="E135" s="24">
        <v>44640</v>
      </c>
      <c r="F135" s="3" t="s">
        <v>474</v>
      </c>
      <c r="G135" s="3"/>
      <c r="H135" s="3" t="s">
        <v>492</v>
      </c>
      <c r="I135" s="3" t="s">
        <v>382</v>
      </c>
      <c r="J135" s="3" t="s">
        <v>698</v>
      </c>
      <c r="K135" s="3" t="s">
        <v>484</v>
      </c>
      <c r="L135" s="3" t="s">
        <v>476</v>
      </c>
      <c r="M135" s="3"/>
      <c r="N135" s="24">
        <v>0</v>
      </c>
      <c r="O135" s="3"/>
      <c r="P135" s="5">
        <f>IF(A135="","",IF(COUNTIF(Типы,C135)=0,0,VLOOKUP(C135,СПРАВОЧНИКИ!$A$7:$E$22,2,FALSE)))</f>
        <v>1</v>
      </c>
      <c r="Q135" s="25">
        <f t="shared" ref="Q135:Q198" si="2">IF(A135="","",IF(L135="Проведён",E135*P135,0))</f>
        <v>44640</v>
      </c>
      <c r="R135" s="5" t="str">
        <f>IF(A135="","",IF(COUNTIF(Типы,C135)=0,"НЕИЗВЕСТНЫЙ ТИП",VLOOKUP(C135,СПРАВОЧНИКИ!$A$7:$E$22,3,FALSE)))</f>
        <v>Операционный</v>
      </c>
      <c r="S135" s="26">
        <f>IF(A135="","",IF(L135="Проведён",E135*IF(COUNTIF(Типы,C135)=0,0,VLOOKUP(C135,СПРАВОЧНИКИ!$A$7:$E$22,4,FALSE)),0))</f>
        <v>44640</v>
      </c>
      <c r="T135" s="26">
        <f>IF(A135="","",IF(L135="Проведён",E135*IF(COUNTIF(Типы,C135)=0,0,VLOOKUP(C135,СПРАВОЧНИКИ!$A$7:$E$22,5,FALSE)),0))</f>
        <v>44640</v>
      </c>
      <c r="U135" s="5" t="str">
        <f>IF(A135="","",IF(COUNTIF(Контрагенты,H135)=0,"Не задан",VLOOKUP(H135,СПРАВОЧНИКИ!$G$7:$H$66,2,FALSE)))</f>
        <v>ИП</v>
      </c>
      <c r="V135" s="4" t="str">
        <f>IF(A135="",IF(COUNTA(B135:O135)&gt;0,"НЕТ ID",""),IF(OR(AND(OR(C135="Оплата клиента",C135="Возврат клиенту"),COUNTIFS(Docs[ID],J135,Docs[Тип долга],"ДЗ")&lt;&gt;1),AND(OR(C135="Оплата поставщику",C135="Возврат поставщика"),COUNTIFS(Docs[ID],J135,Docs[Тип долга],"КЗ",Docs[Вид],"&lt;&gt;Дивиденды")&lt;&gt;1),AND(C135="Дивиденды",COUNTIFS(Docs[ID],J135,Docs[Вид],"Дивиденды")&lt;&gt;1),AND(C135="Проценты",COUNTIFS(Docs[ID],J135,Docs[Вид],"Проценты")&lt;&gt;1),COUNTIF(Cash[ID],A135)&gt;1,NOT(ISNUMBER(B135)),B135&lt;НачалоУчета,YEAR(B135)&lt;&gt;Год,NOT(ISNUMBER(E135)),E135&lt;=0,N135&lt;0,COUNTIF(Типы,C135)&lt;&gt;1,COUNTIF(Категории,D135)&lt;&gt;1,COUNTIF(Счета,F135)&lt;&gt;1,COUNTIF(Проекты,I135)&lt;&gt;1,AND(H135&lt;&gt;"",COUNTIF(Контрагенты,H135)&lt;&gt;1),AND(C135="Перевод",OR(F135=G135,COUNTIF(Счета,G135)&lt;&gt;1)),AND(S135&lt;&gt;0,COUNTIF(Docs[ID],J135)&lt;&gt;1),AND(Форма="ООО",C135="Вывод ИП"),AND(Форма="ИП",C135="Дивиденды"),AND(L135&lt;&gt;"Проведён",L135&lt;&gt;"Черновик")),"ОШИБКА","ОК"))</f>
        <v>ОК</v>
      </c>
      <c r="W135" s="25">
        <f>IF(A135="","",SUMIF(Accounts[Счёт],F135,Accounts[Начальный])+SUMIFS($Q$7:Q135,$F$7:F135,F135)+SUMIFS($E$7:E135,$G$7:G135,F135,$C$7:C135,"Перевод",$L$7:L135,"Проведён"))</f>
        <v>909553.85000000009</v>
      </c>
    </row>
    <row r="136" spans="1:23" x14ac:dyDescent="0.25">
      <c r="A136" s="3" t="s">
        <v>716</v>
      </c>
      <c r="B136" s="19">
        <v>46199</v>
      </c>
      <c r="C136" s="3" t="s">
        <v>504</v>
      </c>
      <c r="D136" s="3" t="s">
        <v>523</v>
      </c>
      <c r="E136" s="24">
        <v>78300</v>
      </c>
      <c r="F136" s="3" t="s">
        <v>474</v>
      </c>
      <c r="G136" s="3"/>
      <c r="H136" s="3" t="s">
        <v>52</v>
      </c>
      <c r="I136" s="3" t="s">
        <v>383</v>
      </c>
      <c r="J136" s="3" t="s">
        <v>717</v>
      </c>
      <c r="K136" s="3" t="s">
        <v>504</v>
      </c>
      <c r="L136" s="3" t="s">
        <v>476</v>
      </c>
      <c r="M136" s="3"/>
      <c r="N136" s="24">
        <v>78300</v>
      </c>
      <c r="O136" s="3"/>
      <c r="P136" s="5">
        <f>IF(A136="","",IF(COUNTIF(Типы,C136)=0,0,VLOOKUP(C136,СПРАВОЧНИКИ!$A$7:$E$22,2,FALSE)))</f>
        <v>-1</v>
      </c>
      <c r="Q136" s="25">
        <f t="shared" si="2"/>
        <v>-78300</v>
      </c>
      <c r="R136" s="5" t="str">
        <f>IF(A136="","",IF(COUNTIF(Типы,C136)=0,"НЕИЗВЕСТНЫЙ ТИП",VLOOKUP(C136,СПРАВОЧНИКИ!$A$7:$E$22,3,FALSE)))</f>
        <v>Операционный</v>
      </c>
      <c r="S136" s="26">
        <f>IF(A136="","",IF(L136="Проведён",E136*IF(COUNTIF(Типы,C136)=0,0,VLOOKUP(C136,СПРАВОЧНИКИ!$A$7:$E$22,4,FALSE)),0))</f>
        <v>78300</v>
      </c>
      <c r="T136" s="26">
        <f>IF(A136="","",IF(L136="Проведён",E136*IF(COUNTIF(Типы,C136)=0,0,VLOOKUP(C136,СПРАВОЧНИКИ!$A$7:$E$22,5,FALSE)),0))</f>
        <v>0</v>
      </c>
      <c r="U136" s="5" t="str">
        <f>IF(A136="","",IF(COUNTIF(Контрагенты,H136)=0,"Не задан",VLOOKUP(H136,СПРАВОЧНИКИ!$G$7:$H$66,2,FALSE)))</f>
        <v>ФЛ</v>
      </c>
      <c r="V136" s="4" t="str">
        <f>IF(A136="",IF(COUNTA(B136:O136)&gt;0,"НЕТ ID",""),IF(OR(AND(OR(C136="Оплата клиента",C136="Возврат клиенту"),COUNTIFS(Docs[ID],J136,Docs[Тип долга],"ДЗ")&lt;&gt;1),AND(OR(C136="Оплата поставщику",C136="Возврат поставщика"),COUNTIFS(Docs[ID],J136,Docs[Тип долга],"КЗ",Docs[Вид],"&lt;&gt;Дивиденды")&lt;&gt;1),AND(C136="Дивиденды",COUNTIFS(Docs[ID],J136,Docs[Вид],"Дивиденды")&lt;&gt;1),AND(C136="Проценты",COUNTIFS(Docs[ID],J136,Docs[Вид],"Проценты")&lt;&gt;1),COUNTIF(Cash[ID],A136)&gt;1,NOT(ISNUMBER(B136)),B136&lt;НачалоУчета,YEAR(B136)&lt;&gt;Год,NOT(ISNUMBER(E136)),E136&lt;=0,N136&lt;0,COUNTIF(Типы,C136)&lt;&gt;1,COUNTIF(Категории,D136)&lt;&gt;1,COUNTIF(Счета,F136)&lt;&gt;1,COUNTIF(Проекты,I136)&lt;&gt;1,AND(H136&lt;&gt;"",COUNTIF(Контрагенты,H136)&lt;&gt;1),AND(C136="Перевод",OR(F136=G136,COUNTIF(Счета,G136)&lt;&gt;1)),AND(S136&lt;&gt;0,COUNTIF(Docs[ID],J136)&lt;&gt;1),AND(Форма="ООО",C136="Вывод ИП"),AND(Форма="ИП",C136="Дивиденды"),AND(L136&lt;&gt;"Проведён",L136&lt;&gt;"Черновик")),"ОШИБКА","ОК"))</f>
        <v>ОК</v>
      </c>
      <c r="W136" s="25">
        <f>IF(A136="","",SUMIF(Accounts[Счёт],F136,Accounts[Начальный])+SUMIFS($Q$7:Q136,$F$7:F136,F136)+SUMIFS($E$7:E136,$G$7:G136,F136,$C$7:C136,"Перевод",$L$7:L136,"Проведён"))</f>
        <v>831253.85000000009</v>
      </c>
    </row>
    <row r="137" spans="1:23" x14ac:dyDescent="0.25">
      <c r="A137" s="3" t="s">
        <v>718</v>
      </c>
      <c r="B137" s="19">
        <v>46200</v>
      </c>
      <c r="C137" s="3" t="s">
        <v>484</v>
      </c>
      <c r="D137" s="3" t="s">
        <v>485</v>
      </c>
      <c r="E137" s="24">
        <v>34720</v>
      </c>
      <c r="F137" s="3" t="s">
        <v>474</v>
      </c>
      <c r="G137" s="3"/>
      <c r="H137" s="3" t="s">
        <v>495</v>
      </c>
      <c r="I137" s="3" t="s">
        <v>381</v>
      </c>
      <c r="J137" s="3" t="s">
        <v>700</v>
      </c>
      <c r="K137" s="3" t="s">
        <v>484</v>
      </c>
      <c r="L137" s="3" t="s">
        <v>476</v>
      </c>
      <c r="M137" s="3"/>
      <c r="N137" s="24">
        <v>0</v>
      </c>
      <c r="O137" s="3"/>
      <c r="P137" s="5">
        <f>IF(A137="","",IF(COUNTIF(Типы,C137)=0,0,VLOOKUP(C137,СПРАВОЧНИКИ!$A$7:$E$22,2,FALSE)))</f>
        <v>1</v>
      </c>
      <c r="Q137" s="25">
        <f t="shared" si="2"/>
        <v>34720</v>
      </c>
      <c r="R137" s="5" t="str">
        <f>IF(A137="","",IF(COUNTIF(Типы,C137)=0,"НЕИЗВЕСТНЫЙ ТИП",VLOOKUP(C137,СПРАВОЧНИКИ!$A$7:$E$22,3,FALSE)))</f>
        <v>Операционный</v>
      </c>
      <c r="S137" s="26">
        <f>IF(A137="","",IF(L137="Проведён",E137*IF(COUNTIF(Типы,C137)=0,0,VLOOKUP(C137,СПРАВОЧНИКИ!$A$7:$E$22,4,FALSE)),0))</f>
        <v>34720</v>
      </c>
      <c r="T137" s="26">
        <f>IF(A137="","",IF(L137="Проведён",E137*IF(COUNTIF(Типы,C137)=0,0,VLOOKUP(C137,СПРАВОЧНИКИ!$A$7:$E$22,5,FALSE)),0))</f>
        <v>34720</v>
      </c>
      <c r="U137" s="5" t="str">
        <f>IF(A137="","",IF(COUNTIF(Контрагенты,H137)=0,"Не задан",VLOOKUP(H137,СПРАВОЧНИКИ!$G$7:$H$66,2,FALSE)))</f>
        <v>ЮЛ</v>
      </c>
      <c r="V137" s="4" t="str">
        <f>IF(A137="",IF(COUNTA(B137:O137)&gt;0,"НЕТ ID",""),IF(OR(AND(OR(C137="Оплата клиента",C137="Возврат клиенту"),COUNTIFS(Docs[ID],J137,Docs[Тип долга],"ДЗ")&lt;&gt;1),AND(OR(C137="Оплата поставщику",C137="Возврат поставщика"),COUNTIFS(Docs[ID],J137,Docs[Тип долга],"КЗ",Docs[Вид],"&lt;&gt;Дивиденды")&lt;&gt;1),AND(C137="Дивиденды",COUNTIFS(Docs[ID],J137,Docs[Вид],"Дивиденды")&lt;&gt;1),AND(C137="Проценты",COUNTIFS(Docs[ID],J137,Docs[Вид],"Проценты")&lt;&gt;1),COUNTIF(Cash[ID],A137)&gt;1,NOT(ISNUMBER(B137)),B137&lt;НачалоУчета,YEAR(B137)&lt;&gt;Год,NOT(ISNUMBER(E137)),E137&lt;=0,N137&lt;0,COUNTIF(Типы,C137)&lt;&gt;1,COUNTIF(Категории,D137)&lt;&gt;1,COUNTIF(Счета,F137)&lt;&gt;1,COUNTIF(Проекты,I137)&lt;&gt;1,AND(H137&lt;&gt;"",COUNTIF(Контрагенты,H137)&lt;&gt;1),AND(C137="Перевод",OR(F137=G137,COUNTIF(Счета,G137)&lt;&gt;1)),AND(S137&lt;&gt;0,COUNTIF(Docs[ID],J137)&lt;&gt;1),AND(Форма="ООО",C137="Вывод ИП"),AND(Форма="ИП",C137="Дивиденды"),AND(L137&lt;&gt;"Проведён",L137&lt;&gt;"Черновик")),"ОШИБКА","ОК"))</f>
        <v>ОК</v>
      </c>
      <c r="W137" s="25">
        <f>IF(A137="","",SUMIF(Accounts[Счёт],F137,Accounts[Начальный])+SUMIFS($Q$7:Q137,$F$7:F137,F137)+SUMIFS($E$7:E137,$G$7:G137,F137,$C$7:C137,"Перевод",$L$7:L137,"Проведён"))</f>
        <v>865973.85000000009</v>
      </c>
    </row>
    <row r="138" spans="1:23" x14ac:dyDescent="0.25">
      <c r="A138" s="3" t="s">
        <v>719</v>
      </c>
      <c r="B138" s="19">
        <v>46200</v>
      </c>
      <c r="C138" s="3" t="s">
        <v>504</v>
      </c>
      <c r="D138" s="3" t="s">
        <v>527</v>
      </c>
      <c r="E138" s="24">
        <v>11700</v>
      </c>
      <c r="F138" s="3" t="s">
        <v>474</v>
      </c>
      <c r="G138" s="3"/>
      <c r="H138" s="3" t="s">
        <v>528</v>
      </c>
      <c r="I138" s="3" t="s">
        <v>383</v>
      </c>
      <c r="J138" s="3" t="s">
        <v>720</v>
      </c>
      <c r="K138" s="3" t="s">
        <v>504</v>
      </c>
      <c r="L138" s="3" t="s">
        <v>476</v>
      </c>
      <c r="M138" s="3"/>
      <c r="N138" s="24">
        <v>11700</v>
      </c>
      <c r="O138" s="3"/>
      <c r="P138" s="5">
        <f>IF(A138="","",IF(COUNTIF(Типы,C138)=0,0,VLOOKUP(C138,СПРАВОЧНИКИ!$A$7:$E$22,2,FALSE)))</f>
        <v>-1</v>
      </c>
      <c r="Q138" s="25">
        <f t="shared" si="2"/>
        <v>-11700</v>
      </c>
      <c r="R138" s="5" t="str">
        <f>IF(A138="","",IF(COUNTIF(Типы,C138)=0,"НЕИЗВЕСТНЫЙ ТИП",VLOOKUP(C138,СПРАВОЧНИКИ!$A$7:$E$22,3,FALSE)))</f>
        <v>Операционный</v>
      </c>
      <c r="S138" s="26">
        <f>IF(A138="","",IF(L138="Проведён",E138*IF(COUNTIF(Типы,C138)=0,0,VLOOKUP(C138,СПРАВОЧНИКИ!$A$7:$E$22,4,FALSE)),0))</f>
        <v>11700</v>
      </c>
      <c r="T138" s="26">
        <f>IF(A138="","",IF(L138="Проведён",E138*IF(COUNTIF(Типы,C138)=0,0,VLOOKUP(C138,СПРАВОЧНИКИ!$A$7:$E$22,5,FALSE)),0))</f>
        <v>0</v>
      </c>
      <c r="U138" s="5" t="str">
        <f>IF(A138="","",IF(COUNTIF(Контрагенты,H138)=0,"Не задан",VLOOKUP(H138,СПРАВОЧНИКИ!$G$7:$H$66,2,FALSE)))</f>
        <v>ЮЛ</v>
      </c>
      <c r="V138" s="4" t="str">
        <f>IF(A138="",IF(COUNTA(B138:O138)&gt;0,"НЕТ ID",""),IF(OR(AND(OR(C138="Оплата клиента",C138="Возврат клиенту"),COUNTIFS(Docs[ID],J138,Docs[Тип долга],"ДЗ")&lt;&gt;1),AND(OR(C138="Оплата поставщику",C138="Возврат поставщика"),COUNTIFS(Docs[ID],J138,Docs[Тип долга],"КЗ",Docs[Вид],"&lt;&gt;Дивиденды")&lt;&gt;1),AND(C138="Дивиденды",COUNTIFS(Docs[ID],J138,Docs[Вид],"Дивиденды")&lt;&gt;1),AND(C138="Проценты",COUNTIFS(Docs[ID],J138,Docs[Вид],"Проценты")&lt;&gt;1),COUNTIF(Cash[ID],A138)&gt;1,NOT(ISNUMBER(B138)),B138&lt;НачалоУчета,YEAR(B138)&lt;&gt;Год,NOT(ISNUMBER(E138)),E138&lt;=0,N138&lt;0,COUNTIF(Типы,C138)&lt;&gt;1,COUNTIF(Категории,D138)&lt;&gt;1,COUNTIF(Счета,F138)&lt;&gt;1,COUNTIF(Проекты,I138)&lt;&gt;1,AND(H138&lt;&gt;"",COUNTIF(Контрагенты,H138)&lt;&gt;1),AND(C138="Перевод",OR(F138=G138,COUNTIF(Счета,G138)&lt;&gt;1)),AND(S138&lt;&gt;0,COUNTIF(Docs[ID],J138)&lt;&gt;1),AND(Форма="ООО",C138="Вывод ИП"),AND(Форма="ИП",C138="Дивиденды"),AND(L138&lt;&gt;"Проведён",L138&lt;&gt;"Черновик")),"ОШИБКА","ОК"))</f>
        <v>ОК</v>
      </c>
      <c r="W138" s="25">
        <f>IF(A138="","",SUMIF(Accounts[Счёт],F138,Accounts[Начальный])+SUMIFS($Q$7:Q138,$F$7:F138,F138)+SUMIFS($E$7:E138,$G$7:G138,F138,$C$7:C138,"Перевод",$L$7:L138,"Проведён"))</f>
        <v>854273.85000000009</v>
      </c>
    </row>
    <row r="139" spans="1:23" x14ac:dyDescent="0.25">
      <c r="A139" s="3" t="s">
        <v>721</v>
      </c>
      <c r="B139" s="19">
        <v>46201</v>
      </c>
      <c r="C139" s="3" t="s">
        <v>484</v>
      </c>
      <c r="D139" s="3" t="s">
        <v>485</v>
      </c>
      <c r="E139" s="24">
        <v>24800</v>
      </c>
      <c r="F139" s="3" t="s">
        <v>474</v>
      </c>
      <c r="G139" s="3"/>
      <c r="H139" s="3" t="s">
        <v>498</v>
      </c>
      <c r="I139" s="3" t="s">
        <v>298</v>
      </c>
      <c r="J139" s="3" t="s">
        <v>702</v>
      </c>
      <c r="K139" s="3" t="s">
        <v>484</v>
      </c>
      <c r="L139" s="3" t="s">
        <v>476</v>
      </c>
      <c r="M139" s="3"/>
      <c r="N139" s="24">
        <v>0</v>
      </c>
      <c r="O139" s="3"/>
      <c r="P139" s="5">
        <f>IF(A139="","",IF(COUNTIF(Типы,C139)=0,0,VLOOKUP(C139,СПРАВОЧНИКИ!$A$7:$E$22,2,FALSE)))</f>
        <v>1</v>
      </c>
      <c r="Q139" s="25">
        <f t="shared" si="2"/>
        <v>24800</v>
      </c>
      <c r="R139" s="5" t="str">
        <f>IF(A139="","",IF(COUNTIF(Типы,C139)=0,"НЕИЗВЕСТНЫЙ ТИП",VLOOKUP(C139,СПРАВОЧНИКИ!$A$7:$E$22,3,FALSE)))</f>
        <v>Операционный</v>
      </c>
      <c r="S139" s="26">
        <f>IF(A139="","",IF(L139="Проведён",E139*IF(COUNTIF(Типы,C139)=0,0,VLOOKUP(C139,СПРАВОЧНИКИ!$A$7:$E$22,4,FALSE)),0))</f>
        <v>24800</v>
      </c>
      <c r="T139" s="26">
        <f>IF(A139="","",IF(L139="Проведён",E139*IF(COUNTIF(Типы,C139)=0,0,VLOOKUP(C139,СПРАВОЧНИКИ!$A$7:$E$22,5,FALSE)),0))</f>
        <v>24800</v>
      </c>
      <c r="U139" s="5" t="str">
        <f>IF(A139="","",IF(COUNTIF(Контрагенты,H139)=0,"Не задан",VLOOKUP(H139,СПРАВОЧНИКИ!$G$7:$H$66,2,FALSE)))</f>
        <v>ФЛ</v>
      </c>
      <c r="V139" s="4" t="str">
        <f>IF(A139="",IF(COUNTA(B139:O139)&gt;0,"НЕТ ID",""),IF(OR(AND(OR(C139="Оплата клиента",C139="Возврат клиенту"),COUNTIFS(Docs[ID],J139,Docs[Тип долга],"ДЗ")&lt;&gt;1),AND(OR(C139="Оплата поставщику",C139="Возврат поставщика"),COUNTIFS(Docs[ID],J139,Docs[Тип долга],"КЗ",Docs[Вид],"&lt;&gt;Дивиденды")&lt;&gt;1),AND(C139="Дивиденды",COUNTIFS(Docs[ID],J139,Docs[Вид],"Дивиденды")&lt;&gt;1),AND(C139="Проценты",COUNTIFS(Docs[ID],J139,Docs[Вид],"Проценты")&lt;&gt;1),COUNTIF(Cash[ID],A139)&gt;1,NOT(ISNUMBER(B139)),B139&lt;НачалоУчета,YEAR(B139)&lt;&gt;Год,NOT(ISNUMBER(E139)),E139&lt;=0,N139&lt;0,COUNTIF(Типы,C139)&lt;&gt;1,COUNTIF(Категории,D139)&lt;&gt;1,COUNTIF(Счета,F139)&lt;&gt;1,COUNTIF(Проекты,I139)&lt;&gt;1,AND(H139&lt;&gt;"",COUNTIF(Контрагенты,H139)&lt;&gt;1),AND(C139="Перевод",OR(F139=G139,COUNTIF(Счета,G139)&lt;&gt;1)),AND(S139&lt;&gt;0,COUNTIF(Docs[ID],J139)&lt;&gt;1),AND(Форма="ООО",C139="Вывод ИП"),AND(Форма="ИП",C139="Дивиденды"),AND(L139&lt;&gt;"Проведён",L139&lt;&gt;"Черновик")),"ОШИБКА","ОК"))</f>
        <v>ОК</v>
      </c>
      <c r="W139" s="25">
        <f>IF(A139="","",SUMIF(Accounts[Счёт],F139,Accounts[Начальный])+SUMIFS($Q$7:Q139,$F$7:F139,F139)+SUMIFS($E$7:E139,$G$7:G139,F139,$C$7:C139,"Перевод",$L$7:L139,"Проведён"))</f>
        <v>879073.85000000009</v>
      </c>
    </row>
    <row r="140" spans="1:23" x14ac:dyDescent="0.25">
      <c r="A140" s="3" t="s">
        <v>722</v>
      </c>
      <c r="B140" s="19">
        <v>46201</v>
      </c>
      <c r="C140" s="3" t="s">
        <v>504</v>
      </c>
      <c r="D140" s="3" t="s">
        <v>532</v>
      </c>
      <c r="E140" s="24">
        <v>27000</v>
      </c>
      <c r="F140" s="3" t="s">
        <v>474</v>
      </c>
      <c r="G140" s="3"/>
      <c r="H140" s="3" t="s">
        <v>528</v>
      </c>
      <c r="I140" s="3" t="s">
        <v>383</v>
      </c>
      <c r="J140" s="3" t="s">
        <v>723</v>
      </c>
      <c r="K140" s="3" t="s">
        <v>504</v>
      </c>
      <c r="L140" s="3" t="s">
        <v>476</v>
      </c>
      <c r="M140" s="3"/>
      <c r="N140" s="24">
        <v>27000</v>
      </c>
      <c r="O140" s="3"/>
      <c r="P140" s="5">
        <f>IF(A140="","",IF(COUNTIF(Типы,C140)=0,0,VLOOKUP(C140,СПРАВОЧНИКИ!$A$7:$E$22,2,FALSE)))</f>
        <v>-1</v>
      </c>
      <c r="Q140" s="25">
        <f t="shared" si="2"/>
        <v>-27000</v>
      </c>
      <c r="R140" s="5" t="str">
        <f>IF(A140="","",IF(COUNTIF(Типы,C140)=0,"НЕИЗВЕСТНЫЙ ТИП",VLOOKUP(C140,СПРАВОЧНИКИ!$A$7:$E$22,3,FALSE)))</f>
        <v>Операционный</v>
      </c>
      <c r="S140" s="26">
        <f>IF(A140="","",IF(L140="Проведён",E140*IF(COUNTIF(Типы,C140)=0,0,VLOOKUP(C140,СПРАВОЧНИКИ!$A$7:$E$22,4,FALSE)),0))</f>
        <v>27000</v>
      </c>
      <c r="T140" s="26">
        <f>IF(A140="","",IF(L140="Проведён",E140*IF(COUNTIF(Типы,C140)=0,0,VLOOKUP(C140,СПРАВОЧНИКИ!$A$7:$E$22,5,FALSE)),0))</f>
        <v>0</v>
      </c>
      <c r="U140" s="5" t="str">
        <f>IF(A140="","",IF(COUNTIF(Контрагенты,H140)=0,"Не задан",VLOOKUP(H140,СПРАВОЧНИКИ!$G$7:$H$66,2,FALSE)))</f>
        <v>ЮЛ</v>
      </c>
      <c r="V140" s="4" t="str">
        <f>IF(A140="",IF(COUNTA(B140:O140)&gt;0,"НЕТ ID",""),IF(OR(AND(OR(C140="Оплата клиента",C140="Возврат клиенту"),COUNTIFS(Docs[ID],J140,Docs[Тип долга],"ДЗ")&lt;&gt;1),AND(OR(C140="Оплата поставщику",C140="Возврат поставщика"),COUNTIFS(Docs[ID],J140,Docs[Тип долга],"КЗ",Docs[Вид],"&lt;&gt;Дивиденды")&lt;&gt;1),AND(C140="Дивиденды",COUNTIFS(Docs[ID],J140,Docs[Вид],"Дивиденды")&lt;&gt;1),AND(C140="Проценты",COUNTIFS(Docs[ID],J140,Docs[Вид],"Проценты")&lt;&gt;1),COUNTIF(Cash[ID],A140)&gt;1,NOT(ISNUMBER(B140)),B140&lt;НачалоУчета,YEAR(B140)&lt;&gt;Год,NOT(ISNUMBER(E140)),E140&lt;=0,N140&lt;0,COUNTIF(Типы,C140)&lt;&gt;1,COUNTIF(Категории,D140)&lt;&gt;1,COUNTIF(Счета,F140)&lt;&gt;1,COUNTIF(Проекты,I140)&lt;&gt;1,AND(H140&lt;&gt;"",COUNTIF(Контрагенты,H140)&lt;&gt;1),AND(C140="Перевод",OR(F140=G140,COUNTIF(Счета,G140)&lt;&gt;1)),AND(S140&lt;&gt;0,COUNTIF(Docs[ID],J140)&lt;&gt;1),AND(Форма="ООО",C140="Вывод ИП"),AND(Форма="ИП",C140="Дивиденды"),AND(L140&lt;&gt;"Проведён",L140&lt;&gt;"Черновик")),"ОШИБКА","ОК"))</f>
        <v>ОК</v>
      </c>
      <c r="W140" s="25">
        <f>IF(A140="","",SUMIF(Accounts[Счёт],F140,Accounts[Начальный])+SUMIFS($Q$7:Q140,$F$7:F140,F140)+SUMIFS($E$7:E140,$G$7:G140,F140,$C$7:C140,"Перевод",$L$7:L140,"Проведён"))</f>
        <v>852073.85000000009</v>
      </c>
    </row>
    <row r="141" spans="1:23" x14ac:dyDescent="0.25">
      <c r="A141" s="3" t="s">
        <v>724</v>
      </c>
      <c r="B141" s="19">
        <v>46201</v>
      </c>
      <c r="C141" s="3" t="s">
        <v>130</v>
      </c>
      <c r="D141" s="3" t="s">
        <v>130</v>
      </c>
      <c r="E141" s="24">
        <v>3690.28</v>
      </c>
      <c r="F141" s="3" t="s">
        <v>474</v>
      </c>
      <c r="G141" s="3"/>
      <c r="H141" s="3" t="s">
        <v>397</v>
      </c>
      <c r="I141" s="3" t="s">
        <v>383</v>
      </c>
      <c r="J141" s="3" t="s">
        <v>725</v>
      </c>
      <c r="K141" s="3" t="s">
        <v>130</v>
      </c>
      <c r="L141" s="3" t="s">
        <v>476</v>
      </c>
      <c r="M141" s="3"/>
      <c r="N141" s="24">
        <v>3690.28</v>
      </c>
      <c r="O141" s="3"/>
      <c r="P141" s="5">
        <f>IF(A141="","",IF(COUNTIF(Типы,C141)=0,0,VLOOKUP(C141,СПРАВОЧНИКИ!$A$7:$E$22,2,FALSE)))</f>
        <v>-1</v>
      </c>
      <c r="Q141" s="25">
        <f t="shared" si="2"/>
        <v>-3690.28</v>
      </c>
      <c r="R141" s="5" t="str">
        <f>IF(A141="","",IF(COUNTIF(Типы,C141)=0,"НЕИЗВЕСТНЫЙ ТИП",VLOOKUP(C141,СПРАВОЧНИКИ!$A$7:$E$22,3,FALSE)))</f>
        <v>Операционный</v>
      </c>
      <c r="S141" s="26">
        <f>IF(A141="","",IF(L141="Проведён",E141*IF(COUNTIF(Типы,C141)=0,0,VLOOKUP(C141,СПРАВОЧНИКИ!$A$7:$E$22,4,FALSE)),0))</f>
        <v>3690.28</v>
      </c>
      <c r="T141" s="26">
        <f>IF(A141="","",IF(L141="Проведён",E141*IF(COUNTIF(Типы,C141)=0,0,VLOOKUP(C141,СПРАВОЧНИКИ!$A$7:$E$22,5,FALSE)),0))</f>
        <v>0</v>
      </c>
      <c r="U141" s="5" t="str">
        <f>IF(A141="","",IF(COUNTIF(Контрагенты,H141)=0,"Не задан",VLOOKUP(H141,СПРАВОЧНИКИ!$G$7:$H$66,2,FALSE)))</f>
        <v>ЮЛ</v>
      </c>
      <c r="V141" s="4" t="str">
        <f>IF(A141="",IF(COUNTA(B141:O141)&gt;0,"НЕТ ID",""),IF(OR(AND(OR(C141="Оплата клиента",C141="Возврат клиенту"),COUNTIFS(Docs[ID],J141,Docs[Тип долга],"ДЗ")&lt;&gt;1),AND(OR(C141="Оплата поставщику",C141="Возврат поставщика"),COUNTIFS(Docs[ID],J141,Docs[Тип долга],"КЗ",Docs[Вид],"&lt;&gt;Дивиденды")&lt;&gt;1),AND(C141="Дивиденды",COUNTIFS(Docs[ID],J141,Docs[Вид],"Дивиденды")&lt;&gt;1),AND(C141="Проценты",COUNTIFS(Docs[ID],J141,Docs[Вид],"Проценты")&lt;&gt;1),COUNTIF(Cash[ID],A141)&gt;1,NOT(ISNUMBER(B141)),B141&lt;НачалоУчета,YEAR(B141)&lt;&gt;Год,NOT(ISNUMBER(E141)),E141&lt;=0,N141&lt;0,COUNTIF(Типы,C141)&lt;&gt;1,COUNTIF(Категории,D141)&lt;&gt;1,COUNTIF(Счета,F141)&lt;&gt;1,COUNTIF(Проекты,I141)&lt;&gt;1,AND(H141&lt;&gt;"",COUNTIF(Контрагенты,H141)&lt;&gt;1),AND(C141="Перевод",OR(F141=G141,COUNTIF(Счета,G141)&lt;&gt;1)),AND(S141&lt;&gt;0,COUNTIF(Docs[ID],J141)&lt;&gt;1),AND(Форма="ООО",C141="Вывод ИП"),AND(Форма="ИП",C141="Дивиденды"),AND(L141&lt;&gt;"Проведён",L141&lt;&gt;"Черновик")),"ОШИБКА","ОК"))</f>
        <v>ОК</v>
      </c>
      <c r="W141" s="25">
        <f>IF(A141="","",SUMIF(Accounts[Счёт],F141,Accounts[Начальный])+SUMIFS($Q$7:Q141,$F$7:F141,F141)+SUMIFS($E$7:E141,$G$7:G141,F141,$C$7:C141,"Перевод",$L$7:L141,"Проведён"))</f>
        <v>848383.57000000007</v>
      </c>
    </row>
    <row r="142" spans="1:23" x14ac:dyDescent="0.25">
      <c r="A142" s="3" t="s">
        <v>726</v>
      </c>
      <c r="B142" s="19">
        <v>46201</v>
      </c>
      <c r="C142" s="3" t="s">
        <v>537</v>
      </c>
      <c r="D142" s="3" t="s">
        <v>479</v>
      </c>
      <c r="E142" s="24">
        <v>11286.95</v>
      </c>
      <c r="F142" s="3" t="s">
        <v>474</v>
      </c>
      <c r="G142" s="3"/>
      <c r="H142" s="3" t="s">
        <v>397</v>
      </c>
      <c r="I142" s="3" t="s">
        <v>383</v>
      </c>
      <c r="J142" s="3" t="s">
        <v>394</v>
      </c>
      <c r="K142" s="3" t="s">
        <v>537</v>
      </c>
      <c r="L142" s="3" t="s">
        <v>476</v>
      </c>
      <c r="M142" s="3"/>
      <c r="N142" s="24">
        <v>0</v>
      </c>
      <c r="O142" s="3"/>
      <c r="P142" s="5">
        <f>IF(A142="","",IF(COUNTIF(Типы,C142)=0,0,VLOOKUP(C142,СПРАВОЧНИКИ!$A$7:$E$22,2,FALSE)))</f>
        <v>-1</v>
      </c>
      <c r="Q142" s="25">
        <f t="shared" si="2"/>
        <v>-11286.95</v>
      </c>
      <c r="R142" s="5" t="str">
        <f>IF(A142="","",IF(COUNTIF(Типы,C142)=0,"НЕИЗВЕСТНЫЙ ТИП",VLOOKUP(C142,СПРАВОЧНИКИ!$A$7:$E$22,3,FALSE)))</f>
        <v>Финансовый</v>
      </c>
      <c r="S142" s="26">
        <f>IF(A142="","",IF(L142="Проведён",E142*IF(COUNTIF(Типы,C142)=0,0,VLOOKUP(C142,СПРАВОЧНИКИ!$A$7:$E$22,4,FALSE)),0))</f>
        <v>0</v>
      </c>
      <c r="T142" s="26">
        <f>IF(A142="","",IF(L142="Проведён",E142*IF(COUNTIF(Типы,C142)=0,0,VLOOKUP(C142,СПРАВОЧНИКИ!$A$7:$E$22,5,FALSE)),0))</f>
        <v>0</v>
      </c>
      <c r="U142" s="5" t="str">
        <f>IF(A142="","",IF(COUNTIF(Контрагенты,H142)=0,"Не задан",VLOOKUP(H142,СПРАВОЧНИКИ!$G$7:$H$66,2,FALSE)))</f>
        <v>ЮЛ</v>
      </c>
      <c r="V142" s="4" t="str">
        <f>IF(A142="",IF(COUNTA(B142:O142)&gt;0,"НЕТ ID",""),IF(OR(AND(OR(C142="Оплата клиента",C142="Возврат клиенту"),COUNTIFS(Docs[ID],J142,Docs[Тип долга],"ДЗ")&lt;&gt;1),AND(OR(C142="Оплата поставщику",C142="Возврат поставщика"),COUNTIFS(Docs[ID],J142,Docs[Тип долга],"КЗ",Docs[Вид],"&lt;&gt;Дивиденды")&lt;&gt;1),AND(C142="Дивиденды",COUNTIFS(Docs[ID],J142,Docs[Вид],"Дивиденды")&lt;&gt;1),AND(C142="Проценты",COUNTIFS(Docs[ID],J142,Docs[Вид],"Проценты")&lt;&gt;1),COUNTIF(Cash[ID],A142)&gt;1,NOT(ISNUMBER(B142)),B142&lt;НачалоУчета,YEAR(B142)&lt;&gt;Год,NOT(ISNUMBER(E142)),E142&lt;=0,N142&lt;0,COUNTIF(Типы,C142)&lt;&gt;1,COUNTIF(Категории,D142)&lt;&gt;1,COUNTIF(Счета,F142)&lt;&gt;1,COUNTIF(Проекты,I142)&lt;&gt;1,AND(H142&lt;&gt;"",COUNTIF(Контрагенты,H142)&lt;&gt;1),AND(C142="Перевод",OR(F142=G142,COUNTIF(Счета,G142)&lt;&gt;1)),AND(S142&lt;&gt;0,COUNTIF(Docs[ID],J142)&lt;&gt;1),AND(Форма="ООО",C142="Вывод ИП"),AND(Форма="ИП",C142="Дивиденды"),AND(L142&lt;&gt;"Проведён",L142&lt;&gt;"Черновик")),"ОШИБКА","ОК"))</f>
        <v>ОК</v>
      </c>
      <c r="W142" s="25">
        <f>IF(A142="","",SUMIF(Accounts[Счёт],F142,Accounts[Начальный])+SUMIFS($Q$7:Q142,$F$7:F142,F142)+SUMIFS($E$7:E142,$G$7:G142,F142,$C$7:C142,"Перевод",$L$7:L142,"Проведён"))</f>
        <v>837096.62000000011</v>
      </c>
    </row>
    <row r="143" spans="1:23" x14ac:dyDescent="0.25">
      <c r="A143" s="3" t="s">
        <v>727</v>
      </c>
      <c r="B143" s="19">
        <v>46201</v>
      </c>
      <c r="C143" s="3" t="s">
        <v>539</v>
      </c>
      <c r="D143" s="3" t="s">
        <v>299</v>
      </c>
      <c r="E143" s="24">
        <v>15000</v>
      </c>
      <c r="F143" s="3" t="s">
        <v>474</v>
      </c>
      <c r="G143" s="3" t="s">
        <v>299</v>
      </c>
      <c r="H143" s="3"/>
      <c r="I143" s="3" t="s">
        <v>383</v>
      </c>
      <c r="J143" s="3"/>
      <c r="K143" s="3" t="s">
        <v>539</v>
      </c>
      <c r="L143" s="3" t="s">
        <v>476</v>
      </c>
      <c r="M143" s="3"/>
      <c r="N143" s="24">
        <v>0</v>
      </c>
      <c r="O143" s="3"/>
      <c r="P143" s="5">
        <f>IF(A143="","",IF(COUNTIF(Типы,C143)=0,0,VLOOKUP(C143,СПРАВОЧНИКИ!$A$7:$E$22,2,FALSE)))</f>
        <v>-1</v>
      </c>
      <c r="Q143" s="25">
        <f t="shared" si="2"/>
        <v>-15000</v>
      </c>
      <c r="R143" s="5" t="str">
        <f>IF(A143="","",IF(COUNTIF(Типы,C143)=0,"НЕИЗВЕСТНЫЙ ТИП",VLOOKUP(C143,СПРАВОЧНИКИ!$A$7:$E$22,3,FALSE)))</f>
        <v>Внутренний</v>
      </c>
      <c r="S143" s="26">
        <f>IF(A143="","",IF(L143="Проведён",E143*IF(COUNTIF(Типы,C143)=0,0,VLOOKUP(C143,СПРАВОЧНИКИ!$A$7:$E$22,4,FALSE)),0))</f>
        <v>0</v>
      </c>
      <c r="T143" s="26">
        <f>IF(A143="","",IF(L143="Проведён",E143*IF(COUNTIF(Типы,C143)=0,0,VLOOKUP(C143,СПРАВОЧНИКИ!$A$7:$E$22,5,FALSE)),0))</f>
        <v>0</v>
      </c>
      <c r="U143" s="5" t="str">
        <f>IF(A143="","",IF(COUNTIF(Контрагенты,H143)=0,"Не задан",VLOOKUP(H143,СПРАВОЧНИКИ!$G$7:$H$66,2,FALSE)))</f>
        <v>Не задан</v>
      </c>
      <c r="V143" s="4" t="str">
        <f>IF(A143="",IF(COUNTA(B143:O143)&gt;0,"НЕТ ID",""),IF(OR(AND(OR(C143="Оплата клиента",C143="Возврат клиенту"),COUNTIFS(Docs[ID],J143,Docs[Тип долга],"ДЗ")&lt;&gt;1),AND(OR(C143="Оплата поставщику",C143="Возврат поставщика"),COUNTIFS(Docs[ID],J143,Docs[Тип долга],"КЗ",Docs[Вид],"&lt;&gt;Дивиденды")&lt;&gt;1),AND(C143="Дивиденды",COUNTIFS(Docs[ID],J143,Docs[Вид],"Дивиденды")&lt;&gt;1),AND(C143="Проценты",COUNTIFS(Docs[ID],J143,Docs[Вид],"Проценты")&lt;&gt;1),COUNTIF(Cash[ID],A143)&gt;1,NOT(ISNUMBER(B143)),B143&lt;НачалоУчета,YEAR(B143)&lt;&gt;Год,NOT(ISNUMBER(E143)),E143&lt;=0,N143&lt;0,COUNTIF(Типы,C143)&lt;&gt;1,COUNTIF(Категории,D143)&lt;&gt;1,COUNTIF(Счета,F143)&lt;&gt;1,COUNTIF(Проекты,I143)&lt;&gt;1,AND(H143&lt;&gt;"",COUNTIF(Контрагенты,H143)&lt;&gt;1),AND(C143="Перевод",OR(F143=G143,COUNTIF(Счета,G143)&lt;&gt;1)),AND(S143&lt;&gt;0,COUNTIF(Docs[ID],J143)&lt;&gt;1),AND(Форма="ООО",C143="Вывод ИП"),AND(Форма="ИП",C143="Дивиденды"),AND(L143&lt;&gt;"Проведён",L143&lt;&gt;"Черновик")),"ОШИБКА","ОК"))</f>
        <v>ОК</v>
      </c>
      <c r="W143" s="25">
        <f>IF(A143="","",SUMIF(Accounts[Счёт],F143,Accounts[Начальный])+SUMIFS($Q$7:Q143,$F$7:F143,F143)+SUMIFS($E$7:E143,$G$7:G143,F143,$C$7:C143,"Перевод",$L$7:L143,"Проведён"))</f>
        <v>822096.62000000011</v>
      </c>
    </row>
    <row r="144" spans="1:23" x14ac:dyDescent="0.25">
      <c r="A144" s="3" t="s">
        <v>728</v>
      </c>
      <c r="B144" s="19">
        <v>46201</v>
      </c>
      <c r="C144" s="3" t="s">
        <v>613</v>
      </c>
      <c r="D144" s="3" t="s">
        <v>300</v>
      </c>
      <c r="E144" s="24">
        <v>25000</v>
      </c>
      <c r="F144" s="3" t="s">
        <v>474</v>
      </c>
      <c r="G144" s="3"/>
      <c r="H144" s="3" t="s">
        <v>475</v>
      </c>
      <c r="I144" s="3" t="s">
        <v>383</v>
      </c>
      <c r="J144" s="3"/>
      <c r="K144" s="3" t="s">
        <v>613</v>
      </c>
      <c r="L144" s="3" t="s">
        <v>476</v>
      </c>
      <c r="M144" s="3"/>
      <c r="N144" s="24">
        <v>0</v>
      </c>
      <c r="O144" s="3" t="s">
        <v>300</v>
      </c>
      <c r="P144" s="5">
        <f>IF(A144="","",IF(COUNTIF(Типы,C144)=0,0,VLOOKUP(C144,СПРАВОЧНИКИ!$A$7:$E$22,2,FALSE)))</f>
        <v>-1</v>
      </c>
      <c r="Q144" s="25">
        <f t="shared" si="2"/>
        <v>-25000</v>
      </c>
      <c r="R144" s="5" t="str">
        <f>IF(A144="","",IF(COUNTIF(Типы,C144)=0,"НЕИЗВЕСТНЫЙ ТИП",VLOOKUP(C144,СПРАВОЧНИКИ!$A$7:$E$22,3,FALSE)))</f>
        <v>Финансовый</v>
      </c>
      <c r="S144" s="26">
        <f>IF(A144="","",IF(L144="Проведён",E144*IF(COUNTIF(Типы,C144)=0,0,VLOOKUP(C144,СПРАВОЧНИКИ!$A$7:$E$22,4,FALSE)),0))</f>
        <v>0</v>
      </c>
      <c r="T144" s="26">
        <f>IF(A144="","",IF(L144="Проведён",E144*IF(COUNTIF(Типы,C144)=0,0,VLOOKUP(C144,СПРАВОЧНИКИ!$A$7:$E$22,5,FALSE)),0))</f>
        <v>0</v>
      </c>
      <c r="U144" s="5" t="str">
        <f>IF(A144="","",IF(COUNTIF(Контрагенты,H144)=0,"Не задан",VLOOKUP(H144,СПРАВОЧНИКИ!$G$7:$H$66,2,FALSE)))</f>
        <v>ФЛ</v>
      </c>
      <c r="V144" s="4" t="str">
        <f>IF(A144="",IF(COUNTA(B144:O144)&gt;0,"НЕТ ID",""),IF(OR(AND(OR(C144="Оплата клиента",C144="Возврат клиенту"),COUNTIFS(Docs[ID],J144,Docs[Тип долга],"ДЗ")&lt;&gt;1),AND(OR(C144="Оплата поставщику",C144="Возврат поставщика"),COUNTIFS(Docs[ID],J144,Docs[Тип долга],"КЗ",Docs[Вид],"&lt;&gt;Дивиденды")&lt;&gt;1),AND(C144="Дивиденды",COUNTIFS(Docs[ID],J144,Docs[Вид],"Дивиденды")&lt;&gt;1),AND(C144="Проценты",COUNTIFS(Docs[ID],J144,Docs[Вид],"Проценты")&lt;&gt;1),COUNTIF(Cash[ID],A144)&gt;1,NOT(ISNUMBER(B144)),B144&lt;НачалоУчета,YEAR(B144)&lt;&gt;Год,NOT(ISNUMBER(E144)),E144&lt;=0,N144&lt;0,COUNTIF(Типы,C144)&lt;&gt;1,COUNTIF(Категории,D144)&lt;&gt;1,COUNTIF(Счета,F144)&lt;&gt;1,COUNTIF(Проекты,I144)&lt;&gt;1,AND(H144&lt;&gt;"",COUNTIF(Контрагенты,H144)&lt;&gt;1),AND(C144="Перевод",OR(F144=G144,COUNTIF(Счета,G144)&lt;&gt;1)),AND(S144&lt;&gt;0,COUNTIF(Docs[ID],J144)&lt;&gt;1),AND(Форма="ООО",C144="Вывод ИП"),AND(Форма="ИП",C144="Дивиденды"),AND(L144&lt;&gt;"Проведён",L144&lt;&gt;"Черновик")),"ОШИБКА","ОК"))</f>
        <v>ОК</v>
      </c>
      <c r="W144" s="25">
        <f>IF(A144="","",SUMIF(Accounts[Счёт],F144,Accounts[Начальный])+SUMIFS($Q$7:Q144,$F$7:F144,F144)+SUMIFS($E$7:E144,$G$7:G144,F144,$C$7:C144,"Перевод",$L$7:L144,"Проведён"))</f>
        <v>797096.62000000011</v>
      </c>
    </row>
    <row r="145" spans="1:23" x14ac:dyDescent="0.25">
      <c r="A145" s="3" t="s">
        <v>729</v>
      </c>
      <c r="B145" s="19">
        <v>46202</v>
      </c>
      <c r="C145" s="3" t="s">
        <v>484</v>
      </c>
      <c r="D145" s="3" t="s">
        <v>485</v>
      </c>
      <c r="E145" s="24">
        <v>19840</v>
      </c>
      <c r="F145" s="3" t="s">
        <v>474</v>
      </c>
      <c r="G145" s="3"/>
      <c r="H145" s="3" t="s">
        <v>501</v>
      </c>
      <c r="I145" s="3" t="s">
        <v>382</v>
      </c>
      <c r="J145" s="3" t="s">
        <v>704</v>
      </c>
      <c r="K145" s="3" t="s">
        <v>484</v>
      </c>
      <c r="L145" s="3" t="s">
        <v>476</v>
      </c>
      <c r="M145" s="3"/>
      <c r="N145" s="24">
        <v>0</v>
      </c>
      <c r="O145" s="3"/>
      <c r="P145" s="5">
        <f>IF(A145="","",IF(COUNTIF(Типы,C145)=0,0,VLOOKUP(C145,СПРАВОЧНИКИ!$A$7:$E$22,2,FALSE)))</f>
        <v>1</v>
      </c>
      <c r="Q145" s="25">
        <f t="shared" si="2"/>
        <v>19840</v>
      </c>
      <c r="R145" s="5" t="str">
        <f>IF(A145="","",IF(COUNTIF(Типы,C145)=0,"НЕИЗВЕСТНЫЙ ТИП",VLOOKUP(C145,СПРАВОЧНИКИ!$A$7:$E$22,3,FALSE)))</f>
        <v>Операционный</v>
      </c>
      <c r="S145" s="26">
        <f>IF(A145="","",IF(L145="Проведён",E145*IF(COUNTIF(Типы,C145)=0,0,VLOOKUP(C145,СПРАВОЧНИКИ!$A$7:$E$22,4,FALSE)),0))</f>
        <v>19840</v>
      </c>
      <c r="T145" s="26">
        <f>IF(A145="","",IF(L145="Проведён",E145*IF(COUNTIF(Типы,C145)=0,0,VLOOKUP(C145,СПРАВОЧНИКИ!$A$7:$E$22,5,FALSE)),0))</f>
        <v>19840</v>
      </c>
      <c r="U145" s="5" t="str">
        <f>IF(A145="","",IF(COUNTIF(Контрагенты,H145)=0,"Не задан",VLOOKUP(H145,СПРАВОЧНИКИ!$G$7:$H$66,2,FALSE)))</f>
        <v>ЮЛ</v>
      </c>
      <c r="V145" s="4" t="str">
        <f>IF(A145="",IF(COUNTA(B145:O145)&gt;0,"НЕТ ID",""),IF(OR(AND(OR(C145="Оплата клиента",C145="Возврат клиенту"),COUNTIFS(Docs[ID],J145,Docs[Тип долга],"ДЗ")&lt;&gt;1),AND(OR(C145="Оплата поставщику",C145="Возврат поставщика"),COUNTIFS(Docs[ID],J145,Docs[Тип долга],"КЗ",Docs[Вид],"&lt;&gt;Дивиденды")&lt;&gt;1),AND(C145="Дивиденды",COUNTIFS(Docs[ID],J145,Docs[Вид],"Дивиденды")&lt;&gt;1),AND(C145="Проценты",COUNTIFS(Docs[ID],J145,Docs[Вид],"Проценты")&lt;&gt;1),COUNTIF(Cash[ID],A145)&gt;1,NOT(ISNUMBER(B145)),B145&lt;НачалоУчета,YEAR(B145)&lt;&gt;Год,NOT(ISNUMBER(E145)),E145&lt;=0,N145&lt;0,COUNTIF(Типы,C145)&lt;&gt;1,COUNTIF(Категории,D145)&lt;&gt;1,COUNTIF(Счета,F145)&lt;&gt;1,COUNTIF(Проекты,I145)&lt;&gt;1,AND(H145&lt;&gt;"",COUNTIF(Контрагенты,H145)&lt;&gt;1),AND(C145="Перевод",OR(F145=G145,COUNTIF(Счета,G145)&lt;&gt;1)),AND(S145&lt;&gt;0,COUNTIF(Docs[ID],J145)&lt;&gt;1),AND(Форма="ООО",C145="Вывод ИП"),AND(Форма="ИП",C145="Дивиденды"),AND(L145&lt;&gt;"Проведён",L145&lt;&gt;"Черновик")),"ОШИБКА","ОК"))</f>
        <v>ОК</v>
      </c>
      <c r="W145" s="25">
        <f>IF(A145="","",SUMIF(Accounts[Счёт],F145,Accounts[Начальный])+SUMIFS($Q$7:Q145,$F$7:F145,F145)+SUMIFS($E$7:E145,$G$7:G145,F145,$C$7:C145,"Перевод",$L$7:L145,"Проведён"))</f>
        <v>816936.62000000011</v>
      </c>
    </row>
    <row r="146" spans="1:23" x14ac:dyDescent="0.25">
      <c r="A146" s="3" t="s">
        <v>730</v>
      </c>
      <c r="B146" s="19">
        <v>46202</v>
      </c>
      <c r="C146" s="3" t="s">
        <v>537</v>
      </c>
      <c r="D146" s="3" t="s">
        <v>479</v>
      </c>
      <c r="E146" s="24">
        <v>25000</v>
      </c>
      <c r="F146" s="3" t="s">
        <v>474</v>
      </c>
      <c r="G146" s="3"/>
      <c r="H146" s="3" t="s">
        <v>397</v>
      </c>
      <c r="I146" s="3" t="s">
        <v>383</v>
      </c>
      <c r="J146" s="3" t="s">
        <v>394</v>
      </c>
      <c r="K146" s="3" t="s">
        <v>537</v>
      </c>
      <c r="L146" s="3" t="s">
        <v>476</v>
      </c>
      <c r="M146" s="3"/>
      <c r="N146" s="24">
        <v>0</v>
      </c>
      <c r="O146" s="3"/>
      <c r="P146" s="5">
        <f>IF(A146="","",IF(COUNTIF(Типы,C146)=0,0,VLOOKUP(C146,СПРАВОЧНИКИ!$A$7:$E$22,2,FALSE)))</f>
        <v>-1</v>
      </c>
      <c r="Q146" s="25">
        <f t="shared" si="2"/>
        <v>-25000</v>
      </c>
      <c r="R146" s="5" t="str">
        <f>IF(A146="","",IF(COUNTIF(Типы,C146)=0,"НЕИЗВЕСТНЫЙ ТИП",VLOOKUP(C146,СПРАВОЧНИКИ!$A$7:$E$22,3,FALSE)))</f>
        <v>Финансовый</v>
      </c>
      <c r="S146" s="26">
        <f>IF(A146="","",IF(L146="Проведён",E146*IF(COUNTIF(Типы,C146)=0,0,VLOOKUP(C146,СПРАВОЧНИКИ!$A$7:$E$22,4,FALSE)),0))</f>
        <v>0</v>
      </c>
      <c r="T146" s="26">
        <f>IF(A146="","",IF(L146="Проведён",E146*IF(COUNTIF(Типы,C146)=0,0,VLOOKUP(C146,СПРАВОЧНИКИ!$A$7:$E$22,5,FALSE)),0))</f>
        <v>0</v>
      </c>
      <c r="U146" s="5" t="str">
        <f>IF(A146="","",IF(COUNTIF(Контрагенты,H146)=0,"Не задан",VLOOKUP(H146,СПРАВОЧНИКИ!$G$7:$H$66,2,FALSE)))</f>
        <v>ЮЛ</v>
      </c>
      <c r="V146" s="4" t="str">
        <f>IF(A146="",IF(COUNTA(B146:O146)&gt;0,"НЕТ ID",""),IF(OR(AND(OR(C146="Оплата клиента",C146="Возврат клиенту"),COUNTIFS(Docs[ID],J146,Docs[Тип долга],"ДЗ")&lt;&gt;1),AND(OR(C146="Оплата поставщику",C146="Возврат поставщика"),COUNTIFS(Docs[ID],J146,Docs[Тип долга],"КЗ",Docs[Вид],"&lt;&gt;Дивиденды")&lt;&gt;1),AND(C146="Дивиденды",COUNTIFS(Docs[ID],J146,Docs[Вид],"Дивиденды")&lt;&gt;1),AND(C146="Проценты",COUNTIFS(Docs[ID],J146,Docs[Вид],"Проценты")&lt;&gt;1),COUNTIF(Cash[ID],A146)&gt;1,NOT(ISNUMBER(B146)),B146&lt;НачалоУчета,YEAR(B146)&lt;&gt;Год,NOT(ISNUMBER(E146)),E146&lt;=0,N146&lt;0,COUNTIF(Типы,C146)&lt;&gt;1,COUNTIF(Категории,D146)&lt;&gt;1,COUNTIF(Счета,F146)&lt;&gt;1,COUNTIF(Проекты,I146)&lt;&gt;1,AND(H146&lt;&gt;"",COUNTIF(Контрагенты,H146)&lt;&gt;1),AND(C146="Перевод",OR(F146=G146,COUNTIF(Счета,G146)&lt;&gt;1)),AND(S146&lt;&gt;0,COUNTIF(Docs[ID],J146)&lt;&gt;1),AND(Форма="ООО",C146="Вывод ИП"),AND(Форма="ИП",C146="Дивиденды"),AND(L146&lt;&gt;"Проведён",L146&lt;&gt;"Черновик")),"ОШИБКА","ОК"))</f>
        <v>ОК</v>
      </c>
      <c r="W146" s="25">
        <f>IF(A146="","",SUMIF(Accounts[Счёт],F146,Accounts[Начальный])+SUMIFS($Q$7:Q146,$F$7:F146,F146)+SUMIFS($E$7:E146,$G$7:G146,F146,$C$7:C146,"Перевод",$L$7:L146,"Проведён"))</f>
        <v>791936.62000000011</v>
      </c>
    </row>
    <row r="147" spans="1:23" x14ac:dyDescent="0.25">
      <c r="A147" s="3" t="s">
        <v>731</v>
      </c>
      <c r="B147" s="19">
        <v>46215</v>
      </c>
      <c r="C147" s="3" t="s">
        <v>484</v>
      </c>
      <c r="D147" s="3" t="s">
        <v>485</v>
      </c>
      <c r="E147" s="24">
        <v>99120</v>
      </c>
      <c r="F147" s="3" t="s">
        <v>474</v>
      </c>
      <c r="G147" s="3"/>
      <c r="H147" s="3" t="s">
        <v>486</v>
      </c>
      <c r="I147" s="3" t="s">
        <v>381</v>
      </c>
      <c r="J147" s="3" t="s">
        <v>732</v>
      </c>
      <c r="K147" s="3" t="s">
        <v>484</v>
      </c>
      <c r="L147" s="3" t="s">
        <v>476</v>
      </c>
      <c r="M147" s="3"/>
      <c r="N147" s="24">
        <v>0</v>
      </c>
      <c r="O147" s="3"/>
      <c r="P147" s="5">
        <f>IF(A147="","",IF(COUNTIF(Типы,C147)=0,0,VLOOKUP(C147,СПРАВОЧНИКИ!$A$7:$E$22,2,FALSE)))</f>
        <v>1</v>
      </c>
      <c r="Q147" s="25">
        <f t="shared" si="2"/>
        <v>99120</v>
      </c>
      <c r="R147" s="5" t="str">
        <f>IF(A147="","",IF(COUNTIF(Типы,C147)=0,"НЕИЗВЕСТНЫЙ ТИП",VLOOKUP(C147,СПРАВОЧНИКИ!$A$7:$E$22,3,FALSE)))</f>
        <v>Операционный</v>
      </c>
      <c r="S147" s="26">
        <f>IF(A147="","",IF(L147="Проведён",E147*IF(COUNTIF(Типы,C147)=0,0,VLOOKUP(C147,СПРАВОЧНИКИ!$A$7:$E$22,4,FALSE)),0))</f>
        <v>99120</v>
      </c>
      <c r="T147" s="26">
        <f>IF(A147="","",IF(L147="Проведён",E147*IF(COUNTIF(Типы,C147)=0,0,VLOOKUP(C147,СПРАВОЧНИКИ!$A$7:$E$22,5,FALSE)),0))</f>
        <v>99120</v>
      </c>
      <c r="U147" s="5" t="str">
        <f>IF(A147="","",IF(COUNTIF(Контрагенты,H147)=0,"Не задан",VLOOKUP(H147,СПРАВОЧНИКИ!$G$7:$H$66,2,FALSE)))</f>
        <v>ЮЛ</v>
      </c>
      <c r="V147" s="4" t="str">
        <f>IF(A147="",IF(COUNTA(B147:O147)&gt;0,"НЕТ ID",""),IF(OR(AND(OR(C147="Оплата клиента",C147="Возврат клиенту"),COUNTIFS(Docs[ID],J147,Docs[Тип долга],"ДЗ")&lt;&gt;1),AND(OR(C147="Оплата поставщику",C147="Возврат поставщика"),COUNTIFS(Docs[ID],J147,Docs[Тип долга],"КЗ",Docs[Вид],"&lt;&gt;Дивиденды")&lt;&gt;1),AND(C147="Дивиденды",COUNTIFS(Docs[ID],J147,Docs[Вид],"Дивиденды")&lt;&gt;1),AND(C147="Проценты",COUNTIFS(Docs[ID],J147,Docs[Вид],"Проценты")&lt;&gt;1),COUNTIF(Cash[ID],A147)&gt;1,NOT(ISNUMBER(B147)),B147&lt;НачалоУчета,YEAR(B147)&lt;&gt;Год,NOT(ISNUMBER(E147)),E147&lt;=0,N147&lt;0,COUNTIF(Типы,C147)&lt;&gt;1,COUNTIF(Категории,D147)&lt;&gt;1,COUNTIF(Счета,F147)&lt;&gt;1,COUNTIF(Проекты,I147)&lt;&gt;1,AND(H147&lt;&gt;"",COUNTIF(Контрагенты,H147)&lt;&gt;1),AND(C147="Перевод",OR(F147=G147,COUNTIF(Счета,G147)&lt;&gt;1)),AND(S147&lt;&gt;0,COUNTIF(Docs[ID],J147)&lt;&gt;1),AND(Форма="ООО",C147="Вывод ИП"),AND(Форма="ИП",C147="Дивиденды"),AND(L147&lt;&gt;"Проведён",L147&lt;&gt;"Черновик")),"ОШИБКА","ОК"))</f>
        <v>ОК</v>
      </c>
      <c r="W147" s="25">
        <f>IF(A147="","",SUMIF(Accounts[Счёт],F147,Accounts[Начальный])+SUMIFS($Q$7:Q147,$F$7:F147,F147)+SUMIFS($E$7:E147,$G$7:G147,F147,$C$7:C147,"Перевод",$L$7:L147,"Проведён"))</f>
        <v>891056.62000000011</v>
      </c>
    </row>
    <row r="148" spans="1:23" x14ac:dyDescent="0.25">
      <c r="A148" s="3" t="s">
        <v>733</v>
      </c>
      <c r="B148" s="19">
        <v>46216</v>
      </c>
      <c r="C148" s="3" t="s">
        <v>484</v>
      </c>
      <c r="D148" s="3" t="s">
        <v>485</v>
      </c>
      <c r="E148" s="24">
        <v>77880</v>
      </c>
      <c r="F148" s="3" t="s">
        <v>474</v>
      </c>
      <c r="G148" s="3"/>
      <c r="H148" s="3" t="s">
        <v>489</v>
      </c>
      <c r="I148" s="3" t="s">
        <v>298</v>
      </c>
      <c r="J148" s="3" t="s">
        <v>734</v>
      </c>
      <c r="K148" s="3" t="s">
        <v>484</v>
      </c>
      <c r="L148" s="3" t="s">
        <v>476</v>
      </c>
      <c r="M148" s="3"/>
      <c r="N148" s="24">
        <v>0</v>
      </c>
      <c r="O148" s="3"/>
      <c r="P148" s="5">
        <f>IF(A148="","",IF(COUNTIF(Типы,C148)=0,0,VLOOKUP(C148,СПРАВОЧНИКИ!$A$7:$E$22,2,FALSE)))</f>
        <v>1</v>
      </c>
      <c r="Q148" s="25">
        <f t="shared" si="2"/>
        <v>77880</v>
      </c>
      <c r="R148" s="5" t="str">
        <f>IF(A148="","",IF(COUNTIF(Типы,C148)=0,"НЕИЗВЕСТНЫЙ ТИП",VLOOKUP(C148,СПРАВОЧНИКИ!$A$7:$E$22,3,FALSE)))</f>
        <v>Операционный</v>
      </c>
      <c r="S148" s="26">
        <f>IF(A148="","",IF(L148="Проведён",E148*IF(COUNTIF(Типы,C148)=0,0,VLOOKUP(C148,СПРАВОЧНИКИ!$A$7:$E$22,4,FALSE)),0))</f>
        <v>77880</v>
      </c>
      <c r="T148" s="26">
        <f>IF(A148="","",IF(L148="Проведён",E148*IF(COUNTIF(Типы,C148)=0,0,VLOOKUP(C148,СПРАВОЧНИКИ!$A$7:$E$22,5,FALSE)),0))</f>
        <v>77880</v>
      </c>
      <c r="U148" s="5" t="str">
        <f>IF(A148="","",IF(COUNTIF(Контрагенты,H148)=0,"Не задан",VLOOKUP(H148,СПРАВОЧНИКИ!$G$7:$H$66,2,FALSE)))</f>
        <v>ЮЛ</v>
      </c>
      <c r="V148" s="4" t="str">
        <f>IF(A148="",IF(COUNTA(B148:O148)&gt;0,"НЕТ ID",""),IF(OR(AND(OR(C148="Оплата клиента",C148="Возврат клиенту"),COUNTIFS(Docs[ID],J148,Docs[Тип долга],"ДЗ")&lt;&gt;1),AND(OR(C148="Оплата поставщику",C148="Возврат поставщика"),COUNTIFS(Docs[ID],J148,Docs[Тип долга],"КЗ",Docs[Вид],"&lt;&gt;Дивиденды")&lt;&gt;1),AND(C148="Дивиденды",COUNTIFS(Docs[ID],J148,Docs[Вид],"Дивиденды")&lt;&gt;1),AND(C148="Проценты",COUNTIFS(Docs[ID],J148,Docs[Вид],"Проценты")&lt;&gt;1),COUNTIF(Cash[ID],A148)&gt;1,NOT(ISNUMBER(B148)),B148&lt;НачалоУчета,YEAR(B148)&lt;&gt;Год,NOT(ISNUMBER(E148)),E148&lt;=0,N148&lt;0,COUNTIF(Типы,C148)&lt;&gt;1,COUNTIF(Категории,D148)&lt;&gt;1,COUNTIF(Счета,F148)&lt;&gt;1,COUNTIF(Проекты,I148)&lt;&gt;1,AND(H148&lt;&gt;"",COUNTIF(Контрагенты,H148)&lt;&gt;1),AND(C148="Перевод",OR(F148=G148,COUNTIF(Счета,G148)&lt;&gt;1)),AND(S148&lt;&gt;0,COUNTIF(Docs[ID],J148)&lt;&gt;1),AND(Форма="ООО",C148="Вывод ИП"),AND(Форма="ИП",C148="Дивиденды"),AND(L148&lt;&gt;"Проведён",L148&lt;&gt;"Черновик")),"ОШИБКА","ОК"))</f>
        <v>ОК</v>
      </c>
      <c r="W148" s="25">
        <f>IF(A148="","",SUMIF(Accounts[Счёт],F148,Accounts[Начальный])+SUMIFS($Q$7:Q148,$F$7:F148,F148)+SUMIFS($E$7:E148,$G$7:G148,F148,$C$7:C148,"Перевод",$L$7:L148,"Проведён"))</f>
        <v>968936.62000000011</v>
      </c>
    </row>
    <row r="149" spans="1:23" x14ac:dyDescent="0.25">
      <c r="A149" s="3" t="s">
        <v>735</v>
      </c>
      <c r="B149" s="19">
        <v>46217</v>
      </c>
      <c r="C149" s="3" t="s">
        <v>484</v>
      </c>
      <c r="D149" s="3" t="s">
        <v>485</v>
      </c>
      <c r="E149" s="24">
        <v>63720</v>
      </c>
      <c r="F149" s="3" t="s">
        <v>474</v>
      </c>
      <c r="G149" s="3"/>
      <c r="H149" s="3" t="s">
        <v>492</v>
      </c>
      <c r="I149" s="3" t="s">
        <v>382</v>
      </c>
      <c r="J149" s="3" t="s">
        <v>736</v>
      </c>
      <c r="K149" s="3" t="s">
        <v>484</v>
      </c>
      <c r="L149" s="3" t="s">
        <v>476</v>
      </c>
      <c r="M149" s="3"/>
      <c r="N149" s="24">
        <v>0</v>
      </c>
      <c r="O149" s="3"/>
      <c r="P149" s="5">
        <f>IF(A149="","",IF(COUNTIF(Типы,C149)=0,0,VLOOKUP(C149,СПРАВОЧНИКИ!$A$7:$E$22,2,FALSE)))</f>
        <v>1</v>
      </c>
      <c r="Q149" s="25">
        <f t="shared" si="2"/>
        <v>63720</v>
      </c>
      <c r="R149" s="5" t="str">
        <f>IF(A149="","",IF(COUNTIF(Типы,C149)=0,"НЕИЗВЕСТНЫЙ ТИП",VLOOKUP(C149,СПРАВОЧНИКИ!$A$7:$E$22,3,FALSE)))</f>
        <v>Операционный</v>
      </c>
      <c r="S149" s="26">
        <f>IF(A149="","",IF(L149="Проведён",E149*IF(COUNTIF(Типы,C149)=0,0,VLOOKUP(C149,СПРАВОЧНИКИ!$A$7:$E$22,4,FALSE)),0))</f>
        <v>63720</v>
      </c>
      <c r="T149" s="26">
        <f>IF(A149="","",IF(L149="Проведён",E149*IF(COUNTIF(Типы,C149)=0,0,VLOOKUP(C149,СПРАВОЧНИКИ!$A$7:$E$22,5,FALSE)),0))</f>
        <v>63720</v>
      </c>
      <c r="U149" s="5" t="str">
        <f>IF(A149="","",IF(COUNTIF(Контрагенты,H149)=0,"Не задан",VLOOKUP(H149,СПРАВОЧНИКИ!$G$7:$H$66,2,FALSE)))</f>
        <v>ИП</v>
      </c>
      <c r="V149" s="4" t="str">
        <f>IF(A149="",IF(COUNTA(B149:O149)&gt;0,"НЕТ ID",""),IF(OR(AND(OR(C149="Оплата клиента",C149="Возврат клиенту"),COUNTIFS(Docs[ID],J149,Docs[Тип долга],"ДЗ")&lt;&gt;1),AND(OR(C149="Оплата поставщику",C149="Возврат поставщика"),COUNTIFS(Docs[ID],J149,Docs[Тип долга],"КЗ",Docs[Вид],"&lt;&gt;Дивиденды")&lt;&gt;1),AND(C149="Дивиденды",COUNTIFS(Docs[ID],J149,Docs[Вид],"Дивиденды")&lt;&gt;1),AND(C149="Проценты",COUNTIFS(Docs[ID],J149,Docs[Вид],"Проценты")&lt;&gt;1),COUNTIF(Cash[ID],A149)&gt;1,NOT(ISNUMBER(B149)),B149&lt;НачалоУчета,YEAR(B149)&lt;&gt;Год,NOT(ISNUMBER(E149)),E149&lt;=0,N149&lt;0,COUNTIF(Типы,C149)&lt;&gt;1,COUNTIF(Категории,D149)&lt;&gt;1,COUNTIF(Счета,F149)&lt;&gt;1,COUNTIF(Проекты,I149)&lt;&gt;1,AND(H149&lt;&gt;"",COUNTIF(Контрагенты,H149)&lt;&gt;1),AND(C149="Перевод",OR(F149=G149,COUNTIF(Счета,G149)&lt;&gt;1)),AND(S149&lt;&gt;0,COUNTIF(Docs[ID],J149)&lt;&gt;1),AND(Форма="ООО",C149="Вывод ИП"),AND(Форма="ИП",C149="Дивиденды"),AND(L149&lt;&gt;"Проведён",L149&lt;&gt;"Черновик")),"ОШИБКА","ОК"))</f>
        <v>ОК</v>
      </c>
      <c r="W149" s="25">
        <f>IF(A149="","",SUMIF(Accounts[Счёт],F149,Accounts[Начальный])+SUMIFS($Q$7:Q149,$F$7:F149,F149)+SUMIFS($E$7:E149,$G$7:G149,F149,$C$7:C149,"Перевод",$L$7:L149,"Проведён"))</f>
        <v>1032656.6200000001</v>
      </c>
    </row>
    <row r="150" spans="1:23" x14ac:dyDescent="0.25">
      <c r="A150" s="3" t="s">
        <v>737</v>
      </c>
      <c r="B150" s="19">
        <v>46218</v>
      </c>
      <c r="C150" s="3" t="s">
        <v>484</v>
      </c>
      <c r="D150" s="3" t="s">
        <v>485</v>
      </c>
      <c r="E150" s="24">
        <v>49560</v>
      </c>
      <c r="F150" s="3" t="s">
        <v>474</v>
      </c>
      <c r="G150" s="3"/>
      <c r="H150" s="3" t="s">
        <v>495</v>
      </c>
      <c r="I150" s="3" t="s">
        <v>381</v>
      </c>
      <c r="J150" s="3" t="s">
        <v>738</v>
      </c>
      <c r="K150" s="3" t="s">
        <v>484</v>
      </c>
      <c r="L150" s="3" t="s">
        <v>476</v>
      </c>
      <c r="M150" s="3"/>
      <c r="N150" s="24">
        <v>0</v>
      </c>
      <c r="O150" s="3"/>
      <c r="P150" s="5">
        <f>IF(A150="","",IF(COUNTIF(Типы,C150)=0,0,VLOOKUP(C150,СПРАВОЧНИКИ!$A$7:$E$22,2,FALSE)))</f>
        <v>1</v>
      </c>
      <c r="Q150" s="25">
        <f t="shared" si="2"/>
        <v>49560</v>
      </c>
      <c r="R150" s="5" t="str">
        <f>IF(A150="","",IF(COUNTIF(Типы,C150)=0,"НЕИЗВЕСТНЫЙ ТИП",VLOOKUP(C150,СПРАВОЧНИКИ!$A$7:$E$22,3,FALSE)))</f>
        <v>Операционный</v>
      </c>
      <c r="S150" s="26">
        <f>IF(A150="","",IF(L150="Проведён",E150*IF(COUNTIF(Типы,C150)=0,0,VLOOKUP(C150,СПРАВОЧНИКИ!$A$7:$E$22,4,FALSE)),0))</f>
        <v>49560</v>
      </c>
      <c r="T150" s="26">
        <f>IF(A150="","",IF(L150="Проведён",E150*IF(COUNTIF(Типы,C150)=0,0,VLOOKUP(C150,СПРАВОЧНИКИ!$A$7:$E$22,5,FALSE)),0))</f>
        <v>49560</v>
      </c>
      <c r="U150" s="5" t="str">
        <f>IF(A150="","",IF(COUNTIF(Контрагенты,H150)=0,"Не задан",VLOOKUP(H150,СПРАВОЧНИКИ!$G$7:$H$66,2,FALSE)))</f>
        <v>ЮЛ</v>
      </c>
      <c r="V150" s="4" t="str">
        <f>IF(A150="",IF(COUNTA(B150:O150)&gt;0,"НЕТ ID",""),IF(OR(AND(OR(C150="Оплата клиента",C150="Возврат клиенту"),COUNTIFS(Docs[ID],J150,Docs[Тип долга],"ДЗ")&lt;&gt;1),AND(OR(C150="Оплата поставщику",C150="Возврат поставщика"),COUNTIFS(Docs[ID],J150,Docs[Тип долга],"КЗ",Docs[Вид],"&lt;&gt;Дивиденды")&lt;&gt;1),AND(C150="Дивиденды",COUNTIFS(Docs[ID],J150,Docs[Вид],"Дивиденды")&lt;&gt;1),AND(C150="Проценты",COUNTIFS(Docs[ID],J150,Docs[Вид],"Проценты")&lt;&gt;1),COUNTIF(Cash[ID],A150)&gt;1,NOT(ISNUMBER(B150)),B150&lt;НачалоУчета,YEAR(B150)&lt;&gt;Год,NOT(ISNUMBER(E150)),E150&lt;=0,N150&lt;0,COUNTIF(Типы,C150)&lt;&gt;1,COUNTIF(Категории,D150)&lt;&gt;1,COUNTIF(Счета,F150)&lt;&gt;1,COUNTIF(Проекты,I150)&lt;&gt;1,AND(H150&lt;&gt;"",COUNTIF(Контрагенты,H150)&lt;&gt;1),AND(C150="Перевод",OR(F150=G150,COUNTIF(Счета,G150)&lt;&gt;1)),AND(S150&lt;&gt;0,COUNTIF(Docs[ID],J150)&lt;&gt;1),AND(Форма="ООО",C150="Вывод ИП"),AND(Форма="ИП",C150="Дивиденды"),AND(L150&lt;&gt;"Проведён",L150&lt;&gt;"Черновик")),"ОШИБКА","ОК"))</f>
        <v>ОК</v>
      </c>
      <c r="W150" s="25">
        <f>IF(A150="","",SUMIF(Accounts[Счёт],F150,Accounts[Начальный])+SUMIFS($Q$7:Q150,$F$7:F150,F150)+SUMIFS($E$7:E150,$G$7:G150,F150,$C$7:C150,"Перевод",$L$7:L150,"Проведён"))</f>
        <v>1082216.6200000001</v>
      </c>
    </row>
    <row r="151" spans="1:23" x14ac:dyDescent="0.25">
      <c r="A151" s="3" t="s">
        <v>739</v>
      </c>
      <c r="B151" s="19">
        <v>46219</v>
      </c>
      <c r="C151" s="3" t="s">
        <v>484</v>
      </c>
      <c r="D151" s="3" t="s">
        <v>485</v>
      </c>
      <c r="E151" s="24">
        <v>35400</v>
      </c>
      <c r="F151" s="3" t="s">
        <v>474</v>
      </c>
      <c r="G151" s="3"/>
      <c r="H151" s="3" t="s">
        <v>498</v>
      </c>
      <c r="I151" s="3" t="s">
        <v>298</v>
      </c>
      <c r="J151" s="3" t="s">
        <v>740</v>
      </c>
      <c r="K151" s="3" t="s">
        <v>484</v>
      </c>
      <c r="L151" s="3" t="s">
        <v>476</v>
      </c>
      <c r="M151" s="3"/>
      <c r="N151" s="24">
        <v>0</v>
      </c>
      <c r="O151" s="3"/>
      <c r="P151" s="5">
        <f>IF(A151="","",IF(COUNTIF(Типы,C151)=0,0,VLOOKUP(C151,СПРАВОЧНИКИ!$A$7:$E$22,2,FALSE)))</f>
        <v>1</v>
      </c>
      <c r="Q151" s="25">
        <f t="shared" si="2"/>
        <v>35400</v>
      </c>
      <c r="R151" s="5" t="str">
        <f>IF(A151="","",IF(COUNTIF(Типы,C151)=0,"НЕИЗВЕСТНЫЙ ТИП",VLOOKUP(C151,СПРАВОЧНИКИ!$A$7:$E$22,3,FALSE)))</f>
        <v>Операционный</v>
      </c>
      <c r="S151" s="26">
        <f>IF(A151="","",IF(L151="Проведён",E151*IF(COUNTIF(Типы,C151)=0,0,VLOOKUP(C151,СПРАВОЧНИКИ!$A$7:$E$22,4,FALSE)),0))</f>
        <v>35400</v>
      </c>
      <c r="T151" s="26">
        <f>IF(A151="","",IF(L151="Проведён",E151*IF(COUNTIF(Типы,C151)=0,0,VLOOKUP(C151,СПРАВОЧНИКИ!$A$7:$E$22,5,FALSE)),0))</f>
        <v>35400</v>
      </c>
      <c r="U151" s="5" t="str">
        <f>IF(A151="","",IF(COUNTIF(Контрагенты,H151)=0,"Не задан",VLOOKUP(H151,СПРАВОЧНИКИ!$G$7:$H$66,2,FALSE)))</f>
        <v>ФЛ</v>
      </c>
      <c r="V151" s="4" t="str">
        <f>IF(A151="",IF(COUNTA(B151:O151)&gt;0,"НЕТ ID",""),IF(OR(AND(OR(C151="Оплата клиента",C151="Возврат клиенту"),COUNTIFS(Docs[ID],J151,Docs[Тип долга],"ДЗ")&lt;&gt;1),AND(OR(C151="Оплата поставщику",C151="Возврат поставщика"),COUNTIFS(Docs[ID],J151,Docs[Тип долга],"КЗ",Docs[Вид],"&lt;&gt;Дивиденды")&lt;&gt;1),AND(C151="Дивиденды",COUNTIFS(Docs[ID],J151,Docs[Вид],"Дивиденды")&lt;&gt;1),AND(C151="Проценты",COUNTIFS(Docs[ID],J151,Docs[Вид],"Проценты")&lt;&gt;1),COUNTIF(Cash[ID],A151)&gt;1,NOT(ISNUMBER(B151)),B151&lt;НачалоУчета,YEAR(B151)&lt;&gt;Год,NOT(ISNUMBER(E151)),E151&lt;=0,N151&lt;0,COUNTIF(Типы,C151)&lt;&gt;1,COUNTIF(Категории,D151)&lt;&gt;1,COUNTIF(Счета,F151)&lt;&gt;1,COUNTIF(Проекты,I151)&lt;&gt;1,AND(H151&lt;&gt;"",COUNTIF(Контрагенты,H151)&lt;&gt;1),AND(C151="Перевод",OR(F151=G151,COUNTIF(Счета,G151)&lt;&gt;1)),AND(S151&lt;&gt;0,COUNTIF(Docs[ID],J151)&lt;&gt;1),AND(Форма="ООО",C151="Вывод ИП"),AND(Форма="ИП",C151="Дивиденды"),AND(L151&lt;&gt;"Проведён",L151&lt;&gt;"Черновик")),"ОШИБКА","ОК"))</f>
        <v>ОК</v>
      </c>
      <c r="W151" s="25">
        <f>IF(A151="","",SUMIF(Accounts[Счёт],F151,Accounts[Начальный])+SUMIFS($Q$7:Q151,$F$7:F151,F151)+SUMIFS($E$7:E151,$G$7:G151,F151,$C$7:C151,"Перевод",$L$7:L151,"Проведён"))</f>
        <v>1117616.6200000001</v>
      </c>
    </row>
    <row r="152" spans="1:23" x14ac:dyDescent="0.25">
      <c r="A152" s="3" t="s">
        <v>741</v>
      </c>
      <c r="B152" s="19">
        <v>46220</v>
      </c>
      <c r="C152" s="3" t="s">
        <v>484</v>
      </c>
      <c r="D152" s="3" t="s">
        <v>485</v>
      </c>
      <c r="E152" s="24">
        <v>28320</v>
      </c>
      <c r="F152" s="3" t="s">
        <v>474</v>
      </c>
      <c r="G152" s="3"/>
      <c r="H152" s="3" t="s">
        <v>501</v>
      </c>
      <c r="I152" s="3" t="s">
        <v>382</v>
      </c>
      <c r="J152" s="3" t="s">
        <v>742</v>
      </c>
      <c r="K152" s="3" t="s">
        <v>484</v>
      </c>
      <c r="L152" s="3" t="s">
        <v>476</v>
      </c>
      <c r="M152" s="3"/>
      <c r="N152" s="24">
        <v>0</v>
      </c>
      <c r="O152" s="3"/>
      <c r="P152" s="5">
        <f>IF(A152="","",IF(COUNTIF(Типы,C152)=0,0,VLOOKUP(C152,СПРАВОЧНИКИ!$A$7:$E$22,2,FALSE)))</f>
        <v>1</v>
      </c>
      <c r="Q152" s="25">
        <f t="shared" si="2"/>
        <v>28320</v>
      </c>
      <c r="R152" s="5" t="str">
        <f>IF(A152="","",IF(COUNTIF(Типы,C152)=0,"НЕИЗВЕСТНЫЙ ТИП",VLOOKUP(C152,СПРАВОЧНИКИ!$A$7:$E$22,3,FALSE)))</f>
        <v>Операционный</v>
      </c>
      <c r="S152" s="26">
        <f>IF(A152="","",IF(L152="Проведён",E152*IF(COUNTIF(Типы,C152)=0,0,VLOOKUP(C152,СПРАВОЧНИКИ!$A$7:$E$22,4,FALSE)),0))</f>
        <v>28320</v>
      </c>
      <c r="T152" s="26">
        <f>IF(A152="","",IF(L152="Проведён",E152*IF(COUNTIF(Типы,C152)=0,0,VLOOKUP(C152,СПРАВОЧНИКИ!$A$7:$E$22,5,FALSE)),0))</f>
        <v>28320</v>
      </c>
      <c r="U152" s="5" t="str">
        <f>IF(A152="","",IF(COUNTIF(Контрагенты,H152)=0,"Не задан",VLOOKUP(H152,СПРАВОЧНИКИ!$G$7:$H$66,2,FALSE)))</f>
        <v>ЮЛ</v>
      </c>
      <c r="V152" s="4" t="str">
        <f>IF(A152="",IF(COUNTA(B152:O152)&gt;0,"НЕТ ID",""),IF(OR(AND(OR(C152="Оплата клиента",C152="Возврат клиенту"),COUNTIFS(Docs[ID],J152,Docs[Тип долга],"ДЗ")&lt;&gt;1),AND(OR(C152="Оплата поставщику",C152="Возврат поставщика"),COUNTIFS(Docs[ID],J152,Docs[Тип долга],"КЗ",Docs[Вид],"&lt;&gt;Дивиденды")&lt;&gt;1),AND(C152="Дивиденды",COUNTIFS(Docs[ID],J152,Docs[Вид],"Дивиденды")&lt;&gt;1),AND(C152="Проценты",COUNTIFS(Docs[ID],J152,Docs[Вид],"Проценты")&lt;&gt;1),COUNTIF(Cash[ID],A152)&gt;1,NOT(ISNUMBER(B152)),B152&lt;НачалоУчета,YEAR(B152)&lt;&gt;Год,NOT(ISNUMBER(E152)),E152&lt;=0,N152&lt;0,COUNTIF(Типы,C152)&lt;&gt;1,COUNTIF(Категории,D152)&lt;&gt;1,COUNTIF(Счета,F152)&lt;&gt;1,COUNTIF(Проекты,I152)&lt;&gt;1,AND(H152&lt;&gt;"",COUNTIF(Контрагенты,H152)&lt;&gt;1),AND(C152="Перевод",OR(F152=G152,COUNTIF(Счета,G152)&lt;&gt;1)),AND(S152&lt;&gt;0,COUNTIF(Docs[ID],J152)&lt;&gt;1),AND(Форма="ООО",C152="Вывод ИП"),AND(Форма="ИП",C152="Дивиденды"),AND(L152&lt;&gt;"Проведён",L152&lt;&gt;"Черновик")),"ОШИБКА","ОК"))</f>
        <v>ОК</v>
      </c>
      <c r="W152" s="25">
        <f>IF(A152="","",SUMIF(Accounts[Счёт],F152,Accounts[Начальный])+SUMIFS($Q$7:Q152,$F$7:F152,F152)+SUMIFS($E$7:E152,$G$7:G152,F152,$C$7:C152,"Перевод",$L$7:L152,"Проведён"))</f>
        <v>1145936.6200000001</v>
      </c>
    </row>
    <row r="153" spans="1:23" x14ac:dyDescent="0.25">
      <c r="A153" s="3" t="s">
        <v>743</v>
      </c>
      <c r="B153" s="19">
        <v>46225</v>
      </c>
      <c r="C153" s="3" t="s">
        <v>504</v>
      </c>
      <c r="D153" s="3" t="s">
        <v>505</v>
      </c>
      <c r="E153" s="24">
        <v>188800</v>
      </c>
      <c r="F153" s="3" t="s">
        <v>474</v>
      </c>
      <c r="G153" s="3"/>
      <c r="H153" s="3" t="s">
        <v>506</v>
      </c>
      <c r="I153" s="3" t="s">
        <v>298</v>
      </c>
      <c r="J153" s="3" t="s">
        <v>744</v>
      </c>
      <c r="K153" s="3" t="s">
        <v>504</v>
      </c>
      <c r="L153" s="3" t="s">
        <v>476</v>
      </c>
      <c r="M153" s="3"/>
      <c r="N153" s="24">
        <v>188800</v>
      </c>
      <c r="O153" s="3"/>
      <c r="P153" s="5">
        <f>IF(A153="","",IF(COUNTIF(Типы,C153)=0,0,VLOOKUP(C153,СПРАВОЧНИКИ!$A$7:$E$22,2,FALSE)))</f>
        <v>-1</v>
      </c>
      <c r="Q153" s="25">
        <f t="shared" si="2"/>
        <v>-188800</v>
      </c>
      <c r="R153" s="5" t="str">
        <f>IF(A153="","",IF(COUNTIF(Типы,C153)=0,"НЕИЗВЕСТНЫЙ ТИП",VLOOKUP(C153,СПРАВОЧНИКИ!$A$7:$E$22,3,FALSE)))</f>
        <v>Операционный</v>
      </c>
      <c r="S153" s="26">
        <f>IF(A153="","",IF(L153="Проведён",E153*IF(COUNTIF(Типы,C153)=0,0,VLOOKUP(C153,СПРАВОЧНИКИ!$A$7:$E$22,4,FALSE)),0))</f>
        <v>188800</v>
      </c>
      <c r="T153" s="26">
        <f>IF(A153="","",IF(L153="Проведён",E153*IF(COUNTIF(Типы,C153)=0,0,VLOOKUP(C153,СПРАВОЧНИКИ!$A$7:$E$22,5,FALSE)),0))</f>
        <v>0</v>
      </c>
      <c r="U153" s="5" t="str">
        <f>IF(A153="","",IF(COUNTIF(Контрагенты,H153)=0,"Не задан",VLOOKUP(H153,СПРАВОЧНИКИ!$G$7:$H$66,2,FALSE)))</f>
        <v>ИП</v>
      </c>
      <c r="V153" s="4" t="str">
        <f>IF(A153="",IF(COUNTA(B153:O153)&gt;0,"НЕТ ID",""),IF(OR(AND(OR(C153="Оплата клиента",C153="Возврат клиенту"),COUNTIFS(Docs[ID],J153,Docs[Тип долга],"ДЗ")&lt;&gt;1),AND(OR(C153="Оплата поставщику",C153="Возврат поставщика"),COUNTIFS(Docs[ID],J153,Docs[Тип долга],"КЗ",Docs[Вид],"&lt;&gt;Дивиденды")&lt;&gt;1),AND(C153="Дивиденды",COUNTIFS(Docs[ID],J153,Docs[Вид],"Дивиденды")&lt;&gt;1),AND(C153="Проценты",COUNTIFS(Docs[ID],J153,Docs[Вид],"Проценты")&lt;&gt;1),COUNTIF(Cash[ID],A153)&gt;1,NOT(ISNUMBER(B153)),B153&lt;НачалоУчета,YEAR(B153)&lt;&gt;Год,NOT(ISNUMBER(E153)),E153&lt;=0,N153&lt;0,COUNTIF(Типы,C153)&lt;&gt;1,COUNTIF(Категории,D153)&lt;&gt;1,COUNTIF(Счета,F153)&lt;&gt;1,COUNTIF(Проекты,I153)&lt;&gt;1,AND(H153&lt;&gt;"",COUNTIF(Контрагенты,H153)&lt;&gt;1),AND(C153="Перевод",OR(F153=G153,COUNTIF(Счета,G153)&lt;&gt;1)),AND(S153&lt;&gt;0,COUNTIF(Docs[ID],J153)&lt;&gt;1),AND(Форма="ООО",C153="Вывод ИП"),AND(Форма="ИП",C153="Дивиденды"),AND(L153&lt;&gt;"Проведён",L153&lt;&gt;"Черновик")),"ОШИБКА","ОК"))</f>
        <v>ОК</v>
      </c>
      <c r="W153" s="25">
        <f>IF(A153="","",SUMIF(Accounts[Счёт],F153,Accounts[Начальный])+SUMIFS($Q$7:Q153,$F$7:F153,F153)+SUMIFS($E$7:E153,$G$7:G153,F153,$C$7:C153,"Перевод",$L$7:L153,"Проведён"))</f>
        <v>957136.62000000011</v>
      </c>
    </row>
    <row r="154" spans="1:23" x14ac:dyDescent="0.25">
      <c r="A154" s="3" t="s">
        <v>745</v>
      </c>
      <c r="B154" s="19">
        <v>46226</v>
      </c>
      <c r="C154" s="3" t="s">
        <v>504</v>
      </c>
      <c r="D154" s="3" t="s">
        <v>509</v>
      </c>
      <c r="E154" s="24">
        <v>65000</v>
      </c>
      <c r="F154" s="3" t="s">
        <v>474</v>
      </c>
      <c r="G154" s="3"/>
      <c r="H154" s="3" t="s">
        <v>510</v>
      </c>
      <c r="I154" s="3" t="s">
        <v>383</v>
      </c>
      <c r="J154" s="3" t="s">
        <v>746</v>
      </c>
      <c r="K154" s="3" t="s">
        <v>504</v>
      </c>
      <c r="L154" s="3" t="s">
        <v>476</v>
      </c>
      <c r="M154" s="3"/>
      <c r="N154" s="24">
        <v>65000</v>
      </c>
      <c r="O154" s="3"/>
      <c r="P154" s="5">
        <f>IF(A154="","",IF(COUNTIF(Типы,C154)=0,0,VLOOKUP(C154,СПРАВОЧНИКИ!$A$7:$E$22,2,FALSE)))</f>
        <v>-1</v>
      </c>
      <c r="Q154" s="25">
        <f t="shared" si="2"/>
        <v>-65000</v>
      </c>
      <c r="R154" s="5" t="str">
        <f>IF(A154="","",IF(COUNTIF(Типы,C154)=0,"НЕИЗВЕСТНЫЙ ТИП",VLOOKUP(C154,СПРАВОЧНИКИ!$A$7:$E$22,3,FALSE)))</f>
        <v>Операционный</v>
      </c>
      <c r="S154" s="26">
        <f>IF(A154="","",IF(L154="Проведён",E154*IF(COUNTIF(Типы,C154)=0,0,VLOOKUP(C154,СПРАВОЧНИКИ!$A$7:$E$22,4,FALSE)),0))</f>
        <v>65000</v>
      </c>
      <c r="T154" s="26">
        <f>IF(A154="","",IF(L154="Проведён",E154*IF(COUNTIF(Типы,C154)=0,0,VLOOKUP(C154,СПРАВОЧНИКИ!$A$7:$E$22,5,FALSE)),0))</f>
        <v>0</v>
      </c>
      <c r="U154" s="5" t="str">
        <f>IF(A154="","",IF(COUNTIF(Контрагенты,H154)=0,"Не задан",VLOOKUP(H154,СПРАВОЧНИКИ!$G$7:$H$66,2,FALSE)))</f>
        <v>ЮЛ</v>
      </c>
      <c r="V154" s="4" t="str">
        <f>IF(A154="",IF(COUNTA(B154:O154)&gt;0,"НЕТ ID",""),IF(OR(AND(OR(C154="Оплата клиента",C154="Возврат клиенту"),COUNTIFS(Docs[ID],J154,Docs[Тип долга],"ДЗ")&lt;&gt;1),AND(OR(C154="Оплата поставщику",C154="Возврат поставщика"),COUNTIFS(Docs[ID],J154,Docs[Тип долга],"КЗ",Docs[Вид],"&lt;&gt;Дивиденды")&lt;&gt;1),AND(C154="Дивиденды",COUNTIFS(Docs[ID],J154,Docs[Вид],"Дивиденды")&lt;&gt;1),AND(C154="Проценты",COUNTIFS(Docs[ID],J154,Docs[Вид],"Проценты")&lt;&gt;1),COUNTIF(Cash[ID],A154)&gt;1,NOT(ISNUMBER(B154)),B154&lt;НачалоУчета,YEAR(B154)&lt;&gt;Год,NOT(ISNUMBER(E154)),E154&lt;=0,N154&lt;0,COUNTIF(Типы,C154)&lt;&gt;1,COUNTIF(Категории,D154)&lt;&gt;1,COUNTIF(Счета,F154)&lt;&gt;1,COUNTIF(Проекты,I154)&lt;&gt;1,AND(H154&lt;&gt;"",COUNTIF(Контрагенты,H154)&lt;&gt;1),AND(C154="Перевод",OR(F154=G154,COUNTIF(Счета,G154)&lt;&gt;1)),AND(S154&lt;&gt;0,COUNTIF(Docs[ID],J154)&lt;&gt;1),AND(Форма="ООО",C154="Вывод ИП"),AND(Форма="ИП",C154="Дивиденды"),AND(L154&lt;&gt;"Проведён",L154&lt;&gt;"Черновик")),"ОШИБКА","ОК"))</f>
        <v>ОК</v>
      </c>
      <c r="W154" s="25">
        <f>IF(A154="","",SUMIF(Accounts[Счёт],F154,Accounts[Начальный])+SUMIFS($Q$7:Q154,$F$7:F154,F154)+SUMIFS($E$7:E154,$G$7:G154,F154,$C$7:C154,"Перевод",$L$7:L154,"Проведён"))</f>
        <v>892136.62000000011</v>
      </c>
    </row>
    <row r="155" spans="1:23" x14ac:dyDescent="0.25">
      <c r="A155" s="3" t="s">
        <v>747</v>
      </c>
      <c r="B155" s="19">
        <v>46227</v>
      </c>
      <c r="C155" s="3" t="s">
        <v>484</v>
      </c>
      <c r="D155" s="3" t="s">
        <v>485</v>
      </c>
      <c r="E155" s="24">
        <v>66080</v>
      </c>
      <c r="F155" s="3" t="s">
        <v>474</v>
      </c>
      <c r="G155" s="3"/>
      <c r="H155" s="3" t="s">
        <v>486</v>
      </c>
      <c r="I155" s="3" t="s">
        <v>381</v>
      </c>
      <c r="J155" s="3" t="s">
        <v>732</v>
      </c>
      <c r="K155" s="3" t="s">
        <v>484</v>
      </c>
      <c r="L155" s="3" t="s">
        <v>476</v>
      </c>
      <c r="M155" s="3"/>
      <c r="N155" s="24">
        <v>0</v>
      </c>
      <c r="O155" s="3"/>
      <c r="P155" s="5">
        <f>IF(A155="","",IF(COUNTIF(Типы,C155)=0,0,VLOOKUP(C155,СПРАВОЧНИКИ!$A$7:$E$22,2,FALSE)))</f>
        <v>1</v>
      </c>
      <c r="Q155" s="25">
        <f t="shared" si="2"/>
        <v>66080</v>
      </c>
      <c r="R155" s="5" t="str">
        <f>IF(A155="","",IF(COUNTIF(Типы,C155)=0,"НЕИЗВЕСТНЫЙ ТИП",VLOOKUP(C155,СПРАВОЧНИКИ!$A$7:$E$22,3,FALSE)))</f>
        <v>Операционный</v>
      </c>
      <c r="S155" s="26">
        <f>IF(A155="","",IF(L155="Проведён",E155*IF(COUNTIF(Типы,C155)=0,0,VLOOKUP(C155,СПРАВОЧНИКИ!$A$7:$E$22,4,FALSE)),0))</f>
        <v>66080</v>
      </c>
      <c r="T155" s="26">
        <f>IF(A155="","",IF(L155="Проведён",E155*IF(COUNTIF(Типы,C155)=0,0,VLOOKUP(C155,СПРАВОЧНИКИ!$A$7:$E$22,5,FALSE)),0))</f>
        <v>66080</v>
      </c>
      <c r="U155" s="5" t="str">
        <f>IF(A155="","",IF(COUNTIF(Контрагенты,H155)=0,"Не задан",VLOOKUP(H155,СПРАВОЧНИКИ!$G$7:$H$66,2,FALSE)))</f>
        <v>ЮЛ</v>
      </c>
      <c r="V155" s="4" t="str">
        <f>IF(A155="",IF(COUNTA(B155:O155)&gt;0,"НЕТ ID",""),IF(OR(AND(OR(C155="Оплата клиента",C155="Возврат клиенту"),COUNTIFS(Docs[ID],J155,Docs[Тип долга],"ДЗ")&lt;&gt;1),AND(OR(C155="Оплата поставщику",C155="Возврат поставщика"),COUNTIFS(Docs[ID],J155,Docs[Тип долга],"КЗ",Docs[Вид],"&lt;&gt;Дивиденды")&lt;&gt;1),AND(C155="Дивиденды",COUNTIFS(Docs[ID],J155,Docs[Вид],"Дивиденды")&lt;&gt;1),AND(C155="Проценты",COUNTIFS(Docs[ID],J155,Docs[Вид],"Проценты")&lt;&gt;1),COUNTIF(Cash[ID],A155)&gt;1,NOT(ISNUMBER(B155)),B155&lt;НачалоУчета,YEAR(B155)&lt;&gt;Год,NOT(ISNUMBER(E155)),E155&lt;=0,N155&lt;0,COUNTIF(Типы,C155)&lt;&gt;1,COUNTIF(Категории,D155)&lt;&gt;1,COUNTIF(Счета,F155)&lt;&gt;1,COUNTIF(Проекты,I155)&lt;&gt;1,AND(H155&lt;&gt;"",COUNTIF(Контрагенты,H155)&lt;&gt;1),AND(C155="Перевод",OR(F155=G155,COUNTIF(Счета,G155)&lt;&gt;1)),AND(S155&lt;&gt;0,COUNTIF(Docs[ID],J155)&lt;&gt;1),AND(Форма="ООО",C155="Вывод ИП"),AND(Форма="ИП",C155="Дивиденды"),AND(L155&lt;&gt;"Проведён",L155&lt;&gt;"Черновик")),"ОШИБКА","ОК"))</f>
        <v>ОК</v>
      </c>
      <c r="W155" s="25">
        <f>IF(A155="","",SUMIF(Accounts[Счёт],F155,Accounts[Начальный])+SUMIFS($Q$7:Q155,$F$7:F155,F155)+SUMIFS($E$7:E155,$G$7:G155,F155,$C$7:C155,"Перевод",$L$7:L155,"Проведён"))</f>
        <v>958216.62000000011</v>
      </c>
    </row>
    <row r="156" spans="1:23" x14ac:dyDescent="0.25">
      <c r="A156" s="3" t="s">
        <v>748</v>
      </c>
      <c r="B156" s="19">
        <v>46227</v>
      </c>
      <c r="C156" s="3" t="s">
        <v>504</v>
      </c>
      <c r="D156" s="3" t="s">
        <v>295</v>
      </c>
      <c r="E156" s="24">
        <v>45000</v>
      </c>
      <c r="F156" s="3" t="s">
        <v>474</v>
      </c>
      <c r="G156" s="3"/>
      <c r="H156" s="3" t="s">
        <v>514</v>
      </c>
      <c r="I156" s="3" t="s">
        <v>381</v>
      </c>
      <c r="J156" s="3" t="s">
        <v>749</v>
      </c>
      <c r="K156" s="3" t="s">
        <v>504</v>
      </c>
      <c r="L156" s="3" t="s">
        <v>476</v>
      </c>
      <c r="M156" s="3"/>
      <c r="N156" s="24">
        <v>45000</v>
      </c>
      <c r="O156" s="3" t="s">
        <v>295</v>
      </c>
      <c r="P156" s="5">
        <f>IF(A156="","",IF(COUNTIF(Типы,C156)=0,0,VLOOKUP(C156,СПРАВОЧНИКИ!$A$7:$E$22,2,FALSE)))</f>
        <v>-1</v>
      </c>
      <c r="Q156" s="25">
        <f t="shared" si="2"/>
        <v>-45000</v>
      </c>
      <c r="R156" s="5" t="str">
        <f>IF(A156="","",IF(COUNTIF(Типы,C156)=0,"НЕИЗВЕСТНЫЙ ТИП",VLOOKUP(C156,СПРАВОЧНИКИ!$A$7:$E$22,3,FALSE)))</f>
        <v>Операционный</v>
      </c>
      <c r="S156" s="26">
        <f>IF(A156="","",IF(L156="Проведён",E156*IF(COUNTIF(Типы,C156)=0,0,VLOOKUP(C156,СПРАВОЧНИКИ!$A$7:$E$22,4,FALSE)),0))</f>
        <v>45000</v>
      </c>
      <c r="T156" s="26">
        <f>IF(A156="","",IF(L156="Проведён",E156*IF(COUNTIF(Типы,C156)=0,0,VLOOKUP(C156,СПРАВОЧНИКИ!$A$7:$E$22,5,FALSE)),0))</f>
        <v>0</v>
      </c>
      <c r="U156" s="5" t="str">
        <f>IF(A156="","",IF(COUNTIF(Контрагенты,H156)=0,"Не задан",VLOOKUP(H156,СПРАВОЧНИКИ!$G$7:$H$66,2,FALSE)))</f>
        <v>ЮЛ</v>
      </c>
      <c r="V156" s="4" t="str">
        <f>IF(A156="",IF(COUNTA(B156:O156)&gt;0,"НЕТ ID",""),IF(OR(AND(OR(C156="Оплата клиента",C156="Возврат клиенту"),COUNTIFS(Docs[ID],J156,Docs[Тип долга],"ДЗ")&lt;&gt;1),AND(OR(C156="Оплата поставщику",C156="Возврат поставщика"),COUNTIFS(Docs[ID],J156,Docs[Тип долга],"КЗ",Docs[Вид],"&lt;&gt;Дивиденды")&lt;&gt;1),AND(C156="Дивиденды",COUNTIFS(Docs[ID],J156,Docs[Вид],"Дивиденды")&lt;&gt;1),AND(C156="Проценты",COUNTIFS(Docs[ID],J156,Docs[Вид],"Проценты")&lt;&gt;1),COUNTIF(Cash[ID],A156)&gt;1,NOT(ISNUMBER(B156)),B156&lt;НачалоУчета,YEAR(B156)&lt;&gt;Год,NOT(ISNUMBER(E156)),E156&lt;=0,N156&lt;0,COUNTIF(Типы,C156)&lt;&gt;1,COUNTIF(Категории,D156)&lt;&gt;1,COUNTIF(Счета,F156)&lt;&gt;1,COUNTIF(Проекты,I156)&lt;&gt;1,AND(H156&lt;&gt;"",COUNTIF(Контрагенты,H156)&lt;&gt;1),AND(C156="Перевод",OR(F156=G156,COUNTIF(Счета,G156)&lt;&gt;1)),AND(S156&lt;&gt;0,COUNTIF(Docs[ID],J156)&lt;&gt;1),AND(Форма="ООО",C156="Вывод ИП"),AND(Форма="ИП",C156="Дивиденды"),AND(L156&lt;&gt;"Проведён",L156&lt;&gt;"Черновик")),"ОШИБКА","ОК"))</f>
        <v>ОК</v>
      </c>
      <c r="W156" s="25">
        <f>IF(A156="","",SUMIF(Accounts[Счёт],F156,Accounts[Начальный])+SUMIFS($Q$7:Q156,$F$7:F156,F156)+SUMIFS($E$7:E156,$G$7:G156,F156,$C$7:C156,"Перевод",$L$7:L156,"Проведён"))</f>
        <v>913216.62000000011</v>
      </c>
    </row>
    <row r="157" spans="1:23" x14ac:dyDescent="0.25">
      <c r="A157" s="3" t="s">
        <v>750</v>
      </c>
      <c r="B157" s="19">
        <v>46228</v>
      </c>
      <c r="C157" s="3" t="s">
        <v>484</v>
      </c>
      <c r="D157" s="3" t="s">
        <v>485</v>
      </c>
      <c r="E157" s="24">
        <v>51920</v>
      </c>
      <c r="F157" s="3" t="s">
        <v>474</v>
      </c>
      <c r="G157" s="3"/>
      <c r="H157" s="3" t="s">
        <v>489</v>
      </c>
      <c r="I157" s="3" t="s">
        <v>298</v>
      </c>
      <c r="J157" s="3" t="s">
        <v>734</v>
      </c>
      <c r="K157" s="3" t="s">
        <v>484</v>
      </c>
      <c r="L157" s="3" t="s">
        <v>476</v>
      </c>
      <c r="M157" s="3"/>
      <c r="N157" s="24">
        <v>0</v>
      </c>
      <c r="O157" s="3"/>
      <c r="P157" s="5">
        <f>IF(A157="","",IF(COUNTIF(Типы,C157)=0,0,VLOOKUP(C157,СПРАВОЧНИКИ!$A$7:$E$22,2,FALSE)))</f>
        <v>1</v>
      </c>
      <c r="Q157" s="25">
        <f t="shared" si="2"/>
        <v>51920</v>
      </c>
      <c r="R157" s="5" t="str">
        <f>IF(A157="","",IF(COUNTIF(Типы,C157)=0,"НЕИЗВЕСТНЫЙ ТИП",VLOOKUP(C157,СПРАВОЧНИКИ!$A$7:$E$22,3,FALSE)))</f>
        <v>Операционный</v>
      </c>
      <c r="S157" s="26">
        <f>IF(A157="","",IF(L157="Проведён",E157*IF(COUNTIF(Типы,C157)=0,0,VLOOKUP(C157,СПРАВОЧНИКИ!$A$7:$E$22,4,FALSE)),0))</f>
        <v>51920</v>
      </c>
      <c r="T157" s="26">
        <f>IF(A157="","",IF(L157="Проведён",E157*IF(COUNTIF(Типы,C157)=0,0,VLOOKUP(C157,СПРАВОЧНИКИ!$A$7:$E$22,5,FALSE)),0))</f>
        <v>51920</v>
      </c>
      <c r="U157" s="5" t="str">
        <f>IF(A157="","",IF(COUNTIF(Контрагенты,H157)=0,"Не задан",VLOOKUP(H157,СПРАВОЧНИКИ!$G$7:$H$66,2,FALSE)))</f>
        <v>ЮЛ</v>
      </c>
      <c r="V157" s="4" t="str">
        <f>IF(A157="",IF(COUNTA(B157:O157)&gt;0,"НЕТ ID",""),IF(OR(AND(OR(C157="Оплата клиента",C157="Возврат клиенту"),COUNTIFS(Docs[ID],J157,Docs[Тип долга],"ДЗ")&lt;&gt;1),AND(OR(C157="Оплата поставщику",C157="Возврат поставщика"),COUNTIFS(Docs[ID],J157,Docs[Тип долга],"КЗ",Docs[Вид],"&lt;&gt;Дивиденды")&lt;&gt;1),AND(C157="Дивиденды",COUNTIFS(Docs[ID],J157,Docs[Вид],"Дивиденды")&lt;&gt;1),AND(C157="Проценты",COUNTIFS(Docs[ID],J157,Docs[Вид],"Проценты")&lt;&gt;1),COUNTIF(Cash[ID],A157)&gt;1,NOT(ISNUMBER(B157)),B157&lt;НачалоУчета,YEAR(B157)&lt;&gt;Год,NOT(ISNUMBER(E157)),E157&lt;=0,N157&lt;0,COUNTIF(Типы,C157)&lt;&gt;1,COUNTIF(Категории,D157)&lt;&gt;1,COUNTIF(Счета,F157)&lt;&gt;1,COUNTIF(Проекты,I157)&lt;&gt;1,AND(H157&lt;&gt;"",COUNTIF(Контрагенты,H157)&lt;&gt;1),AND(C157="Перевод",OR(F157=G157,COUNTIF(Счета,G157)&lt;&gt;1)),AND(S157&lt;&gt;0,COUNTIF(Docs[ID],J157)&lt;&gt;1),AND(Форма="ООО",C157="Вывод ИП"),AND(Форма="ИП",C157="Дивиденды"),AND(L157&lt;&gt;"Проведён",L157&lt;&gt;"Черновик")),"ОШИБКА","ОК"))</f>
        <v>ОК</v>
      </c>
      <c r="W157" s="25">
        <f>IF(A157="","",SUMIF(Accounts[Счёт],F157,Accounts[Начальный])+SUMIFS($Q$7:Q157,$F$7:F157,F157)+SUMIFS($E$7:E157,$G$7:G157,F157,$C$7:C157,"Перевод",$L$7:L157,"Проведён"))</f>
        <v>965136.62000000011</v>
      </c>
    </row>
    <row r="158" spans="1:23" x14ac:dyDescent="0.25">
      <c r="A158" s="3" t="s">
        <v>751</v>
      </c>
      <c r="B158" s="19">
        <v>46228</v>
      </c>
      <c r="C158" s="3" t="s">
        <v>504</v>
      </c>
      <c r="D158" s="3" t="s">
        <v>518</v>
      </c>
      <c r="E158" s="24">
        <v>18000</v>
      </c>
      <c r="F158" s="3" t="s">
        <v>474</v>
      </c>
      <c r="G158" s="3"/>
      <c r="H158" s="3" t="s">
        <v>519</v>
      </c>
      <c r="I158" s="3" t="s">
        <v>383</v>
      </c>
      <c r="J158" s="3" t="s">
        <v>752</v>
      </c>
      <c r="K158" s="3" t="s">
        <v>504</v>
      </c>
      <c r="L158" s="3" t="s">
        <v>476</v>
      </c>
      <c r="M158" s="3"/>
      <c r="N158" s="24">
        <v>18000</v>
      </c>
      <c r="O158" s="3"/>
      <c r="P158" s="5">
        <f>IF(A158="","",IF(COUNTIF(Типы,C158)=0,0,VLOOKUP(C158,СПРАВОЧНИКИ!$A$7:$E$22,2,FALSE)))</f>
        <v>-1</v>
      </c>
      <c r="Q158" s="25">
        <f t="shared" si="2"/>
        <v>-18000</v>
      </c>
      <c r="R158" s="5" t="str">
        <f>IF(A158="","",IF(COUNTIF(Типы,C158)=0,"НЕИЗВЕСТНЫЙ ТИП",VLOOKUP(C158,СПРАВОЧНИКИ!$A$7:$E$22,3,FALSE)))</f>
        <v>Операционный</v>
      </c>
      <c r="S158" s="26">
        <f>IF(A158="","",IF(L158="Проведён",E158*IF(COUNTIF(Типы,C158)=0,0,VLOOKUP(C158,СПРАВОЧНИКИ!$A$7:$E$22,4,FALSE)),0))</f>
        <v>18000</v>
      </c>
      <c r="T158" s="26">
        <f>IF(A158="","",IF(L158="Проведён",E158*IF(COUNTIF(Типы,C158)=0,0,VLOOKUP(C158,СПРАВОЧНИКИ!$A$7:$E$22,5,FALSE)),0))</f>
        <v>0</v>
      </c>
      <c r="U158" s="5" t="str">
        <f>IF(A158="","",IF(COUNTIF(Контрагенты,H158)=0,"Не задан",VLOOKUP(H158,СПРАВОЧНИКИ!$G$7:$H$66,2,FALSE)))</f>
        <v>ЮЛ</v>
      </c>
      <c r="V158" s="4" t="str">
        <f>IF(A158="",IF(COUNTA(B158:O158)&gt;0,"НЕТ ID",""),IF(OR(AND(OR(C158="Оплата клиента",C158="Возврат клиенту"),COUNTIFS(Docs[ID],J158,Docs[Тип долга],"ДЗ")&lt;&gt;1),AND(OR(C158="Оплата поставщику",C158="Возврат поставщика"),COUNTIFS(Docs[ID],J158,Docs[Тип долга],"КЗ",Docs[Вид],"&lt;&gt;Дивиденды")&lt;&gt;1),AND(C158="Дивиденды",COUNTIFS(Docs[ID],J158,Docs[Вид],"Дивиденды")&lt;&gt;1),AND(C158="Проценты",COUNTIFS(Docs[ID],J158,Docs[Вид],"Проценты")&lt;&gt;1),COUNTIF(Cash[ID],A158)&gt;1,NOT(ISNUMBER(B158)),B158&lt;НачалоУчета,YEAR(B158)&lt;&gt;Год,NOT(ISNUMBER(E158)),E158&lt;=0,N158&lt;0,COUNTIF(Типы,C158)&lt;&gt;1,COUNTIF(Категории,D158)&lt;&gt;1,COUNTIF(Счета,F158)&lt;&gt;1,COUNTIF(Проекты,I158)&lt;&gt;1,AND(H158&lt;&gt;"",COUNTIF(Контрагенты,H158)&lt;&gt;1),AND(C158="Перевод",OR(F158=G158,COUNTIF(Счета,G158)&lt;&gt;1)),AND(S158&lt;&gt;0,COUNTIF(Docs[ID],J158)&lt;&gt;1),AND(Форма="ООО",C158="Вывод ИП"),AND(Форма="ИП",C158="Дивиденды"),AND(L158&lt;&gt;"Проведён",L158&lt;&gt;"Черновик")),"ОШИБКА","ОК"))</f>
        <v>ОК</v>
      </c>
      <c r="W158" s="25">
        <f>IF(A158="","",SUMIF(Accounts[Счёт],F158,Accounts[Начальный])+SUMIFS($Q$7:Q158,$F$7:F158,F158)+SUMIFS($E$7:E158,$G$7:G158,F158,$C$7:C158,"Перевод",$L$7:L158,"Проведён"))</f>
        <v>947136.62000000011</v>
      </c>
    </row>
    <row r="159" spans="1:23" x14ac:dyDescent="0.25">
      <c r="A159" s="3" t="s">
        <v>753</v>
      </c>
      <c r="B159" s="19">
        <v>46228</v>
      </c>
      <c r="C159" s="3" t="s">
        <v>640</v>
      </c>
      <c r="D159" s="3" t="s">
        <v>641</v>
      </c>
      <c r="E159" s="24">
        <v>45000</v>
      </c>
      <c r="F159" s="3" t="s">
        <v>474</v>
      </c>
      <c r="G159" s="3"/>
      <c r="H159" s="3" t="s">
        <v>528</v>
      </c>
      <c r="I159" s="3" t="s">
        <v>383</v>
      </c>
      <c r="J159" s="3" t="s">
        <v>754</v>
      </c>
      <c r="K159" s="3" t="s">
        <v>640</v>
      </c>
      <c r="L159" s="3" t="s">
        <v>476</v>
      </c>
      <c r="M159" s="3"/>
      <c r="N159" s="24">
        <v>0</v>
      </c>
      <c r="O159" s="3"/>
      <c r="P159" s="5">
        <f>IF(A159="","",IF(COUNTIF(Типы,C159)=0,0,VLOOKUP(C159,СПРАВОЧНИКИ!$A$7:$E$22,2,FALSE)))</f>
        <v>-1</v>
      </c>
      <c r="Q159" s="25">
        <f t="shared" si="2"/>
        <v>-45000</v>
      </c>
      <c r="R159" s="5" t="str">
        <f>IF(A159="","",IF(COUNTIF(Типы,C159)=0,"НЕИЗВЕСТНЫЙ ТИП",VLOOKUP(C159,СПРАВОЧНИКИ!$A$7:$E$22,3,FALSE)))</f>
        <v>Операционный</v>
      </c>
      <c r="S159" s="26">
        <f>IF(A159="","",IF(L159="Проведён",E159*IF(COUNTIF(Типы,C159)=0,0,VLOOKUP(C159,СПРАВОЧНИКИ!$A$7:$E$22,4,FALSE)),0))</f>
        <v>0</v>
      </c>
      <c r="T159" s="26">
        <f>IF(A159="","",IF(L159="Проведён",E159*IF(COUNTIF(Типы,C159)=0,0,VLOOKUP(C159,СПРАВОЧНИКИ!$A$7:$E$22,5,FALSE)),0))</f>
        <v>0</v>
      </c>
      <c r="U159" s="5" t="str">
        <f>IF(A159="","",IF(COUNTIF(Контрагенты,H159)=0,"Не задан",VLOOKUP(H159,СПРАВОЧНИКИ!$G$7:$H$66,2,FALSE)))</f>
        <v>ЮЛ</v>
      </c>
      <c r="V159" s="4" t="str">
        <f>IF(A159="",IF(COUNTA(B159:O159)&gt;0,"НЕТ ID",""),IF(OR(AND(OR(C159="Оплата клиента",C159="Возврат клиенту"),COUNTIFS(Docs[ID],J159,Docs[Тип долга],"ДЗ")&lt;&gt;1),AND(OR(C159="Оплата поставщику",C159="Возврат поставщика"),COUNTIFS(Docs[ID],J159,Docs[Тип долга],"КЗ",Docs[Вид],"&lt;&gt;Дивиденды")&lt;&gt;1),AND(C159="Дивиденды",COUNTIFS(Docs[ID],J159,Docs[Вид],"Дивиденды")&lt;&gt;1),AND(C159="Проценты",COUNTIFS(Docs[ID],J159,Docs[Вид],"Проценты")&lt;&gt;1),COUNTIF(Cash[ID],A159)&gt;1,NOT(ISNUMBER(B159)),B159&lt;НачалоУчета,YEAR(B159)&lt;&gt;Год,NOT(ISNUMBER(E159)),E159&lt;=0,N159&lt;0,COUNTIF(Типы,C159)&lt;&gt;1,COUNTIF(Категории,D159)&lt;&gt;1,COUNTIF(Счета,F159)&lt;&gt;1,COUNTIF(Проекты,I159)&lt;&gt;1,AND(H159&lt;&gt;"",COUNTIF(Контрагенты,H159)&lt;&gt;1),AND(C159="Перевод",OR(F159=G159,COUNTIF(Счета,G159)&lt;&gt;1)),AND(S159&lt;&gt;0,COUNTIF(Docs[ID],J159)&lt;&gt;1),AND(Форма="ООО",C159="Вывод ИП"),AND(Форма="ИП",C159="Дивиденды"),AND(L159&lt;&gt;"Проведён",L159&lt;&gt;"Черновик")),"ОШИБКА","ОК"))</f>
        <v>ОК</v>
      </c>
      <c r="W159" s="25">
        <f>IF(A159="","",SUMIF(Accounts[Счёт],F159,Accounts[Начальный])+SUMIFS($Q$7:Q159,$F$7:F159,F159)+SUMIFS($E$7:E159,$G$7:G159,F159,$C$7:C159,"Перевод",$L$7:L159,"Проведён"))</f>
        <v>902136.62000000011</v>
      </c>
    </row>
    <row r="160" spans="1:23" x14ac:dyDescent="0.25">
      <c r="A160" s="3" t="s">
        <v>755</v>
      </c>
      <c r="B160" s="19">
        <v>46229</v>
      </c>
      <c r="C160" s="3" t="s">
        <v>484</v>
      </c>
      <c r="D160" s="3" t="s">
        <v>485</v>
      </c>
      <c r="E160" s="24">
        <v>42480</v>
      </c>
      <c r="F160" s="3" t="s">
        <v>474</v>
      </c>
      <c r="G160" s="3"/>
      <c r="H160" s="3" t="s">
        <v>492</v>
      </c>
      <c r="I160" s="3" t="s">
        <v>382</v>
      </c>
      <c r="J160" s="3" t="s">
        <v>736</v>
      </c>
      <c r="K160" s="3" t="s">
        <v>484</v>
      </c>
      <c r="L160" s="3" t="s">
        <v>476</v>
      </c>
      <c r="M160" s="3"/>
      <c r="N160" s="24">
        <v>0</v>
      </c>
      <c r="O160" s="3"/>
      <c r="P160" s="5">
        <f>IF(A160="","",IF(COUNTIF(Типы,C160)=0,0,VLOOKUP(C160,СПРАВОЧНИКИ!$A$7:$E$22,2,FALSE)))</f>
        <v>1</v>
      </c>
      <c r="Q160" s="25">
        <f t="shared" si="2"/>
        <v>42480</v>
      </c>
      <c r="R160" s="5" t="str">
        <f>IF(A160="","",IF(COUNTIF(Типы,C160)=0,"НЕИЗВЕСТНЫЙ ТИП",VLOOKUP(C160,СПРАВОЧНИКИ!$A$7:$E$22,3,FALSE)))</f>
        <v>Операционный</v>
      </c>
      <c r="S160" s="26">
        <f>IF(A160="","",IF(L160="Проведён",E160*IF(COUNTIF(Типы,C160)=0,0,VLOOKUP(C160,СПРАВОЧНИКИ!$A$7:$E$22,4,FALSE)),0))</f>
        <v>42480</v>
      </c>
      <c r="T160" s="26">
        <f>IF(A160="","",IF(L160="Проведён",E160*IF(COUNTIF(Типы,C160)=0,0,VLOOKUP(C160,СПРАВОЧНИКИ!$A$7:$E$22,5,FALSE)),0))</f>
        <v>42480</v>
      </c>
      <c r="U160" s="5" t="str">
        <f>IF(A160="","",IF(COUNTIF(Контрагенты,H160)=0,"Не задан",VLOOKUP(H160,СПРАВОЧНИКИ!$G$7:$H$66,2,FALSE)))</f>
        <v>ИП</v>
      </c>
      <c r="V160" s="4" t="str">
        <f>IF(A160="",IF(COUNTA(B160:O160)&gt;0,"НЕТ ID",""),IF(OR(AND(OR(C160="Оплата клиента",C160="Возврат клиенту"),COUNTIFS(Docs[ID],J160,Docs[Тип долга],"ДЗ")&lt;&gt;1),AND(OR(C160="Оплата поставщику",C160="Возврат поставщика"),COUNTIFS(Docs[ID],J160,Docs[Тип долга],"КЗ",Docs[Вид],"&lt;&gt;Дивиденды")&lt;&gt;1),AND(C160="Дивиденды",COUNTIFS(Docs[ID],J160,Docs[Вид],"Дивиденды")&lt;&gt;1),AND(C160="Проценты",COUNTIFS(Docs[ID],J160,Docs[Вид],"Проценты")&lt;&gt;1),COUNTIF(Cash[ID],A160)&gt;1,NOT(ISNUMBER(B160)),B160&lt;НачалоУчета,YEAR(B160)&lt;&gt;Год,NOT(ISNUMBER(E160)),E160&lt;=0,N160&lt;0,COUNTIF(Типы,C160)&lt;&gt;1,COUNTIF(Категории,D160)&lt;&gt;1,COUNTIF(Счета,F160)&lt;&gt;1,COUNTIF(Проекты,I160)&lt;&gt;1,AND(H160&lt;&gt;"",COUNTIF(Контрагенты,H160)&lt;&gt;1),AND(C160="Перевод",OR(F160=G160,COUNTIF(Счета,G160)&lt;&gt;1)),AND(S160&lt;&gt;0,COUNTIF(Docs[ID],J160)&lt;&gt;1),AND(Форма="ООО",C160="Вывод ИП"),AND(Форма="ИП",C160="Дивиденды"),AND(L160&lt;&gt;"Проведён",L160&lt;&gt;"Черновик")),"ОШИБКА","ОК"))</f>
        <v>ОК</v>
      </c>
      <c r="W160" s="25">
        <f>IF(A160="","",SUMIF(Accounts[Счёт],F160,Accounts[Начальный])+SUMIFS($Q$7:Q160,$F$7:F160,F160)+SUMIFS($E$7:E160,$G$7:G160,F160,$C$7:C160,"Перевод",$L$7:L160,"Проведён"))</f>
        <v>944616.62000000011</v>
      </c>
    </row>
    <row r="161" spans="1:23" x14ac:dyDescent="0.25">
      <c r="A161" s="3" t="s">
        <v>756</v>
      </c>
      <c r="B161" s="19">
        <v>46229</v>
      </c>
      <c r="C161" s="3" t="s">
        <v>504</v>
      </c>
      <c r="D161" s="3" t="s">
        <v>523</v>
      </c>
      <c r="E161" s="24">
        <v>78300</v>
      </c>
      <c r="F161" s="3" t="s">
        <v>474</v>
      </c>
      <c r="G161" s="3"/>
      <c r="H161" s="3" t="s">
        <v>52</v>
      </c>
      <c r="I161" s="3" t="s">
        <v>383</v>
      </c>
      <c r="J161" s="3" t="s">
        <v>757</v>
      </c>
      <c r="K161" s="3" t="s">
        <v>504</v>
      </c>
      <c r="L161" s="3" t="s">
        <v>476</v>
      </c>
      <c r="M161" s="3"/>
      <c r="N161" s="24">
        <v>78300</v>
      </c>
      <c r="O161" s="3"/>
      <c r="P161" s="5">
        <f>IF(A161="","",IF(COUNTIF(Типы,C161)=0,0,VLOOKUP(C161,СПРАВОЧНИКИ!$A$7:$E$22,2,FALSE)))</f>
        <v>-1</v>
      </c>
      <c r="Q161" s="25">
        <f t="shared" si="2"/>
        <v>-78300</v>
      </c>
      <c r="R161" s="5" t="str">
        <f>IF(A161="","",IF(COUNTIF(Типы,C161)=0,"НЕИЗВЕСТНЫЙ ТИП",VLOOKUP(C161,СПРАВОЧНИКИ!$A$7:$E$22,3,FALSE)))</f>
        <v>Операционный</v>
      </c>
      <c r="S161" s="26">
        <f>IF(A161="","",IF(L161="Проведён",E161*IF(COUNTIF(Типы,C161)=0,0,VLOOKUP(C161,СПРАВОЧНИКИ!$A$7:$E$22,4,FALSE)),0))</f>
        <v>78300</v>
      </c>
      <c r="T161" s="26">
        <f>IF(A161="","",IF(L161="Проведён",E161*IF(COUNTIF(Типы,C161)=0,0,VLOOKUP(C161,СПРАВОЧНИКИ!$A$7:$E$22,5,FALSE)),0))</f>
        <v>0</v>
      </c>
      <c r="U161" s="5" t="str">
        <f>IF(A161="","",IF(COUNTIF(Контрагенты,H161)=0,"Не задан",VLOOKUP(H161,СПРАВОЧНИКИ!$G$7:$H$66,2,FALSE)))</f>
        <v>ФЛ</v>
      </c>
      <c r="V161" s="4" t="str">
        <f>IF(A161="",IF(COUNTA(B161:O161)&gt;0,"НЕТ ID",""),IF(OR(AND(OR(C161="Оплата клиента",C161="Возврат клиенту"),COUNTIFS(Docs[ID],J161,Docs[Тип долга],"ДЗ")&lt;&gt;1),AND(OR(C161="Оплата поставщику",C161="Возврат поставщика"),COUNTIFS(Docs[ID],J161,Docs[Тип долга],"КЗ",Docs[Вид],"&lt;&gt;Дивиденды")&lt;&gt;1),AND(C161="Дивиденды",COUNTIFS(Docs[ID],J161,Docs[Вид],"Дивиденды")&lt;&gt;1),AND(C161="Проценты",COUNTIFS(Docs[ID],J161,Docs[Вид],"Проценты")&lt;&gt;1),COUNTIF(Cash[ID],A161)&gt;1,NOT(ISNUMBER(B161)),B161&lt;НачалоУчета,YEAR(B161)&lt;&gt;Год,NOT(ISNUMBER(E161)),E161&lt;=0,N161&lt;0,COUNTIF(Типы,C161)&lt;&gt;1,COUNTIF(Категории,D161)&lt;&gt;1,COUNTIF(Счета,F161)&lt;&gt;1,COUNTIF(Проекты,I161)&lt;&gt;1,AND(H161&lt;&gt;"",COUNTIF(Контрагенты,H161)&lt;&gt;1),AND(C161="Перевод",OR(F161=G161,COUNTIF(Счета,G161)&lt;&gt;1)),AND(S161&lt;&gt;0,COUNTIF(Docs[ID],J161)&lt;&gt;1),AND(Форма="ООО",C161="Вывод ИП"),AND(Форма="ИП",C161="Дивиденды"),AND(L161&lt;&gt;"Проведён",L161&lt;&gt;"Черновик")),"ОШИБКА","ОК"))</f>
        <v>ОК</v>
      </c>
      <c r="W161" s="25">
        <f>IF(A161="","",SUMIF(Accounts[Счёт],F161,Accounts[Начальный])+SUMIFS($Q$7:Q161,$F$7:F161,F161)+SUMIFS($E$7:E161,$G$7:G161,F161,$C$7:C161,"Перевод",$L$7:L161,"Проведён"))</f>
        <v>866316.62000000011</v>
      </c>
    </row>
    <row r="162" spans="1:23" x14ac:dyDescent="0.25">
      <c r="A162" s="3" t="s">
        <v>758</v>
      </c>
      <c r="B162" s="19">
        <v>46230</v>
      </c>
      <c r="C162" s="3" t="s">
        <v>484</v>
      </c>
      <c r="D162" s="3" t="s">
        <v>485</v>
      </c>
      <c r="E162" s="24">
        <v>33040</v>
      </c>
      <c r="F162" s="3" t="s">
        <v>474</v>
      </c>
      <c r="G162" s="3"/>
      <c r="H162" s="3" t="s">
        <v>495</v>
      </c>
      <c r="I162" s="3" t="s">
        <v>381</v>
      </c>
      <c r="J162" s="3" t="s">
        <v>738</v>
      </c>
      <c r="K162" s="3" t="s">
        <v>484</v>
      </c>
      <c r="L162" s="3" t="s">
        <v>476</v>
      </c>
      <c r="M162" s="3"/>
      <c r="N162" s="24">
        <v>0</v>
      </c>
      <c r="O162" s="3"/>
      <c r="P162" s="5">
        <f>IF(A162="","",IF(COUNTIF(Типы,C162)=0,0,VLOOKUP(C162,СПРАВОЧНИКИ!$A$7:$E$22,2,FALSE)))</f>
        <v>1</v>
      </c>
      <c r="Q162" s="25">
        <f t="shared" si="2"/>
        <v>33040</v>
      </c>
      <c r="R162" s="5" t="str">
        <f>IF(A162="","",IF(COUNTIF(Типы,C162)=0,"НЕИЗВЕСТНЫЙ ТИП",VLOOKUP(C162,СПРАВОЧНИКИ!$A$7:$E$22,3,FALSE)))</f>
        <v>Операционный</v>
      </c>
      <c r="S162" s="26">
        <f>IF(A162="","",IF(L162="Проведён",E162*IF(COUNTIF(Типы,C162)=0,0,VLOOKUP(C162,СПРАВОЧНИКИ!$A$7:$E$22,4,FALSE)),0))</f>
        <v>33040</v>
      </c>
      <c r="T162" s="26">
        <f>IF(A162="","",IF(L162="Проведён",E162*IF(COUNTIF(Типы,C162)=0,0,VLOOKUP(C162,СПРАВОЧНИКИ!$A$7:$E$22,5,FALSE)),0))</f>
        <v>33040</v>
      </c>
      <c r="U162" s="5" t="str">
        <f>IF(A162="","",IF(COUNTIF(Контрагенты,H162)=0,"Не задан",VLOOKUP(H162,СПРАВОЧНИКИ!$G$7:$H$66,2,FALSE)))</f>
        <v>ЮЛ</v>
      </c>
      <c r="V162" s="4" t="str">
        <f>IF(A162="",IF(COUNTA(B162:O162)&gt;0,"НЕТ ID",""),IF(OR(AND(OR(C162="Оплата клиента",C162="Возврат клиенту"),COUNTIFS(Docs[ID],J162,Docs[Тип долга],"ДЗ")&lt;&gt;1),AND(OR(C162="Оплата поставщику",C162="Возврат поставщика"),COUNTIFS(Docs[ID],J162,Docs[Тип долга],"КЗ",Docs[Вид],"&lt;&gt;Дивиденды")&lt;&gt;1),AND(C162="Дивиденды",COUNTIFS(Docs[ID],J162,Docs[Вид],"Дивиденды")&lt;&gt;1),AND(C162="Проценты",COUNTIFS(Docs[ID],J162,Docs[Вид],"Проценты")&lt;&gt;1),COUNTIF(Cash[ID],A162)&gt;1,NOT(ISNUMBER(B162)),B162&lt;НачалоУчета,YEAR(B162)&lt;&gt;Год,NOT(ISNUMBER(E162)),E162&lt;=0,N162&lt;0,COUNTIF(Типы,C162)&lt;&gt;1,COUNTIF(Категории,D162)&lt;&gt;1,COUNTIF(Счета,F162)&lt;&gt;1,COUNTIF(Проекты,I162)&lt;&gt;1,AND(H162&lt;&gt;"",COUNTIF(Контрагенты,H162)&lt;&gt;1),AND(C162="Перевод",OR(F162=G162,COUNTIF(Счета,G162)&lt;&gt;1)),AND(S162&lt;&gt;0,COUNTIF(Docs[ID],J162)&lt;&gt;1),AND(Форма="ООО",C162="Вывод ИП"),AND(Форма="ИП",C162="Дивиденды"),AND(L162&lt;&gt;"Проведён",L162&lt;&gt;"Черновик")),"ОШИБКА","ОК"))</f>
        <v>ОК</v>
      </c>
      <c r="W162" s="25">
        <f>IF(A162="","",SUMIF(Accounts[Счёт],F162,Accounts[Начальный])+SUMIFS($Q$7:Q162,$F$7:F162,F162)+SUMIFS($E$7:E162,$G$7:G162,F162,$C$7:C162,"Перевод",$L$7:L162,"Проведён"))</f>
        <v>899356.62000000011</v>
      </c>
    </row>
    <row r="163" spans="1:23" x14ac:dyDescent="0.25">
      <c r="A163" s="3" t="s">
        <v>759</v>
      </c>
      <c r="B163" s="19">
        <v>46230</v>
      </c>
      <c r="C163" s="3" t="s">
        <v>504</v>
      </c>
      <c r="D163" s="3" t="s">
        <v>527</v>
      </c>
      <c r="E163" s="24">
        <v>11700</v>
      </c>
      <c r="F163" s="3" t="s">
        <v>474</v>
      </c>
      <c r="G163" s="3"/>
      <c r="H163" s="3" t="s">
        <v>528</v>
      </c>
      <c r="I163" s="3" t="s">
        <v>383</v>
      </c>
      <c r="J163" s="3" t="s">
        <v>760</v>
      </c>
      <c r="K163" s="3" t="s">
        <v>504</v>
      </c>
      <c r="L163" s="3" t="s">
        <v>476</v>
      </c>
      <c r="M163" s="3"/>
      <c r="N163" s="24">
        <v>11700</v>
      </c>
      <c r="O163" s="3"/>
      <c r="P163" s="5">
        <f>IF(A163="","",IF(COUNTIF(Типы,C163)=0,0,VLOOKUP(C163,СПРАВОЧНИКИ!$A$7:$E$22,2,FALSE)))</f>
        <v>-1</v>
      </c>
      <c r="Q163" s="25">
        <f t="shared" si="2"/>
        <v>-11700</v>
      </c>
      <c r="R163" s="5" t="str">
        <f>IF(A163="","",IF(COUNTIF(Типы,C163)=0,"НЕИЗВЕСТНЫЙ ТИП",VLOOKUP(C163,СПРАВОЧНИКИ!$A$7:$E$22,3,FALSE)))</f>
        <v>Операционный</v>
      </c>
      <c r="S163" s="26">
        <f>IF(A163="","",IF(L163="Проведён",E163*IF(COUNTIF(Типы,C163)=0,0,VLOOKUP(C163,СПРАВОЧНИКИ!$A$7:$E$22,4,FALSE)),0))</f>
        <v>11700</v>
      </c>
      <c r="T163" s="26">
        <f>IF(A163="","",IF(L163="Проведён",E163*IF(COUNTIF(Типы,C163)=0,0,VLOOKUP(C163,СПРАВОЧНИКИ!$A$7:$E$22,5,FALSE)),0))</f>
        <v>0</v>
      </c>
      <c r="U163" s="5" t="str">
        <f>IF(A163="","",IF(COUNTIF(Контрагенты,H163)=0,"Не задан",VLOOKUP(H163,СПРАВОЧНИКИ!$G$7:$H$66,2,FALSE)))</f>
        <v>ЮЛ</v>
      </c>
      <c r="V163" s="4" t="str">
        <f>IF(A163="",IF(COUNTA(B163:O163)&gt;0,"НЕТ ID",""),IF(OR(AND(OR(C163="Оплата клиента",C163="Возврат клиенту"),COUNTIFS(Docs[ID],J163,Docs[Тип долга],"ДЗ")&lt;&gt;1),AND(OR(C163="Оплата поставщику",C163="Возврат поставщика"),COUNTIFS(Docs[ID],J163,Docs[Тип долга],"КЗ",Docs[Вид],"&lt;&gt;Дивиденды")&lt;&gt;1),AND(C163="Дивиденды",COUNTIFS(Docs[ID],J163,Docs[Вид],"Дивиденды")&lt;&gt;1),AND(C163="Проценты",COUNTIFS(Docs[ID],J163,Docs[Вид],"Проценты")&lt;&gt;1),COUNTIF(Cash[ID],A163)&gt;1,NOT(ISNUMBER(B163)),B163&lt;НачалоУчета,YEAR(B163)&lt;&gt;Год,NOT(ISNUMBER(E163)),E163&lt;=0,N163&lt;0,COUNTIF(Типы,C163)&lt;&gt;1,COUNTIF(Категории,D163)&lt;&gt;1,COUNTIF(Счета,F163)&lt;&gt;1,COUNTIF(Проекты,I163)&lt;&gt;1,AND(H163&lt;&gt;"",COUNTIF(Контрагенты,H163)&lt;&gt;1),AND(C163="Перевод",OR(F163=G163,COUNTIF(Счета,G163)&lt;&gt;1)),AND(S163&lt;&gt;0,COUNTIF(Docs[ID],J163)&lt;&gt;1),AND(Форма="ООО",C163="Вывод ИП"),AND(Форма="ИП",C163="Дивиденды"),AND(L163&lt;&gt;"Проведён",L163&lt;&gt;"Черновик")),"ОШИБКА","ОК"))</f>
        <v>ОК</v>
      </c>
      <c r="W163" s="25">
        <f>IF(A163="","",SUMIF(Accounts[Счёт],F163,Accounts[Начальный])+SUMIFS($Q$7:Q163,$F$7:F163,F163)+SUMIFS($E$7:E163,$G$7:G163,F163,$C$7:C163,"Перевод",$L$7:L163,"Проведён"))</f>
        <v>887656.62000000011</v>
      </c>
    </row>
    <row r="164" spans="1:23" x14ac:dyDescent="0.25">
      <c r="A164" s="3" t="s">
        <v>761</v>
      </c>
      <c r="B164" s="19">
        <v>46231</v>
      </c>
      <c r="C164" s="3" t="s">
        <v>484</v>
      </c>
      <c r="D164" s="3" t="s">
        <v>485</v>
      </c>
      <c r="E164" s="24">
        <v>23600</v>
      </c>
      <c r="F164" s="3" t="s">
        <v>474</v>
      </c>
      <c r="G164" s="3"/>
      <c r="H164" s="3" t="s">
        <v>498</v>
      </c>
      <c r="I164" s="3" t="s">
        <v>298</v>
      </c>
      <c r="J164" s="3" t="s">
        <v>740</v>
      </c>
      <c r="K164" s="3" t="s">
        <v>484</v>
      </c>
      <c r="L164" s="3" t="s">
        <v>476</v>
      </c>
      <c r="M164" s="3"/>
      <c r="N164" s="24">
        <v>0</v>
      </c>
      <c r="O164" s="3"/>
      <c r="P164" s="5">
        <f>IF(A164="","",IF(COUNTIF(Типы,C164)=0,0,VLOOKUP(C164,СПРАВОЧНИКИ!$A$7:$E$22,2,FALSE)))</f>
        <v>1</v>
      </c>
      <c r="Q164" s="25">
        <f t="shared" si="2"/>
        <v>23600</v>
      </c>
      <c r="R164" s="5" t="str">
        <f>IF(A164="","",IF(COUNTIF(Типы,C164)=0,"НЕИЗВЕСТНЫЙ ТИП",VLOOKUP(C164,СПРАВОЧНИКИ!$A$7:$E$22,3,FALSE)))</f>
        <v>Операционный</v>
      </c>
      <c r="S164" s="26">
        <f>IF(A164="","",IF(L164="Проведён",E164*IF(COUNTIF(Типы,C164)=0,0,VLOOKUP(C164,СПРАВОЧНИКИ!$A$7:$E$22,4,FALSE)),0))</f>
        <v>23600</v>
      </c>
      <c r="T164" s="26">
        <f>IF(A164="","",IF(L164="Проведён",E164*IF(COUNTIF(Типы,C164)=0,0,VLOOKUP(C164,СПРАВОЧНИКИ!$A$7:$E$22,5,FALSE)),0))</f>
        <v>23600</v>
      </c>
      <c r="U164" s="5" t="str">
        <f>IF(A164="","",IF(COUNTIF(Контрагенты,H164)=0,"Не задан",VLOOKUP(H164,СПРАВОЧНИКИ!$G$7:$H$66,2,FALSE)))</f>
        <v>ФЛ</v>
      </c>
      <c r="V164" s="4" t="str">
        <f>IF(A164="",IF(COUNTA(B164:O164)&gt;0,"НЕТ ID",""),IF(OR(AND(OR(C164="Оплата клиента",C164="Возврат клиенту"),COUNTIFS(Docs[ID],J164,Docs[Тип долга],"ДЗ")&lt;&gt;1),AND(OR(C164="Оплата поставщику",C164="Возврат поставщика"),COUNTIFS(Docs[ID],J164,Docs[Тип долга],"КЗ",Docs[Вид],"&lt;&gt;Дивиденды")&lt;&gt;1),AND(C164="Дивиденды",COUNTIFS(Docs[ID],J164,Docs[Вид],"Дивиденды")&lt;&gt;1),AND(C164="Проценты",COUNTIFS(Docs[ID],J164,Docs[Вид],"Проценты")&lt;&gt;1),COUNTIF(Cash[ID],A164)&gt;1,NOT(ISNUMBER(B164)),B164&lt;НачалоУчета,YEAR(B164)&lt;&gt;Год,NOT(ISNUMBER(E164)),E164&lt;=0,N164&lt;0,COUNTIF(Типы,C164)&lt;&gt;1,COUNTIF(Категории,D164)&lt;&gt;1,COUNTIF(Счета,F164)&lt;&gt;1,COUNTIF(Проекты,I164)&lt;&gt;1,AND(H164&lt;&gt;"",COUNTIF(Контрагенты,H164)&lt;&gt;1),AND(C164="Перевод",OR(F164=G164,COUNTIF(Счета,G164)&lt;&gt;1)),AND(S164&lt;&gt;0,COUNTIF(Docs[ID],J164)&lt;&gt;1),AND(Форма="ООО",C164="Вывод ИП"),AND(Форма="ИП",C164="Дивиденды"),AND(L164&lt;&gt;"Проведён",L164&lt;&gt;"Черновик")),"ОШИБКА","ОК"))</f>
        <v>ОК</v>
      </c>
      <c r="W164" s="25">
        <f>IF(A164="","",SUMIF(Accounts[Счёт],F164,Accounts[Начальный])+SUMIFS($Q$7:Q164,$F$7:F164,F164)+SUMIFS($E$7:E164,$G$7:G164,F164,$C$7:C164,"Перевод",$L$7:L164,"Проведён"))</f>
        <v>911256.62000000011</v>
      </c>
    </row>
    <row r="165" spans="1:23" x14ac:dyDescent="0.25">
      <c r="A165" s="3" t="s">
        <v>762</v>
      </c>
      <c r="B165" s="19">
        <v>46231</v>
      </c>
      <c r="C165" s="3" t="s">
        <v>504</v>
      </c>
      <c r="D165" s="3" t="s">
        <v>532</v>
      </c>
      <c r="E165" s="24">
        <v>27000</v>
      </c>
      <c r="F165" s="3" t="s">
        <v>474</v>
      </c>
      <c r="G165" s="3"/>
      <c r="H165" s="3" t="s">
        <v>528</v>
      </c>
      <c r="I165" s="3" t="s">
        <v>383</v>
      </c>
      <c r="J165" s="3" t="s">
        <v>763</v>
      </c>
      <c r="K165" s="3" t="s">
        <v>504</v>
      </c>
      <c r="L165" s="3" t="s">
        <v>476</v>
      </c>
      <c r="M165" s="3"/>
      <c r="N165" s="24">
        <v>27000</v>
      </c>
      <c r="O165" s="3"/>
      <c r="P165" s="5">
        <f>IF(A165="","",IF(COUNTIF(Типы,C165)=0,0,VLOOKUP(C165,СПРАВОЧНИКИ!$A$7:$E$22,2,FALSE)))</f>
        <v>-1</v>
      </c>
      <c r="Q165" s="25">
        <f t="shared" si="2"/>
        <v>-27000</v>
      </c>
      <c r="R165" s="5" t="str">
        <f>IF(A165="","",IF(COUNTIF(Типы,C165)=0,"НЕИЗВЕСТНЫЙ ТИП",VLOOKUP(C165,СПРАВОЧНИКИ!$A$7:$E$22,3,FALSE)))</f>
        <v>Операционный</v>
      </c>
      <c r="S165" s="26">
        <f>IF(A165="","",IF(L165="Проведён",E165*IF(COUNTIF(Типы,C165)=0,0,VLOOKUP(C165,СПРАВОЧНИКИ!$A$7:$E$22,4,FALSE)),0))</f>
        <v>27000</v>
      </c>
      <c r="T165" s="26">
        <f>IF(A165="","",IF(L165="Проведён",E165*IF(COUNTIF(Типы,C165)=0,0,VLOOKUP(C165,СПРАВОЧНИКИ!$A$7:$E$22,5,FALSE)),0))</f>
        <v>0</v>
      </c>
      <c r="U165" s="5" t="str">
        <f>IF(A165="","",IF(COUNTIF(Контрагенты,H165)=0,"Не задан",VLOOKUP(H165,СПРАВОЧНИКИ!$G$7:$H$66,2,FALSE)))</f>
        <v>ЮЛ</v>
      </c>
      <c r="V165" s="4" t="str">
        <f>IF(A165="",IF(COUNTA(B165:O165)&gt;0,"НЕТ ID",""),IF(OR(AND(OR(C165="Оплата клиента",C165="Возврат клиенту"),COUNTIFS(Docs[ID],J165,Docs[Тип долга],"ДЗ")&lt;&gt;1),AND(OR(C165="Оплата поставщику",C165="Возврат поставщика"),COUNTIFS(Docs[ID],J165,Docs[Тип долга],"КЗ",Docs[Вид],"&lt;&gt;Дивиденды")&lt;&gt;1),AND(C165="Дивиденды",COUNTIFS(Docs[ID],J165,Docs[Вид],"Дивиденды")&lt;&gt;1),AND(C165="Проценты",COUNTIFS(Docs[ID],J165,Docs[Вид],"Проценты")&lt;&gt;1),COUNTIF(Cash[ID],A165)&gt;1,NOT(ISNUMBER(B165)),B165&lt;НачалоУчета,YEAR(B165)&lt;&gt;Год,NOT(ISNUMBER(E165)),E165&lt;=0,N165&lt;0,COUNTIF(Типы,C165)&lt;&gt;1,COUNTIF(Категории,D165)&lt;&gt;1,COUNTIF(Счета,F165)&lt;&gt;1,COUNTIF(Проекты,I165)&lt;&gt;1,AND(H165&lt;&gt;"",COUNTIF(Контрагенты,H165)&lt;&gt;1),AND(C165="Перевод",OR(F165=G165,COUNTIF(Счета,G165)&lt;&gt;1)),AND(S165&lt;&gt;0,COUNTIF(Docs[ID],J165)&lt;&gt;1),AND(Форма="ООО",C165="Вывод ИП"),AND(Форма="ИП",C165="Дивиденды"),AND(L165&lt;&gt;"Проведён",L165&lt;&gt;"Черновик")),"ОШИБКА","ОК"))</f>
        <v>ОК</v>
      </c>
      <c r="W165" s="25">
        <f>IF(A165="","",SUMIF(Accounts[Счёт],F165,Accounts[Начальный])+SUMIFS($Q$7:Q165,$F$7:F165,F165)+SUMIFS($E$7:E165,$G$7:G165,F165,$C$7:C165,"Перевод",$L$7:L165,"Проведён"))</f>
        <v>884256.62000000011</v>
      </c>
    </row>
    <row r="166" spans="1:23" x14ac:dyDescent="0.25">
      <c r="A166" s="3" t="s">
        <v>764</v>
      </c>
      <c r="B166" s="19">
        <v>46231</v>
      </c>
      <c r="C166" s="3" t="s">
        <v>130</v>
      </c>
      <c r="D166" s="3" t="s">
        <v>130</v>
      </c>
      <c r="E166" s="24">
        <v>3145.97</v>
      </c>
      <c r="F166" s="3" t="s">
        <v>474</v>
      </c>
      <c r="G166" s="3"/>
      <c r="H166" s="3" t="s">
        <v>397</v>
      </c>
      <c r="I166" s="3" t="s">
        <v>383</v>
      </c>
      <c r="J166" s="3" t="s">
        <v>765</v>
      </c>
      <c r="K166" s="3" t="s">
        <v>130</v>
      </c>
      <c r="L166" s="3" t="s">
        <v>476</v>
      </c>
      <c r="M166" s="3"/>
      <c r="N166" s="24">
        <v>3145.97</v>
      </c>
      <c r="O166" s="3"/>
      <c r="P166" s="5">
        <f>IF(A166="","",IF(COUNTIF(Типы,C166)=0,0,VLOOKUP(C166,СПРАВОЧНИКИ!$A$7:$E$22,2,FALSE)))</f>
        <v>-1</v>
      </c>
      <c r="Q166" s="25">
        <f t="shared" si="2"/>
        <v>-3145.97</v>
      </c>
      <c r="R166" s="5" t="str">
        <f>IF(A166="","",IF(COUNTIF(Типы,C166)=0,"НЕИЗВЕСТНЫЙ ТИП",VLOOKUP(C166,СПРАВОЧНИКИ!$A$7:$E$22,3,FALSE)))</f>
        <v>Операционный</v>
      </c>
      <c r="S166" s="26">
        <f>IF(A166="","",IF(L166="Проведён",E166*IF(COUNTIF(Типы,C166)=0,0,VLOOKUP(C166,СПРАВОЧНИКИ!$A$7:$E$22,4,FALSE)),0))</f>
        <v>3145.97</v>
      </c>
      <c r="T166" s="26">
        <f>IF(A166="","",IF(L166="Проведён",E166*IF(COUNTIF(Типы,C166)=0,0,VLOOKUP(C166,СПРАВОЧНИКИ!$A$7:$E$22,5,FALSE)),0))</f>
        <v>0</v>
      </c>
      <c r="U166" s="5" t="str">
        <f>IF(A166="","",IF(COUNTIF(Контрагенты,H166)=0,"Не задан",VLOOKUP(H166,СПРАВОЧНИКИ!$G$7:$H$66,2,FALSE)))</f>
        <v>ЮЛ</v>
      </c>
      <c r="V166" s="4" t="str">
        <f>IF(A166="",IF(COUNTA(B166:O166)&gt;0,"НЕТ ID",""),IF(OR(AND(OR(C166="Оплата клиента",C166="Возврат клиенту"),COUNTIFS(Docs[ID],J166,Docs[Тип долга],"ДЗ")&lt;&gt;1),AND(OR(C166="Оплата поставщику",C166="Возврат поставщика"),COUNTIFS(Docs[ID],J166,Docs[Тип долга],"КЗ",Docs[Вид],"&lt;&gt;Дивиденды")&lt;&gt;1),AND(C166="Дивиденды",COUNTIFS(Docs[ID],J166,Docs[Вид],"Дивиденды")&lt;&gt;1),AND(C166="Проценты",COUNTIFS(Docs[ID],J166,Docs[Вид],"Проценты")&lt;&gt;1),COUNTIF(Cash[ID],A166)&gt;1,NOT(ISNUMBER(B166)),B166&lt;НачалоУчета,YEAR(B166)&lt;&gt;Год,NOT(ISNUMBER(E166)),E166&lt;=0,N166&lt;0,COUNTIF(Типы,C166)&lt;&gt;1,COUNTIF(Категории,D166)&lt;&gt;1,COUNTIF(Счета,F166)&lt;&gt;1,COUNTIF(Проекты,I166)&lt;&gt;1,AND(H166&lt;&gt;"",COUNTIF(Контрагенты,H166)&lt;&gt;1),AND(C166="Перевод",OR(F166=G166,COUNTIF(Счета,G166)&lt;&gt;1)),AND(S166&lt;&gt;0,COUNTIF(Docs[ID],J166)&lt;&gt;1),AND(Форма="ООО",C166="Вывод ИП"),AND(Форма="ИП",C166="Дивиденды"),AND(L166&lt;&gt;"Проведён",L166&lt;&gt;"Черновик")),"ОШИБКА","ОК"))</f>
        <v>ОК</v>
      </c>
      <c r="W166" s="25">
        <f>IF(A166="","",SUMIF(Accounts[Счёт],F166,Accounts[Начальный])+SUMIFS($Q$7:Q166,$F$7:F166,F166)+SUMIFS($E$7:E166,$G$7:G166,F166,$C$7:C166,"Перевод",$L$7:L166,"Проведён"))</f>
        <v>881110.65000000014</v>
      </c>
    </row>
    <row r="167" spans="1:23" x14ac:dyDescent="0.25">
      <c r="A167" s="3" t="s">
        <v>766</v>
      </c>
      <c r="B167" s="19">
        <v>46231</v>
      </c>
      <c r="C167" s="3" t="s">
        <v>537</v>
      </c>
      <c r="D167" s="3" t="s">
        <v>479</v>
      </c>
      <c r="E167" s="24">
        <v>11831.26</v>
      </c>
      <c r="F167" s="3" t="s">
        <v>474</v>
      </c>
      <c r="G167" s="3"/>
      <c r="H167" s="3" t="s">
        <v>397</v>
      </c>
      <c r="I167" s="3" t="s">
        <v>383</v>
      </c>
      <c r="J167" s="3" t="s">
        <v>394</v>
      </c>
      <c r="K167" s="3" t="s">
        <v>537</v>
      </c>
      <c r="L167" s="3" t="s">
        <v>476</v>
      </c>
      <c r="M167" s="3"/>
      <c r="N167" s="24">
        <v>0</v>
      </c>
      <c r="O167" s="3"/>
      <c r="P167" s="5">
        <f>IF(A167="","",IF(COUNTIF(Типы,C167)=0,0,VLOOKUP(C167,СПРАВОЧНИКИ!$A$7:$E$22,2,FALSE)))</f>
        <v>-1</v>
      </c>
      <c r="Q167" s="25">
        <f t="shared" si="2"/>
        <v>-11831.26</v>
      </c>
      <c r="R167" s="5" t="str">
        <f>IF(A167="","",IF(COUNTIF(Типы,C167)=0,"НЕИЗВЕСТНЫЙ ТИП",VLOOKUP(C167,СПРАВОЧНИКИ!$A$7:$E$22,3,FALSE)))</f>
        <v>Финансовый</v>
      </c>
      <c r="S167" s="26">
        <f>IF(A167="","",IF(L167="Проведён",E167*IF(COUNTIF(Типы,C167)=0,0,VLOOKUP(C167,СПРАВОЧНИКИ!$A$7:$E$22,4,FALSE)),0))</f>
        <v>0</v>
      </c>
      <c r="T167" s="26">
        <f>IF(A167="","",IF(L167="Проведён",E167*IF(COUNTIF(Типы,C167)=0,0,VLOOKUP(C167,СПРАВОЧНИКИ!$A$7:$E$22,5,FALSE)),0))</f>
        <v>0</v>
      </c>
      <c r="U167" s="5" t="str">
        <f>IF(A167="","",IF(COUNTIF(Контрагенты,H167)=0,"Не задан",VLOOKUP(H167,СПРАВОЧНИКИ!$G$7:$H$66,2,FALSE)))</f>
        <v>ЮЛ</v>
      </c>
      <c r="V167" s="4" t="str">
        <f>IF(A167="",IF(COUNTA(B167:O167)&gt;0,"НЕТ ID",""),IF(OR(AND(OR(C167="Оплата клиента",C167="Возврат клиенту"),COUNTIFS(Docs[ID],J167,Docs[Тип долга],"ДЗ")&lt;&gt;1),AND(OR(C167="Оплата поставщику",C167="Возврат поставщика"),COUNTIFS(Docs[ID],J167,Docs[Тип долга],"КЗ",Docs[Вид],"&lt;&gt;Дивиденды")&lt;&gt;1),AND(C167="Дивиденды",COUNTIFS(Docs[ID],J167,Docs[Вид],"Дивиденды")&lt;&gt;1),AND(C167="Проценты",COUNTIFS(Docs[ID],J167,Docs[Вид],"Проценты")&lt;&gt;1),COUNTIF(Cash[ID],A167)&gt;1,NOT(ISNUMBER(B167)),B167&lt;НачалоУчета,YEAR(B167)&lt;&gt;Год,NOT(ISNUMBER(E167)),E167&lt;=0,N167&lt;0,COUNTIF(Типы,C167)&lt;&gt;1,COUNTIF(Категории,D167)&lt;&gt;1,COUNTIF(Счета,F167)&lt;&gt;1,COUNTIF(Проекты,I167)&lt;&gt;1,AND(H167&lt;&gt;"",COUNTIF(Контрагенты,H167)&lt;&gt;1),AND(C167="Перевод",OR(F167=G167,COUNTIF(Счета,G167)&lt;&gt;1)),AND(S167&lt;&gt;0,COUNTIF(Docs[ID],J167)&lt;&gt;1),AND(Форма="ООО",C167="Вывод ИП"),AND(Форма="ИП",C167="Дивиденды"),AND(L167&lt;&gt;"Проведён",L167&lt;&gt;"Черновик")),"ОШИБКА","ОК"))</f>
        <v>ОК</v>
      </c>
      <c r="W167" s="25">
        <f>IF(A167="","",SUMIF(Accounts[Счёт],F167,Accounts[Начальный])+SUMIFS($Q$7:Q167,$F$7:F167,F167)+SUMIFS($E$7:E167,$G$7:G167,F167,$C$7:C167,"Перевод",$L$7:L167,"Проведён"))</f>
        <v>869279.39000000013</v>
      </c>
    </row>
    <row r="168" spans="1:23" x14ac:dyDescent="0.25">
      <c r="A168" s="3" t="s">
        <v>767</v>
      </c>
      <c r="B168" s="19">
        <v>46231</v>
      </c>
      <c r="C168" s="3" t="s">
        <v>539</v>
      </c>
      <c r="D168" s="3" t="s">
        <v>299</v>
      </c>
      <c r="E168" s="24">
        <v>15000</v>
      </c>
      <c r="F168" s="3" t="s">
        <v>474</v>
      </c>
      <c r="G168" s="3" t="s">
        <v>299</v>
      </c>
      <c r="H168" s="3"/>
      <c r="I168" s="3" t="s">
        <v>383</v>
      </c>
      <c r="J168" s="3"/>
      <c r="K168" s="3" t="s">
        <v>539</v>
      </c>
      <c r="L168" s="3" t="s">
        <v>476</v>
      </c>
      <c r="M168" s="3"/>
      <c r="N168" s="24">
        <v>0</v>
      </c>
      <c r="O168" s="3"/>
      <c r="P168" s="5">
        <f>IF(A168="","",IF(COUNTIF(Типы,C168)=0,0,VLOOKUP(C168,СПРАВОЧНИКИ!$A$7:$E$22,2,FALSE)))</f>
        <v>-1</v>
      </c>
      <c r="Q168" s="25">
        <f t="shared" si="2"/>
        <v>-15000</v>
      </c>
      <c r="R168" s="5" t="str">
        <f>IF(A168="","",IF(COUNTIF(Типы,C168)=0,"НЕИЗВЕСТНЫЙ ТИП",VLOOKUP(C168,СПРАВОЧНИКИ!$A$7:$E$22,3,FALSE)))</f>
        <v>Внутренний</v>
      </c>
      <c r="S168" s="26">
        <f>IF(A168="","",IF(L168="Проведён",E168*IF(COUNTIF(Типы,C168)=0,0,VLOOKUP(C168,СПРАВОЧНИКИ!$A$7:$E$22,4,FALSE)),0))</f>
        <v>0</v>
      </c>
      <c r="T168" s="26">
        <f>IF(A168="","",IF(L168="Проведён",E168*IF(COUNTIF(Типы,C168)=0,0,VLOOKUP(C168,СПРАВОЧНИКИ!$A$7:$E$22,5,FALSE)),0))</f>
        <v>0</v>
      </c>
      <c r="U168" s="5" t="str">
        <f>IF(A168="","",IF(COUNTIF(Контрагенты,H168)=0,"Не задан",VLOOKUP(H168,СПРАВОЧНИКИ!$G$7:$H$66,2,FALSE)))</f>
        <v>Не задан</v>
      </c>
      <c r="V168" s="4" t="str">
        <f>IF(A168="",IF(COUNTA(B168:O168)&gt;0,"НЕТ ID",""),IF(OR(AND(OR(C168="Оплата клиента",C168="Возврат клиенту"),COUNTIFS(Docs[ID],J168,Docs[Тип долга],"ДЗ")&lt;&gt;1),AND(OR(C168="Оплата поставщику",C168="Возврат поставщика"),COUNTIFS(Docs[ID],J168,Docs[Тип долга],"КЗ",Docs[Вид],"&lt;&gt;Дивиденды")&lt;&gt;1),AND(C168="Дивиденды",COUNTIFS(Docs[ID],J168,Docs[Вид],"Дивиденды")&lt;&gt;1),AND(C168="Проценты",COUNTIFS(Docs[ID],J168,Docs[Вид],"Проценты")&lt;&gt;1),COUNTIF(Cash[ID],A168)&gt;1,NOT(ISNUMBER(B168)),B168&lt;НачалоУчета,YEAR(B168)&lt;&gt;Год,NOT(ISNUMBER(E168)),E168&lt;=0,N168&lt;0,COUNTIF(Типы,C168)&lt;&gt;1,COUNTIF(Категории,D168)&lt;&gt;1,COUNTIF(Счета,F168)&lt;&gt;1,COUNTIF(Проекты,I168)&lt;&gt;1,AND(H168&lt;&gt;"",COUNTIF(Контрагенты,H168)&lt;&gt;1),AND(C168="Перевод",OR(F168=G168,COUNTIF(Счета,G168)&lt;&gt;1)),AND(S168&lt;&gt;0,COUNTIF(Docs[ID],J168)&lt;&gt;1),AND(Форма="ООО",C168="Вывод ИП"),AND(Форма="ИП",C168="Дивиденды"),AND(L168&lt;&gt;"Проведён",L168&lt;&gt;"Черновик")),"ОШИБКА","ОК"))</f>
        <v>ОК</v>
      </c>
      <c r="W168" s="25">
        <f>IF(A168="","",SUMIF(Accounts[Счёт],F168,Accounts[Начальный])+SUMIFS($Q$7:Q168,$F$7:F168,F168)+SUMIFS($E$7:E168,$G$7:G168,F168,$C$7:C168,"Перевод",$L$7:L168,"Проведён"))</f>
        <v>854279.39000000013</v>
      </c>
    </row>
    <row r="169" spans="1:23" x14ac:dyDescent="0.25">
      <c r="A169" s="3" t="s">
        <v>768</v>
      </c>
      <c r="B169" s="19">
        <v>46232</v>
      </c>
      <c r="C169" s="3" t="s">
        <v>484</v>
      </c>
      <c r="D169" s="3" t="s">
        <v>485</v>
      </c>
      <c r="E169" s="24">
        <v>18880</v>
      </c>
      <c r="F169" s="3" t="s">
        <v>474</v>
      </c>
      <c r="G169" s="3"/>
      <c r="H169" s="3" t="s">
        <v>501</v>
      </c>
      <c r="I169" s="3" t="s">
        <v>382</v>
      </c>
      <c r="J169" s="3" t="s">
        <v>742</v>
      </c>
      <c r="K169" s="3" t="s">
        <v>484</v>
      </c>
      <c r="L169" s="3" t="s">
        <v>476</v>
      </c>
      <c r="M169" s="3"/>
      <c r="N169" s="24">
        <v>0</v>
      </c>
      <c r="O169" s="3"/>
      <c r="P169" s="5">
        <f>IF(A169="","",IF(COUNTIF(Типы,C169)=0,0,VLOOKUP(C169,СПРАВОЧНИКИ!$A$7:$E$22,2,FALSE)))</f>
        <v>1</v>
      </c>
      <c r="Q169" s="25">
        <f t="shared" si="2"/>
        <v>18880</v>
      </c>
      <c r="R169" s="5" t="str">
        <f>IF(A169="","",IF(COUNTIF(Типы,C169)=0,"НЕИЗВЕСТНЫЙ ТИП",VLOOKUP(C169,СПРАВОЧНИКИ!$A$7:$E$22,3,FALSE)))</f>
        <v>Операционный</v>
      </c>
      <c r="S169" s="26">
        <f>IF(A169="","",IF(L169="Проведён",E169*IF(COUNTIF(Типы,C169)=0,0,VLOOKUP(C169,СПРАВОЧНИКИ!$A$7:$E$22,4,FALSE)),0))</f>
        <v>18880</v>
      </c>
      <c r="T169" s="26">
        <f>IF(A169="","",IF(L169="Проведён",E169*IF(COUNTIF(Типы,C169)=0,0,VLOOKUP(C169,СПРАВОЧНИКИ!$A$7:$E$22,5,FALSE)),0))</f>
        <v>18880</v>
      </c>
      <c r="U169" s="5" t="str">
        <f>IF(A169="","",IF(COUNTIF(Контрагенты,H169)=0,"Не задан",VLOOKUP(H169,СПРАВОЧНИКИ!$G$7:$H$66,2,FALSE)))</f>
        <v>ЮЛ</v>
      </c>
      <c r="V169" s="4" t="str">
        <f>IF(A169="",IF(COUNTA(B169:O169)&gt;0,"НЕТ ID",""),IF(OR(AND(OR(C169="Оплата клиента",C169="Возврат клиенту"),COUNTIFS(Docs[ID],J169,Docs[Тип долга],"ДЗ")&lt;&gt;1),AND(OR(C169="Оплата поставщику",C169="Возврат поставщика"),COUNTIFS(Docs[ID],J169,Docs[Тип долга],"КЗ",Docs[Вид],"&lt;&gt;Дивиденды")&lt;&gt;1),AND(C169="Дивиденды",COUNTIFS(Docs[ID],J169,Docs[Вид],"Дивиденды")&lt;&gt;1),AND(C169="Проценты",COUNTIFS(Docs[ID],J169,Docs[Вид],"Проценты")&lt;&gt;1),COUNTIF(Cash[ID],A169)&gt;1,NOT(ISNUMBER(B169)),B169&lt;НачалоУчета,YEAR(B169)&lt;&gt;Год,NOT(ISNUMBER(E169)),E169&lt;=0,N169&lt;0,COUNTIF(Типы,C169)&lt;&gt;1,COUNTIF(Категории,D169)&lt;&gt;1,COUNTIF(Счета,F169)&lt;&gt;1,COUNTIF(Проекты,I169)&lt;&gt;1,AND(H169&lt;&gt;"",COUNTIF(Контрагенты,H169)&lt;&gt;1),AND(C169="Перевод",OR(F169=G169,COUNTIF(Счета,G169)&lt;&gt;1)),AND(S169&lt;&gt;0,COUNTIF(Docs[ID],J169)&lt;&gt;1),AND(Форма="ООО",C169="Вывод ИП"),AND(Форма="ИП",C169="Дивиденды"),AND(L169&lt;&gt;"Проведён",L169&lt;&gt;"Черновик")),"ОШИБКА","ОК"))</f>
        <v>ОК</v>
      </c>
      <c r="W169" s="25">
        <f>IF(A169="","",SUMIF(Accounts[Счёт],F169,Accounts[Начальный])+SUMIFS($Q$7:Q169,$F$7:F169,F169)+SUMIFS($E$7:E169,$G$7:G169,F169,$C$7:C169,"Перевод",$L$7:L169,"Проведён"))</f>
        <v>873159.39000000013</v>
      </c>
    </row>
    <row r="170" spans="1:23" x14ac:dyDescent="0.25">
      <c r="A170" s="3" t="s">
        <v>769</v>
      </c>
      <c r="B170" s="19">
        <v>46246</v>
      </c>
      <c r="C170" s="3" t="s">
        <v>484</v>
      </c>
      <c r="D170" s="3" t="s">
        <v>485</v>
      </c>
      <c r="E170" s="24">
        <v>35280</v>
      </c>
      <c r="F170" s="3" t="s">
        <v>474</v>
      </c>
      <c r="G170" s="3"/>
      <c r="H170" s="3" t="s">
        <v>486</v>
      </c>
      <c r="I170" s="3" t="s">
        <v>381</v>
      </c>
      <c r="J170" s="3" t="s">
        <v>770</v>
      </c>
      <c r="K170" s="3" t="s">
        <v>484</v>
      </c>
      <c r="L170" s="3" t="s">
        <v>476</v>
      </c>
      <c r="M170" s="3"/>
      <c r="N170" s="24">
        <v>0</v>
      </c>
      <c r="O170" s="3"/>
      <c r="P170" s="5">
        <f>IF(A170="","",IF(COUNTIF(Типы,C170)=0,0,VLOOKUP(C170,СПРАВОЧНИКИ!$A$7:$E$22,2,FALSE)))</f>
        <v>1</v>
      </c>
      <c r="Q170" s="25">
        <f t="shared" si="2"/>
        <v>35280</v>
      </c>
      <c r="R170" s="5" t="str">
        <f>IF(A170="","",IF(COUNTIF(Типы,C170)=0,"НЕИЗВЕСТНЫЙ ТИП",VLOOKUP(C170,СПРАВОЧНИКИ!$A$7:$E$22,3,FALSE)))</f>
        <v>Операционный</v>
      </c>
      <c r="S170" s="26">
        <f>IF(A170="","",IF(L170="Проведён",E170*IF(COUNTIF(Типы,C170)=0,0,VLOOKUP(C170,СПРАВОЧНИКИ!$A$7:$E$22,4,FALSE)),0))</f>
        <v>35280</v>
      </c>
      <c r="T170" s="26">
        <f>IF(A170="","",IF(L170="Проведён",E170*IF(COUNTIF(Типы,C170)=0,0,VLOOKUP(C170,СПРАВОЧНИКИ!$A$7:$E$22,5,FALSE)),0))</f>
        <v>35280</v>
      </c>
      <c r="U170" s="5" t="str">
        <f>IF(A170="","",IF(COUNTIF(Контрагенты,H170)=0,"Не задан",VLOOKUP(H170,СПРАВОЧНИКИ!$G$7:$H$66,2,FALSE)))</f>
        <v>ЮЛ</v>
      </c>
      <c r="V170" s="4" t="str">
        <f>IF(A170="",IF(COUNTA(B170:O170)&gt;0,"НЕТ ID",""),IF(OR(AND(OR(C170="Оплата клиента",C170="Возврат клиенту"),COUNTIFS(Docs[ID],J170,Docs[Тип долга],"ДЗ")&lt;&gt;1),AND(OR(C170="Оплата поставщику",C170="Возврат поставщика"),COUNTIFS(Docs[ID],J170,Docs[Тип долга],"КЗ",Docs[Вид],"&lt;&gt;Дивиденды")&lt;&gt;1),AND(C170="Дивиденды",COUNTIFS(Docs[ID],J170,Docs[Вид],"Дивиденды")&lt;&gt;1),AND(C170="Проценты",COUNTIFS(Docs[ID],J170,Docs[Вид],"Проценты")&lt;&gt;1),COUNTIF(Cash[ID],A170)&gt;1,NOT(ISNUMBER(B170)),B170&lt;НачалоУчета,YEAR(B170)&lt;&gt;Год,NOT(ISNUMBER(E170)),E170&lt;=0,N170&lt;0,COUNTIF(Типы,C170)&lt;&gt;1,COUNTIF(Категории,D170)&lt;&gt;1,COUNTIF(Счета,F170)&lt;&gt;1,COUNTIF(Проекты,I170)&lt;&gt;1,AND(H170&lt;&gt;"",COUNTIF(Контрагенты,H170)&lt;&gt;1),AND(C170="Перевод",OR(F170=G170,COUNTIF(Счета,G170)&lt;&gt;1)),AND(S170&lt;&gt;0,COUNTIF(Docs[ID],J170)&lt;&gt;1),AND(Форма="ООО",C170="Вывод ИП"),AND(Форма="ИП",C170="Дивиденды"),AND(L170&lt;&gt;"Проведён",L170&lt;&gt;"Черновик")),"ОШИБКА","ОК"))</f>
        <v>ОК</v>
      </c>
      <c r="W170" s="25">
        <f>IF(A170="","",SUMIF(Accounts[Счёт],F170,Accounts[Начальный])+SUMIFS($Q$7:Q170,$F$7:F170,F170)+SUMIFS($E$7:E170,$G$7:G170,F170,$C$7:C170,"Перевод",$L$7:L170,"Проведён"))</f>
        <v>908439.39000000013</v>
      </c>
    </row>
    <row r="171" spans="1:23" x14ac:dyDescent="0.25">
      <c r="A171" s="3" t="s">
        <v>771</v>
      </c>
      <c r="B171" s="19">
        <v>46247</v>
      </c>
      <c r="C171" s="3" t="s">
        <v>484</v>
      </c>
      <c r="D171" s="3" t="s">
        <v>485</v>
      </c>
      <c r="E171" s="24">
        <v>27720</v>
      </c>
      <c r="F171" s="3" t="s">
        <v>474</v>
      </c>
      <c r="G171" s="3"/>
      <c r="H171" s="3" t="s">
        <v>489</v>
      </c>
      <c r="I171" s="3" t="s">
        <v>298</v>
      </c>
      <c r="J171" s="3" t="s">
        <v>772</v>
      </c>
      <c r="K171" s="3" t="s">
        <v>484</v>
      </c>
      <c r="L171" s="3" t="s">
        <v>476</v>
      </c>
      <c r="M171" s="3"/>
      <c r="N171" s="24">
        <v>0</v>
      </c>
      <c r="O171" s="3"/>
      <c r="P171" s="5">
        <f>IF(A171="","",IF(COUNTIF(Типы,C171)=0,0,VLOOKUP(C171,СПРАВОЧНИКИ!$A$7:$E$22,2,FALSE)))</f>
        <v>1</v>
      </c>
      <c r="Q171" s="25">
        <f t="shared" si="2"/>
        <v>27720</v>
      </c>
      <c r="R171" s="5" t="str">
        <f>IF(A171="","",IF(COUNTIF(Типы,C171)=0,"НЕИЗВЕСТНЫЙ ТИП",VLOOKUP(C171,СПРАВОЧНИКИ!$A$7:$E$22,3,FALSE)))</f>
        <v>Операционный</v>
      </c>
      <c r="S171" s="26">
        <f>IF(A171="","",IF(L171="Проведён",E171*IF(COUNTIF(Типы,C171)=0,0,VLOOKUP(C171,СПРАВОЧНИКИ!$A$7:$E$22,4,FALSE)),0))</f>
        <v>27720</v>
      </c>
      <c r="T171" s="26">
        <f>IF(A171="","",IF(L171="Проведён",E171*IF(COUNTIF(Типы,C171)=0,0,VLOOKUP(C171,СПРАВОЧНИКИ!$A$7:$E$22,5,FALSE)),0))</f>
        <v>27720</v>
      </c>
      <c r="U171" s="5" t="str">
        <f>IF(A171="","",IF(COUNTIF(Контрагенты,H171)=0,"Не задан",VLOOKUP(H171,СПРАВОЧНИКИ!$G$7:$H$66,2,FALSE)))</f>
        <v>ЮЛ</v>
      </c>
      <c r="V171" s="4" t="str">
        <f>IF(A171="",IF(COUNTA(B171:O171)&gt;0,"НЕТ ID",""),IF(OR(AND(OR(C171="Оплата клиента",C171="Возврат клиенту"),COUNTIFS(Docs[ID],J171,Docs[Тип долга],"ДЗ")&lt;&gt;1),AND(OR(C171="Оплата поставщику",C171="Возврат поставщика"),COUNTIFS(Docs[ID],J171,Docs[Тип долга],"КЗ",Docs[Вид],"&lt;&gt;Дивиденды")&lt;&gt;1),AND(C171="Дивиденды",COUNTIFS(Docs[ID],J171,Docs[Вид],"Дивиденды")&lt;&gt;1),AND(C171="Проценты",COUNTIFS(Docs[ID],J171,Docs[Вид],"Проценты")&lt;&gt;1),COUNTIF(Cash[ID],A171)&gt;1,NOT(ISNUMBER(B171)),B171&lt;НачалоУчета,YEAR(B171)&lt;&gt;Год,NOT(ISNUMBER(E171)),E171&lt;=0,N171&lt;0,COUNTIF(Типы,C171)&lt;&gt;1,COUNTIF(Категории,D171)&lt;&gt;1,COUNTIF(Счета,F171)&lt;&gt;1,COUNTIF(Проекты,I171)&lt;&gt;1,AND(H171&lt;&gt;"",COUNTIF(Контрагенты,H171)&lt;&gt;1),AND(C171="Перевод",OR(F171=G171,COUNTIF(Счета,G171)&lt;&gt;1)),AND(S171&lt;&gt;0,COUNTIF(Docs[ID],J171)&lt;&gt;1),AND(Форма="ООО",C171="Вывод ИП"),AND(Форма="ИП",C171="Дивиденды"),AND(L171&lt;&gt;"Проведён",L171&lt;&gt;"Черновик")),"ОШИБКА","ОК"))</f>
        <v>ОК</v>
      </c>
      <c r="W171" s="25">
        <f>IF(A171="","",SUMIF(Accounts[Счёт],F171,Accounts[Начальный])+SUMIFS($Q$7:Q171,$F$7:F171,F171)+SUMIFS($E$7:E171,$G$7:G171,F171,$C$7:C171,"Перевод",$L$7:L171,"Проведён"))</f>
        <v>936159.39000000013</v>
      </c>
    </row>
    <row r="172" spans="1:23" x14ac:dyDescent="0.25">
      <c r="A172" s="3" t="s">
        <v>773</v>
      </c>
      <c r="B172" s="19">
        <v>46248</v>
      </c>
      <c r="C172" s="3" t="s">
        <v>484</v>
      </c>
      <c r="D172" s="3" t="s">
        <v>485</v>
      </c>
      <c r="E172" s="24">
        <v>22680</v>
      </c>
      <c r="F172" s="3" t="s">
        <v>474</v>
      </c>
      <c r="G172" s="3"/>
      <c r="H172" s="3" t="s">
        <v>492</v>
      </c>
      <c r="I172" s="3" t="s">
        <v>382</v>
      </c>
      <c r="J172" s="3" t="s">
        <v>774</v>
      </c>
      <c r="K172" s="3" t="s">
        <v>484</v>
      </c>
      <c r="L172" s="3" t="s">
        <v>476</v>
      </c>
      <c r="M172" s="3"/>
      <c r="N172" s="24">
        <v>0</v>
      </c>
      <c r="O172" s="3"/>
      <c r="P172" s="5">
        <f>IF(A172="","",IF(COUNTIF(Типы,C172)=0,0,VLOOKUP(C172,СПРАВОЧНИКИ!$A$7:$E$22,2,FALSE)))</f>
        <v>1</v>
      </c>
      <c r="Q172" s="25">
        <f t="shared" si="2"/>
        <v>22680</v>
      </c>
      <c r="R172" s="5" t="str">
        <f>IF(A172="","",IF(COUNTIF(Типы,C172)=0,"НЕИЗВЕСТНЫЙ ТИП",VLOOKUP(C172,СПРАВОЧНИКИ!$A$7:$E$22,3,FALSE)))</f>
        <v>Операционный</v>
      </c>
      <c r="S172" s="26">
        <f>IF(A172="","",IF(L172="Проведён",E172*IF(COUNTIF(Типы,C172)=0,0,VLOOKUP(C172,СПРАВОЧНИКИ!$A$7:$E$22,4,FALSE)),0))</f>
        <v>22680</v>
      </c>
      <c r="T172" s="26">
        <f>IF(A172="","",IF(L172="Проведён",E172*IF(COUNTIF(Типы,C172)=0,0,VLOOKUP(C172,СПРАВОЧНИКИ!$A$7:$E$22,5,FALSE)),0))</f>
        <v>22680</v>
      </c>
      <c r="U172" s="5" t="str">
        <f>IF(A172="","",IF(COUNTIF(Контрагенты,H172)=0,"Не задан",VLOOKUP(H172,СПРАВОЧНИКИ!$G$7:$H$66,2,FALSE)))</f>
        <v>ИП</v>
      </c>
      <c r="V172" s="4" t="str">
        <f>IF(A172="",IF(COUNTA(B172:O172)&gt;0,"НЕТ ID",""),IF(OR(AND(OR(C172="Оплата клиента",C172="Возврат клиенту"),COUNTIFS(Docs[ID],J172,Docs[Тип долга],"ДЗ")&lt;&gt;1),AND(OR(C172="Оплата поставщику",C172="Возврат поставщика"),COUNTIFS(Docs[ID],J172,Docs[Тип долга],"КЗ",Docs[Вид],"&lt;&gt;Дивиденды")&lt;&gt;1),AND(C172="Дивиденды",COUNTIFS(Docs[ID],J172,Docs[Вид],"Дивиденды")&lt;&gt;1),AND(C172="Проценты",COUNTIFS(Docs[ID],J172,Docs[Вид],"Проценты")&lt;&gt;1),COUNTIF(Cash[ID],A172)&gt;1,NOT(ISNUMBER(B172)),B172&lt;НачалоУчета,YEAR(B172)&lt;&gt;Год,NOT(ISNUMBER(E172)),E172&lt;=0,N172&lt;0,COUNTIF(Типы,C172)&lt;&gt;1,COUNTIF(Категории,D172)&lt;&gt;1,COUNTIF(Счета,F172)&lt;&gt;1,COUNTIF(Проекты,I172)&lt;&gt;1,AND(H172&lt;&gt;"",COUNTIF(Контрагенты,H172)&lt;&gt;1),AND(C172="Перевод",OR(F172=G172,COUNTIF(Счета,G172)&lt;&gt;1)),AND(S172&lt;&gt;0,COUNTIF(Docs[ID],J172)&lt;&gt;1),AND(Форма="ООО",C172="Вывод ИП"),AND(Форма="ИП",C172="Дивиденды"),AND(L172&lt;&gt;"Проведён",L172&lt;&gt;"Черновик")),"ОШИБКА","ОК"))</f>
        <v>ОК</v>
      </c>
      <c r="W172" s="25">
        <f>IF(A172="","",SUMIF(Accounts[Счёт],F172,Accounts[Начальный])+SUMIFS($Q$7:Q172,$F$7:F172,F172)+SUMIFS($E$7:E172,$G$7:G172,F172,$C$7:C172,"Перевод",$L$7:L172,"Проведён"))</f>
        <v>958839.39000000013</v>
      </c>
    </row>
    <row r="173" spans="1:23" x14ac:dyDescent="0.25">
      <c r="A173" s="3" t="s">
        <v>775</v>
      </c>
      <c r="B173" s="19">
        <v>46249</v>
      </c>
      <c r="C173" s="3" t="s">
        <v>484</v>
      </c>
      <c r="D173" s="3" t="s">
        <v>485</v>
      </c>
      <c r="E173" s="24">
        <v>17640</v>
      </c>
      <c r="F173" s="3" t="s">
        <v>474</v>
      </c>
      <c r="G173" s="3"/>
      <c r="H173" s="3" t="s">
        <v>495</v>
      </c>
      <c r="I173" s="3" t="s">
        <v>381</v>
      </c>
      <c r="J173" s="3" t="s">
        <v>776</v>
      </c>
      <c r="K173" s="3" t="s">
        <v>484</v>
      </c>
      <c r="L173" s="3" t="s">
        <v>476</v>
      </c>
      <c r="M173" s="3"/>
      <c r="N173" s="24">
        <v>0</v>
      </c>
      <c r="O173" s="3"/>
      <c r="P173" s="5">
        <f>IF(A173="","",IF(COUNTIF(Типы,C173)=0,0,VLOOKUP(C173,СПРАВОЧНИКИ!$A$7:$E$22,2,FALSE)))</f>
        <v>1</v>
      </c>
      <c r="Q173" s="25">
        <f t="shared" si="2"/>
        <v>17640</v>
      </c>
      <c r="R173" s="5" t="str">
        <f>IF(A173="","",IF(COUNTIF(Типы,C173)=0,"НЕИЗВЕСТНЫЙ ТИП",VLOOKUP(C173,СПРАВОЧНИКИ!$A$7:$E$22,3,FALSE)))</f>
        <v>Операционный</v>
      </c>
      <c r="S173" s="26">
        <f>IF(A173="","",IF(L173="Проведён",E173*IF(COUNTIF(Типы,C173)=0,0,VLOOKUP(C173,СПРАВОЧНИКИ!$A$7:$E$22,4,FALSE)),0))</f>
        <v>17640</v>
      </c>
      <c r="T173" s="26">
        <f>IF(A173="","",IF(L173="Проведён",E173*IF(COUNTIF(Типы,C173)=0,0,VLOOKUP(C173,СПРАВОЧНИКИ!$A$7:$E$22,5,FALSE)),0))</f>
        <v>17640</v>
      </c>
      <c r="U173" s="5" t="str">
        <f>IF(A173="","",IF(COUNTIF(Контрагенты,H173)=0,"Не задан",VLOOKUP(H173,СПРАВОЧНИКИ!$G$7:$H$66,2,FALSE)))</f>
        <v>ЮЛ</v>
      </c>
      <c r="V173" s="4" t="str">
        <f>IF(A173="",IF(COUNTA(B173:O173)&gt;0,"НЕТ ID",""),IF(OR(AND(OR(C173="Оплата клиента",C173="Возврат клиенту"),COUNTIFS(Docs[ID],J173,Docs[Тип долга],"ДЗ")&lt;&gt;1),AND(OR(C173="Оплата поставщику",C173="Возврат поставщика"),COUNTIFS(Docs[ID],J173,Docs[Тип долга],"КЗ",Docs[Вид],"&lt;&gt;Дивиденды")&lt;&gt;1),AND(C173="Дивиденды",COUNTIFS(Docs[ID],J173,Docs[Вид],"Дивиденды")&lt;&gt;1),AND(C173="Проценты",COUNTIFS(Docs[ID],J173,Docs[Вид],"Проценты")&lt;&gt;1),COUNTIF(Cash[ID],A173)&gt;1,NOT(ISNUMBER(B173)),B173&lt;НачалоУчета,YEAR(B173)&lt;&gt;Год,NOT(ISNUMBER(E173)),E173&lt;=0,N173&lt;0,COUNTIF(Типы,C173)&lt;&gt;1,COUNTIF(Категории,D173)&lt;&gt;1,COUNTIF(Счета,F173)&lt;&gt;1,COUNTIF(Проекты,I173)&lt;&gt;1,AND(H173&lt;&gt;"",COUNTIF(Контрагенты,H173)&lt;&gt;1),AND(C173="Перевод",OR(F173=G173,COUNTIF(Счета,G173)&lt;&gt;1)),AND(S173&lt;&gt;0,COUNTIF(Docs[ID],J173)&lt;&gt;1),AND(Форма="ООО",C173="Вывод ИП"),AND(Форма="ИП",C173="Дивиденды"),AND(L173&lt;&gt;"Проведён",L173&lt;&gt;"Черновик")),"ОШИБКА","ОК"))</f>
        <v>ОК</v>
      </c>
      <c r="W173" s="25">
        <f>IF(A173="","",SUMIF(Accounts[Счёт],F173,Accounts[Начальный])+SUMIFS($Q$7:Q173,$F$7:F173,F173)+SUMIFS($E$7:E173,$G$7:G173,F173,$C$7:C173,"Перевод",$L$7:L173,"Проведён"))</f>
        <v>976479.39000000013</v>
      </c>
    </row>
    <row r="174" spans="1:23" x14ac:dyDescent="0.25">
      <c r="A174" s="3" t="s">
        <v>777</v>
      </c>
      <c r="B174" s="19">
        <v>46250</v>
      </c>
      <c r="C174" s="3" t="s">
        <v>484</v>
      </c>
      <c r="D174" s="3" t="s">
        <v>485</v>
      </c>
      <c r="E174" s="24">
        <v>12600</v>
      </c>
      <c r="F174" s="3" t="s">
        <v>474</v>
      </c>
      <c r="G174" s="3"/>
      <c r="H174" s="3" t="s">
        <v>498</v>
      </c>
      <c r="I174" s="3" t="s">
        <v>298</v>
      </c>
      <c r="J174" s="3" t="s">
        <v>778</v>
      </c>
      <c r="K174" s="3" t="s">
        <v>484</v>
      </c>
      <c r="L174" s="3" t="s">
        <v>476</v>
      </c>
      <c r="M174" s="3"/>
      <c r="N174" s="24">
        <v>0</v>
      </c>
      <c r="O174" s="3"/>
      <c r="P174" s="5">
        <f>IF(A174="","",IF(COUNTIF(Типы,C174)=0,0,VLOOKUP(C174,СПРАВОЧНИКИ!$A$7:$E$22,2,FALSE)))</f>
        <v>1</v>
      </c>
      <c r="Q174" s="25">
        <f t="shared" si="2"/>
        <v>12600</v>
      </c>
      <c r="R174" s="5" t="str">
        <f>IF(A174="","",IF(COUNTIF(Типы,C174)=0,"НЕИЗВЕСТНЫЙ ТИП",VLOOKUP(C174,СПРАВОЧНИКИ!$A$7:$E$22,3,FALSE)))</f>
        <v>Операционный</v>
      </c>
      <c r="S174" s="26">
        <f>IF(A174="","",IF(L174="Проведён",E174*IF(COUNTIF(Типы,C174)=0,0,VLOOKUP(C174,СПРАВОЧНИКИ!$A$7:$E$22,4,FALSE)),0))</f>
        <v>12600</v>
      </c>
      <c r="T174" s="26">
        <f>IF(A174="","",IF(L174="Проведён",E174*IF(COUNTIF(Типы,C174)=0,0,VLOOKUP(C174,СПРАВОЧНИКИ!$A$7:$E$22,5,FALSE)),0))</f>
        <v>12600</v>
      </c>
      <c r="U174" s="5" t="str">
        <f>IF(A174="","",IF(COUNTIF(Контрагенты,H174)=0,"Не задан",VLOOKUP(H174,СПРАВОЧНИКИ!$G$7:$H$66,2,FALSE)))</f>
        <v>ФЛ</v>
      </c>
      <c r="V174" s="4" t="str">
        <f>IF(A174="",IF(COUNTA(B174:O174)&gt;0,"НЕТ ID",""),IF(OR(AND(OR(C174="Оплата клиента",C174="Возврат клиенту"),COUNTIFS(Docs[ID],J174,Docs[Тип долга],"ДЗ")&lt;&gt;1),AND(OR(C174="Оплата поставщику",C174="Возврат поставщика"),COUNTIFS(Docs[ID],J174,Docs[Тип долга],"КЗ",Docs[Вид],"&lt;&gt;Дивиденды")&lt;&gt;1),AND(C174="Дивиденды",COUNTIFS(Docs[ID],J174,Docs[Вид],"Дивиденды")&lt;&gt;1),AND(C174="Проценты",COUNTIFS(Docs[ID],J174,Docs[Вид],"Проценты")&lt;&gt;1),COUNTIF(Cash[ID],A174)&gt;1,NOT(ISNUMBER(B174)),B174&lt;НачалоУчета,YEAR(B174)&lt;&gt;Год,NOT(ISNUMBER(E174)),E174&lt;=0,N174&lt;0,COUNTIF(Типы,C174)&lt;&gt;1,COUNTIF(Категории,D174)&lt;&gt;1,COUNTIF(Счета,F174)&lt;&gt;1,COUNTIF(Проекты,I174)&lt;&gt;1,AND(H174&lt;&gt;"",COUNTIF(Контрагенты,H174)&lt;&gt;1),AND(C174="Перевод",OR(F174=G174,COUNTIF(Счета,G174)&lt;&gt;1)),AND(S174&lt;&gt;0,COUNTIF(Docs[ID],J174)&lt;&gt;1),AND(Форма="ООО",C174="Вывод ИП"),AND(Форма="ИП",C174="Дивиденды"),AND(L174&lt;&gt;"Проведён",L174&lt;&gt;"Черновик")),"ОШИБКА","ОК"))</f>
        <v>ОК</v>
      </c>
      <c r="W174" s="25">
        <f>IF(A174="","",SUMIF(Accounts[Счёт],F174,Accounts[Начальный])+SUMIFS($Q$7:Q174,$F$7:F174,F174)+SUMIFS($E$7:E174,$G$7:G174,F174,$C$7:C174,"Перевод",$L$7:L174,"Проведён"))</f>
        <v>989079.39000000013</v>
      </c>
    </row>
    <row r="175" spans="1:23" x14ac:dyDescent="0.25">
      <c r="A175" s="3" t="s">
        <v>779</v>
      </c>
      <c r="B175" s="19">
        <v>46251</v>
      </c>
      <c r="C175" s="3" t="s">
        <v>484</v>
      </c>
      <c r="D175" s="3" t="s">
        <v>485</v>
      </c>
      <c r="E175" s="24">
        <v>10080</v>
      </c>
      <c r="F175" s="3" t="s">
        <v>474</v>
      </c>
      <c r="G175" s="3"/>
      <c r="H175" s="3" t="s">
        <v>501</v>
      </c>
      <c r="I175" s="3" t="s">
        <v>382</v>
      </c>
      <c r="J175" s="3" t="s">
        <v>780</v>
      </c>
      <c r="K175" s="3" t="s">
        <v>484</v>
      </c>
      <c r="L175" s="3" t="s">
        <v>476</v>
      </c>
      <c r="M175" s="3"/>
      <c r="N175" s="24">
        <v>0</v>
      </c>
      <c r="O175" s="3"/>
      <c r="P175" s="5">
        <f>IF(A175="","",IF(COUNTIF(Типы,C175)=0,0,VLOOKUP(C175,СПРАВОЧНИКИ!$A$7:$E$22,2,FALSE)))</f>
        <v>1</v>
      </c>
      <c r="Q175" s="25">
        <f t="shared" si="2"/>
        <v>10080</v>
      </c>
      <c r="R175" s="5" t="str">
        <f>IF(A175="","",IF(COUNTIF(Типы,C175)=0,"НЕИЗВЕСТНЫЙ ТИП",VLOOKUP(C175,СПРАВОЧНИКИ!$A$7:$E$22,3,FALSE)))</f>
        <v>Операционный</v>
      </c>
      <c r="S175" s="26">
        <f>IF(A175="","",IF(L175="Проведён",E175*IF(COUNTIF(Типы,C175)=0,0,VLOOKUP(C175,СПРАВОЧНИКИ!$A$7:$E$22,4,FALSE)),0))</f>
        <v>10080</v>
      </c>
      <c r="T175" s="26">
        <f>IF(A175="","",IF(L175="Проведён",E175*IF(COUNTIF(Типы,C175)=0,0,VLOOKUP(C175,СПРАВОЧНИКИ!$A$7:$E$22,5,FALSE)),0))</f>
        <v>10080</v>
      </c>
      <c r="U175" s="5" t="str">
        <f>IF(A175="","",IF(COUNTIF(Контрагенты,H175)=0,"Не задан",VLOOKUP(H175,СПРАВОЧНИКИ!$G$7:$H$66,2,FALSE)))</f>
        <v>ЮЛ</v>
      </c>
      <c r="V175" s="4" t="str">
        <f>IF(A175="",IF(COUNTA(B175:O175)&gt;0,"НЕТ ID",""),IF(OR(AND(OR(C175="Оплата клиента",C175="Возврат клиенту"),COUNTIFS(Docs[ID],J175,Docs[Тип долга],"ДЗ")&lt;&gt;1),AND(OR(C175="Оплата поставщику",C175="Возврат поставщика"),COUNTIFS(Docs[ID],J175,Docs[Тип долга],"КЗ",Docs[Вид],"&lt;&gt;Дивиденды")&lt;&gt;1),AND(C175="Дивиденды",COUNTIFS(Docs[ID],J175,Docs[Вид],"Дивиденды")&lt;&gt;1),AND(C175="Проценты",COUNTIFS(Docs[ID],J175,Docs[Вид],"Проценты")&lt;&gt;1),COUNTIF(Cash[ID],A175)&gt;1,NOT(ISNUMBER(B175)),B175&lt;НачалоУчета,YEAR(B175)&lt;&gt;Год,NOT(ISNUMBER(E175)),E175&lt;=0,N175&lt;0,COUNTIF(Типы,C175)&lt;&gt;1,COUNTIF(Категории,D175)&lt;&gt;1,COUNTIF(Счета,F175)&lt;&gt;1,COUNTIF(Проекты,I175)&lt;&gt;1,AND(H175&lt;&gt;"",COUNTIF(Контрагенты,H175)&lt;&gt;1),AND(C175="Перевод",OR(F175=G175,COUNTIF(Счета,G175)&lt;&gt;1)),AND(S175&lt;&gt;0,COUNTIF(Docs[ID],J175)&lt;&gt;1),AND(Форма="ООО",C175="Вывод ИП"),AND(Форма="ИП",C175="Дивиденды"),AND(L175&lt;&gt;"Проведён",L175&lt;&gt;"Черновик")),"ОШИБКА","ОК"))</f>
        <v>ОК</v>
      </c>
      <c r="W175" s="25">
        <f>IF(A175="","",SUMIF(Accounts[Счёт],F175,Accounts[Начальный])+SUMIFS($Q$7:Q175,$F$7:F175,F175)+SUMIFS($E$7:E175,$G$7:G175,F175,$C$7:C175,"Перевод",$L$7:L175,"Проведён"))</f>
        <v>999159.39000000013</v>
      </c>
    </row>
    <row r="176" spans="1:23" x14ac:dyDescent="0.25">
      <c r="A176" s="3" t="s">
        <v>781</v>
      </c>
      <c r="B176" s="19">
        <v>46256</v>
      </c>
      <c r="C176" s="3" t="s">
        <v>504</v>
      </c>
      <c r="D176" s="3" t="s">
        <v>505</v>
      </c>
      <c r="E176" s="24">
        <v>67200</v>
      </c>
      <c r="F176" s="3" t="s">
        <v>474</v>
      </c>
      <c r="G176" s="3"/>
      <c r="H176" s="3" t="s">
        <v>506</v>
      </c>
      <c r="I176" s="3" t="s">
        <v>298</v>
      </c>
      <c r="J176" s="3" t="s">
        <v>782</v>
      </c>
      <c r="K176" s="3" t="s">
        <v>504</v>
      </c>
      <c r="L176" s="3" t="s">
        <v>476</v>
      </c>
      <c r="M176" s="3"/>
      <c r="N176" s="24">
        <v>67200</v>
      </c>
      <c r="O176" s="3"/>
      <c r="P176" s="5">
        <f>IF(A176="","",IF(COUNTIF(Типы,C176)=0,0,VLOOKUP(C176,СПРАВОЧНИКИ!$A$7:$E$22,2,FALSE)))</f>
        <v>-1</v>
      </c>
      <c r="Q176" s="25">
        <f t="shared" si="2"/>
        <v>-67200</v>
      </c>
      <c r="R176" s="5" t="str">
        <f>IF(A176="","",IF(COUNTIF(Типы,C176)=0,"НЕИЗВЕСТНЫЙ ТИП",VLOOKUP(C176,СПРАВОЧНИКИ!$A$7:$E$22,3,FALSE)))</f>
        <v>Операционный</v>
      </c>
      <c r="S176" s="26">
        <f>IF(A176="","",IF(L176="Проведён",E176*IF(COUNTIF(Типы,C176)=0,0,VLOOKUP(C176,СПРАВОЧНИКИ!$A$7:$E$22,4,FALSE)),0))</f>
        <v>67200</v>
      </c>
      <c r="T176" s="26">
        <f>IF(A176="","",IF(L176="Проведён",E176*IF(COUNTIF(Типы,C176)=0,0,VLOOKUP(C176,СПРАВОЧНИКИ!$A$7:$E$22,5,FALSE)),0))</f>
        <v>0</v>
      </c>
      <c r="U176" s="5" t="str">
        <f>IF(A176="","",IF(COUNTIF(Контрагенты,H176)=0,"Не задан",VLOOKUP(H176,СПРАВОЧНИКИ!$G$7:$H$66,2,FALSE)))</f>
        <v>ИП</v>
      </c>
      <c r="V176" s="4" t="str">
        <f>IF(A176="",IF(COUNTA(B176:O176)&gt;0,"НЕТ ID",""),IF(OR(AND(OR(C176="Оплата клиента",C176="Возврат клиенту"),COUNTIFS(Docs[ID],J176,Docs[Тип долга],"ДЗ")&lt;&gt;1),AND(OR(C176="Оплата поставщику",C176="Возврат поставщика"),COUNTIFS(Docs[ID],J176,Docs[Тип долга],"КЗ",Docs[Вид],"&lt;&gt;Дивиденды")&lt;&gt;1),AND(C176="Дивиденды",COUNTIFS(Docs[ID],J176,Docs[Вид],"Дивиденды")&lt;&gt;1),AND(C176="Проценты",COUNTIFS(Docs[ID],J176,Docs[Вид],"Проценты")&lt;&gt;1),COUNTIF(Cash[ID],A176)&gt;1,NOT(ISNUMBER(B176)),B176&lt;НачалоУчета,YEAR(B176)&lt;&gt;Год,NOT(ISNUMBER(E176)),E176&lt;=0,N176&lt;0,COUNTIF(Типы,C176)&lt;&gt;1,COUNTIF(Категории,D176)&lt;&gt;1,COUNTIF(Счета,F176)&lt;&gt;1,COUNTIF(Проекты,I176)&lt;&gt;1,AND(H176&lt;&gt;"",COUNTIF(Контрагенты,H176)&lt;&gt;1),AND(C176="Перевод",OR(F176=G176,COUNTIF(Счета,G176)&lt;&gt;1)),AND(S176&lt;&gt;0,COUNTIF(Docs[ID],J176)&lt;&gt;1),AND(Форма="ООО",C176="Вывод ИП"),AND(Форма="ИП",C176="Дивиденды"),AND(L176&lt;&gt;"Проведён",L176&lt;&gt;"Черновик")),"ОШИБКА","ОК"))</f>
        <v>ОК</v>
      </c>
      <c r="W176" s="25">
        <f>IF(A176="","",SUMIF(Accounts[Счёт],F176,Accounts[Начальный])+SUMIFS($Q$7:Q176,$F$7:F176,F176)+SUMIFS($E$7:E176,$G$7:G176,F176,$C$7:C176,"Перевод",$L$7:L176,"Проведён"))</f>
        <v>931959.39000000013</v>
      </c>
    </row>
    <row r="177" spans="1:23" x14ac:dyDescent="0.25">
      <c r="A177" s="3" t="s">
        <v>783</v>
      </c>
      <c r="B177" s="19">
        <v>46257</v>
      </c>
      <c r="C177" s="3" t="s">
        <v>504</v>
      </c>
      <c r="D177" s="3" t="s">
        <v>509</v>
      </c>
      <c r="E177" s="24">
        <v>65000</v>
      </c>
      <c r="F177" s="3" t="s">
        <v>474</v>
      </c>
      <c r="G177" s="3"/>
      <c r="H177" s="3" t="s">
        <v>510</v>
      </c>
      <c r="I177" s="3" t="s">
        <v>383</v>
      </c>
      <c r="J177" s="3" t="s">
        <v>784</v>
      </c>
      <c r="K177" s="3" t="s">
        <v>504</v>
      </c>
      <c r="L177" s="3" t="s">
        <v>476</v>
      </c>
      <c r="M177" s="3"/>
      <c r="N177" s="24">
        <v>65000</v>
      </c>
      <c r="O177" s="3"/>
      <c r="P177" s="5">
        <f>IF(A177="","",IF(COUNTIF(Типы,C177)=0,0,VLOOKUP(C177,СПРАВОЧНИКИ!$A$7:$E$22,2,FALSE)))</f>
        <v>-1</v>
      </c>
      <c r="Q177" s="25">
        <f t="shared" si="2"/>
        <v>-65000</v>
      </c>
      <c r="R177" s="5" t="str">
        <f>IF(A177="","",IF(COUNTIF(Типы,C177)=0,"НЕИЗВЕСТНЫЙ ТИП",VLOOKUP(C177,СПРАВОЧНИКИ!$A$7:$E$22,3,FALSE)))</f>
        <v>Операционный</v>
      </c>
      <c r="S177" s="26">
        <f>IF(A177="","",IF(L177="Проведён",E177*IF(COUNTIF(Типы,C177)=0,0,VLOOKUP(C177,СПРАВОЧНИКИ!$A$7:$E$22,4,FALSE)),0))</f>
        <v>65000</v>
      </c>
      <c r="T177" s="26">
        <f>IF(A177="","",IF(L177="Проведён",E177*IF(COUNTIF(Типы,C177)=0,0,VLOOKUP(C177,СПРАВОЧНИКИ!$A$7:$E$22,5,FALSE)),0))</f>
        <v>0</v>
      </c>
      <c r="U177" s="5" t="str">
        <f>IF(A177="","",IF(COUNTIF(Контрагенты,H177)=0,"Не задан",VLOOKUP(H177,СПРАВОЧНИКИ!$G$7:$H$66,2,FALSE)))</f>
        <v>ЮЛ</v>
      </c>
      <c r="V177" s="4" t="str">
        <f>IF(A177="",IF(COUNTA(B177:O177)&gt;0,"НЕТ ID",""),IF(OR(AND(OR(C177="Оплата клиента",C177="Возврат клиенту"),COUNTIFS(Docs[ID],J177,Docs[Тип долга],"ДЗ")&lt;&gt;1),AND(OR(C177="Оплата поставщику",C177="Возврат поставщика"),COUNTIFS(Docs[ID],J177,Docs[Тип долга],"КЗ",Docs[Вид],"&lt;&gt;Дивиденды")&lt;&gt;1),AND(C177="Дивиденды",COUNTIFS(Docs[ID],J177,Docs[Вид],"Дивиденды")&lt;&gt;1),AND(C177="Проценты",COUNTIFS(Docs[ID],J177,Docs[Вид],"Проценты")&lt;&gt;1),COUNTIF(Cash[ID],A177)&gt;1,NOT(ISNUMBER(B177)),B177&lt;НачалоУчета,YEAR(B177)&lt;&gt;Год,NOT(ISNUMBER(E177)),E177&lt;=0,N177&lt;0,COUNTIF(Типы,C177)&lt;&gt;1,COUNTIF(Категории,D177)&lt;&gt;1,COUNTIF(Счета,F177)&lt;&gt;1,COUNTIF(Проекты,I177)&lt;&gt;1,AND(H177&lt;&gt;"",COUNTIF(Контрагенты,H177)&lt;&gt;1),AND(C177="Перевод",OR(F177=G177,COUNTIF(Счета,G177)&lt;&gt;1)),AND(S177&lt;&gt;0,COUNTIF(Docs[ID],J177)&lt;&gt;1),AND(Форма="ООО",C177="Вывод ИП"),AND(Форма="ИП",C177="Дивиденды"),AND(L177&lt;&gt;"Проведён",L177&lt;&gt;"Черновик")),"ОШИБКА","ОК"))</f>
        <v>ОК</v>
      </c>
      <c r="W177" s="25">
        <f>IF(A177="","",SUMIF(Accounts[Счёт],F177,Accounts[Начальный])+SUMIFS($Q$7:Q177,$F$7:F177,F177)+SUMIFS($E$7:E177,$G$7:G177,F177,$C$7:C177,"Перевод",$L$7:L177,"Проведён"))</f>
        <v>866959.39000000013</v>
      </c>
    </row>
    <row r="178" spans="1:23" x14ac:dyDescent="0.25">
      <c r="A178" s="3" t="s">
        <v>785</v>
      </c>
      <c r="B178" s="19">
        <v>46258</v>
      </c>
      <c r="C178" s="3" t="s">
        <v>484</v>
      </c>
      <c r="D178" s="3" t="s">
        <v>485</v>
      </c>
      <c r="E178" s="24">
        <v>23520</v>
      </c>
      <c r="F178" s="3" t="s">
        <v>474</v>
      </c>
      <c r="G178" s="3"/>
      <c r="H178" s="3" t="s">
        <v>486</v>
      </c>
      <c r="I178" s="3" t="s">
        <v>381</v>
      </c>
      <c r="J178" s="3" t="s">
        <v>770</v>
      </c>
      <c r="K178" s="3" t="s">
        <v>484</v>
      </c>
      <c r="L178" s="3" t="s">
        <v>476</v>
      </c>
      <c r="M178" s="3"/>
      <c r="N178" s="24">
        <v>0</v>
      </c>
      <c r="O178" s="3"/>
      <c r="P178" s="5">
        <f>IF(A178="","",IF(COUNTIF(Типы,C178)=0,0,VLOOKUP(C178,СПРАВОЧНИКИ!$A$7:$E$22,2,FALSE)))</f>
        <v>1</v>
      </c>
      <c r="Q178" s="25">
        <f t="shared" si="2"/>
        <v>23520</v>
      </c>
      <c r="R178" s="5" t="str">
        <f>IF(A178="","",IF(COUNTIF(Типы,C178)=0,"НЕИЗВЕСТНЫЙ ТИП",VLOOKUP(C178,СПРАВОЧНИКИ!$A$7:$E$22,3,FALSE)))</f>
        <v>Операционный</v>
      </c>
      <c r="S178" s="26">
        <f>IF(A178="","",IF(L178="Проведён",E178*IF(COUNTIF(Типы,C178)=0,0,VLOOKUP(C178,СПРАВОЧНИКИ!$A$7:$E$22,4,FALSE)),0))</f>
        <v>23520</v>
      </c>
      <c r="T178" s="26">
        <f>IF(A178="","",IF(L178="Проведён",E178*IF(COUNTIF(Типы,C178)=0,0,VLOOKUP(C178,СПРАВОЧНИКИ!$A$7:$E$22,5,FALSE)),0))</f>
        <v>23520</v>
      </c>
      <c r="U178" s="5" t="str">
        <f>IF(A178="","",IF(COUNTIF(Контрагенты,H178)=0,"Не задан",VLOOKUP(H178,СПРАВОЧНИКИ!$G$7:$H$66,2,FALSE)))</f>
        <v>ЮЛ</v>
      </c>
      <c r="V178" s="4" t="str">
        <f>IF(A178="",IF(COUNTA(B178:O178)&gt;0,"НЕТ ID",""),IF(OR(AND(OR(C178="Оплата клиента",C178="Возврат клиенту"),COUNTIFS(Docs[ID],J178,Docs[Тип долга],"ДЗ")&lt;&gt;1),AND(OR(C178="Оплата поставщику",C178="Возврат поставщика"),COUNTIFS(Docs[ID],J178,Docs[Тип долга],"КЗ",Docs[Вид],"&lt;&gt;Дивиденды")&lt;&gt;1),AND(C178="Дивиденды",COUNTIFS(Docs[ID],J178,Docs[Вид],"Дивиденды")&lt;&gt;1),AND(C178="Проценты",COUNTIFS(Docs[ID],J178,Docs[Вид],"Проценты")&lt;&gt;1),COUNTIF(Cash[ID],A178)&gt;1,NOT(ISNUMBER(B178)),B178&lt;НачалоУчета,YEAR(B178)&lt;&gt;Год,NOT(ISNUMBER(E178)),E178&lt;=0,N178&lt;0,COUNTIF(Типы,C178)&lt;&gt;1,COUNTIF(Категории,D178)&lt;&gt;1,COUNTIF(Счета,F178)&lt;&gt;1,COUNTIF(Проекты,I178)&lt;&gt;1,AND(H178&lt;&gt;"",COUNTIF(Контрагенты,H178)&lt;&gt;1),AND(C178="Перевод",OR(F178=G178,COUNTIF(Счета,G178)&lt;&gt;1)),AND(S178&lt;&gt;0,COUNTIF(Docs[ID],J178)&lt;&gt;1),AND(Форма="ООО",C178="Вывод ИП"),AND(Форма="ИП",C178="Дивиденды"),AND(L178&lt;&gt;"Проведён",L178&lt;&gt;"Черновик")),"ОШИБКА","ОК"))</f>
        <v>ОК</v>
      </c>
      <c r="W178" s="25">
        <f>IF(A178="","",SUMIF(Accounts[Счёт],F178,Accounts[Начальный])+SUMIFS($Q$7:Q178,$F$7:F178,F178)+SUMIFS($E$7:E178,$G$7:G178,F178,$C$7:C178,"Перевод",$L$7:L178,"Проведён"))</f>
        <v>890479.39000000013</v>
      </c>
    </row>
    <row r="179" spans="1:23" x14ac:dyDescent="0.25">
      <c r="A179" s="3" t="s">
        <v>786</v>
      </c>
      <c r="B179" s="19">
        <v>46258</v>
      </c>
      <c r="C179" s="3" t="s">
        <v>504</v>
      </c>
      <c r="D179" s="3" t="s">
        <v>295</v>
      </c>
      <c r="E179" s="24">
        <v>110000</v>
      </c>
      <c r="F179" s="3" t="s">
        <v>474</v>
      </c>
      <c r="G179" s="3"/>
      <c r="H179" s="3" t="s">
        <v>514</v>
      </c>
      <c r="I179" s="3" t="s">
        <v>381</v>
      </c>
      <c r="J179" s="3" t="s">
        <v>787</v>
      </c>
      <c r="K179" s="3" t="s">
        <v>504</v>
      </c>
      <c r="L179" s="3" t="s">
        <v>476</v>
      </c>
      <c r="M179" s="3"/>
      <c r="N179" s="24">
        <v>110000</v>
      </c>
      <c r="O179" s="3" t="s">
        <v>295</v>
      </c>
      <c r="P179" s="5">
        <f>IF(A179="","",IF(COUNTIF(Типы,C179)=0,0,VLOOKUP(C179,СПРАВОЧНИКИ!$A$7:$E$22,2,FALSE)))</f>
        <v>-1</v>
      </c>
      <c r="Q179" s="25">
        <f t="shared" si="2"/>
        <v>-110000</v>
      </c>
      <c r="R179" s="5" t="str">
        <f>IF(A179="","",IF(COUNTIF(Типы,C179)=0,"НЕИЗВЕСТНЫЙ ТИП",VLOOKUP(C179,СПРАВОЧНИКИ!$A$7:$E$22,3,FALSE)))</f>
        <v>Операционный</v>
      </c>
      <c r="S179" s="26">
        <f>IF(A179="","",IF(L179="Проведён",E179*IF(COUNTIF(Типы,C179)=0,0,VLOOKUP(C179,СПРАВОЧНИКИ!$A$7:$E$22,4,FALSE)),0))</f>
        <v>110000</v>
      </c>
      <c r="T179" s="26">
        <f>IF(A179="","",IF(L179="Проведён",E179*IF(COUNTIF(Типы,C179)=0,0,VLOOKUP(C179,СПРАВОЧНИКИ!$A$7:$E$22,5,FALSE)),0))</f>
        <v>0</v>
      </c>
      <c r="U179" s="5" t="str">
        <f>IF(A179="","",IF(COUNTIF(Контрагенты,H179)=0,"Не задан",VLOOKUP(H179,СПРАВОЧНИКИ!$G$7:$H$66,2,FALSE)))</f>
        <v>ЮЛ</v>
      </c>
      <c r="V179" s="4" t="str">
        <f>IF(A179="",IF(COUNTA(B179:O179)&gt;0,"НЕТ ID",""),IF(OR(AND(OR(C179="Оплата клиента",C179="Возврат клиенту"),COUNTIFS(Docs[ID],J179,Docs[Тип долга],"ДЗ")&lt;&gt;1),AND(OR(C179="Оплата поставщику",C179="Возврат поставщика"),COUNTIFS(Docs[ID],J179,Docs[Тип долга],"КЗ",Docs[Вид],"&lt;&gt;Дивиденды")&lt;&gt;1),AND(C179="Дивиденды",COUNTIFS(Docs[ID],J179,Docs[Вид],"Дивиденды")&lt;&gt;1),AND(C179="Проценты",COUNTIFS(Docs[ID],J179,Docs[Вид],"Проценты")&lt;&gt;1),COUNTIF(Cash[ID],A179)&gt;1,NOT(ISNUMBER(B179)),B179&lt;НачалоУчета,YEAR(B179)&lt;&gt;Год,NOT(ISNUMBER(E179)),E179&lt;=0,N179&lt;0,COUNTIF(Типы,C179)&lt;&gt;1,COUNTIF(Категории,D179)&lt;&gt;1,COUNTIF(Счета,F179)&lt;&gt;1,COUNTIF(Проекты,I179)&lt;&gt;1,AND(H179&lt;&gt;"",COUNTIF(Контрагенты,H179)&lt;&gt;1),AND(C179="Перевод",OR(F179=G179,COUNTIF(Счета,G179)&lt;&gt;1)),AND(S179&lt;&gt;0,COUNTIF(Docs[ID],J179)&lt;&gt;1),AND(Форма="ООО",C179="Вывод ИП"),AND(Форма="ИП",C179="Дивиденды"),AND(L179&lt;&gt;"Проведён",L179&lt;&gt;"Черновик")),"ОШИБКА","ОК"))</f>
        <v>ОК</v>
      </c>
      <c r="W179" s="25">
        <f>IF(A179="","",SUMIF(Accounts[Счёт],F179,Accounts[Начальный])+SUMIFS($Q$7:Q179,$F$7:F179,F179)+SUMIFS($E$7:E179,$G$7:G179,F179,$C$7:C179,"Перевод",$L$7:L179,"Проведён"))</f>
        <v>780479.39000000013</v>
      </c>
    </row>
    <row r="180" spans="1:23" x14ac:dyDescent="0.25">
      <c r="A180" s="3" t="s">
        <v>788</v>
      </c>
      <c r="B180" s="19">
        <v>46259</v>
      </c>
      <c r="C180" s="3" t="s">
        <v>484</v>
      </c>
      <c r="D180" s="3" t="s">
        <v>485</v>
      </c>
      <c r="E180" s="24">
        <v>18480</v>
      </c>
      <c r="F180" s="3" t="s">
        <v>474</v>
      </c>
      <c r="G180" s="3"/>
      <c r="H180" s="3" t="s">
        <v>489</v>
      </c>
      <c r="I180" s="3" t="s">
        <v>298</v>
      </c>
      <c r="J180" s="3" t="s">
        <v>772</v>
      </c>
      <c r="K180" s="3" t="s">
        <v>484</v>
      </c>
      <c r="L180" s="3" t="s">
        <v>476</v>
      </c>
      <c r="M180" s="3"/>
      <c r="N180" s="24">
        <v>0</v>
      </c>
      <c r="O180" s="3"/>
      <c r="P180" s="5">
        <f>IF(A180="","",IF(COUNTIF(Типы,C180)=0,0,VLOOKUP(C180,СПРАВОЧНИКИ!$A$7:$E$22,2,FALSE)))</f>
        <v>1</v>
      </c>
      <c r="Q180" s="25">
        <f t="shared" si="2"/>
        <v>18480</v>
      </c>
      <c r="R180" s="5" t="str">
        <f>IF(A180="","",IF(COUNTIF(Типы,C180)=0,"НЕИЗВЕСТНЫЙ ТИП",VLOOKUP(C180,СПРАВОЧНИКИ!$A$7:$E$22,3,FALSE)))</f>
        <v>Операционный</v>
      </c>
      <c r="S180" s="26">
        <f>IF(A180="","",IF(L180="Проведён",E180*IF(COUNTIF(Типы,C180)=0,0,VLOOKUP(C180,СПРАВОЧНИКИ!$A$7:$E$22,4,FALSE)),0))</f>
        <v>18480</v>
      </c>
      <c r="T180" s="26">
        <f>IF(A180="","",IF(L180="Проведён",E180*IF(COUNTIF(Типы,C180)=0,0,VLOOKUP(C180,СПРАВОЧНИКИ!$A$7:$E$22,5,FALSE)),0))</f>
        <v>18480</v>
      </c>
      <c r="U180" s="5" t="str">
        <f>IF(A180="","",IF(COUNTIF(Контрагенты,H180)=0,"Не задан",VLOOKUP(H180,СПРАВОЧНИКИ!$G$7:$H$66,2,FALSE)))</f>
        <v>ЮЛ</v>
      </c>
      <c r="V180" s="4" t="str">
        <f>IF(A180="",IF(COUNTA(B180:O180)&gt;0,"НЕТ ID",""),IF(OR(AND(OR(C180="Оплата клиента",C180="Возврат клиенту"),COUNTIFS(Docs[ID],J180,Docs[Тип долга],"ДЗ")&lt;&gt;1),AND(OR(C180="Оплата поставщику",C180="Возврат поставщика"),COUNTIFS(Docs[ID],J180,Docs[Тип долга],"КЗ",Docs[Вид],"&lt;&gt;Дивиденды")&lt;&gt;1),AND(C180="Дивиденды",COUNTIFS(Docs[ID],J180,Docs[Вид],"Дивиденды")&lt;&gt;1),AND(C180="Проценты",COUNTIFS(Docs[ID],J180,Docs[Вид],"Проценты")&lt;&gt;1),COUNTIF(Cash[ID],A180)&gt;1,NOT(ISNUMBER(B180)),B180&lt;НачалоУчета,YEAR(B180)&lt;&gt;Год,NOT(ISNUMBER(E180)),E180&lt;=0,N180&lt;0,COUNTIF(Типы,C180)&lt;&gt;1,COUNTIF(Категории,D180)&lt;&gt;1,COUNTIF(Счета,F180)&lt;&gt;1,COUNTIF(Проекты,I180)&lt;&gt;1,AND(H180&lt;&gt;"",COUNTIF(Контрагенты,H180)&lt;&gt;1),AND(C180="Перевод",OR(F180=G180,COUNTIF(Счета,G180)&lt;&gt;1)),AND(S180&lt;&gt;0,COUNTIF(Docs[ID],J180)&lt;&gt;1),AND(Форма="ООО",C180="Вывод ИП"),AND(Форма="ИП",C180="Дивиденды"),AND(L180&lt;&gt;"Проведён",L180&lt;&gt;"Черновик")),"ОШИБКА","ОК"))</f>
        <v>ОК</v>
      </c>
      <c r="W180" s="25">
        <f>IF(A180="","",SUMIF(Accounts[Счёт],F180,Accounts[Начальный])+SUMIFS($Q$7:Q180,$F$7:F180,F180)+SUMIFS($E$7:E180,$G$7:G180,F180,$C$7:C180,"Перевод",$L$7:L180,"Проведён"))</f>
        <v>798959.39000000013</v>
      </c>
    </row>
    <row r="181" spans="1:23" x14ac:dyDescent="0.25">
      <c r="A181" s="3" t="s">
        <v>789</v>
      </c>
      <c r="B181" s="19">
        <v>46259</v>
      </c>
      <c r="C181" s="3" t="s">
        <v>504</v>
      </c>
      <c r="D181" s="3" t="s">
        <v>518</v>
      </c>
      <c r="E181" s="24">
        <v>18000</v>
      </c>
      <c r="F181" s="3" t="s">
        <v>474</v>
      </c>
      <c r="G181" s="3"/>
      <c r="H181" s="3" t="s">
        <v>519</v>
      </c>
      <c r="I181" s="3" t="s">
        <v>383</v>
      </c>
      <c r="J181" s="3" t="s">
        <v>790</v>
      </c>
      <c r="K181" s="3" t="s">
        <v>504</v>
      </c>
      <c r="L181" s="3" t="s">
        <v>476</v>
      </c>
      <c r="M181" s="3"/>
      <c r="N181" s="24">
        <v>18000</v>
      </c>
      <c r="O181" s="3"/>
      <c r="P181" s="5">
        <f>IF(A181="","",IF(COUNTIF(Типы,C181)=0,0,VLOOKUP(C181,СПРАВОЧНИКИ!$A$7:$E$22,2,FALSE)))</f>
        <v>-1</v>
      </c>
      <c r="Q181" s="25">
        <f t="shared" si="2"/>
        <v>-18000</v>
      </c>
      <c r="R181" s="5" t="str">
        <f>IF(A181="","",IF(COUNTIF(Типы,C181)=0,"НЕИЗВЕСТНЫЙ ТИП",VLOOKUP(C181,СПРАВОЧНИКИ!$A$7:$E$22,3,FALSE)))</f>
        <v>Операционный</v>
      </c>
      <c r="S181" s="26">
        <f>IF(A181="","",IF(L181="Проведён",E181*IF(COUNTIF(Типы,C181)=0,0,VLOOKUP(C181,СПРАВОЧНИКИ!$A$7:$E$22,4,FALSE)),0))</f>
        <v>18000</v>
      </c>
      <c r="T181" s="26">
        <f>IF(A181="","",IF(L181="Проведён",E181*IF(COUNTIF(Типы,C181)=0,0,VLOOKUP(C181,СПРАВОЧНИКИ!$A$7:$E$22,5,FALSE)),0))</f>
        <v>0</v>
      </c>
      <c r="U181" s="5" t="str">
        <f>IF(A181="","",IF(COUNTIF(Контрагенты,H181)=0,"Не задан",VLOOKUP(H181,СПРАВОЧНИКИ!$G$7:$H$66,2,FALSE)))</f>
        <v>ЮЛ</v>
      </c>
      <c r="V181" s="4" t="str">
        <f>IF(A181="",IF(COUNTA(B181:O181)&gt;0,"НЕТ ID",""),IF(OR(AND(OR(C181="Оплата клиента",C181="Возврат клиенту"),COUNTIFS(Docs[ID],J181,Docs[Тип долга],"ДЗ")&lt;&gt;1),AND(OR(C181="Оплата поставщику",C181="Возврат поставщика"),COUNTIFS(Docs[ID],J181,Docs[Тип долга],"КЗ",Docs[Вид],"&lt;&gt;Дивиденды")&lt;&gt;1),AND(C181="Дивиденды",COUNTIFS(Docs[ID],J181,Docs[Вид],"Дивиденды")&lt;&gt;1),AND(C181="Проценты",COUNTIFS(Docs[ID],J181,Docs[Вид],"Проценты")&lt;&gt;1),COUNTIF(Cash[ID],A181)&gt;1,NOT(ISNUMBER(B181)),B181&lt;НачалоУчета,YEAR(B181)&lt;&gt;Год,NOT(ISNUMBER(E181)),E181&lt;=0,N181&lt;0,COUNTIF(Типы,C181)&lt;&gt;1,COUNTIF(Категории,D181)&lt;&gt;1,COUNTIF(Счета,F181)&lt;&gt;1,COUNTIF(Проекты,I181)&lt;&gt;1,AND(H181&lt;&gt;"",COUNTIF(Контрагенты,H181)&lt;&gt;1),AND(C181="Перевод",OR(F181=G181,COUNTIF(Счета,G181)&lt;&gt;1)),AND(S181&lt;&gt;0,COUNTIF(Docs[ID],J181)&lt;&gt;1),AND(Форма="ООО",C181="Вывод ИП"),AND(Форма="ИП",C181="Дивиденды"),AND(L181&lt;&gt;"Проведён",L181&lt;&gt;"Черновик")),"ОШИБКА","ОК"))</f>
        <v>ОК</v>
      </c>
      <c r="W181" s="25">
        <f>IF(A181="","",SUMIF(Accounts[Счёт],F181,Accounts[Начальный])+SUMIFS($Q$7:Q181,$F$7:F181,F181)+SUMIFS($E$7:E181,$G$7:G181,F181,$C$7:C181,"Перевод",$L$7:L181,"Проведён"))</f>
        <v>780959.39000000013</v>
      </c>
    </row>
    <row r="182" spans="1:23" x14ac:dyDescent="0.25">
      <c r="A182" s="3" t="s">
        <v>791</v>
      </c>
      <c r="B182" s="19">
        <v>46260</v>
      </c>
      <c r="C182" s="3" t="s">
        <v>484</v>
      </c>
      <c r="D182" s="3" t="s">
        <v>485</v>
      </c>
      <c r="E182" s="24">
        <v>15120</v>
      </c>
      <c r="F182" s="3" t="s">
        <v>474</v>
      </c>
      <c r="G182" s="3"/>
      <c r="H182" s="3" t="s">
        <v>492</v>
      </c>
      <c r="I182" s="3" t="s">
        <v>382</v>
      </c>
      <c r="J182" s="3" t="s">
        <v>774</v>
      </c>
      <c r="K182" s="3" t="s">
        <v>484</v>
      </c>
      <c r="L182" s="3" t="s">
        <v>476</v>
      </c>
      <c r="M182" s="3"/>
      <c r="N182" s="24">
        <v>0</v>
      </c>
      <c r="O182" s="3"/>
      <c r="P182" s="5">
        <f>IF(A182="","",IF(COUNTIF(Типы,C182)=0,0,VLOOKUP(C182,СПРАВОЧНИКИ!$A$7:$E$22,2,FALSE)))</f>
        <v>1</v>
      </c>
      <c r="Q182" s="25">
        <f t="shared" si="2"/>
        <v>15120</v>
      </c>
      <c r="R182" s="5" t="str">
        <f>IF(A182="","",IF(COUNTIF(Типы,C182)=0,"НЕИЗВЕСТНЫЙ ТИП",VLOOKUP(C182,СПРАВОЧНИКИ!$A$7:$E$22,3,FALSE)))</f>
        <v>Операционный</v>
      </c>
      <c r="S182" s="26">
        <f>IF(A182="","",IF(L182="Проведён",E182*IF(COUNTIF(Типы,C182)=0,0,VLOOKUP(C182,СПРАВОЧНИКИ!$A$7:$E$22,4,FALSE)),0))</f>
        <v>15120</v>
      </c>
      <c r="T182" s="26">
        <f>IF(A182="","",IF(L182="Проведён",E182*IF(COUNTIF(Типы,C182)=0,0,VLOOKUP(C182,СПРАВОЧНИКИ!$A$7:$E$22,5,FALSE)),0))</f>
        <v>15120</v>
      </c>
      <c r="U182" s="5" t="str">
        <f>IF(A182="","",IF(COUNTIF(Контрагенты,H182)=0,"Не задан",VLOOKUP(H182,СПРАВОЧНИКИ!$G$7:$H$66,2,FALSE)))</f>
        <v>ИП</v>
      </c>
      <c r="V182" s="4" t="str">
        <f>IF(A182="",IF(COUNTA(B182:O182)&gt;0,"НЕТ ID",""),IF(OR(AND(OR(C182="Оплата клиента",C182="Возврат клиенту"),COUNTIFS(Docs[ID],J182,Docs[Тип долга],"ДЗ")&lt;&gt;1),AND(OR(C182="Оплата поставщику",C182="Возврат поставщика"),COUNTIFS(Docs[ID],J182,Docs[Тип долга],"КЗ",Docs[Вид],"&lt;&gt;Дивиденды")&lt;&gt;1),AND(C182="Дивиденды",COUNTIFS(Docs[ID],J182,Docs[Вид],"Дивиденды")&lt;&gt;1),AND(C182="Проценты",COUNTIFS(Docs[ID],J182,Docs[Вид],"Проценты")&lt;&gt;1),COUNTIF(Cash[ID],A182)&gt;1,NOT(ISNUMBER(B182)),B182&lt;НачалоУчета,YEAR(B182)&lt;&gt;Год,NOT(ISNUMBER(E182)),E182&lt;=0,N182&lt;0,COUNTIF(Типы,C182)&lt;&gt;1,COUNTIF(Категории,D182)&lt;&gt;1,COUNTIF(Счета,F182)&lt;&gt;1,COUNTIF(Проекты,I182)&lt;&gt;1,AND(H182&lt;&gt;"",COUNTIF(Контрагенты,H182)&lt;&gt;1),AND(C182="Перевод",OR(F182=G182,COUNTIF(Счета,G182)&lt;&gt;1)),AND(S182&lt;&gt;0,COUNTIF(Docs[ID],J182)&lt;&gt;1),AND(Форма="ООО",C182="Вывод ИП"),AND(Форма="ИП",C182="Дивиденды"),AND(L182&lt;&gt;"Проведён",L182&lt;&gt;"Черновик")),"ОШИБКА","ОК"))</f>
        <v>ОК</v>
      </c>
      <c r="W182" s="25">
        <f>IF(A182="","",SUMIF(Accounts[Счёт],F182,Accounts[Начальный])+SUMIFS($Q$7:Q182,$F$7:F182,F182)+SUMIFS($E$7:E182,$G$7:G182,F182,$C$7:C182,"Перевод",$L$7:L182,"Проведён"))</f>
        <v>796079.39000000013</v>
      </c>
    </row>
    <row r="183" spans="1:23" x14ac:dyDescent="0.25">
      <c r="A183" s="3" t="s">
        <v>792</v>
      </c>
      <c r="B183" s="19">
        <v>46260</v>
      </c>
      <c r="C183" s="3" t="s">
        <v>504</v>
      </c>
      <c r="D183" s="3" t="s">
        <v>523</v>
      </c>
      <c r="E183" s="24">
        <v>78300</v>
      </c>
      <c r="F183" s="3" t="s">
        <v>474</v>
      </c>
      <c r="G183" s="3"/>
      <c r="H183" s="3" t="s">
        <v>52</v>
      </c>
      <c r="I183" s="3" t="s">
        <v>383</v>
      </c>
      <c r="J183" s="3" t="s">
        <v>793</v>
      </c>
      <c r="K183" s="3" t="s">
        <v>504</v>
      </c>
      <c r="L183" s="3" t="s">
        <v>476</v>
      </c>
      <c r="M183" s="3"/>
      <c r="N183" s="24">
        <v>78300</v>
      </c>
      <c r="O183" s="3"/>
      <c r="P183" s="5">
        <f>IF(A183="","",IF(COUNTIF(Типы,C183)=0,0,VLOOKUP(C183,СПРАВОЧНИКИ!$A$7:$E$22,2,FALSE)))</f>
        <v>-1</v>
      </c>
      <c r="Q183" s="25">
        <f t="shared" si="2"/>
        <v>-78300</v>
      </c>
      <c r="R183" s="5" t="str">
        <f>IF(A183="","",IF(COUNTIF(Типы,C183)=0,"НЕИЗВЕСТНЫЙ ТИП",VLOOKUP(C183,СПРАВОЧНИКИ!$A$7:$E$22,3,FALSE)))</f>
        <v>Операционный</v>
      </c>
      <c r="S183" s="26">
        <f>IF(A183="","",IF(L183="Проведён",E183*IF(COUNTIF(Типы,C183)=0,0,VLOOKUP(C183,СПРАВОЧНИКИ!$A$7:$E$22,4,FALSE)),0))</f>
        <v>78300</v>
      </c>
      <c r="T183" s="26">
        <f>IF(A183="","",IF(L183="Проведён",E183*IF(COUNTIF(Типы,C183)=0,0,VLOOKUP(C183,СПРАВОЧНИКИ!$A$7:$E$22,5,FALSE)),0))</f>
        <v>0</v>
      </c>
      <c r="U183" s="5" t="str">
        <f>IF(A183="","",IF(COUNTIF(Контрагенты,H183)=0,"Не задан",VLOOKUP(H183,СПРАВОЧНИКИ!$G$7:$H$66,2,FALSE)))</f>
        <v>ФЛ</v>
      </c>
      <c r="V183" s="4" t="str">
        <f>IF(A183="",IF(COUNTA(B183:O183)&gt;0,"НЕТ ID",""),IF(OR(AND(OR(C183="Оплата клиента",C183="Возврат клиенту"),COUNTIFS(Docs[ID],J183,Docs[Тип долга],"ДЗ")&lt;&gt;1),AND(OR(C183="Оплата поставщику",C183="Возврат поставщика"),COUNTIFS(Docs[ID],J183,Docs[Тип долга],"КЗ",Docs[Вид],"&lt;&gt;Дивиденды")&lt;&gt;1),AND(C183="Дивиденды",COUNTIFS(Docs[ID],J183,Docs[Вид],"Дивиденды")&lt;&gt;1),AND(C183="Проценты",COUNTIFS(Docs[ID],J183,Docs[Вид],"Проценты")&lt;&gt;1),COUNTIF(Cash[ID],A183)&gt;1,NOT(ISNUMBER(B183)),B183&lt;НачалоУчета,YEAR(B183)&lt;&gt;Год,NOT(ISNUMBER(E183)),E183&lt;=0,N183&lt;0,COUNTIF(Типы,C183)&lt;&gt;1,COUNTIF(Категории,D183)&lt;&gt;1,COUNTIF(Счета,F183)&lt;&gt;1,COUNTIF(Проекты,I183)&lt;&gt;1,AND(H183&lt;&gt;"",COUNTIF(Контрагенты,H183)&lt;&gt;1),AND(C183="Перевод",OR(F183=G183,COUNTIF(Счета,G183)&lt;&gt;1)),AND(S183&lt;&gt;0,COUNTIF(Docs[ID],J183)&lt;&gt;1),AND(Форма="ООО",C183="Вывод ИП"),AND(Форма="ИП",C183="Дивиденды"),AND(L183&lt;&gt;"Проведён",L183&lt;&gt;"Черновик")),"ОШИБКА","ОК"))</f>
        <v>ОК</v>
      </c>
      <c r="W183" s="25">
        <f>IF(A183="","",SUMIF(Accounts[Счёт],F183,Accounts[Начальный])+SUMIFS($Q$7:Q183,$F$7:F183,F183)+SUMIFS($E$7:E183,$G$7:G183,F183,$C$7:C183,"Перевод",$L$7:L183,"Проведён"))</f>
        <v>717779.39000000013</v>
      </c>
    </row>
    <row r="184" spans="1:23" x14ac:dyDescent="0.25">
      <c r="A184" s="3" t="s">
        <v>794</v>
      </c>
      <c r="B184" s="19">
        <v>46261</v>
      </c>
      <c r="C184" s="3" t="s">
        <v>484</v>
      </c>
      <c r="D184" s="3" t="s">
        <v>485</v>
      </c>
      <c r="E184" s="24">
        <v>11760</v>
      </c>
      <c r="F184" s="3" t="s">
        <v>474</v>
      </c>
      <c r="G184" s="3"/>
      <c r="H184" s="3" t="s">
        <v>495</v>
      </c>
      <c r="I184" s="3" t="s">
        <v>381</v>
      </c>
      <c r="J184" s="3" t="s">
        <v>776</v>
      </c>
      <c r="K184" s="3" t="s">
        <v>484</v>
      </c>
      <c r="L184" s="3" t="s">
        <v>476</v>
      </c>
      <c r="M184" s="3"/>
      <c r="N184" s="24">
        <v>0</v>
      </c>
      <c r="O184" s="3"/>
      <c r="P184" s="5">
        <f>IF(A184="","",IF(COUNTIF(Типы,C184)=0,0,VLOOKUP(C184,СПРАВОЧНИКИ!$A$7:$E$22,2,FALSE)))</f>
        <v>1</v>
      </c>
      <c r="Q184" s="25">
        <f t="shared" si="2"/>
        <v>11760</v>
      </c>
      <c r="R184" s="5" t="str">
        <f>IF(A184="","",IF(COUNTIF(Типы,C184)=0,"НЕИЗВЕСТНЫЙ ТИП",VLOOKUP(C184,СПРАВОЧНИКИ!$A$7:$E$22,3,FALSE)))</f>
        <v>Операционный</v>
      </c>
      <c r="S184" s="26">
        <f>IF(A184="","",IF(L184="Проведён",E184*IF(COUNTIF(Типы,C184)=0,0,VLOOKUP(C184,СПРАВОЧНИКИ!$A$7:$E$22,4,FALSE)),0))</f>
        <v>11760</v>
      </c>
      <c r="T184" s="26">
        <f>IF(A184="","",IF(L184="Проведён",E184*IF(COUNTIF(Типы,C184)=0,0,VLOOKUP(C184,СПРАВОЧНИКИ!$A$7:$E$22,5,FALSE)),0))</f>
        <v>11760</v>
      </c>
      <c r="U184" s="5" t="str">
        <f>IF(A184="","",IF(COUNTIF(Контрагенты,H184)=0,"Не задан",VLOOKUP(H184,СПРАВОЧНИКИ!$G$7:$H$66,2,FALSE)))</f>
        <v>ЮЛ</v>
      </c>
      <c r="V184" s="4" t="str">
        <f>IF(A184="",IF(COUNTA(B184:O184)&gt;0,"НЕТ ID",""),IF(OR(AND(OR(C184="Оплата клиента",C184="Возврат клиенту"),COUNTIFS(Docs[ID],J184,Docs[Тип долга],"ДЗ")&lt;&gt;1),AND(OR(C184="Оплата поставщику",C184="Возврат поставщика"),COUNTIFS(Docs[ID],J184,Docs[Тип долга],"КЗ",Docs[Вид],"&lt;&gt;Дивиденды")&lt;&gt;1),AND(C184="Дивиденды",COUNTIFS(Docs[ID],J184,Docs[Вид],"Дивиденды")&lt;&gt;1),AND(C184="Проценты",COUNTIFS(Docs[ID],J184,Docs[Вид],"Проценты")&lt;&gt;1),COUNTIF(Cash[ID],A184)&gt;1,NOT(ISNUMBER(B184)),B184&lt;НачалоУчета,YEAR(B184)&lt;&gt;Год,NOT(ISNUMBER(E184)),E184&lt;=0,N184&lt;0,COUNTIF(Типы,C184)&lt;&gt;1,COUNTIF(Категории,D184)&lt;&gt;1,COUNTIF(Счета,F184)&lt;&gt;1,COUNTIF(Проекты,I184)&lt;&gt;1,AND(H184&lt;&gt;"",COUNTIF(Контрагенты,H184)&lt;&gt;1),AND(C184="Перевод",OR(F184=G184,COUNTIF(Счета,G184)&lt;&gt;1)),AND(S184&lt;&gt;0,COUNTIF(Docs[ID],J184)&lt;&gt;1),AND(Форма="ООО",C184="Вывод ИП"),AND(Форма="ИП",C184="Дивиденды"),AND(L184&lt;&gt;"Проведён",L184&lt;&gt;"Черновик")),"ОШИБКА","ОК"))</f>
        <v>ОК</v>
      </c>
      <c r="W184" s="25">
        <f>IF(A184="","",SUMIF(Accounts[Счёт],F184,Accounts[Начальный])+SUMIFS($Q$7:Q184,$F$7:F184,F184)+SUMIFS($E$7:E184,$G$7:G184,F184,$C$7:C184,"Перевод",$L$7:L184,"Проведён"))</f>
        <v>729539.39000000013</v>
      </c>
    </row>
    <row r="185" spans="1:23" x14ac:dyDescent="0.25">
      <c r="A185" s="3" t="s">
        <v>795</v>
      </c>
      <c r="B185" s="19">
        <v>46261</v>
      </c>
      <c r="C185" s="3" t="s">
        <v>504</v>
      </c>
      <c r="D185" s="3" t="s">
        <v>527</v>
      </c>
      <c r="E185" s="24">
        <v>11700</v>
      </c>
      <c r="F185" s="3" t="s">
        <v>474</v>
      </c>
      <c r="G185" s="3"/>
      <c r="H185" s="3" t="s">
        <v>528</v>
      </c>
      <c r="I185" s="3" t="s">
        <v>383</v>
      </c>
      <c r="J185" s="3" t="s">
        <v>796</v>
      </c>
      <c r="K185" s="3" t="s">
        <v>504</v>
      </c>
      <c r="L185" s="3" t="s">
        <v>476</v>
      </c>
      <c r="M185" s="3"/>
      <c r="N185" s="24">
        <v>11700</v>
      </c>
      <c r="O185" s="3"/>
      <c r="P185" s="5">
        <f>IF(A185="","",IF(COUNTIF(Типы,C185)=0,0,VLOOKUP(C185,СПРАВОЧНИКИ!$A$7:$E$22,2,FALSE)))</f>
        <v>-1</v>
      </c>
      <c r="Q185" s="25">
        <f t="shared" si="2"/>
        <v>-11700</v>
      </c>
      <c r="R185" s="5" t="str">
        <f>IF(A185="","",IF(COUNTIF(Типы,C185)=0,"НЕИЗВЕСТНЫЙ ТИП",VLOOKUP(C185,СПРАВОЧНИКИ!$A$7:$E$22,3,FALSE)))</f>
        <v>Операционный</v>
      </c>
      <c r="S185" s="26">
        <f>IF(A185="","",IF(L185="Проведён",E185*IF(COUNTIF(Типы,C185)=0,0,VLOOKUP(C185,СПРАВОЧНИКИ!$A$7:$E$22,4,FALSE)),0))</f>
        <v>11700</v>
      </c>
      <c r="T185" s="26">
        <f>IF(A185="","",IF(L185="Проведён",E185*IF(COUNTIF(Типы,C185)=0,0,VLOOKUP(C185,СПРАВОЧНИКИ!$A$7:$E$22,5,FALSE)),0))</f>
        <v>0</v>
      </c>
      <c r="U185" s="5" t="str">
        <f>IF(A185="","",IF(COUNTIF(Контрагенты,H185)=0,"Не задан",VLOOKUP(H185,СПРАВОЧНИКИ!$G$7:$H$66,2,FALSE)))</f>
        <v>ЮЛ</v>
      </c>
      <c r="V185" s="4" t="str">
        <f>IF(A185="",IF(COUNTA(B185:O185)&gt;0,"НЕТ ID",""),IF(OR(AND(OR(C185="Оплата клиента",C185="Возврат клиенту"),COUNTIFS(Docs[ID],J185,Docs[Тип долга],"ДЗ")&lt;&gt;1),AND(OR(C185="Оплата поставщику",C185="Возврат поставщика"),COUNTIFS(Docs[ID],J185,Docs[Тип долга],"КЗ",Docs[Вид],"&lt;&gt;Дивиденды")&lt;&gt;1),AND(C185="Дивиденды",COUNTIFS(Docs[ID],J185,Docs[Вид],"Дивиденды")&lt;&gt;1),AND(C185="Проценты",COUNTIFS(Docs[ID],J185,Docs[Вид],"Проценты")&lt;&gt;1),COUNTIF(Cash[ID],A185)&gt;1,NOT(ISNUMBER(B185)),B185&lt;НачалоУчета,YEAR(B185)&lt;&gt;Год,NOT(ISNUMBER(E185)),E185&lt;=0,N185&lt;0,COUNTIF(Типы,C185)&lt;&gt;1,COUNTIF(Категории,D185)&lt;&gt;1,COUNTIF(Счета,F185)&lt;&gt;1,COUNTIF(Проекты,I185)&lt;&gt;1,AND(H185&lt;&gt;"",COUNTIF(Контрагенты,H185)&lt;&gt;1),AND(C185="Перевод",OR(F185=G185,COUNTIF(Счета,G185)&lt;&gt;1)),AND(S185&lt;&gt;0,COUNTIF(Docs[ID],J185)&lt;&gt;1),AND(Форма="ООО",C185="Вывод ИП"),AND(Форма="ИП",C185="Дивиденды"),AND(L185&lt;&gt;"Проведён",L185&lt;&gt;"Черновик")),"ОШИБКА","ОК"))</f>
        <v>ОК</v>
      </c>
      <c r="W185" s="25">
        <f>IF(A185="","",SUMIF(Accounts[Счёт],F185,Accounts[Начальный])+SUMIFS($Q$7:Q185,$F$7:F185,F185)+SUMIFS($E$7:E185,$G$7:G185,F185,$C$7:C185,"Перевод",$L$7:L185,"Проведён"))</f>
        <v>717839.39000000013</v>
      </c>
    </row>
    <row r="186" spans="1:23" x14ac:dyDescent="0.25">
      <c r="A186" s="3" t="s">
        <v>797</v>
      </c>
      <c r="B186" s="19">
        <v>46262</v>
      </c>
      <c r="C186" s="3" t="s">
        <v>484</v>
      </c>
      <c r="D186" s="3" t="s">
        <v>485</v>
      </c>
      <c r="E186" s="24">
        <v>8400</v>
      </c>
      <c r="F186" s="3" t="s">
        <v>474</v>
      </c>
      <c r="G186" s="3"/>
      <c r="H186" s="3" t="s">
        <v>498</v>
      </c>
      <c r="I186" s="3" t="s">
        <v>298</v>
      </c>
      <c r="J186" s="3" t="s">
        <v>778</v>
      </c>
      <c r="K186" s="3" t="s">
        <v>484</v>
      </c>
      <c r="L186" s="3" t="s">
        <v>476</v>
      </c>
      <c r="M186" s="3"/>
      <c r="N186" s="24">
        <v>0</v>
      </c>
      <c r="O186" s="3"/>
      <c r="P186" s="5">
        <f>IF(A186="","",IF(COUNTIF(Типы,C186)=0,0,VLOOKUP(C186,СПРАВОЧНИКИ!$A$7:$E$22,2,FALSE)))</f>
        <v>1</v>
      </c>
      <c r="Q186" s="25">
        <f t="shared" si="2"/>
        <v>8400</v>
      </c>
      <c r="R186" s="5" t="str">
        <f>IF(A186="","",IF(COUNTIF(Типы,C186)=0,"НЕИЗВЕСТНЫЙ ТИП",VLOOKUP(C186,СПРАВОЧНИКИ!$A$7:$E$22,3,FALSE)))</f>
        <v>Операционный</v>
      </c>
      <c r="S186" s="26">
        <f>IF(A186="","",IF(L186="Проведён",E186*IF(COUNTIF(Типы,C186)=0,0,VLOOKUP(C186,СПРАВОЧНИКИ!$A$7:$E$22,4,FALSE)),0))</f>
        <v>8400</v>
      </c>
      <c r="T186" s="26">
        <f>IF(A186="","",IF(L186="Проведён",E186*IF(COUNTIF(Типы,C186)=0,0,VLOOKUP(C186,СПРАВОЧНИКИ!$A$7:$E$22,5,FALSE)),0))</f>
        <v>8400</v>
      </c>
      <c r="U186" s="5" t="str">
        <f>IF(A186="","",IF(COUNTIF(Контрагенты,H186)=0,"Не задан",VLOOKUP(H186,СПРАВОЧНИКИ!$G$7:$H$66,2,FALSE)))</f>
        <v>ФЛ</v>
      </c>
      <c r="V186" s="4" t="str">
        <f>IF(A186="",IF(COUNTA(B186:O186)&gt;0,"НЕТ ID",""),IF(OR(AND(OR(C186="Оплата клиента",C186="Возврат клиенту"),COUNTIFS(Docs[ID],J186,Docs[Тип долга],"ДЗ")&lt;&gt;1),AND(OR(C186="Оплата поставщику",C186="Возврат поставщика"),COUNTIFS(Docs[ID],J186,Docs[Тип долга],"КЗ",Docs[Вид],"&lt;&gt;Дивиденды")&lt;&gt;1),AND(C186="Дивиденды",COUNTIFS(Docs[ID],J186,Docs[Вид],"Дивиденды")&lt;&gt;1),AND(C186="Проценты",COUNTIFS(Docs[ID],J186,Docs[Вид],"Проценты")&lt;&gt;1),COUNTIF(Cash[ID],A186)&gt;1,NOT(ISNUMBER(B186)),B186&lt;НачалоУчета,YEAR(B186)&lt;&gt;Год,NOT(ISNUMBER(E186)),E186&lt;=0,N186&lt;0,COUNTIF(Типы,C186)&lt;&gt;1,COUNTIF(Категории,D186)&lt;&gt;1,COUNTIF(Счета,F186)&lt;&gt;1,COUNTIF(Проекты,I186)&lt;&gt;1,AND(H186&lt;&gt;"",COUNTIF(Контрагенты,H186)&lt;&gt;1),AND(C186="Перевод",OR(F186=G186,COUNTIF(Счета,G186)&lt;&gt;1)),AND(S186&lt;&gt;0,COUNTIF(Docs[ID],J186)&lt;&gt;1),AND(Форма="ООО",C186="Вывод ИП"),AND(Форма="ИП",C186="Дивиденды"),AND(L186&lt;&gt;"Проведён",L186&lt;&gt;"Черновик")),"ОШИБКА","ОК"))</f>
        <v>ОК</v>
      </c>
      <c r="W186" s="25">
        <f>IF(A186="","",SUMIF(Accounts[Счёт],F186,Accounts[Начальный])+SUMIFS($Q$7:Q186,$F$7:F186,F186)+SUMIFS($E$7:E186,$G$7:G186,F186,$C$7:C186,"Перевод",$L$7:L186,"Проведён"))</f>
        <v>726239.39000000013</v>
      </c>
    </row>
    <row r="187" spans="1:23" x14ac:dyDescent="0.25">
      <c r="A187" s="3" t="s">
        <v>798</v>
      </c>
      <c r="B187" s="19">
        <v>46262</v>
      </c>
      <c r="C187" s="3" t="s">
        <v>504</v>
      </c>
      <c r="D187" s="3" t="s">
        <v>532</v>
      </c>
      <c r="E187" s="24">
        <v>27000</v>
      </c>
      <c r="F187" s="3" t="s">
        <v>474</v>
      </c>
      <c r="G187" s="3"/>
      <c r="H187" s="3" t="s">
        <v>528</v>
      </c>
      <c r="I187" s="3" t="s">
        <v>383</v>
      </c>
      <c r="J187" s="3" t="s">
        <v>799</v>
      </c>
      <c r="K187" s="3" t="s">
        <v>504</v>
      </c>
      <c r="L187" s="3" t="s">
        <v>476</v>
      </c>
      <c r="M187" s="3"/>
      <c r="N187" s="24">
        <v>27000</v>
      </c>
      <c r="O187" s="3"/>
      <c r="P187" s="5">
        <f>IF(A187="","",IF(COUNTIF(Типы,C187)=0,0,VLOOKUP(C187,СПРАВОЧНИКИ!$A$7:$E$22,2,FALSE)))</f>
        <v>-1</v>
      </c>
      <c r="Q187" s="25">
        <f t="shared" si="2"/>
        <v>-27000</v>
      </c>
      <c r="R187" s="5" t="str">
        <f>IF(A187="","",IF(COUNTIF(Типы,C187)=0,"НЕИЗВЕСТНЫЙ ТИП",VLOOKUP(C187,СПРАВОЧНИКИ!$A$7:$E$22,3,FALSE)))</f>
        <v>Операционный</v>
      </c>
      <c r="S187" s="26">
        <f>IF(A187="","",IF(L187="Проведён",E187*IF(COUNTIF(Типы,C187)=0,0,VLOOKUP(C187,СПРАВОЧНИКИ!$A$7:$E$22,4,FALSE)),0))</f>
        <v>27000</v>
      </c>
      <c r="T187" s="26">
        <f>IF(A187="","",IF(L187="Проведён",E187*IF(COUNTIF(Типы,C187)=0,0,VLOOKUP(C187,СПРАВОЧНИКИ!$A$7:$E$22,5,FALSE)),0))</f>
        <v>0</v>
      </c>
      <c r="U187" s="5" t="str">
        <f>IF(A187="","",IF(COUNTIF(Контрагенты,H187)=0,"Не задан",VLOOKUP(H187,СПРАВОЧНИКИ!$G$7:$H$66,2,FALSE)))</f>
        <v>ЮЛ</v>
      </c>
      <c r="V187" s="4" t="str">
        <f>IF(A187="",IF(COUNTA(B187:O187)&gt;0,"НЕТ ID",""),IF(OR(AND(OR(C187="Оплата клиента",C187="Возврат клиенту"),COUNTIFS(Docs[ID],J187,Docs[Тип долга],"ДЗ")&lt;&gt;1),AND(OR(C187="Оплата поставщику",C187="Возврат поставщика"),COUNTIFS(Docs[ID],J187,Docs[Тип долга],"КЗ",Docs[Вид],"&lt;&gt;Дивиденды")&lt;&gt;1),AND(C187="Дивиденды",COUNTIFS(Docs[ID],J187,Docs[Вид],"Дивиденды")&lt;&gt;1),AND(C187="Проценты",COUNTIFS(Docs[ID],J187,Docs[Вид],"Проценты")&lt;&gt;1),COUNTIF(Cash[ID],A187)&gt;1,NOT(ISNUMBER(B187)),B187&lt;НачалоУчета,YEAR(B187)&lt;&gt;Год,NOT(ISNUMBER(E187)),E187&lt;=0,N187&lt;0,COUNTIF(Типы,C187)&lt;&gt;1,COUNTIF(Категории,D187)&lt;&gt;1,COUNTIF(Счета,F187)&lt;&gt;1,COUNTIF(Проекты,I187)&lt;&gt;1,AND(H187&lt;&gt;"",COUNTIF(Контрагенты,H187)&lt;&gt;1),AND(C187="Перевод",OR(F187=G187,COUNTIF(Счета,G187)&lt;&gt;1)),AND(S187&lt;&gt;0,COUNTIF(Docs[ID],J187)&lt;&gt;1),AND(Форма="ООО",C187="Вывод ИП"),AND(Форма="ИП",C187="Дивиденды"),AND(L187&lt;&gt;"Проведён",L187&lt;&gt;"Черновик")),"ОШИБКА","ОК"))</f>
        <v>ОК</v>
      </c>
      <c r="W187" s="25">
        <f>IF(A187="","",SUMIF(Accounts[Счёт],F187,Accounts[Начальный])+SUMIFS($Q$7:Q187,$F$7:F187,F187)+SUMIFS($E$7:E187,$G$7:G187,F187,$C$7:C187,"Перевод",$L$7:L187,"Проведён"))</f>
        <v>699239.39000000013</v>
      </c>
    </row>
    <row r="188" spans="1:23" x14ac:dyDescent="0.25">
      <c r="A188" s="3" t="s">
        <v>800</v>
      </c>
      <c r="B188" s="19">
        <v>46262</v>
      </c>
      <c r="C188" s="3" t="s">
        <v>130</v>
      </c>
      <c r="D188" s="3" t="s">
        <v>130</v>
      </c>
      <c r="E188" s="24">
        <v>2968.5</v>
      </c>
      <c r="F188" s="3" t="s">
        <v>474</v>
      </c>
      <c r="G188" s="3"/>
      <c r="H188" s="3" t="s">
        <v>397</v>
      </c>
      <c r="I188" s="3" t="s">
        <v>383</v>
      </c>
      <c r="J188" s="3" t="s">
        <v>801</v>
      </c>
      <c r="K188" s="3" t="s">
        <v>130</v>
      </c>
      <c r="L188" s="3" t="s">
        <v>476</v>
      </c>
      <c r="M188" s="3"/>
      <c r="N188" s="24">
        <v>2968.5</v>
      </c>
      <c r="O188" s="3"/>
      <c r="P188" s="5">
        <f>IF(A188="","",IF(COUNTIF(Типы,C188)=0,0,VLOOKUP(C188,СПРАВОЧНИКИ!$A$7:$E$22,2,FALSE)))</f>
        <v>-1</v>
      </c>
      <c r="Q188" s="25">
        <f t="shared" si="2"/>
        <v>-2968.5</v>
      </c>
      <c r="R188" s="5" t="str">
        <f>IF(A188="","",IF(COUNTIF(Типы,C188)=0,"НЕИЗВЕСТНЫЙ ТИП",VLOOKUP(C188,СПРАВОЧНИКИ!$A$7:$E$22,3,FALSE)))</f>
        <v>Операционный</v>
      </c>
      <c r="S188" s="26">
        <f>IF(A188="","",IF(L188="Проведён",E188*IF(COUNTIF(Типы,C188)=0,0,VLOOKUP(C188,СПРАВОЧНИКИ!$A$7:$E$22,4,FALSE)),0))</f>
        <v>2968.5</v>
      </c>
      <c r="T188" s="26">
        <f>IF(A188="","",IF(L188="Проведён",E188*IF(COUNTIF(Типы,C188)=0,0,VLOOKUP(C188,СПРАВОЧНИКИ!$A$7:$E$22,5,FALSE)),0))</f>
        <v>0</v>
      </c>
      <c r="U188" s="5" t="str">
        <f>IF(A188="","",IF(COUNTIF(Контрагенты,H188)=0,"Не задан",VLOOKUP(H188,СПРАВОЧНИКИ!$G$7:$H$66,2,FALSE)))</f>
        <v>ЮЛ</v>
      </c>
      <c r="V188" s="4" t="str">
        <f>IF(A188="",IF(COUNTA(B188:O188)&gt;0,"НЕТ ID",""),IF(OR(AND(OR(C188="Оплата клиента",C188="Возврат клиенту"),COUNTIFS(Docs[ID],J188,Docs[Тип долга],"ДЗ")&lt;&gt;1),AND(OR(C188="Оплата поставщику",C188="Возврат поставщика"),COUNTIFS(Docs[ID],J188,Docs[Тип долга],"КЗ",Docs[Вид],"&lt;&gt;Дивиденды")&lt;&gt;1),AND(C188="Дивиденды",COUNTIFS(Docs[ID],J188,Docs[Вид],"Дивиденды")&lt;&gt;1),AND(C188="Проценты",COUNTIFS(Docs[ID],J188,Docs[Вид],"Проценты")&lt;&gt;1),COUNTIF(Cash[ID],A188)&gt;1,NOT(ISNUMBER(B188)),B188&lt;НачалоУчета,YEAR(B188)&lt;&gt;Год,NOT(ISNUMBER(E188)),E188&lt;=0,N188&lt;0,COUNTIF(Типы,C188)&lt;&gt;1,COUNTIF(Категории,D188)&lt;&gt;1,COUNTIF(Счета,F188)&lt;&gt;1,COUNTIF(Проекты,I188)&lt;&gt;1,AND(H188&lt;&gt;"",COUNTIF(Контрагенты,H188)&lt;&gt;1),AND(C188="Перевод",OR(F188=G188,COUNTIF(Счета,G188)&lt;&gt;1)),AND(S188&lt;&gt;0,COUNTIF(Docs[ID],J188)&lt;&gt;1),AND(Форма="ООО",C188="Вывод ИП"),AND(Форма="ИП",C188="Дивиденды"),AND(L188&lt;&gt;"Проведён",L188&lt;&gt;"Черновик")),"ОШИБКА","ОК"))</f>
        <v>ОК</v>
      </c>
      <c r="W188" s="25">
        <f>IF(A188="","",SUMIF(Accounts[Счёт],F188,Accounts[Начальный])+SUMIFS($Q$7:Q188,$F$7:F188,F188)+SUMIFS($E$7:E188,$G$7:G188,F188,$C$7:C188,"Перевод",$L$7:L188,"Проведён"))</f>
        <v>696270.89000000013</v>
      </c>
    </row>
    <row r="189" spans="1:23" x14ac:dyDescent="0.25">
      <c r="A189" s="3" t="s">
        <v>802</v>
      </c>
      <c r="B189" s="19">
        <v>46262</v>
      </c>
      <c r="C189" s="3" t="s">
        <v>537</v>
      </c>
      <c r="D189" s="3" t="s">
        <v>479</v>
      </c>
      <c r="E189" s="24">
        <v>12008.73</v>
      </c>
      <c r="F189" s="3" t="s">
        <v>474</v>
      </c>
      <c r="G189" s="3"/>
      <c r="H189" s="3" t="s">
        <v>397</v>
      </c>
      <c r="I189" s="3" t="s">
        <v>383</v>
      </c>
      <c r="J189" s="3" t="s">
        <v>394</v>
      </c>
      <c r="K189" s="3" t="s">
        <v>537</v>
      </c>
      <c r="L189" s="3" t="s">
        <v>476</v>
      </c>
      <c r="M189" s="3"/>
      <c r="N189" s="24">
        <v>0</v>
      </c>
      <c r="O189" s="3"/>
      <c r="P189" s="5">
        <f>IF(A189="","",IF(COUNTIF(Типы,C189)=0,0,VLOOKUP(C189,СПРАВОЧНИКИ!$A$7:$E$22,2,FALSE)))</f>
        <v>-1</v>
      </c>
      <c r="Q189" s="25">
        <f t="shared" si="2"/>
        <v>-12008.73</v>
      </c>
      <c r="R189" s="5" t="str">
        <f>IF(A189="","",IF(COUNTIF(Типы,C189)=0,"НЕИЗВЕСТНЫЙ ТИП",VLOOKUP(C189,СПРАВОЧНИКИ!$A$7:$E$22,3,FALSE)))</f>
        <v>Финансовый</v>
      </c>
      <c r="S189" s="26">
        <f>IF(A189="","",IF(L189="Проведён",E189*IF(COUNTIF(Типы,C189)=0,0,VLOOKUP(C189,СПРАВОЧНИКИ!$A$7:$E$22,4,FALSE)),0))</f>
        <v>0</v>
      </c>
      <c r="T189" s="26">
        <f>IF(A189="","",IF(L189="Проведён",E189*IF(COUNTIF(Типы,C189)=0,0,VLOOKUP(C189,СПРАВОЧНИКИ!$A$7:$E$22,5,FALSE)),0))</f>
        <v>0</v>
      </c>
      <c r="U189" s="5" t="str">
        <f>IF(A189="","",IF(COUNTIF(Контрагенты,H189)=0,"Не задан",VLOOKUP(H189,СПРАВОЧНИКИ!$G$7:$H$66,2,FALSE)))</f>
        <v>ЮЛ</v>
      </c>
      <c r="V189" s="4" t="str">
        <f>IF(A189="",IF(COUNTA(B189:O189)&gt;0,"НЕТ ID",""),IF(OR(AND(OR(C189="Оплата клиента",C189="Возврат клиенту"),COUNTIFS(Docs[ID],J189,Docs[Тип долга],"ДЗ")&lt;&gt;1),AND(OR(C189="Оплата поставщику",C189="Возврат поставщика"),COUNTIFS(Docs[ID],J189,Docs[Тип долга],"КЗ",Docs[Вид],"&lt;&gt;Дивиденды")&lt;&gt;1),AND(C189="Дивиденды",COUNTIFS(Docs[ID],J189,Docs[Вид],"Дивиденды")&lt;&gt;1),AND(C189="Проценты",COUNTIFS(Docs[ID],J189,Docs[Вид],"Проценты")&lt;&gt;1),COUNTIF(Cash[ID],A189)&gt;1,NOT(ISNUMBER(B189)),B189&lt;НачалоУчета,YEAR(B189)&lt;&gt;Год,NOT(ISNUMBER(E189)),E189&lt;=0,N189&lt;0,COUNTIF(Типы,C189)&lt;&gt;1,COUNTIF(Категории,D189)&lt;&gt;1,COUNTIF(Счета,F189)&lt;&gt;1,COUNTIF(Проекты,I189)&lt;&gt;1,AND(H189&lt;&gt;"",COUNTIF(Контрагенты,H189)&lt;&gt;1),AND(C189="Перевод",OR(F189=G189,COUNTIF(Счета,G189)&lt;&gt;1)),AND(S189&lt;&gt;0,COUNTIF(Docs[ID],J189)&lt;&gt;1),AND(Форма="ООО",C189="Вывод ИП"),AND(Форма="ИП",C189="Дивиденды"),AND(L189&lt;&gt;"Проведён",L189&lt;&gt;"Черновик")),"ОШИБКА","ОК"))</f>
        <v>ОК</v>
      </c>
      <c r="W189" s="25">
        <f>IF(A189="","",SUMIF(Accounts[Счёт],F189,Accounts[Начальный])+SUMIFS($Q$7:Q189,$F$7:F189,F189)+SUMIFS($E$7:E189,$G$7:G189,F189,$C$7:C189,"Перевод",$L$7:L189,"Проведён"))</f>
        <v>684262.16000000015</v>
      </c>
    </row>
    <row r="190" spans="1:23" x14ac:dyDescent="0.25">
      <c r="A190" s="3" t="s">
        <v>803</v>
      </c>
      <c r="B190" s="19">
        <v>46262</v>
      </c>
      <c r="C190" s="3" t="s">
        <v>539</v>
      </c>
      <c r="D190" s="3" t="s">
        <v>299</v>
      </c>
      <c r="E190" s="24">
        <v>15000</v>
      </c>
      <c r="F190" s="3" t="s">
        <v>474</v>
      </c>
      <c r="G190" s="3" t="s">
        <v>299</v>
      </c>
      <c r="H190" s="3"/>
      <c r="I190" s="3" t="s">
        <v>383</v>
      </c>
      <c r="J190" s="3"/>
      <c r="K190" s="3" t="s">
        <v>539</v>
      </c>
      <c r="L190" s="3" t="s">
        <v>476</v>
      </c>
      <c r="M190" s="3"/>
      <c r="N190" s="24">
        <v>0</v>
      </c>
      <c r="O190" s="3"/>
      <c r="P190" s="5">
        <f>IF(A190="","",IF(COUNTIF(Типы,C190)=0,0,VLOOKUP(C190,СПРАВОЧНИКИ!$A$7:$E$22,2,FALSE)))</f>
        <v>-1</v>
      </c>
      <c r="Q190" s="25">
        <f t="shared" si="2"/>
        <v>-15000</v>
      </c>
      <c r="R190" s="5" t="str">
        <f>IF(A190="","",IF(COUNTIF(Типы,C190)=0,"НЕИЗВЕСТНЫЙ ТИП",VLOOKUP(C190,СПРАВОЧНИКИ!$A$7:$E$22,3,FALSE)))</f>
        <v>Внутренний</v>
      </c>
      <c r="S190" s="26">
        <f>IF(A190="","",IF(L190="Проведён",E190*IF(COUNTIF(Типы,C190)=0,0,VLOOKUP(C190,СПРАВОЧНИКИ!$A$7:$E$22,4,FALSE)),0))</f>
        <v>0</v>
      </c>
      <c r="T190" s="26">
        <f>IF(A190="","",IF(L190="Проведён",E190*IF(COUNTIF(Типы,C190)=0,0,VLOOKUP(C190,СПРАВОЧНИКИ!$A$7:$E$22,5,FALSE)),0))</f>
        <v>0</v>
      </c>
      <c r="U190" s="5" t="str">
        <f>IF(A190="","",IF(COUNTIF(Контрагенты,H190)=0,"Не задан",VLOOKUP(H190,СПРАВОЧНИКИ!$G$7:$H$66,2,FALSE)))</f>
        <v>Не задан</v>
      </c>
      <c r="V190" s="4" t="str">
        <f>IF(A190="",IF(COUNTA(B190:O190)&gt;0,"НЕТ ID",""),IF(OR(AND(OR(C190="Оплата клиента",C190="Возврат клиенту"),COUNTIFS(Docs[ID],J190,Docs[Тип долга],"ДЗ")&lt;&gt;1),AND(OR(C190="Оплата поставщику",C190="Возврат поставщика"),COUNTIFS(Docs[ID],J190,Docs[Тип долга],"КЗ",Docs[Вид],"&lt;&gt;Дивиденды")&lt;&gt;1),AND(C190="Дивиденды",COUNTIFS(Docs[ID],J190,Docs[Вид],"Дивиденды")&lt;&gt;1),AND(C190="Проценты",COUNTIFS(Docs[ID],J190,Docs[Вид],"Проценты")&lt;&gt;1),COUNTIF(Cash[ID],A190)&gt;1,NOT(ISNUMBER(B190)),B190&lt;НачалоУчета,YEAR(B190)&lt;&gt;Год,NOT(ISNUMBER(E190)),E190&lt;=0,N190&lt;0,COUNTIF(Типы,C190)&lt;&gt;1,COUNTIF(Категории,D190)&lt;&gt;1,COUNTIF(Счета,F190)&lt;&gt;1,COUNTIF(Проекты,I190)&lt;&gt;1,AND(H190&lt;&gt;"",COUNTIF(Контрагенты,H190)&lt;&gt;1),AND(C190="Перевод",OR(F190=G190,COUNTIF(Счета,G190)&lt;&gt;1)),AND(S190&lt;&gt;0,COUNTIF(Docs[ID],J190)&lt;&gt;1),AND(Форма="ООО",C190="Вывод ИП"),AND(Форма="ИП",C190="Дивиденды"),AND(L190&lt;&gt;"Проведён",L190&lt;&gt;"Черновик")),"ОШИБКА","ОК"))</f>
        <v>ОК</v>
      </c>
      <c r="W190" s="25">
        <f>IF(A190="","",SUMIF(Accounts[Счёт],F190,Accounts[Начальный])+SUMIFS($Q$7:Q190,$F$7:F190,F190)+SUMIFS($E$7:E190,$G$7:G190,F190,$C$7:C190,"Перевод",$L$7:L190,"Проведён"))</f>
        <v>669262.16000000015</v>
      </c>
    </row>
    <row r="191" spans="1:23" x14ac:dyDescent="0.25">
      <c r="A191" s="3" t="s">
        <v>804</v>
      </c>
      <c r="B191" s="19">
        <v>46263</v>
      </c>
      <c r="C191" s="3" t="s">
        <v>484</v>
      </c>
      <c r="D191" s="3" t="s">
        <v>485</v>
      </c>
      <c r="E191" s="24">
        <v>6720</v>
      </c>
      <c r="F191" s="3" t="s">
        <v>474</v>
      </c>
      <c r="G191" s="3"/>
      <c r="H191" s="3" t="s">
        <v>501</v>
      </c>
      <c r="I191" s="3" t="s">
        <v>382</v>
      </c>
      <c r="J191" s="3" t="s">
        <v>780</v>
      </c>
      <c r="K191" s="3" t="s">
        <v>484</v>
      </c>
      <c r="L191" s="3" t="s">
        <v>476</v>
      </c>
      <c r="M191" s="3"/>
      <c r="N191" s="24">
        <v>0</v>
      </c>
      <c r="O191" s="3"/>
      <c r="P191" s="5">
        <f>IF(A191="","",IF(COUNTIF(Типы,C191)=0,0,VLOOKUP(C191,СПРАВОЧНИКИ!$A$7:$E$22,2,FALSE)))</f>
        <v>1</v>
      </c>
      <c r="Q191" s="25">
        <f t="shared" si="2"/>
        <v>6720</v>
      </c>
      <c r="R191" s="5" t="str">
        <f>IF(A191="","",IF(COUNTIF(Типы,C191)=0,"НЕИЗВЕСТНЫЙ ТИП",VLOOKUP(C191,СПРАВОЧНИКИ!$A$7:$E$22,3,FALSE)))</f>
        <v>Операционный</v>
      </c>
      <c r="S191" s="26">
        <f>IF(A191="","",IF(L191="Проведён",E191*IF(COUNTIF(Типы,C191)=0,0,VLOOKUP(C191,СПРАВОЧНИКИ!$A$7:$E$22,4,FALSE)),0))</f>
        <v>6720</v>
      </c>
      <c r="T191" s="26">
        <f>IF(A191="","",IF(L191="Проведён",E191*IF(COUNTIF(Типы,C191)=0,0,VLOOKUP(C191,СПРАВОЧНИКИ!$A$7:$E$22,5,FALSE)),0))</f>
        <v>6720</v>
      </c>
      <c r="U191" s="5" t="str">
        <f>IF(A191="","",IF(COUNTIF(Контрагенты,H191)=0,"Не задан",VLOOKUP(H191,СПРАВОЧНИКИ!$G$7:$H$66,2,FALSE)))</f>
        <v>ЮЛ</v>
      </c>
      <c r="V191" s="4" t="str">
        <f>IF(A191="",IF(COUNTA(B191:O191)&gt;0,"НЕТ ID",""),IF(OR(AND(OR(C191="Оплата клиента",C191="Возврат клиенту"),COUNTIFS(Docs[ID],J191,Docs[Тип долга],"ДЗ")&lt;&gt;1),AND(OR(C191="Оплата поставщику",C191="Возврат поставщика"),COUNTIFS(Docs[ID],J191,Docs[Тип долга],"КЗ",Docs[Вид],"&lt;&gt;Дивиденды")&lt;&gt;1),AND(C191="Дивиденды",COUNTIFS(Docs[ID],J191,Docs[Вид],"Дивиденды")&lt;&gt;1),AND(C191="Проценты",COUNTIFS(Docs[ID],J191,Docs[Вид],"Проценты")&lt;&gt;1),COUNTIF(Cash[ID],A191)&gt;1,NOT(ISNUMBER(B191)),B191&lt;НачалоУчета,YEAR(B191)&lt;&gt;Год,NOT(ISNUMBER(E191)),E191&lt;=0,N191&lt;0,COUNTIF(Типы,C191)&lt;&gt;1,COUNTIF(Категории,D191)&lt;&gt;1,COUNTIF(Счета,F191)&lt;&gt;1,COUNTIF(Проекты,I191)&lt;&gt;1,AND(H191&lt;&gt;"",COUNTIF(Контрагенты,H191)&lt;&gt;1),AND(C191="Перевод",OR(F191=G191,COUNTIF(Счета,G191)&lt;&gt;1)),AND(S191&lt;&gt;0,COUNTIF(Docs[ID],J191)&lt;&gt;1),AND(Форма="ООО",C191="Вывод ИП"),AND(Форма="ИП",C191="Дивиденды"),AND(L191&lt;&gt;"Проведён",L191&lt;&gt;"Черновик")),"ОШИБКА","ОК"))</f>
        <v>ОК</v>
      </c>
      <c r="W191" s="25">
        <f>IF(A191="","",SUMIF(Accounts[Счёт],F191,Accounts[Начальный])+SUMIFS($Q$7:Q191,$F$7:F191,F191)+SUMIFS($E$7:E191,$G$7:G191,F191,$C$7:C191,"Перевод",$L$7:L191,"Проведён"))</f>
        <v>675982.16000000015</v>
      </c>
    </row>
    <row r="192" spans="1:23" x14ac:dyDescent="0.25">
      <c r="A192" s="3" t="s">
        <v>805</v>
      </c>
      <c r="B192" s="19">
        <v>46277</v>
      </c>
      <c r="C192" s="3" t="s">
        <v>484</v>
      </c>
      <c r="D192" s="3" t="s">
        <v>485</v>
      </c>
      <c r="E192" s="24">
        <v>109200</v>
      </c>
      <c r="F192" s="3" t="s">
        <v>474</v>
      </c>
      <c r="G192" s="3"/>
      <c r="H192" s="3" t="s">
        <v>486</v>
      </c>
      <c r="I192" s="3" t="s">
        <v>381</v>
      </c>
      <c r="J192" s="3" t="s">
        <v>806</v>
      </c>
      <c r="K192" s="3" t="s">
        <v>484</v>
      </c>
      <c r="L192" s="3" t="s">
        <v>476</v>
      </c>
      <c r="M192" s="3"/>
      <c r="N192" s="24">
        <v>0</v>
      </c>
      <c r="O192" s="3"/>
      <c r="P192" s="5">
        <f>IF(A192="","",IF(COUNTIF(Типы,C192)=0,0,VLOOKUP(C192,СПРАВОЧНИКИ!$A$7:$E$22,2,FALSE)))</f>
        <v>1</v>
      </c>
      <c r="Q192" s="25">
        <f t="shared" si="2"/>
        <v>109200</v>
      </c>
      <c r="R192" s="5" t="str">
        <f>IF(A192="","",IF(COUNTIF(Типы,C192)=0,"НЕИЗВЕСТНЫЙ ТИП",VLOOKUP(C192,СПРАВОЧНИКИ!$A$7:$E$22,3,FALSE)))</f>
        <v>Операционный</v>
      </c>
      <c r="S192" s="26">
        <f>IF(A192="","",IF(L192="Проведён",E192*IF(COUNTIF(Типы,C192)=0,0,VLOOKUP(C192,СПРАВОЧНИКИ!$A$7:$E$22,4,FALSE)),0))</f>
        <v>109200</v>
      </c>
      <c r="T192" s="26">
        <f>IF(A192="","",IF(L192="Проведён",E192*IF(COUNTIF(Типы,C192)=0,0,VLOOKUP(C192,СПРАВОЧНИКИ!$A$7:$E$22,5,FALSE)),0))</f>
        <v>109200</v>
      </c>
      <c r="U192" s="5" t="str">
        <f>IF(A192="","",IF(COUNTIF(Контрагенты,H192)=0,"Не задан",VLOOKUP(H192,СПРАВОЧНИКИ!$G$7:$H$66,2,FALSE)))</f>
        <v>ЮЛ</v>
      </c>
      <c r="V192" s="4" t="str">
        <f>IF(A192="",IF(COUNTA(B192:O192)&gt;0,"НЕТ ID",""),IF(OR(AND(OR(C192="Оплата клиента",C192="Возврат клиенту"),COUNTIFS(Docs[ID],J192,Docs[Тип долга],"ДЗ")&lt;&gt;1),AND(OR(C192="Оплата поставщику",C192="Возврат поставщика"),COUNTIFS(Docs[ID],J192,Docs[Тип долга],"КЗ",Docs[Вид],"&lt;&gt;Дивиденды")&lt;&gt;1),AND(C192="Дивиденды",COUNTIFS(Docs[ID],J192,Docs[Вид],"Дивиденды")&lt;&gt;1),AND(C192="Проценты",COUNTIFS(Docs[ID],J192,Docs[Вид],"Проценты")&lt;&gt;1),COUNTIF(Cash[ID],A192)&gt;1,NOT(ISNUMBER(B192)),B192&lt;НачалоУчета,YEAR(B192)&lt;&gt;Год,NOT(ISNUMBER(E192)),E192&lt;=0,N192&lt;0,COUNTIF(Типы,C192)&lt;&gt;1,COUNTIF(Категории,D192)&lt;&gt;1,COUNTIF(Счета,F192)&lt;&gt;1,COUNTIF(Проекты,I192)&lt;&gt;1,AND(H192&lt;&gt;"",COUNTIF(Контрагенты,H192)&lt;&gt;1),AND(C192="Перевод",OR(F192=G192,COUNTIF(Счета,G192)&lt;&gt;1)),AND(S192&lt;&gt;0,COUNTIF(Docs[ID],J192)&lt;&gt;1),AND(Форма="ООО",C192="Вывод ИП"),AND(Форма="ИП",C192="Дивиденды"),AND(L192&lt;&gt;"Проведён",L192&lt;&gt;"Черновик")),"ОШИБКА","ОК"))</f>
        <v>ОК</v>
      </c>
      <c r="W192" s="25">
        <f>IF(A192="","",SUMIF(Accounts[Счёт],F192,Accounts[Начальный])+SUMIFS($Q$7:Q192,$F$7:F192,F192)+SUMIFS($E$7:E192,$G$7:G192,F192,$C$7:C192,"Перевод",$L$7:L192,"Проведён"))</f>
        <v>785182.16000000015</v>
      </c>
    </row>
    <row r="193" spans="1:23" x14ac:dyDescent="0.25">
      <c r="A193" s="3" t="s">
        <v>807</v>
      </c>
      <c r="B193" s="19">
        <v>46278</v>
      </c>
      <c r="C193" s="3" t="s">
        <v>484</v>
      </c>
      <c r="D193" s="3" t="s">
        <v>485</v>
      </c>
      <c r="E193" s="24">
        <v>85800</v>
      </c>
      <c r="F193" s="3" t="s">
        <v>474</v>
      </c>
      <c r="G193" s="3"/>
      <c r="H193" s="3" t="s">
        <v>489</v>
      </c>
      <c r="I193" s="3" t="s">
        <v>298</v>
      </c>
      <c r="J193" s="3" t="s">
        <v>808</v>
      </c>
      <c r="K193" s="3" t="s">
        <v>484</v>
      </c>
      <c r="L193" s="3" t="s">
        <v>476</v>
      </c>
      <c r="M193" s="3"/>
      <c r="N193" s="24">
        <v>0</v>
      </c>
      <c r="O193" s="3"/>
      <c r="P193" s="5">
        <f>IF(A193="","",IF(COUNTIF(Типы,C193)=0,0,VLOOKUP(C193,СПРАВОЧНИКИ!$A$7:$E$22,2,FALSE)))</f>
        <v>1</v>
      </c>
      <c r="Q193" s="25">
        <f t="shared" si="2"/>
        <v>85800</v>
      </c>
      <c r="R193" s="5" t="str">
        <f>IF(A193="","",IF(COUNTIF(Типы,C193)=0,"НЕИЗВЕСТНЫЙ ТИП",VLOOKUP(C193,СПРАВОЧНИКИ!$A$7:$E$22,3,FALSE)))</f>
        <v>Операционный</v>
      </c>
      <c r="S193" s="26">
        <f>IF(A193="","",IF(L193="Проведён",E193*IF(COUNTIF(Типы,C193)=0,0,VLOOKUP(C193,СПРАВОЧНИКИ!$A$7:$E$22,4,FALSE)),0))</f>
        <v>85800</v>
      </c>
      <c r="T193" s="26">
        <f>IF(A193="","",IF(L193="Проведён",E193*IF(COUNTIF(Типы,C193)=0,0,VLOOKUP(C193,СПРАВОЧНИКИ!$A$7:$E$22,5,FALSE)),0))</f>
        <v>85800</v>
      </c>
      <c r="U193" s="5" t="str">
        <f>IF(A193="","",IF(COUNTIF(Контрагенты,H193)=0,"Не задан",VLOOKUP(H193,СПРАВОЧНИКИ!$G$7:$H$66,2,FALSE)))</f>
        <v>ЮЛ</v>
      </c>
      <c r="V193" s="4" t="str">
        <f>IF(A193="",IF(COUNTA(B193:O193)&gt;0,"НЕТ ID",""),IF(OR(AND(OR(C193="Оплата клиента",C193="Возврат клиенту"),COUNTIFS(Docs[ID],J193,Docs[Тип долга],"ДЗ")&lt;&gt;1),AND(OR(C193="Оплата поставщику",C193="Возврат поставщика"),COUNTIFS(Docs[ID],J193,Docs[Тип долга],"КЗ",Docs[Вид],"&lt;&gt;Дивиденды")&lt;&gt;1),AND(C193="Дивиденды",COUNTIFS(Docs[ID],J193,Docs[Вид],"Дивиденды")&lt;&gt;1),AND(C193="Проценты",COUNTIFS(Docs[ID],J193,Docs[Вид],"Проценты")&lt;&gt;1),COUNTIF(Cash[ID],A193)&gt;1,NOT(ISNUMBER(B193)),B193&lt;НачалоУчета,YEAR(B193)&lt;&gt;Год,NOT(ISNUMBER(E193)),E193&lt;=0,N193&lt;0,COUNTIF(Типы,C193)&lt;&gt;1,COUNTIF(Категории,D193)&lt;&gt;1,COUNTIF(Счета,F193)&lt;&gt;1,COUNTIF(Проекты,I193)&lt;&gt;1,AND(H193&lt;&gt;"",COUNTIF(Контрагенты,H193)&lt;&gt;1),AND(C193="Перевод",OR(F193=G193,COUNTIF(Счета,G193)&lt;&gt;1)),AND(S193&lt;&gt;0,COUNTIF(Docs[ID],J193)&lt;&gt;1),AND(Форма="ООО",C193="Вывод ИП"),AND(Форма="ИП",C193="Дивиденды"),AND(L193&lt;&gt;"Проведён",L193&lt;&gt;"Черновик")),"ОШИБКА","ОК"))</f>
        <v>ОК</v>
      </c>
      <c r="W193" s="25">
        <f>IF(A193="","",SUMIF(Accounts[Счёт],F193,Accounts[Начальный])+SUMIFS($Q$7:Q193,$F$7:F193,F193)+SUMIFS($E$7:E193,$G$7:G193,F193,$C$7:C193,"Перевод",$L$7:L193,"Проведён"))</f>
        <v>870982.16000000015</v>
      </c>
    </row>
    <row r="194" spans="1:23" x14ac:dyDescent="0.25">
      <c r="A194" s="3" t="s">
        <v>809</v>
      </c>
      <c r="B194" s="19">
        <v>46279</v>
      </c>
      <c r="C194" s="3" t="s">
        <v>484</v>
      </c>
      <c r="D194" s="3" t="s">
        <v>485</v>
      </c>
      <c r="E194" s="24">
        <v>70200</v>
      </c>
      <c r="F194" s="3" t="s">
        <v>474</v>
      </c>
      <c r="G194" s="3"/>
      <c r="H194" s="3" t="s">
        <v>492</v>
      </c>
      <c r="I194" s="3" t="s">
        <v>382</v>
      </c>
      <c r="J194" s="3" t="s">
        <v>810</v>
      </c>
      <c r="K194" s="3" t="s">
        <v>484</v>
      </c>
      <c r="L194" s="3" t="s">
        <v>476</v>
      </c>
      <c r="M194" s="3"/>
      <c r="N194" s="24">
        <v>0</v>
      </c>
      <c r="O194" s="3"/>
      <c r="P194" s="5">
        <f>IF(A194="","",IF(COUNTIF(Типы,C194)=0,0,VLOOKUP(C194,СПРАВОЧНИКИ!$A$7:$E$22,2,FALSE)))</f>
        <v>1</v>
      </c>
      <c r="Q194" s="25">
        <f t="shared" si="2"/>
        <v>70200</v>
      </c>
      <c r="R194" s="5" t="str">
        <f>IF(A194="","",IF(COUNTIF(Типы,C194)=0,"НЕИЗВЕСТНЫЙ ТИП",VLOOKUP(C194,СПРАВОЧНИКИ!$A$7:$E$22,3,FALSE)))</f>
        <v>Операционный</v>
      </c>
      <c r="S194" s="26">
        <f>IF(A194="","",IF(L194="Проведён",E194*IF(COUNTIF(Типы,C194)=0,0,VLOOKUP(C194,СПРАВОЧНИКИ!$A$7:$E$22,4,FALSE)),0))</f>
        <v>70200</v>
      </c>
      <c r="T194" s="26">
        <f>IF(A194="","",IF(L194="Проведён",E194*IF(COUNTIF(Типы,C194)=0,0,VLOOKUP(C194,СПРАВОЧНИКИ!$A$7:$E$22,5,FALSE)),0))</f>
        <v>70200</v>
      </c>
      <c r="U194" s="5" t="str">
        <f>IF(A194="","",IF(COUNTIF(Контрагенты,H194)=0,"Не задан",VLOOKUP(H194,СПРАВОЧНИКИ!$G$7:$H$66,2,FALSE)))</f>
        <v>ИП</v>
      </c>
      <c r="V194" s="4" t="str">
        <f>IF(A194="",IF(COUNTA(B194:O194)&gt;0,"НЕТ ID",""),IF(OR(AND(OR(C194="Оплата клиента",C194="Возврат клиенту"),COUNTIFS(Docs[ID],J194,Docs[Тип долга],"ДЗ")&lt;&gt;1),AND(OR(C194="Оплата поставщику",C194="Возврат поставщика"),COUNTIFS(Docs[ID],J194,Docs[Тип долга],"КЗ",Docs[Вид],"&lt;&gt;Дивиденды")&lt;&gt;1),AND(C194="Дивиденды",COUNTIFS(Docs[ID],J194,Docs[Вид],"Дивиденды")&lt;&gt;1),AND(C194="Проценты",COUNTIFS(Docs[ID],J194,Docs[Вид],"Проценты")&lt;&gt;1),COUNTIF(Cash[ID],A194)&gt;1,NOT(ISNUMBER(B194)),B194&lt;НачалоУчета,YEAR(B194)&lt;&gt;Год,NOT(ISNUMBER(E194)),E194&lt;=0,N194&lt;0,COUNTIF(Типы,C194)&lt;&gt;1,COUNTIF(Категории,D194)&lt;&gt;1,COUNTIF(Счета,F194)&lt;&gt;1,COUNTIF(Проекты,I194)&lt;&gt;1,AND(H194&lt;&gt;"",COUNTIF(Контрагенты,H194)&lt;&gt;1),AND(C194="Перевод",OR(F194=G194,COUNTIF(Счета,G194)&lt;&gt;1)),AND(S194&lt;&gt;0,COUNTIF(Docs[ID],J194)&lt;&gt;1),AND(Форма="ООО",C194="Вывод ИП"),AND(Форма="ИП",C194="Дивиденды"),AND(L194&lt;&gt;"Проведён",L194&lt;&gt;"Черновик")),"ОШИБКА","ОК"))</f>
        <v>ОК</v>
      </c>
      <c r="W194" s="25">
        <f>IF(A194="","",SUMIF(Accounts[Счёт],F194,Accounts[Начальный])+SUMIFS($Q$7:Q194,$F$7:F194,F194)+SUMIFS($E$7:E194,$G$7:G194,F194,$C$7:C194,"Перевод",$L$7:L194,"Проведён"))</f>
        <v>941182.16000000015</v>
      </c>
    </row>
    <row r="195" spans="1:23" x14ac:dyDescent="0.25">
      <c r="A195" s="3" t="s">
        <v>811</v>
      </c>
      <c r="B195" s="19">
        <v>46280</v>
      </c>
      <c r="C195" s="3" t="s">
        <v>484</v>
      </c>
      <c r="D195" s="3" t="s">
        <v>485</v>
      </c>
      <c r="E195" s="24">
        <v>54600</v>
      </c>
      <c r="F195" s="3" t="s">
        <v>474</v>
      </c>
      <c r="G195" s="3"/>
      <c r="H195" s="3" t="s">
        <v>495</v>
      </c>
      <c r="I195" s="3" t="s">
        <v>381</v>
      </c>
      <c r="J195" s="3" t="s">
        <v>812</v>
      </c>
      <c r="K195" s="3" t="s">
        <v>484</v>
      </c>
      <c r="L195" s="3" t="s">
        <v>476</v>
      </c>
      <c r="M195" s="3"/>
      <c r="N195" s="24">
        <v>0</v>
      </c>
      <c r="O195" s="3"/>
      <c r="P195" s="5">
        <f>IF(A195="","",IF(COUNTIF(Типы,C195)=0,0,VLOOKUP(C195,СПРАВОЧНИКИ!$A$7:$E$22,2,FALSE)))</f>
        <v>1</v>
      </c>
      <c r="Q195" s="25">
        <f t="shared" si="2"/>
        <v>54600</v>
      </c>
      <c r="R195" s="5" t="str">
        <f>IF(A195="","",IF(COUNTIF(Типы,C195)=0,"НЕИЗВЕСТНЫЙ ТИП",VLOOKUP(C195,СПРАВОЧНИКИ!$A$7:$E$22,3,FALSE)))</f>
        <v>Операционный</v>
      </c>
      <c r="S195" s="26">
        <f>IF(A195="","",IF(L195="Проведён",E195*IF(COUNTIF(Типы,C195)=0,0,VLOOKUP(C195,СПРАВОЧНИКИ!$A$7:$E$22,4,FALSE)),0))</f>
        <v>54600</v>
      </c>
      <c r="T195" s="26">
        <f>IF(A195="","",IF(L195="Проведён",E195*IF(COUNTIF(Типы,C195)=0,0,VLOOKUP(C195,СПРАВОЧНИКИ!$A$7:$E$22,5,FALSE)),0))</f>
        <v>54600</v>
      </c>
      <c r="U195" s="5" t="str">
        <f>IF(A195="","",IF(COUNTIF(Контрагенты,H195)=0,"Не задан",VLOOKUP(H195,СПРАВОЧНИКИ!$G$7:$H$66,2,FALSE)))</f>
        <v>ЮЛ</v>
      </c>
      <c r="V195" s="4" t="str">
        <f>IF(A195="",IF(COUNTA(B195:O195)&gt;0,"НЕТ ID",""),IF(OR(AND(OR(C195="Оплата клиента",C195="Возврат клиенту"),COUNTIFS(Docs[ID],J195,Docs[Тип долга],"ДЗ")&lt;&gt;1),AND(OR(C195="Оплата поставщику",C195="Возврат поставщика"),COUNTIFS(Docs[ID],J195,Docs[Тип долга],"КЗ",Docs[Вид],"&lt;&gt;Дивиденды")&lt;&gt;1),AND(C195="Дивиденды",COUNTIFS(Docs[ID],J195,Docs[Вид],"Дивиденды")&lt;&gt;1),AND(C195="Проценты",COUNTIFS(Docs[ID],J195,Docs[Вид],"Проценты")&lt;&gt;1),COUNTIF(Cash[ID],A195)&gt;1,NOT(ISNUMBER(B195)),B195&lt;НачалоУчета,YEAR(B195)&lt;&gt;Год,NOT(ISNUMBER(E195)),E195&lt;=0,N195&lt;0,COUNTIF(Типы,C195)&lt;&gt;1,COUNTIF(Категории,D195)&lt;&gt;1,COUNTIF(Счета,F195)&lt;&gt;1,COUNTIF(Проекты,I195)&lt;&gt;1,AND(H195&lt;&gt;"",COUNTIF(Контрагенты,H195)&lt;&gt;1),AND(C195="Перевод",OR(F195=G195,COUNTIF(Счета,G195)&lt;&gt;1)),AND(S195&lt;&gt;0,COUNTIF(Docs[ID],J195)&lt;&gt;1),AND(Форма="ООО",C195="Вывод ИП"),AND(Форма="ИП",C195="Дивиденды"),AND(L195&lt;&gt;"Проведён",L195&lt;&gt;"Черновик")),"ОШИБКА","ОК"))</f>
        <v>ОК</v>
      </c>
      <c r="W195" s="25">
        <f>IF(A195="","",SUMIF(Accounts[Счёт],F195,Accounts[Начальный])+SUMIFS($Q$7:Q195,$F$7:F195,F195)+SUMIFS($E$7:E195,$G$7:G195,F195,$C$7:C195,"Перевод",$L$7:L195,"Проведён"))</f>
        <v>995782.16000000015</v>
      </c>
    </row>
    <row r="196" spans="1:23" x14ac:dyDescent="0.25">
      <c r="A196" s="3" t="s">
        <v>813</v>
      </c>
      <c r="B196" s="19">
        <v>46281</v>
      </c>
      <c r="C196" s="3" t="s">
        <v>484</v>
      </c>
      <c r="D196" s="3" t="s">
        <v>485</v>
      </c>
      <c r="E196" s="24">
        <v>39000</v>
      </c>
      <c r="F196" s="3" t="s">
        <v>474</v>
      </c>
      <c r="G196" s="3"/>
      <c r="H196" s="3" t="s">
        <v>498</v>
      </c>
      <c r="I196" s="3" t="s">
        <v>298</v>
      </c>
      <c r="J196" s="3" t="s">
        <v>814</v>
      </c>
      <c r="K196" s="3" t="s">
        <v>484</v>
      </c>
      <c r="L196" s="3" t="s">
        <v>476</v>
      </c>
      <c r="M196" s="3"/>
      <c r="N196" s="24">
        <v>0</v>
      </c>
      <c r="O196" s="3"/>
      <c r="P196" s="5">
        <f>IF(A196="","",IF(COUNTIF(Типы,C196)=0,0,VLOOKUP(C196,СПРАВОЧНИКИ!$A$7:$E$22,2,FALSE)))</f>
        <v>1</v>
      </c>
      <c r="Q196" s="25">
        <f t="shared" si="2"/>
        <v>39000</v>
      </c>
      <c r="R196" s="5" t="str">
        <f>IF(A196="","",IF(COUNTIF(Типы,C196)=0,"НЕИЗВЕСТНЫЙ ТИП",VLOOKUP(C196,СПРАВОЧНИКИ!$A$7:$E$22,3,FALSE)))</f>
        <v>Операционный</v>
      </c>
      <c r="S196" s="26">
        <f>IF(A196="","",IF(L196="Проведён",E196*IF(COUNTIF(Типы,C196)=0,0,VLOOKUP(C196,СПРАВОЧНИКИ!$A$7:$E$22,4,FALSE)),0))</f>
        <v>39000</v>
      </c>
      <c r="T196" s="26">
        <f>IF(A196="","",IF(L196="Проведён",E196*IF(COUNTIF(Типы,C196)=0,0,VLOOKUP(C196,СПРАВОЧНИКИ!$A$7:$E$22,5,FALSE)),0))</f>
        <v>39000</v>
      </c>
      <c r="U196" s="5" t="str">
        <f>IF(A196="","",IF(COUNTIF(Контрагенты,H196)=0,"Не задан",VLOOKUP(H196,СПРАВОЧНИКИ!$G$7:$H$66,2,FALSE)))</f>
        <v>ФЛ</v>
      </c>
      <c r="V196" s="4" t="str">
        <f>IF(A196="",IF(COUNTA(B196:O196)&gt;0,"НЕТ ID",""),IF(OR(AND(OR(C196="Оплата клиента",C196="Возврат клиенту"),COUNTIFS(Docs[ID],J196,Docs[Тип долга],"ДЗ")&lt;&gt;1),AND(OR(C196="Оплата поставщику",C196="Возврат поставщика"),COUNTIFS(Docs[ID],J196,Docs[Тип долга],"КЗ",Docs[Вид],"&lt;&gt;Дивиденды")&lt;&gt;1),AND(C196="Дивиденды",COUNTIFS(Docs[ID],J196,Docs[Вид],"Дивиденды")&lt;&gt;1),AND(C196="Проценты",COUNTIFS(Docs[ID],J196,Docs[Вид],"Проценты")&lt;&gt;1),COUNTIF(Cash[ID],A196)&gt;1,NOT(ISNUMBER(B196)),B196&lt;НачалоУчета,YEAR(B196)&lt;&gt;Год,NOT(ISNUMBER(E196)),E196&lt;=0,N196&lt;0,COUNTIF(Типы,C196)&lt;&gt;1,COUNTIF(Категории,D196)&lt;&gt;1,COUNTIF(Счета,F196)&lt;&gt;1,COUNTIF(Проекты,I196)&lt;&gt;1,AND(H196&lt;&gt;"",COUNTIF(Контрагенты,H196)&lt;&gt;1),AND(C196="Перевод",OR(F196=G196,COUNTIF(Счета,G196)&lt;&gt;1)),AND(S196&lt;&gt;0,COUNTIF(Docs[ID],J196)&lt;&gt;1),AND(Форма="ООО",C196="Вывод ИП"),AND(Форма="ИП",C196="Дивиденды"),AND(L196&lt;&gt;"Проведён",L196&lt;&gt;"Черновик")),"ОШИБКА","ОК"))</f>
        <v>ОК</v>
      </c>
      <c r="W196" s="25">
        <f>IF(A196="","",SUMIF(Accounts[Счёт],F196,Accounts[Начальный])+SUMIFS($Q$7:Q196,$F$7:F196,F196)+SUMIFS($E$7:E196,$G$7:G196,F196,$C$7:C196,"Перевод",$L$7:L196,"Проведён"))</f>
        <v>1034782.1600000001</v>
      </c>
    </row>
    <row r="197" spans="1:23" x14ac:dyDescent="0.25">
      <c r="A197" s="3" t="s">
        <v>815</v>
      </c>
      <c r="B197" s="19">
        <v>46282</v>
      </c>
      <c r="C197" s="3" t="s">
        <v>484</v>
      </c>
      <c r="D197" s="3" t="s">
        <v>485</v>
      </c>
      <c r="E197" s="24">
        <v>31200</v>
      </c>
      <c r="F197" s="3" t="s">
        <v>474</v>
      </c>
      <c r="G197" s="3"/>
      <c r="H197" s="3" t="s">
        <v>501</v>
      </c>
      <c r="I197" s="3" t="s">
        <v>382</v>
      </c>
      <c r="J197" s="3" t="s">
        <v>816</v>
      </c>
      <c r="K197" s="3" t="s">
        <v>484</v>
      </c>
      <c r="L197" s="3" t="s">
        <v>476</v>
      </c>
      <c r="M197" s="3"/>
      <c r="N197" s="24">
        <v>0</v>
      </c>
      <c r="O197" s="3"/>
      <c r="P197" s="5">
        <f>IF(A197="","",IF(COUNTIF(Типы,C197)=0,0,VLOOKUP(C197,СПРАВОЧНИКИ!$A$7:$E$22,2,FALSE)))</f>
        <v>1</v>
      </c>
      <c r="Q197" s="25">
        <f t="shared" si="2"/>
        <v>31200</v>
      </c>
      <c r="R197" s="5" t="str">
        <f>IF(A197="","",IF(COUNTIF(Типы,C197)=0,"НЕИЗВЕСТНЫЙ ТИП",VLOOKUP(C197,СПРАВОЧНИКИ!$A$7:$E$22,3,FALSE)))</f>
        <v>Операционный</v>
      </c>
      <c r="S197" s="26">
        <f>IF(A197="","",IF(L197="Проведён",E197*IF(COUNTIF(Типы,C197)=0,0,VLOOKUP(C197,СПРАВОЧНИКИ!$A$7:$E$22,4,FALSE)),0))</f>
        <v>31200</v>
      </c>
      <c r="T197" s="26">
        <f>IF(A197="","",IF(L197="Проведён",E197*IF(COUNTIF(Типы,C197)=0,0,VLOOKUP(C197,СПРАВОЧНИКИ!$A$7:$E$22,5,FALSE)),0))</f>
        <v>31200</v>
      </c>
      <c r="U197" s="5" t="str">
        <f>IF(A197="","",IF(COUNTIF(Контрагенты,H197)=0,"Не задан",VLOOKUP(H197,СПРАВОЧНИКИ!$G$7:$H$66,2,FALSE)))</f>
        <v>ЮЛ</v>
      </c>
      <c r="V197" s="4" t="str">
        <f>IF(A197="",IF(COUNTA(B197:O197)&gt;0,"НЕТ ID",""),IF(OR(AND(OR(C197="Оплата клиента",C197="Возврат клиенту"),COUNTIFS(Docs[ID],J197,Docs[Тип долга],"ДЗ")&lt;&gt;1),AND(OR(C197="Оплата поставщику",C197="Возврат поставщика"),COUNTIFS(Docs[ID],J197,Docs[Тип долга],"КЗ",Docs[Вид],"&lt;&gt;Дивиденды")&lt;&gt;1),AND(C197="Дивиденды",COUNTIFS(Docs[ID],J197,Docs[Вид],"Дивиденды")&lt;&gt;1),AND(C197="Проценты",COUNTIFS(Docs[ID],J197,Docs[Вид],"Проценты")&lt;&gt;1),COUNTIF(Cash[ID],A197)&gt;1,NOT(ISNUMBER(B197)),B197&lt;НачалоУчета,YEAR(B197)&lt;&gt;Год,NOT(ISNUMBER(E197)),E197&lt;=0,N197&lt;0,COUNTIF(Типы,C197)&lt;&gt;1,COUNTIF(Категории,D197)&lt;&gt;1,COUNTIF(Счета,F197)&lt;&gt;1,COUNTIF(Проекты,I197)&lt;&gt;1,AND(H197&lt;&gt;"",COUNTIF(Контрагенты,H197)&lt;&gt;1),AND(C197="Перевод",OR(F197=G197,COUNTIF(Счета,G197)&lt;&gt;1)),AND(S197&lt;&gt;0,COUNTIF(Docs[ID],J197)&lt;&gt;1),AND(Форма="ООО",C197="Вывод ИП"),AND(Форма="ИП",C197="Дивиденды"),AND(L197&lt;&gt;"Проведён",L197&lt;&gt;"Черновик")),"ОШИБКА","ОК"))</f>
        <v>ОК</v>
      </c>
      <c r="W197" s="25">
        <f>IF(A197="","",SUMIF(Accounts[Счёт],F197,Accounts[Начальный])+SUMIFS($Q$7:Q197,$F$7:F197,F197)+SUMIFS($E$7:E197,$G$7:G197,F197,$C$7:C197,"Перевод",$L$7:L197,"Проведён"))</f>
        <v>1065982.1600000001</v>
      </c>
    </row>
    <row r="198" spans="1:23" x14ac:dyDescent="0.25">
      <c r="A198" s="3" t="s">
        <v>817</v>
      </c>
      <c r="B198" s="19">
        <v>46287</v>
      </c>
      <c r="C198" s="3" t="s">
        <v>504</v>
      </c>
      <c r="D198" s="3" t="s">
        <v>505</v>
      </c>
      <c r="E198" s="24">
        <v>208000</v>
      </c>
      <c r="F198" s="3" t="s">
        <v>474</v>
      </c>
      <c r="G198" s="3"/>
      <c r="H198" s="3" t="s">
        <v>506</v>
      </c>
      <c r="I198" s="3" t="s">
        <v>298</v>
      </c>
      <c r="J198" s="3" t="s">
        <v>818</v>
      </c>
      <c r="K198" s="3" t="s">
        <v>504</v>
      </c>
      <c r="L198" s="3" t="s">
        <v>476</v>
      </c>
      <c r="M198" s="3"/>
      <c r="N198" s="24">
        <v>208000</v>
      </c>
      <c r="O198" s="3"/>
      <c r="P198" s="5">
        <f>IF(A198="","",IF(COUNTIF(Типы,C198)=0,0,VLOOKUP(C198,СПРАВОЧНИКИ!$A$7:$E$22,2,FALSE)))</f>
        <v>-1</v>
      </c>
      <c r="Q198" s="25">
        <f t="shared" si="2"/>
        <v>-208000</v>
      </c>
      <c r="R198" s="5" t="str">
        <f>IF(A198="","",IF(COUNTIF(Типы,C198)=0,"НЕИЗВЕСТНЫЙ ТИП",VLOOKUP(C198,СПРАВОЧНИКИ!$A$7:$E$22,3,FALSE)))</f>
        <v>Операционный</v>
      </c>
      <c r="S198" s="26">
        <f>IF(A198="","",IF(L198="Проведён",E198*IF(COUNTIF(Типы,C198)=0,0,VLOOKUP(C198,СПРАВОЧНИКИ!$A$7:$E$22,4,FALSE)),0))</f>
        <v>208000</v>
      </c>
      <c r="T198" s="26">
        <f>IF(A198="","",IF(L198="Проведён",E198*IF(COUNTIF(Типы,C198)=0,0,VLOOKUP(C198,СПРАВОЧНИКИ!$A$7:$E$22,5,FALSE)),0))</f>
        <v>0</v>
      </c>
      <c r="U198" s="5" t="str">
        <f>IF(A198="","",IF(COUNTIF(Контрагенты,H198)=0,"Не задан",VLOOKUP(H198,СПРАВОЧНИКИ!$G$7:$H$66,2,FALSE)))</f>
        <v>ИП</v>
      </c>
      <c r="V198" s="4" t="str">
        <f>IF(A198="",IF(COUNTA(B198:O198)&gt;0,"НЕТ ID",""),IF(OR(AND(OR(C198="Оплата клиента",C198="Возврат клиенту"),COUNTIFS(Docs[ID],J198,Docs[Тип долга],"ДЗ")&lt;&gt;1),AND(OR(C198="Оплата поставщику",C198="Возврат поставщика"),COUNTIFS(Docs[ID],J198,Docs[Тип долга],"КЗ",Docs[Вид],"&lt;&gt;Дивиденды")&lt;&gt;1),AND(C198="Дивиденды",COUNTIFS(Docs[ID],J198,Docs[Вид],"Дивиденды")&lt;&gt;1),AND(C198="Проценты",COUNTIFS(Docs[ID],J198,Docs[Вид],"Проценты")&lt;&gt;1),COUNTIF(Cash[ID],A198)&gt;1,NOT(ISNUMBER(B198)),B198&lt;НачалоУчета,YEAR(B198)&lt;&gt;Год,NOT(ISNUMBER(E198)),E198&lt;=0,N198&lt;0,COUNTIF(Типы,C198)&lt;&gt;1,COUNTIF(Категории,D198)&lt;&gt;1,COUNTIF(Счета,F198)&lt;&gt;1,COUNTIF(Проекты,I198)&lt;&gt;1,AND(H198&lt;&gt;"",COUNTIF(Контрагенты,H198)&lt;&gt;1),AND(C198="Перевод",OR(F198=G198,COUNTIF(Счета,G198)&lt;&gt;1)),AND(S198&lt;&gt;0,COUNTIF(Docs[ID],J198)&lt;&gt;1),AND(Форма="ООО",C198="Вывод ИП"),AND(Форма="ИП",C198="Дивиденды"),AND(L198&lt;&gt;"Проведён",L198&lt;&gt;"Черновик")),"ОШИБКА","ОК"))</f>
        <v>ОК</v>
      </c>
      <c r="W198" s="25">
        <f>IF(A198="","",SUMIF(Accounts[Счёт],F198,Accounts[Начальный])+SUMIFS($Q$7:Q198,$F$7:F198,F198)+SUMIFS($E$7:E198,$G$7:G198,F198,$C$7:C198,"Перевод",$L$7:L198,"Проведён"))</f>
        <v>857982.16000000015</v>
      </c>
    </row>
    <row r="199" spans="1:23" x14ac:dyDescent="0.25">
      <c r="A199" s="3" t="s">
        <v>819</v>
      </c>
      <c r="B199" s="19">
        <v>46288</v>
      </c>
      <c r="C199" s="3" t="s">
        <v>504</v>
      </c>
      <c r="D199" s="3" t="s">
        <v>509</v>
      </c>
      <c r="E199" s="24">
        <v>65000</v>
      </c>
      <c r="F199" s="3" t="s">
        <v>474</v>
      </c>
      <c r="G199" s="3"/>
      <c r="H199" s="3" t="s">
        <v>510</v>
      </c>
      <c r="I199" s="3" t="s">
        <v>383</v>
      </c>
      <c r="J199" s="3" t="s">
        <v>820</v>
      </c>
      <c r="K199" s="3" t="s">
        <v>504</v>
      </c>
      <c r="L199" s="3" t="s">
        <v>476</v>
      </c>
      <c r="M199" s="3"/>
      <c r="N199" s="24">
        <v>65000</v>
      </c>
      <c r="O199" s="3"/>
      <c r="P199" s="5">
        <f>IF(A199="","",IF(COUNTIF(Типы,C199)=0,0,VLOOKUP(C199,СПРАВОЧНИКИ!$A$7:$E$22,2,FALSE)))</f>
        <v>-1</v>
      </c>
      <c r="Q199" s="25">
        <f t="shared" ref="Q199:Q262" si="3">IF(A199="","",IF(L199="Проведён",E199*P199,0))</f>
        <v>-65000</v>
      </c>
      <c r="R199" s="5" t="str">
        <f>IF(A199="","",IF(COUNTIF(Типы,C199)=0,"НЕИЗВЕСТНЫЙ ТИП",VLOOKUP(C199,СПРАВОЧНИКИ!$A$7:$E$22,3,FALSE)))</f>
        <v>Операционный</v>
      </c>
      <c r="S199" s="26">
        <f>IF(A199="","",IF(L199="Проведён",E199*IF(COUNTIF(Типы,C199)=0,0,VLOOKUP(C199,СПРАВОЧНИКИ!$A$7:$E$22,4,FALSE)),0))</f>
        <v>65000</v>
      </c>
      <c r="T199" s="26">
        <f>IF(A199="","",IF(L199="Проведён",E199*IF(COUNTIF(Типы,C199)=0,0,VLOOKUP(C199,СПРАВОЧНИКИ!$A$7:$E$22,5,FALSE)),0))</f>
        <v>0</v>
      </c>
      <c r="U199" s="5" t="str">
        <f>IF(A199="","",IF(COUNTIF(Контрагенты,H199)=0,"Не задан",VLOOKUP(H199,СПРАВОЧНИКИ!$G$7:$H$66,2,FALSE)))</f>
        <v>ЮЛ</v>
      </c>
      <c r="V199" s="4" t="str">
        <f>IF(A199="",IF(COUNTA(B199:O199)&gt;0,"НЕТ ID",""),IF(OR(AND(OR(C199="Оплата клиента",C199="Возврат клиенту"),COUNTIFS(Docs[ID],J199,Docs[Тип долга],"ДЗ")&lt;&gt;1),AND(OR(C199="Оплата поставщику",C199="Возврат поставщика"),COUNTIFS(Docs[ID],J199,Docs[Тип долга],"КЗ",Docs[Вид],"&lt;&gt;Дивиденды")&lt;&gt;1),AND(C199="Дивиденды",COUNTIFS(Docs[ID],J199,Docs[Вид],"Дивиденды")&lt;&gt;1),AND(C199="Проценты",COUNTIFS(Docs[ID],J199,Docs[Вид],"Проценты")&lt;&gt;1),COUNTIF(Cash[ID],A199)&gt;1,NOT(ISNUMBER(B199)),B199&lt;НачалоУчета,YEAR(B199)&lt;&gt;Год,NOT(ISNUMBER(E199)),E199&lt;=0,N199&lt;0,COUNTIF(Типы,C199)&lt;&gt;1,COUNTIF(Категории,D199)&lt;&gt;1,COUNTIF(Счета,F199)&lt;&gt;1,COUNTIF(Проекты,I199)&lt;&gt;1,AND(H199&lt;&gt;"",COUNTIF(Контрагенты,H199)&lt;&gt;1),AND(C199="Перевод",OR(F199=G199,COUNTIF(Счета,G199)&lt;&gt;1)),AND(S199&lt;&gt;0,COUNTIF(Docs[ID],J199)&lt;&gt;1),AND(Форма="ООО",C199="Вывод ИП"),AND(Форма="ИП",C199="Дивиденды"),AND(L199&lt;&gt;"Проведён",L199&lt;&gt;"Черновик")),"ОШИБКА","ОК"))</f>
        <v>ОК</v>
      </c>
      <c r="W199" s="25">
        <f>IF(A199="","",SUMIF(Accounts[Счёт],F199,Accounts[Начальный])+SUMIFS($Q$7:Q199,$F$7:F199,F199)+SUMIFS($E$7:E199,$G$7:G199,F199,$C$7:C199,"Перевод",$L$7:L199,"Проведён"))</f>
        <v>792982.16000000015</v>
      </c>
    </row>
    <row r="200" spans="1:23" x14ac:dyDescent="0.25">
      <c r="A200" s="3" t="s">
        <v>821</v>
      </c>
      <c r="B200" s="19">
        <v>46289</v>
      </c>
      <c r="C200" s="3" t="s">
        <v>484</v>
      </c>
      <c r="D200" s="3" t="s">
        <v>485</v>
      </c>
      <c r="E200" s="24">
        <v>72800</v>
      </c>
      <c r="F200" s="3" t="s">
        <v>474</v>
      </c>
      <c r="G200" s="3"/>
      <c r="H200" s="3" t="s">
        <v>486</v>
      </c>
      <c r="I200" s="3" t="s">
        <v>381</v>
      </c>
      <c r="J200" s="3" t="s">
        <v>806</v>
      </c>
      <c r="K200" s="3" t="s">
        <v>484</v>
      </c>
      <c r="L200" s="3" t="s">
        <v>476</v>
      </c>
      <c r="M200" s="3"/>
      <c r="N200" s="24">
        <v>0</v>
      </c>
      <c r="O200" s="3"/>
      <c r="P200" s="5">
        <f>IF(A200="","",IF(COUNTIF(Типы,C200)=0,0,VLOOKUP(C200,СПРАВОЧНИКИ!$A$7:$E$22,2,FALSE)))</f>
        <v>1</v>
      </c>
      <c r="Q200" s="25">
        <f t="shared" si="3"/>
        <v>72800</v>
      </c>
      <c r="R200" s="5" t="str">
        <f>IF(A200="","",IF(COUNTIF(Типы,C200)=0,"НЕИЗВЕСТНЫЙ ТИП",VLOOKUP(C200,СПРАВОЧНИКИ!$A$7:$E$22,3,FALSE)))</f>
        <v>Операционный</v>
      </c>
      <c r="S200" s="26">
        <f>IF(A200="","",IF(L200="Проведён",E200*IF(COUNTIF(Типы,C200)=0,0,VLOOKUP(C200,СПРАВОЧНИКИ!$A$7:$E$22,4,FALSE)),0))</f>
        <v>72800</v>
      </c>
      <c r="T200" s="26">
        <f>IF(A200="","",IF(L200="Проведён",E200*IF(COUNTIF(Типы,C200)=0,0,VLOOKUP(C200,СПРАВОЧНИКИ!$A$7:$E$22,5,FALSE)),0))</f>
        <v>72800</v>
      </c>
      <c r="U200" s="5" t="str">
        <f>IF(A200="","",IF(COUNTIF(Контрагенты,H200)=0,"Не задан",VLOOKUP(H200,СПРАВОЧНИКИ!$G$7:$H$66,2,FALSE)))</f>
        <v>ЮЛ</v>
      </c>
      <c r="V200" s="4" t="str">
        <f>IF(A200="",IF(COUNTA(B200:O200)&gt;0,"НЕТ ID",""),IF(OR(AND(OR(C200="Оплата клиента",C200="Возврат клиенту"),COUNTIFS(Docs[ID],J200,Docs[Тип долга],"ДЗ")&lt;&gt;1),AND(OR(C200="Оплата поставщику",C200="Возврат поставщика"),COUNTIFS(Docs[ID],J200,Docs[Тип долга],"КЗ",Docs[Вид],"&lt;&gt;Дивиденды")&lt;&gt;1),AND(C200="Дивиденды",COUNTIFS(Docs[ID],J200,Docs[Вид],"Дивиденды")&lt;&gt;1),AND(C200="Проценты",COUNTIFS(Docs[ID],J200,Docs[Вид],"Проценты")&lt;&gt;1),COUNTIF(Cash[ID],A200)&gt;1,NOT(ISNUMBER(B200)),B200&lt;НачалоУчета,YEAR(B200)&lt;&gt;Год,NOT(ISNUMBER(E200)),E200&lt;=0,N200&lt;0,COUNTIF(Типы,C200)&lt;&gt;1,COUNTIF(Категории,D200)&lt;&gt;1,COUNTIF(Счета,F200)&lt;&gt;1,COUNTIF(Проекты,I200)&lt;&gt;1,AND(H200&lt;&gt;"",COUNTIF(Контрагенты,H200)&lt;&gt;1),AND(C200="Перевод",OR(F200=G200,COUNTIF(Счета,G200)&lt;&gt;1)),AND(S200&lt;&gt;0,COUNTIF(Docs[ID],J200)&lt;&gt;1),AND(Форма="ООО",C200="Вывод ИП"),AND(Форма="ИП",C200="Дивиденды"),AND(L200&lt;&gt;"Проведён",L200&lt;&gt;"Черновик")),"ОШИБКА","ОК"))</f>
        <v>ОК</v>
      </c>
      <c r="W200" s="25">
        <f>IF(A200="","",SUMIF(Accounts[Счёт],F200,Accounts[Начальный])+SUMIFS($Q$7:Q200,$F$7:F200,F200)+SUMIFS($E$7:E200,$G$7:G200,F200,$C$7:C200,"Перевод",$L$7:L200,"Проведён"))</f>
        <v>865782.16000000015</v>
      </c>
    </row>
    <row r="201" spans="1:23" x14ac:dyDescent="0.25">
      <c r="A201" s="3" t="s">
        <v>822</v>
      </c>
      <c r="B201" s="19">
        <v>46289</v>
      </c>
      <c r="C201" s="3" t="s">
        <v>504</v>
      </c>
      <c r="D201" s="3" t="s">
        <v>295</v>
      </c>
      <c r="E201" s="24">
        <v>45000</v>
      </c>
      <c r="F201" s="3" t="s">
        <v>474</v>
      </c>
      <c r="G201" s="3"/>
      <c r="H201" s="3" t="s">
        <v>514</v>
      </c>
      <c r="I201" s="3" t="s">
        <v>381</v>
      </c>
      <c r="J201" s="3" t="s">
        <v>823</v>
      </c>
      <c r="K201" s="3" t="s">
        <v>504</v>
      </c>
      <c r="L201" s="3" t="s">
        <v>476</v>
      </c>
      <c r="M201" s="3"/>
      <c r="N201" s="24">
        <v>45000</v>
      </c>
      <c r="O201" s="3" t="s">
        <v>295</v>
      </c>
      <c r="P201" s="5">
        <f>IF(A201="","",IF(COUNTIF(Типы,C201)=0,0,VLOOKUP(C201,СПРАВОЧНИКИ!$A$7:$E$22,2,FALSE)))</f>
        <v>-1</v>
      </c>
      <c r="Q201" s="25">
        <f t="shared" si="3"/>
        <v>-45000</v>
      </c>
      <c r="R201" s="5" t="str">
        <f>IF(A201="","",IF(COUNTIF(Типы,C201)=0,"НЕИЗВЕСТНЫЙ ТИП",VLOOKUP(C201,СПРАВОЧНИКИ!$A$7:$E$22,3,FALSE)))</f>
        <v>Операционный</v>
      </c>
      <c r="S201" s="26">
        <f>IF(A201="","",IF(L201="Проведён",E201*IF(COUNTIF(Типы,C201)=0,0,VLOOKUP(C201,СПРАВОЧНИКИ!$A$7:$E$22,4,FALSE)),0))</f>
        <v>45000</v>
      </c>
      <c r="T201" s="26">
        <f>IF(A201="","",IF(L201="Проведён",E201*IF(COUNTIF(Типы,C201)=0,0,VLOOKUP(C201,СПРАВОЧНИКИ!$A$7:$E$22,5,FALSE)),0))</f>
        <v>0</v>
      </c>
      <c r="U201" s="5" t="str">
        <f>IF(A201="","",IF(COUNTIF(Контрагенты,H201)=0,"Не задан",VLOOKUP(H201,СПРАВОЧНИКИ!$G$7:$H$66,2,FALSE)))</f>
        <v>ЮЛ</v>
      </c>
      <c r="V201" s="4" t="str">
        <f>IF(A201="",IF(COUNTA(B201:O201)&gt;0,"НЕТ ID",""),IF(OR(AND(OR(C201="Оплата клиента",C201="Возврат клиенту"),COUNTIFS(Docs[ID],J201,Docs[Тип долга],"ДЗ")&lt;&gt;1),AND(OR(C201="Оплата поставщику",C201="Возврат поставщика"),COUNTIFS(Docs[ID],J201,Docs[Тип долга],"КЗ",Docs[Вид],"&lt;&gt;Дивиденды")&lt;&gt;1),AND(C201="Дивиденды",COUNTIFS(Docs[ID],J201,Docs[Вид],"Дивиденды")&lt;&gt;1),AND(C201="Проценты",COUNTIFS(Docs[ID],J201,Docs[Вид],"Проценты")&lt;&gt;1),COUNTIF(Cash[ID],A201)&gt;1,NOT(ISNUMBER(B201)),B201&lt;НачалоУчета,YEAR(B201)&lt;&gt;Год,NOT(ISNUMBER(E201)),E201&lt;=0,N201&lt;0,COUNTIF(Типы,C201)&lt;&gt;1,COUNTIF(Категории,D201)&lt;&gt;1,COUNTIF(Счета,F201)&lt;&gt;1,COUNTIF(Проекты,I201)&lt;&gt;1,AND(H201&lt;&gt;"",COUNTIF(Контрагенты,H201)&lt;&gt;1),AND(C201="Перевод",OR(F201=G201,COUNTIF(Счета,G201)&lt;&gt;1)),AND(S201&lt;&gt;0,COUNTIF(Docs[ID],J201)&lt;&gt;1),AND(Форма="ООО",C201="Вывод ИП"),AND(Форма="ИП",C201="Дивиденды"),AND(L201&lt;&gt;"Проведён",L201&lt;&gt;"Черновик")),"ОШИБКА","ОК"))</f>
        <v>ОК</v>
      </c>
      <c r="W201" s="25">
        <f>IF(A201="","",SUMIF(Accounts[Счёт],F201,Accounts[Начальный])+SUMIFS($Q$7:Q201,$F$7:F201,F201)+SUMIFS($E$7:E201,$G$7:G201,F201,$C$7:C201,"Перевод",$L$7:L201,"Проведён"))</f>
        <v>820782.16000000015</v>
      </c>
    </row>
    <row r="202" spans="1:23" x14ac:dyDescent="0.25">
      <c r="A202" s="3" t="s">
        <v>824</v>
      </c>
      <c r="B202" s="19">
        <v>46290</v>
      </c>
      <c r="C202" s="3" t="s">
        <v>484</v>
      </c>
      <c r="D202" s="3" t="s">
        <v>485</v>
      </c>
      <c r="E202" s="24">
        <v>57200</v>
      </c>
      <c r="F202" s="3" t="s">
        <v>474</v>
      </c>
      <c r="G202" s="3"/>
      <c r="H202" s="3" t="s">
        <v>489</v>
      </c>
      <c r="I202" s="3" t="s">
        <v>298</v>
      </c>
      <c r="J202" s="3" t="s">
        <v>808</v>
      </c>
      <c r="K202" s="3" t="s">
        <v>484</v>
      </c>
      <c r="L202" s="3" t="s">
        <v>476</v>
      </c>
      <c r="M202" s="3"/>
      <c r="N202" s="24">
        <v>0</v>
      </c>
      <c r="O202" s="3"/>
      <c r="P202" s="5">
        <f>IF(A202="","",IF(COUNTIF(Типы,C202)=0,0,VLOOKUP(C202,СПРАВОЧНИКИ!$A$7:$E$22,2,FALSE)))</f>
        <v>1</v>
      </c>
      <c r="Q202" s="25">
        <f t="shared" si="3"/>
        <v>57200</v>
      </c>
      <c r="R202" s="5" t="str">
        <f>IF(A202="","",IF(COUNTIF(Типы,C202)=0,"НЕИЗВЕСТНЫЙ ТИП",VLOOKUP(C202,СПРАВОЧНИКИ!$A$7:$E$22,3,FALSE)))</f>
        <v>Операционный</v>
      </c>
      <c r="S202" s="26">
        <f>IF(A202="","",IF(L202="Проведён",E202*IF(COUNTIF(Типы,C202)=0,0,VLOOKUP(C202,СПРАВОЧНИКИ!$A$7:$E$22,4,FALSE)),0))</f>
        <v>57200</v>
      </c>
      <c r="T202" s="26">
        <f>IF(A202="","",IF(L202="Проведён",E202*IF(COUNTIF(Типы,C202)=0,0,VLOOKUP(C202,СПРАВОЧНИКИ!$A$7:$E$22,5,FALSE)),0))</f>
        <v>57200</v>
      </c>
      <c r="U202" s="5" t="str">
        <f>IF(A202="","",IF(COUNTIF(Контрагенты,H202)=0,"Не задан",VLOOKUP(H202,СПРАВОЧНИКИ!$G$7:$H$66,2,FALSE)))</f>
        <v>ЮЛ</v>
      </c>
      <c r="V202" s="4" t="str">
        <f>IF(A202="",IF(COUNTA(B202:O202)&gt;0,"НЕТ ID",""),IF(OR(AND(OR(C202="Оплата клиента",C202="Возврат клиенту"),COUNTIFS(Docs[ID],J202,Docs[Тип долга],"ДЗ")&lt;&gt;1),AND(OR(C202="Оплата поставщику",C202="Возврат поставщика"),COUNTIFS(Docs[ID],J202,Docs[Тип долга],"КЗ",Docs[Вид],"&lt;&gt;Дивиденды")&lt;&gt;1),AND(C202="Дивиденды",COUNTIFS(Docs[ID],J202,Docs[Вид],"Дивиденды")&lt;&gt;1),AND(C202="Проценты",COUNTIFS(Docs[ID],J202,Docs[Вид],"Проценты")&lt;&gt;1),COUNTIF(Cash[ID],A202)&gt;1,NOT(ISNUMBER(B202)),B202&lt;НачалоУчета,YEAR(B202)&lt;&gt;Год,NOT(ISNUMBER(E202)),E202&lt;=0,N202&lt;0,COUNTIF(Типы,C202)&lt;&gt;1,COUNTIF(Категории,D202)&lt;&gt;1,COUNTIF(Счета,F202)&lt;&gt;1,COUNTIF(Проекты,I202)&lt;&gt;1,AND(H202&lt;&gt;"",COUNTIF(Контрагенты,H202)&lt;&gt;1),AND(C202="Перевод",OR(F202=G202,COUNTIF(Счета,G202)&lt;&gt;1)),AND(S202&lt;&gt;0,COUNTIF(Docs[ID],J202)&lt;&gt;1),AND(Форма="ООО",C202="Вывод ИП"),AND(Форма="ИП",C202="Дивиденды"),AND(L202&lt;&gt;"Проведён",L202&lt;&gt;"Черновик")),"ОШИБКА","ОК"))</f>
        <v>ОК</v>
      </c>
      <c r="W202" s="25">
        <f>IF(A202="","",SUMIF(Accounts[Счёт],F202,Accounts[Начальный])+SUMIFS($Q$7:Q202,$F$7:F202,F202)+SUMIFS($E$7:E202,$G$7:G202,F202,$C$7:C202,"Перевод",$L$7:L202,"Проведён"))</f>
        <v>877982.16000000015</v>
      </c>
    </row>
    <row r="203" spans="1:23" x14ac:dyDescent="0.25">
      <c r="A203" s="3" t="s">
        <v>825</v>
      </c>
      <c r="B203" s="19">
        <v>46290</v>
      </c>
      <c r="C203" s="3" t="s">
        <v>504</v>
      </c>
      <c r="D203" s="3" t="s">
        <v>518</v>
      </c>
      <c r="E203" s="24">
        <v>18000</v>
      </c>
      <c r="F203" s="3" t="s">
        <v>474</v>
      </c>
      <c r="G203" s="3"/>
      <c r="H203" s="3" t="s">
        <v>519</v>
      </c>
      <c r="I203" s="3" t="s">
        <v>383</v>
      </c>
      <c r="J203" s="3" t="s">
        <v>826</v>
      </c>
      <c r="K203" s="3" t="s">
        <v>504</v>
      </c>
      <c r="L203" s="3" t="s">
        <v>476</v>
      </c>
      <c r="M203" s="3"/>
      <c r="N203" s="24">
        <v>18000</v>
      </c>
      <c r="O203" s="3"/>
      <c r="P203" s="5">
        <f>IF(A203="","",IF(COUNTIF(Типы,C203)=0,0,VLOOKUP(C203,СПРАВОЧНИКИ!$A$7:$E$22,2,FALSE)))</f>
        <v>-1</v>
      </c>
      <c r="Q203" s="25">
        <f t="shared" si="3"/>
        <v>-18000</v>
      </c>
      <c r="R203" s="5" t="str">
        <f>IF(A203="","",IF(COUNTIF(Типы,C203)=0,"НЕИЗВЕСТНЫЙ ТИП",VLOOKUP(C203,СПРАВОЧНИКИ!$A$7:$E$22,3,FALSE)))</f>
        <v>Операционный</v>
      </c>
      <c r="S203" s="26">
        <f>IF(A203="","",IF(L203="Проведён",E203*IF(COUNTIF(Типы,C203)=0,0,VLOOKUP(C203,СПРАВОЧНИКИ!$A$7:$E$22,4,FALSE)),0))</f>
        <v>18000</v>
      </c>
      <c r="T203" s="26">
        <f>IF(A203="","",IF(L203="Проведён",E203*IF(COUNTIF(Типы,C203)=0,0,VLOOKUP(C203,СПРАВОЧНИКИ!$A$7:$E$22,5,FALSE)),0))</f>
        <v>0</v>
      </c>
      <c r="U203" s="5" t="str">
        <f>IF(A203="","",IF(COUNTIF(Контрагенты,H203)=0,"Не задан",VLOOKUP(H203,СПРАВОЧНИКИ!$G$7:$H$66,2,FALSE)))</f>
        <v>ЮЛ</v>
      </c>
      <c r="V203" s="4" t="str">
        <f>IF(A203="",IF(COUNTA(B203:O203)&gt;0,"НЕТ ID",""),IF(OR(AND(OR(C203="Оплата клиента",C203="Возврат клиенту"),COUNTIFS(Docs[ID],J203,Docs[Тип долга],"ДЗ")&lt;&gt;1),AND(OR(C203="Оплата поставщику",C203="Возврат поставщика"),COUNTIFS(Docs[ID],J203,Docs[Тип долга],"КЗ",Docs[Вид],"&lt;&gt;Дивиденды")&lt;&gt;1),AND(C203="Дивиденды",COUNTIFS(Docs[ID],J203,Docs[Вид],"Дивиденды")&lt;&gt;1),AND(C203="Проценты",COUNTIFS(Docs[ID],J203,Docs[Вид],"Проценты")&lt;&gt;1),COUNTIF(Cash[ID],A203)&gt;1,NOT(ISNUMBER(B203)),B203&lt;НачалоУчета,YEAR(B203)&lt;&gt;Год,NOT(ISNUMBER(E203)),E203&lt;=0,N203&lt;0,COUNTIF(Типы,C203)&lt;&gt;1,COUNTIF(Категории,D203)&lt;&gt;1,COUNTIF(Счета,F203)&lt;&gt;1,COUNTIF(Проекты,I203)&lt;&gt;1,AND(H203&lt;&gt;"",COUNTIF(Контрагенты,H203)&lt;&gt;1),AND(C203="Перевод",OR(F203=G203,COUNTIF(Счета,G203)&lt;&gt;1)),AND(S203&lt;&gt;0,COUNTIF(Docs[ID],J203)&lt;&gt;1),AND(Форма="ООО",C203="Вывод ИП"),AND(Форма="ИП",C203="Дивиденды"),AND(L203&lt;&gt;"Проведён",L203&lt;&gt;"Черновик")),"ОШИБКА","ОК"))</f>
        <v>ОК</v>
      </c>
      <c r="W203" s="25">
        <f>IF(A203="","",SUMIF(Accounts[Счёт],F203,Accounts[Начальный])+SUMIFS($Q$7:Q203,$F$7:F203,F203)+SUMIFS($E$7:E203,$G$7:G203,F203,$C$7:C203,"Перевод",$L$7:L203,"Проведён"))</f>
        <v>859982.16000000015</v>
      </c>
    </row>
    <row r="204" spans="1:23" x14ac:dyDescent="0.25">
      <c r="A204" s="3" t="s">
        <v>827</v>
      </c>
      <c r="B204" s="19">
        <v>46291</v>
      </c>
      <c r="C204" s="3" t="s">
        <v>484</v>
      </c>
      <c r="D204" s="3" t="s">
        <v>485</v>
      </c>
      <c r="E204" s="24">
        <v>46800</v>
      </c>
      <c r="F204" s="3" t="s">
        <v>474</v>
      </c>
      <c r="G204" s="3"/>
      <c r="H204" s="3" t="s">
        <v>492</v>
      </c>
      <c r="I204" s="3" t="s">
        <v>382</v>
      </c>
      <c r="J204" s="3" t="s">
        <v>810</v>
      </c>
      <c r="K204" s="3" t="s">
        <v>484</v>
      </c>
      <c r="L204" s="3" t="s">
        <v>476</v>
      </c>
      <c r="M204" s="3"/>
      <c r="N204" s="24">
        <v>0</v>
      </c>
      <c r="O204" s="3"/>
      <c r="P204" s="5">
        <f>IF(A204="","",IF(COUNTIF(Типы,C204)=0,0,VLOOKUP(C204,СПРАВОЧНИКИ!$A$7:$E$22,2,FALSE)))</f>
        <v>1</v>
      </c>
      <c r="Q204" s="25">
        <f t="shared" si="3"/>
        <v>46800</v>
      </c>
      <c r="R204" s="5" t="str">
        <f>IF(A204="","",IF(COUNTIF(Типы,C204)=0,"НЕИЗВЕСТНЫЙ ТИП",VLOOKUP(C204,СПРАВОЧНИКИ!$A$7:$E$22,3,FALSE)))</f>
        <v>Операционный</v>
      </c>
      <c r="S204" s="26">
        <f>IF(A204="","",IF(L204="Проведён",E204*IF(COUNTIF(Типы,C204)=0,0,VLOOKUP(C204,СПРАВОЧНИКИ!$A$7:$E$22,4,FALSE)),0))</f>
        <v>46800</v>
      </c>
      <c r="T204" s="26">
        <f>IF(A204="","",IF(L204="Проведён",E204*IF(COUNTIF(Типы,C204)=0,0,VLOOKUP(C204,СПРАВОЧНИКИ!$A$7:$E$22,5,FALSE)),0))</f>
        <v>46800</v>
      </c>
      <c r="U204" s="5" t="str">
        <f>IF(A204="","",IF(COUNTIF(Контрагенты,H204)=0,"Не задан",VLOOKUP(H204,СПРАВОЧНИКИ!$G$7:$H$66,2,FALSE)))</f>
        <v>ИП</v>
      </c>
      <c r="V204" s="4" t="str">
        <f>IF(A204="",IF(COUNTA(B204:O204)&gt;0,"НЕТ ID",""),IF(OR(AND(OR(C204="Оплата клиента",C204="Возврат клиенту"),COUNTIFS(Docs[ID],J204,Docs[Тип долга],"ДЗ")&lt;&gt;1),AND(OR(C204="Оплата поставщику",C204="Возврат поставщика"),COUNTIFS(Docs[ID],J204,Docs[Тип долга],"КЗ",Docs[Вид],"&lt;&gt;Дивиденды")&lt;&gt;1),AND(C204="Дивиденды",COUNTIFS(Docs[ID],J204,Docs[Вид],"Дивиденды")&lt;&gt;1),AND(C204="Проценты",COUNTIFS(Docs[ID],J204,Docs[Вид],"Проценты")&lt;&gt;1),COUNTIF(Cash[ID],A204)&gt;1,NOT(ISNUMBER(B204)),B204&lt;НачалоУчета,YEAR(B204)&lt;&gt;Год,NOT(ISNUMBER(E204)),E204&lt;=0,N204&lt;0,COUNTIF(Типы,C204)&lt;&gt;1,COUNTIF(Категории,D204)&lt;&gt;1,COUNTIF(Счета,F204)&lt;&gt;1,COUNTIF(Проекты,I204)&lt;&gt;1,AND(H204&lt;&gt;"",COUNTIF(Контрагенты,H204)&lt;&gt;1),AND(C204="Перевод",OR(F204=G204,COUNTIF(Счета,G204)&lt;&gt;1)),AND(S204&lt;&gt;0,COUNTIF(Docs[ID],J204)&lt;&gt;1),AND(Форма="ООО",C204="Вывод ИП"),AND(Форма="ИП",C204="Дивиденды"),AND(L204&lt;&gt;"Проведён",L204&lt;&gt;"Черновик")),"ОШИБКА","ОК"))</f>
        <v>ОК</v>
      </c>
      <c r="W204" s="25">
        <f>IF(A204="","",SUMIF(Accounts[Счёт],F204,Accounts[Начальный])+SUMIFS($Q$7:Q204,$F$7:F204,F204)+SUMIFS($E$7:E204,$G$7:G204,F204,$C$7:C204,"Перевод",$L$7:L204,"Проведён"))</f>
        <v>906782.16000000015</v>
      </c>
    </row>
    <row r="205" spans="1:23" x14ac:dyDescent="0.25">
      <c r="A205" s="3" t="s">
        <v>828</v>
      </c>
      <c r="B205" s="19">
        <v>46291</v>
      </c>
      <c r="C205" s="3" t="s">
        <v>504</v>
      </c>
      <c r="D205" s="3" t="s">
        <v>523</v>
      </c>
      <c r="E205" s="24">
        <v>78300</v>
      </c>
      <c r="F205" s="3" t="s">
        <v>474</v>
      </c>
      <c r="G205" s="3"/>
      <c r="H205" s="3" t="s">
        <v>52</v>
      </c>
      <c r="I205" s="3" t="s">
        <v>383</v>
      </c>
      <c r="J205" s="3" t="s">
        <v>829</v>
      </c>
      <c r="K205" s="3" t="s">
        <v>504</v>
      </c>
      <c r="L205" s="3" t="s">
        <v>476</v>
      </c>
      <c r="M205" s="3"/>
      <c r="N205" s="24">
        <v>78300</v>
      </c>
      <c r="O205" s="3"/>
      <c r="P205" s="5">
        <f>IF(A205="","",IF(COUNTIF(Типы,C205)=0,0,VLOOKUP(C205,СПРАВОЧНИКИ!$A$7:$E$22,2,FALSE)))</f>
        <v>-1</v>
      </c>
      <c r="Q205" s="25">
        <f t="shared" si="3"/>
        <v>-78300</v>
      </c>
      <c r="R205" s="5" t="str">
        <f>IF(A205="","",IF(COUNTIF(Типы,C205)=0,"НЕИЗВЕСТНЫЙ ТИП",VLOOKUP(C205,СПРАВОЧНИКИ!$A$7:$E$22,3,FALSE)))</f>
        <v>Операционный</v>
      </c>
      <c r="S205" s="26">
        <f>IF(A205="","",IF(L205="Проведён",E205*IF(COUNTIF(Типы,C205)=0,0,VLOOKUP(C205,СПРАВОЧНИКИ!$A$7:$E$22,4,FALSE)),0))</f>
        <v>78300</v>
      </c>
      <c r="T205" s="26">
        <f>IF(A205="","",IF(L205="Проведён",E205*IF(COUNTIF(Типы,C205)=0,0,VLOOKUP(C205,СПРАВОЧНИКИ!$A$7:$E$22,5,FALSE)),0))</f>
        <v>0</v>
      </c>
      <c r="U205" s="5" t="str">
        <f>IF(A205="","",IF(COUNTIF(Контрагенты,H205)=0,"Не задан",VLOOKUP(H205,СПРАВОЧНИКИ!$G$7:$H$66,2,FALSE)))</f>
        <v>ФЛ</v>
      </c>
      <c r="V205" s="4" t="str">
        <f>IF(A205="",IF(COUNTA(B205:O205)&gt;0,"НЕТ ID",""),IF(OR(AND(OR(C205="Оплата клиента",C205="Возврат клиенту"),COUNTIFS(Docs[ID],J205,Docs[Тип долга],"ДЗ")&lt;&gt;1),AND(OR(C205="Оплата поставщику",C205="Возврат поставщика"),COUNTIFS(Docs[ID],J205,Docs[Тип долга],"КЗ",Docs[Вид],"&lt;&gt;Дивиденды")&lt;&gt;1),AND(C205="Дивиденды",COUNTIFS(Docs[ID],J205,Docs[Вид],"Дивиденды")&lt;&gt;1),AND(C205="Проценты",COUNTIFS(Docs[ID],J205,Docs[Вид],"Проценты")&lt;&gt;1),COUNTIF(Cash[ID],A205)&gt;1,NOT(ISNUMBER(B205)),B205&lt;НачалоУчета,YEAR(B205)&lt;&gt;Год,NOT(ISNUMBER(E205)),E205&lt;=0,N205&lt;0,COUNTIF(Типы,C205)&lt;&gt;1,COUNTIF(Категории,D205)&lt;&gt;1,COUNTIF(Счета,F205)&lt;&gt;1,COUNTIF(Проекты,I205)&lt;&gt;1,AND(H205&lt;&gt;"",COUNTIF(Контрагенты,H205)&lt;&gt;1),AND(C205="Перевод",OR(F205=G205,COUNTIF(Счета,G205)&lt;&gt;1)),AND(S205&lt;&gt;0,COUNTIF(Docs[ID],J205)&lt;&gt;1),AND(Форма="ООО",C205="Вывод ИП"),AND(Форма="ИП",C205="Дивиденды"),AND(L205&lt;&gt;"Проведён",L205&lt;&gt;"Черновик")),"ОШИБКА","ОК"))</f>
        <v>ОК</v>
      </c>
      <c r="W205" s="25">
        <f>IF(A205="","",SUMIF(Accounts[Счёт],F205,Accounts[Начальный])+SUMIFS($Q$7:Q205,$F$7:F205,F205)+SUMIFS($E$7:E205,$G$7:G205,F205,$C$7:C205,"Перевод",$L$7:L205,"Проведён"))</f>
        <v>828482.16000000015</v>
      </c>
    </row>
    <row r="206" spans="1:23" x14ac:dyDescent="0.25">
      <c r="A206" s="3" t="s">
        <v>830</v>
      </c>
      <c r="B206" s="19">
        <v>46292</v>
      </c>
      <c r="C206" s="3" t="s">
        <v>484</v>
      </c>
      <c r="D206" s="3" t="s">
        <v>485</v>
      </c>
      <c r="E206" s="24">
        <v>36400</v>
      </c>
      <c r="F206" s="3" t="s">
        <v>474</v>
      </c>
      <c r="G206" s="3"/>
      <c r="H206" s="3" t="s">
        <v>495</v>
      </c>
      <c r="I206" s="3" t="s">
        <v>381</v>
      </c>
      <c r="J206" s="3" t="s">
        <v>812</v>
      </c>
      <c r="K206" s="3" t="s">
        <v>484</v>
      </c>
      <c r="L206" s="3" t="s">
        <v>476</v>
      </c>
      <c r="M206" s="3"/>
      <c r="N206" s="24">
        <v>0</v>
      </c>
      <c r="O206" s="3"/>
      <c r="P206" s="5">
        <f>IF(A206="","",IF(COUNTIF(Типы,C206)=0,0,VLOOKUP(C206,СПРАВОЧНИКИ!$A$7:$E$22,2,FALSE)))</f>
        <v>1</v>
      </c>
      <c r="Q206" s="25">
        <f t="shared" si="3"/>
        <v>36400</v>
      </c>
      <c r="R206" s="5" t="str">
        <f>IF(A206="","",IF(COUNTIF(Типы,C206)=0,"НЕИЗВЕСТНЫЙ ТИП",VLOOKUP(C206,СПРАВОЧНИКИ!$A$7:$E$22,3,FALSE)))</f>
        <v>Операционный</v>
      </c>
      <c r="S206" s="26">
        <f>IF(A206="","",IF(L206="Проведён",E206*IF(COUNTIF(Типы,C206)=0,0,VLOOKUP(C206,СПРАВОЧНИКИ!$A$7:$E$22,4,FALSE)),0))</f>
        <v>36400</v>
      </c>
      <c r="T206" s="26">
        <f>IF(A206="","",IF(L206="Проведён",E206*IF(COUNTIF(Типы,C206)=0,0,VLOOKUP(C206,СПРАВОЧНИКИ!$A$7:$E$22,5,FALSE)),0))</f>
        <v>36400</v>
      </c>
      <c r="U206" s="5" t="str">
        <f>IF(A206="","",IF(COUNTIF(Контрагенты,H206)=0,"Не задан",VLOOKUP(H206,СПРАВОЧНИКИ!$G$7:$H$66,2,FALSE)))</f>
        <v>ЮЛ</v>
      </c>
      <c r="V206" s="4" t="str">
        <f>IF(A206="",IF(COUNTA(B206:O206)&gt;0,"НЕТ ID",""),IF(OR(AND(OR(C206="Оплата клиента",C206="Возврат клиенту"),COUNTIFS(Docs[ID],J206,Docs[Тип долга],"ДЗ")&lt;&gt;1),AND(OR(C206="Оплата поставщику",C206="Возврат поставщика"),COUNTIFS(Docs[ID],J206,Docs[Тип долга],"КЗ",Docs[Вид],"&lt;&gt;Дивиденды")&lt;&gt;1),AND(C206="Дивиденды",COUNTIFS(Docs[ID],J206,Docs[Вид],"Дивиденды")&lt;&gt;1),AND(C206="Проценты",COUNTIFS(Docs[ID],J206,Docs[Вид],"Проценты")&lt;&gt;1),COUNTIF(Cash[ID],A206)&gt;1,NOT(ISNUMBER(B206)),B206&lt;НачалоУчета,YEAR(B206)&lt;&gt;Год,NOT(ISNUMBER(E206)),E206&lt;=0,N206&lt;0,COUNTIF(Типы,C206)&lt;&gt;1,COUNTIF(Категории,D206)&lt;&gt;1,COUNTIF(Счета,F206)&lt;&gt;1,COUNTIF(Проекты,I206)&lt;&gt;1,AND(H206&lt;&gt;"",COUNTIF(Контрагенты,H206)&lt;&gt;1),AND(C206="Перевод",OR(F206=G206,COUNTIF(Счета,G206)&lt;&gt;1)),AND(S206&lt;&gt;0,COUNTIF(Docs[ID],J206)&lt;&gt;1),AND(Форма="ООО",C206="Вывод ИП"),AND(Форма="ИП",C206="Дивиденды"),AND(L206&lt;&gt;"Проведён",L206&lt;&gt;"Черновик")),"ОШИБКА","ОК"))</f>
        <v>ОК</v>
      </c>
      <c r="W206" s="25">
        <f>IF(A206="","",SUMIF(Accounts[Счёт],F206,Accounts[Начальный])+SUMIFS($Q$7:Q206,$F$7:F206,F206)+SUMIFS($E$7:E206,$G$7:G206,F206,$C$7:C206,"Перевод",$L$7:L206,"Проведён"))</f>
        <v>864882.16000000015</v>
      </c>
    </row>
    <row r="207" spans="1:23" x14ac:dyDescent="0.25">
      <c r="A207" s="3" t="s">
        <v>831</v>
      </c>
      <c r="B207" s="19">
        <v>46292</v>
      </c>
      <c r="C207" s="3" t="s">
        <v>504</v>
      </c>
      <c r="D207" s="3" t="s">
        <v>527</v>
      </c>
      <c r="E207" s="24">
        <v>11700</v>
      </c>
      <c r="F207" s="3" t="s">
        <v>474</v>
      </c>
      <c r="G207" s="3"/>
      <c r="H207" s="3" t="s">
        <v>528</v>
      </c>
      <c r="I207" s="3" t="s">
        <v>383</v>
      </c>
      <c r="J207" s="3" t="s">
        <v>832</v>
      </c>
      <c r="K207" s="3" t="s">
        <v>504</v>
      </c>
      <c r="L207" s="3" t="s">
        <v>476</v>
      </c>
      <c r="M207" s="3"/>
      <c r="N207" s="24">
        <v>11700</v>
      </c>
      <c r="O207" s="3"/>
      <c r="P207" s="5">
        <f>IF(A207="","",IF(COUNTIF(Типы,C207)=0,0,VLOOKUP(C207,СПРАВОЧНИКИ!$A$7:$E$22,2,FALSE)))</f>
        <v>-1</v>
      </c>
      <c r="Q207" s="25">
        <f t="shared" si="3"/>
        <v>-11700</v>
      </c>
      <c r="R207" s="5" t="str">
        <f>IF(A207="","",IF(COUNTIF(Типы,C207)=0,"НЕИЗВЕСТНЫЙ ТИП",VLOOKUP(C207,СПРАВОЧНИКИ!$A$7:$E$22,3,FALSE)))</f>
        <v>Операционный</v>
      </c>
      <c r="S207" s="26">
        <f>IF(A207="","",IF(L207="Проведён",E207*IF(COUNTIF(Типы,C207)=0,0,VLOOKUP(C207,СПРАВОЧНИКИ!$A$7:$E$22,4,FALSE)),0))</f>
        <v>11700</v>
      </c>
      <c r="T207" s="26">
        <f>IF(A207="","",IF(L207="Проведён",E207*IF(COUNTIF(Типы,C207)=0,0,VLOOKUP(C207,СПРАВОЧНИКИ!$A$7:$E$22,5,FALSE)),0))</f>
        <v>0</v>
      </c>
      <c r="U207" s="5" t="str">
        <f>IF(A207="","",IF(COUNTIF(Контрагенты,H207)=0,"Не задан",VLOOKUP(H207,СПРАВОЧНИКИ!$G$7:$H$66,2,FALSE)))</f>
        <v>ЮЛ</v>
      </c>
      <c r="V207" s="4" t="str">
        <f>IF(A207="",IF(COUNTA(B207:O207)&gt;0,"НЕТ ID",""),IF(OR(AND(OR(C207="Оплата клиента",C207="Возврат клиенту"),COUNTIFS(Docs[ID],J207,Docs[Тип долга],"ДЗ")&lt;&gt;1),AND(OR(C207="Оплата поставщику",C207="Возврат поставщика"),COUNTIFS(Docs[ID],J207,Docs[Тип долга],"КЗ",Docs[Вид],"&lt;&gt;Дивиденды")&lt;&gt;1),AND(C207="Дивиденды",COUNTIFS(Docs[ID],J207,Docs[Вид],"Дивиденды")&lt;&gt;1),AND(C207="Проценты",COUNTIFS(Docs[ID],J207,Docs[Вид],"Проценты")&lt;&gt;1),COUNTIF(Cash[ID],A207)&gt;1,NOT(ISNUMBER(B207)),B207&lt;НачалоУчета,YEAR(B207)&lt;&gt;Год,NOT(ISNUMBER(E207)),E207&lt;=0,N207&lt;0,COUNTIF(Типы,C207)&lt;&gt;1,COUNTIF(Категории,D207)&lt;&gt;1,COUNTIF(Счета,F207)&lt;&gt;1,COUNTIF(Проекты,I207)&lt;&gt;1,AND(H207&lt;&gt;"",COUNTIF(Контрагенты,H207)&lt;&gt;1),AND(C207="Перевод",OR(F207=G207,COUNTIF(Счета,G207)&lt;&gt;1)),AND(S207&lt;&gt;0,COUNTIF(Docs[ID],J207)&lt;&gt;1),AND(Форма="ООО",C207="Вывод ИП"),AND(Форма="ИП",C207="Дивиденды"),AND(L207&lt;&gt;"Проведён",L207&lt;&gt;"Черновик")),"ОШИБКА","ОК"))</f>
        <v>ОК</v>
      </c>
      <c r="W207" s="25">
        <f>IF(A207="","",SUMIF(Accounts[Счёт],F207,Accounts[Начальный])+SUMIFS($Q$7:Q207,$F$7:F207,F207)+SUMIFS($E$7:E207,$G$7:G207,F207,$C$7:C207,"Перевод",$L$7:L207,"Проведён"))</f>
        <v>853182.16000000015</v>
      </c>
    </row>
    <row r="208" spans="1:23" x14ac:dyDescent="0.25">
      <c r="A208" s="3" t="s">
        <v>833</v>
      </c>
      <c r="B208" s="19">
        <v>46293</v>
      </c>
      <c r="C208" s="3" t="s">
        <v>484</v>
      </c>
      <c r="D208" s="3" t="s">
        <v>485</v>
      </c>
      <c r="E208" s="24">
        <v>26000</v>
      </c>
      <c r="F208" s="3" t="s">
        <v>474</v>
      </c>
      <c r="G208" s="3"/>
      <c r="H208" s="3" t="s">
        <v>498</v>
      </c>
      <c r="I208" s="3" t="s">
        <v>298</v>
      </c>
      <c r="J208" s="3" t="s">
        <v>814</v>
      </c>
      <c r="K208" s="3" t="s">
        <v>484</v>
      </c>
      <c r="L208" s="3" t="s">
        <v>476</v>
      </c>
      <c r="M208" s="3"/>
      <c r="N208" s="24">
        <v>0</v>
      </c>
      <c r="O208" s="3"/>
      <c r="P208" s="5">
        <f>IF(A208="","",IF(COUNTIF(Типы,C208)=0,0,VLOOKUP(C208,СПРАВОЧНИКИ!$A$7:$E$22,2,FALSE)))</f>
        <v>1</v>
      </c>
      <c r="Q208" s="25">
        <f t="shared" si="3"/>
        <v>26000</v>
      </c>
      <c r="R208" s="5" t="str">
        <f>IF(A208="","",IF(COUNTIF(Типы,C208)=0,"НЕИЗВЕСТНЫЙ ТИП",VLOOKUP(C208,СПРАВОЧНИКИ!$A$7:$E$22,3,FALSE)))</f>
        <v>Операционный</v>
      </c>
      <c r="S208" s="26">
        <f>IF(A208="","",IF(L208="Проведён",E208*IF(COUNTIF(Типы,C208)=0,0,VLOOKUP(C208,СПРАВОЧНИКИ!$A$7:$E$22,4,FALSE)),0))</f>
        <v>26000</v>
      </c>
      <c r="T208" s="26">
        <f>IF(A208="","",IF(L208="Проведён",E208*IF(COUNTIF(Типы,C208)=0,0,VLOOKUP(C208,СПРАВОЧНИКИ!$A$7:$E$22,5,FALSE)),0))</f>
        <v>26000</v>
      </c>
      <c r="U208" s="5" t="str">
        <f>IF(A208="","",IF(COUNTIF(Контрагенты,H208)=0,"Не задан",VLOOKUP(H208,СПРАВОЧНИКИ!$G$7:$H$66,2,FALSE)))</f>
        <v>ФЛ</v>
      </c>
      <c r="V208" s="4" t="str">
        <f>IF(A208="",IF(COUNTA(B208:O208)&gt;0,"НЕТ ID",""),IF(OR(AND(OR(C208="Оплата клиента",C208="Возврат клиенту"),COUNTIFS(Docs[ID],J208,Docs[Тип долга],"ДЗ")&lt;&gt;1),AND(OR(C208="Оплата поставщику",C208="Возврат поставщика"),COUNTIFS(Docs[ID],J208,Docs[Тип долга],"КЗ",Docs[Вид],"&lt;&gt;Дивиденды")&lt;&gt;1),AND(C208="Дивиденды",COUNTIFS(Docs[ID],J208,Docs[Вид],"Дивиденды")&lt;&gt;1),AND(C208="Проценты",COUNTIFS(Docs[ID],J208,Docs[Вид],"Проценты")&lt;&gt;1),COUNTIF(Cash[ID],A208)&gt;1,NOT(ISNUMBER(B208)),B208&lt;НачалоУчета,YEAR(B208)&lt;&gt;Год,NOT(ISNUMBER(E208)),E208&lt;=0,N208&lt;0,COUNTIF(Типы,C208)&lt;&gt;1,COUNTIF(Категории,D208)&lt;&gt;1,COUNTIF(Счета,F208)&lt;&gt;1,COUNTIF(Проекты,I208)&lt;&gt;1,AND(H208&lt;&gt;"",COUNTIF(Контрагенты,H208)&lt;&gt;1),AND(C208="Перевод",OR(F208=G208,COUNTIF(Счета,G208)&lt;&gt;1)),AND(S208&lt;&gt;0,COUNTIF(Docs[ID],J208)&lt;&gt;1),AND(Форма="ООО",C208="Вывод ИП"),AND(Форма="ИП",C208="Дивиденды"),AND(L208&lt;&gt;"Проведён",L208&lt;&gt;"Черновик")),"ОШИБКА","ОК"))</f>
        <v>ОК</v>
      </c>
      <c r="W208" s="25">
        <f>IF(A208="","",SUMIF(Accounts[Счёт],F208,Accounts[Начальный])+SUMIFS($Q$7:Q208,$F$7:F208,F208)+SUMIFS($E$7:E208,$G$7:G208,F208,$C$7:C208,"Перевод",$L$7:L208,"Проведён"))</f>
        <v>879182.16000000015</v>
      </c>
    </row>
    <row r="209" spans="1:23" x14ac:dyDescent="0.25">
      <c r="A209" s="3" t="s">
        <v>834</v>
      </c>
      <c r="B209" s="19">
        <v>46293</v>
      </c>
      <c r="C209" s="3" t="s">
        <v>504</v>
      </c>
      <c r="D209" s="3" t="s">
        <v>532</v>
      </c>
      <c r="E209" s="24">
        <v>27000</v>
      </c>
      <c r="F209" s="3" t="s">
        <v>474</v>
      </c>
      <c r="G209" s="3"/>
      <c r="H209" s="3" t="s">
        <v>528</v>
      </c>
      <c r="I209" s="3" t="s">
        <v>383</v>
      </c>
      <c r="J209" s="3" t="s">
        <v>835</v>
      </c>
      <c r="K209" s="3" t="s">
        <v>504</v>
      </c>
      <c r="L209" s="3" t="s">
        <v>476</v>
      </c>
      <c r="M209" s="3"/>
      <c r="N209" s="24">
        <v>27000</v>
      </c>
      <c r="O209" s="3"/>
      <c r="P209" s="5">
        <f>IF(A209="","",IF(COUNTIF(Типы,C209)=0,0,VLOOKUP(C209,СПРАВОЧНИКИ!$A$7:$E$22,2,FALSE)))</f>
        <v>-1</v>
      </c>
      <c r="Q209" s="25">
        <f t="shared" si="3"/>
        <v>-27000</v>
      </c>
      <c r="R209" s="5" t="str">
        <f>IF(A209="","",IF(COUNTIF(Типы,C209)=0,"НЕИЗВЕСТНЫЙ ТИП",VLOOKUP(C209,СПРАВОЧНИКИ!$A$7:$E$22,3,FALSE)))</f>
        <v>Операционный</v>
      </c>
      <c r="S209" s="26">
        <f>IF(A209="","",IF(L209="Проведён",E209*IF(COUNTIF(Типы,C209)=0,0,VLOOKUP(C209,СПРАВОЧНИКИ!$A$7:$E$22,4,FALSE)),0))</f>
        <v>27000</v>
      </c>
      <c r="T209" s="26">
        <f>IF(A209="","",IF(L209="Проведён",E209*IF(COUNTIF(Типы,C209)=0,0,VLOOKUP(C209,СПРАВОЧНИКИ!$A$7:$E$22,5,FALSE)),0))</f>
        <v>0</v>
      </c>
      <c r="U209" s="5" t="str">
        <f>IF(A209="","",IF(COUNTIF(Контрагенты,H209)=0,"Не задан",VLOOKUP(H209,СПРАВОЧНИКИ!$G$7:$H$66,2,FALSE)))</f>
        <v>ЮЛ</v>
      </c>
      <c r="V209" s="4" t="str">
        <f>IF(A209="",IF(COUNTA(B209:O209)&gt;0,"НЕТ ID",""),IF(OR(AND(OR(C209="Оплата клиента",C209="Возврат клиенту"),COUNTIFS(Docs[ID],J209,Docs[Тип долга],"ДЗ")&lt;&gt;1),AND(OR(C209="Оплата поставщику",C209="Возврат поставщика"),COUNTIFS(Docs[ID],J209,Docs[Тип долга],"КЗ",Docs[Вид],"&lt;&gt;Дивиденды")&lt;&gt;1),AND(C209="Дивиденды",COUNTIFS(Docs[ID],J209,Docs[Вид],"Дивиденды")&lt;&gt;1),AND(C209="Проценты",COUNTIFS(Docs[ID],J209,Docs[Вид],"Проценты")&lt;&gt;1),COUNTIF(Cash[ID],A209)&gt;1,NOT(ISNUMBER(B209)),B209&lt;НачалоУчета,YEAR(B209)&lt;&gt;Год,NOT(ISNUMBER(E209)),E209&lt;=0,N209&lt;0,COUNTIF(Типы,C209)&lt;&gt;1,COUNTIF(Категории,D209)&lt;&gt;1,COUNTIF(Счета,F209)&lt;&gt;1,COUNTIF(Проекты,I209)&lt;&gt;1,AND(H209&lt;&gt;"",COUNTIF(Контрагенты,H209)&lt;&gt;1),AND(C209="Перевод",OR(F209=G209,COUNTIF(Счета,G209)&lt;&gt;1)),AND(S209&lt;&gt;0,COUNTIF(Docs[ID],J209)&lt;&gt;1),AND(Форма="ООО",C209="Вывод ИП"),AND(Форма="ИП",C209="Дивиденды"),AND(L209&lt;&gt;"Проведён",L209&lt;&gt;"Черновик")),"ОШИБКА","ОК"))</f>
        <v>ОК</v>
      </c>
      <c r="W209" s="25">
        <f>IF(A209="","",SUMIF(Accounts[Счёт],F209,Accounts[Начальный])+SUMIFS($Q$7:Q209,$F$7:F209,F209)+SUMIFS($E$7:E209,$G$7:G209,F209,$C$7:C209,"Перевод",$L$7:L209,"Проведён"))</f>
        <v>852182.16000000015</v>
      </c>
    </row>
    <row r="210" spans="1:23" x14ac:dyDescent="0.25">
      <c r="A210" s="3" t="s">
        <v>836</v>
      </c>
      <c r="B210" s="19">
        <v>46293</v>
      </c>
      <c r="C210" s="3" t="s">
        <v>130</v>
      </c>
      <c r="D210" s="3" t="s">
        <v>130</v>
      </c>
      <c r="E210" s="24">
        <v>2788.37</v>
      </c>
      <c r="F210" s="3" t="s">
        <v>474</v>
      </c>
      <c r="G210" s="3"/>
      <c r="H210" s="3" t="s">
        <v>397</v>
      </c>
      <c r="I210" s="3" t="s">
        <v>383</v>
      </c>
      <c r="J210" s="3" t="s">
        <v>837</v>
      </c>
      <c r="K210" s="3" t="s">
        <v>130</v>
      </c>
      <c r="L210" s="3" t="s">
        <v>476</v>
      </c>
      <c r="M210" s="3"/>
      <c r="N210" s="24">
        <v>2788.37</v>
      </c>
      <c r="O210" s="3"/>
      <c r="P210" s="5">
        <f>IF(A210="","",IF(COUNTIF(Типы,C210)=0,0,VLOOKUP(C210,СПРАВОЧНИКИ!$A$7:$E$22,2,FALSE)))</f>
        <v>-1</v>
      </c>
      <c r="Q210" s="25">
        <f t="shared" si="3"/>
        <v>-2788.37</v>
      </c>
      <c r="R210" s="5" t="str">
        <f>IF(A210="","",IF(COUNTIF(Типы,C210)=0,"НЕИЗВЕСТНЫЙ ТИП",VLOOKUP(C210,СПРАВОЧНИКИ!$A$7:$E$22,3,FALSE)))</f>
        <v>Операционный</v>
      </c>
      <c r="S210" s="26">
        <f>IF(A210="","",IF(L210="Проведён",E210*IF(COUNTIF(Типы,C210)=0,0,VLOOKUP(C210,СПРАВОЧНИКИ!$A$7:$E$22,4,FALSE)),0))</f>
        <v>2788.37</v>
      </c>
      <c r="T210" s="26">
        <f>IF(A210="","",IF(L210="Проведён",E210*IF(COUNTIF(Типы,C210)=0,0,VLOOKUP(C210,СПРАВОЧНИКИ!$A$7:$E$22,5,FALSE)),0))</f>
        <v>0</v>
      </c>
      <c r="U210" s="5" t="str">
        <f>IF(A210="","",IF(COUNTIF(Контрагенты,H210)=0,"Не задан",VLOOKUP(H210,СПРАВОЧНИКИ!$G$7:$H$66,2,FALSE)))</f>
        <v>ЮЛ</v>
      </c>
      <c r="V210" s="4" t="str">
        <f>IF(A210="",IF(COUNTA(B210:O210)&gt;0,"НЕТ ID",""),IF(OR(AND(OR(C210="Оплата клиента",C210="Возврат клиенту"),COUNTIFS(Docs[ID],J210,Docs[Тип долга],"ДЗ")&lt;&gt;1),AND(OR(C210="Оплата поставщику",C210="Возврат поставщика"),COUNTIFS(Docs[ID],J210,Docs[Тип долга],"КЗ",Docs[Вид],"&lt;&gt;Дивиденды")&lt;&gt;1),AND(C210="Дивиденды",COUNTIFS(Docs[ID],J210,Docs[Вид],"Дивиденды")&lt;&gt;1),AND(C210="Проценты",COUNTIFS(Docs[ID],J210,Docs[Вид],"Проценты")&lt;&gt;1),COUNTIF(Cash[ID],A210)&gt;1,NOT(ISNUMBER(B210)),B210&lt;НачалоУчета,YEAR(B210)&lt;&gt;Год,NOT(ISNUMBER(E210)),E210&lt;=0,N210&lt;0,COUNTIF(Типы,C210)&lt;&gt;1,COUNTIF(Категории,D210)&lt;&gt;1,COUNTIF(Счета,F210)&lt;&gt;1,COUNTIF(Проекты,I210)&lt;&gt;1,AND(H210&lt;&gt;"",COUNTIF(Контрагенты,H210)&lt;&gt;1),AND(C210="Перевод",OR(F210=G210,COUNTIF(Счета,G210)&lt;&gt;1)),AND(S210&lt;&gt;0,COUNTIF(Docs[ID],J210)&lt;&gt;1),AND(Форма="ООО",C210="Вывод ИП"),AND(Форма="ИП",C210="Дивиденды"),AND(L210&lt;&gt;"Проведён",L210&lt;&gt;"Черновик")),"ОШИБКА","ОК"))</f>
        <v>ОК</v>
      </c>
      <c r="W210" s="25">
        <f>IF(A210="","",SUMIF(Accounts[Счёт],F210,Accounts[Начальный])+SUMIFS($Q$7:Q210,$F$7:F210,F210)+SUMIFS($E$7:E210,$G$7:G210,F210,$C$7:C210,"Перевод",$L$7:L210,"Проведён"))</f>
        <v>849393.79000000015</v>
      </c>
    </row>
    <row r="211" spans="1:23" x14ac:dyDescent="0.25">
      <c r="A211" s="3" t="s">
        <v>838</v>
      </c>
      <c r="B211" s="19">
        <v>46293</v>
      </c>
      <c r="C211" s="3" t="s">
        <v>537</v>
      </c>
      <c r="D211" s="3" t="s">
        <v>479</v>
      </c>
      <c r="E211" s="24">
        <v>12188.86</v>
      </c>
      <c r="F211" s="3" t="s">
        <v>474</v>
      </c>
      <c r="G211" s="3"/>
      <c r="H211" s="3" t="s">
        <v>397</v>
      </c>
      <c r="I211" s="3" t="s">
        <v>383</v>
      </c>
      <c r="J211" s="3" t="s">
        <v>394</v>
      </c>
      <c r="K211" s="3" t="s">
        <v>537</v>
      </c>
      <c r="L211" s="3" t="s">
        <v>476</v>
      </c>
      <c r="M211" s="3"/>
      <c r="N211" s="24">
        <v>0</v>
      </c>
      <c r="O211" s="3"/>
      <c r="P211" s="5">
        <f>IF(A211="","",IF(COUNTIF(Типы,C211)=0,0,VLOOKUP(C211,СПРАВОЧНИКИ!$A$7:$E$22,2,FALSE)))</f>
        <v>-1</v>
      </c>
      <c r="Q211" s="25">
        <f t="shared" si="3"/>
        <v>-12188.86</v>
      </c>
      <c r="R211" s="5" t="str">
        <f>IF(A211="","",IF(COUNTIF(Типы,C211)=0,"НЕИЗВЕСТНЫЙ ТИП",VLOOKUP(C211,СПРАВОЧНИКИ!$A$7:$E$22,3,FALSE)))</f>
        <v>Финансовый</v>
      </c>
      <c r="S211" s="26">
        <f>IF(A211="","",IF(L211="Проведён",E211*IF(COUNTIF(Типы,C211)=0,0,VLOOKUP(C211,СПРАВОЧНИКИ!$A$7:$E$22,4,FALSE)),0))</f>
        <v>0</v>
      </c>
      <c r="T211" s="26">
        <f>IF(A211="","",IF(L211="Проведён",E211*IF(COUNTIF(Типы,C211)=0,0,VLOOKUP(C211,СПРАВОЧНИКИ!$A$7:$E$22,5,FALSE)),0))</f>
        <v>0</v>
      </c>
      <c r="U211" s="5" t="str">
        <f>IF(A211="","",IF(COUNTIF(Контрагенты,H211)=0,"Не задан",VLOOKUP(H211,СПРАВОЧНИКИ!$G$7:$H$66,2,FALSE)))</f>
        <v>ЮЛ</v>
      </c>
      <c r="V211" s="4" t="str">
        <f>IF(A211="",IF(COUNTA(B211:O211)&gt;0,"НЕТ ID",""),IF(OR(AND(OR(C211="Оплата клиента",C211="Возврат клиенту"),COUNTIFS(Docs[ID],J211,Docs[Тип долга],"ДЗ")&lt;&gt;1),AND(OR(C211="Оплата поставщику",C211="Возврат поставщика"),COUNTIFS(Docs[ID],J211,Docs[Тип долга],"КЗ",Docs[Вид],"&lt;&gt;Дивиденды")&lt;&gt;1),AND(C211="Дивиденды",COUNTIFS(Docs[ID],J211,Docs[Вид],"Дивиденды")&lt;&gt;1),AND(C211="Проценты",COUNTIFS(Docs[ID],J211,Docs[Вид],"Проценты")&lt;&gt;1),COUNTIF(Cash[ID],A211)&gt;1,NOT(ISNUMBER(B211)),B211&lt;НачалоУчета,YEAR(B211)&lt;&gt;Год,NOT(ISNUMBER(E211)),E211&lt;=0,N211&lt;0,COUNTIF(Типы,C211)&lt;&gt;1,COUNTIF(Категории,D211)&lt;&gt;1,COUNTIF(Счета,F211)&lt;&gt;1,COUNTIF(Проекты,I211)&lt;&gt;1,AND(H211&lt;&gt;"",COUNTIF(Контрагенты,H211)&lt;&gt;1),AND(C211="Перевод",OR(F211=G211,COUNTIF(Счета,G211)&lt;&gt;1)),AND(S211&lt;&gt;0,COUNTIF(Docs[ID],J211)&lt;&gt;1),AND(Форма="ООО",C211="Вывод ИП"),AND(Форма="ИП",C211="Дивиденды"),AND(L211&lt;&gt;"Проведён",L211&lt;&gt;"Черновик")),"ОШИБКА","ОК"))</f>
        <v>ОК</v>
      </c>
      <c r="W211" s="25">
        <f>IF(A211="","",SUMIF(Accounts[Счёт],F211,Accounts[Начальный])+SUMIFS($Q$7:Q211,$F$7:F211,F211)+SUMIFS($E$7:E211,$G$7:G211,F211,$C$7:C211,"Перевод",$L$7:L211,"Проведён"))</f>
        <v>837204.93000000017</v>
      </c>
    </row>
    <row r="212" spans="1:23" x14ac:dyDescent="0.25">
      <c r="A212" s="3" t="s">
        <v>839</v>
      </c>
      <c r="B212" s="19">
        <v>46293</v>
      </c>
      <c r="C212" s="3" t="s">
        <v>539</v>
      </c>
      <c r="D212" s="3" t="s">
        <v>299</v>
      </c>
      <c r="E212" s="24">
        <v>15000</v>
      </c>
      <c r="F212" s="3" t="s">
        <v>474</v>
      </c>
      <c r="G212" s="3" t="s">
        <v>299</v>
      </c>
      <c r="H212" s="3"/>
      <c r="I212" s="3" t="s">
        <v>383</v>
      </c>
      <c r="J212" s="3"/>
      <c r="K212" s="3" t="s">
        <v>539</v>
      </c>
      <c r="L212" s="3" t="s">
        <v>476</v>
      </c>
      <c r="M212" s="3"/>
      <c r="N212" s="24">
        <v>0</v>
      </c>
      <c r="O212" s="3"/>
      <c r="P212" s="5">
        <f>IF(A212="","",IF(COUNTIF(Типы,C212)=0,0,VLOOKUP(C212,СПРАВОЧНИКИ!$A$7:$E$22,2,FALSE)))</f>
        <v>-1</v>
      </c>
      <c r="Q212" s="25">
        <f t="shared" si="3"/>
        <v>-15000</v>
      </c>
      <c r="R212" s="5" t="str">
        <f>IF(A212="","",IF(COUNTIF(Типы,C212)=0,"НЕИЗВЕСТНЫЙ ТИП",VLOOKUP(C212,СПРАВОЧНИКИ!$A$7:$E$22,3,FALSE)))</f>
        <v>Внутренний</v>
      </c>
      <c r="S212" s="26">
        <f>IF(A212="","",IF(L212="Проведён",E212*IF(COUNTIF(Типы,C212)=0,0,VLOOKUP(C212,СПРАВОЧНИКИ!$A$7:$E$22,4,FALSE)),0))</f>
        <v>0</v>
      </c>
      <c r="T212" s="26">
        <f>IF(A212="","",IF(L212="Проведён",E212*IF(COUNTIF(Типы,C212)=0,0,VLOOKUP(C212,СПРАВОЧНИКИ!$A$7:$E$22,5,FALSE)),0))</f>
        <v>0</v>
      </c>
      <c r="U212" s="5" t="str">
        <f>IF(A212="","",IF(COUNTIF(Контрагенты,H212)=0,"Не задан",VLOOKUP(H212,СПРАВОЧНИКИ!$G$7:$H$66,2,FALSE)))</f>
        <v>Не задан</v>
      </c>
      <c r="V212" s="4" t="str">
        <f>IF(A212="",IF(COUNTA(B212:O212)&gt;0,"НЕТ ID",""),IF(OR(AND(OR(C212="Оплата клиента",C212="Возврат клиенту"),COUNTIFS(Docs[ID],J212,Docs[Тип долга],"ДЗ")&lt;&gt;1),AND(OR(C212="Оплата поставщику",C212="Возврат поставщика"),COUNTIFS(Docs[ID],J212,Docs[Тип долга],"КЗ",Docs[Вид],"&lt;&gt;Дивиденды")&lt;&gt;1),AND(C212="Дивиденды",COUNTIFS(Docs[ID],J212,Docs[Вид],"Дивиденды")&lt;&gt;1),AND(C212="Проценты",COUNTIFS(Docs[ID],J212,Docs[Вид],"Проценты")&lt;&gt;1),COUNTIF(Cash[ID],A212)&gt;1,NOT(ISNUMBER(B212)),B212&lt;НачалоУчета,YEAR(B212)&lt;&gt;Год,NOT(ISNUMBER(E212)),E212&lt;=0,N212&lt;0,COUNTIF(Типы,C212)&lt;&gt;1,COUNTIF(Категории,D212)&lt;&gt;1,COUNTIF(Счета,F212)&lt;&gt;1,COUNTIF(Проекты,I212)&lt;&gt;1,AND(H212&lt;&gt;"",COUNTIF(Контрагенты,H212)&lt;&gt;1),AND(C212="Перевод",OR(F212=G212,COUNTIF(Счета,G212)&lt;&gt;1)),AND(S212&lt;&gt;0,COUNTIF(Docs[ID],J212)&lt;&gt;1),AND(Форма="ООО",C212="Вывод ИП"),AND(Форма="ИП",C212="Дивиденды"),AND(L212&lt;&gt;"Проведён",L212&lt;&gt;"Черновик")),"ОШИБКА","ОК"))</f>
        <v>ОК</v>
      </c>
      <c r="W212" s="25">
        <f>IF(A212="","",SUMIF(Accounts[Счёт],F212,Accounts[Начальный])+SUMIFS($Q$7:Q212,$F$7:F212,F212)+SUMIFS($E$7:E212,$G$7:G212,F212,$C$7:C212,"Перевод",$L$7:L212,"Проведён"))</f>
        <v>822204.93000000017</v>
      </c>
    </row>
    <row r="213" spans="1:23" x14ac:dyDescent="0.25">
      <c r="A213" s="3" t="s">
        <v>840</v>
      </c>
      <c r="B213" s="19">
        <v>46293</v>
      </c>
      <c r="C213" s="3" t="s">
        <v>613</v>
      </c>
      <c r="D213" s="3" t="s">
        <v>300</v>
      </c>
      <c r="E213" s="24">
        <v>25000</v>
      </c>
      <c r="F213" s="3" t="s">
        <v>474</v>
      </c>
      <c r="G213" s="3"/>
      <c r="H213" s="3" t="s">
        <v>475</v>
      </c>
      <c r="I213" s="3" t="s">
        <v>383</v>
      </c>
      <c r="J213" s="3"/>
      <c r="K213" s="3" t="s">
        <v>613</v>
      </c>
      <c r="L213" s="3" t="s">
        <v>476</v>
      </c>
      <c r="M213" s="3"/>
      <c r="N213" s="24">
        <v>0</v>
      </c>
      <c r="O213" s="3" t="s">
        <v>300</v>
      </c>
      <c r="P213" s="5">
        <f>IF(A213="","",IF(COUNTIF(Типы,C213)=0,0,VLOOKUP(C213,СПРАВОЧНИКИ!$A$7:$E$22,2,FALSE)))</f>
        <v>-1</v>
      </c>
      <c r="Q213" s="25">
        <f t="shared" si="3"/>
        <v>-25000</v>
      </c>
      <c r="R213" s="5" t="str">
        <f>IF(A213="","",IF(COUNTIF(Типы,C213)=0,"НЕИЗВЕСТНЫЙ ТИП",VLOOKUP(C213,СПРАВОЧНИКИ!$A$7:$E$22,3,FALSE)))</f>
        <v>Финансовый</v>
      </c>
      <c r="S213" s="26">
        <f>IF(A213="","",IF(L213="Проведён",E213*IF(COUNTIF(Типы,C213)=0,0,VLOOKUP(C213,СПРАВОЧНИКИ!$A$7:$E$22,4,FALSE)),0))</f>
        <v>0</v>
      </c>
      <c r="T213" s="26">
        <f>IF(A213="","",IF(L213="Проведён",E213*IF(COUNTIF(Типы,C213)=0,0,VLOOKUP(C213,СПРАВОЧНИКИ!$A$7:$E$22,5,FALSE)),0))</f>
        <v>0</v>
      </c>
      <c r="U213" s="5" t="str">
        <f>IF(A213="","",IF(COUNTIF(Контрагенты,H213)=0,"Не задан",VLOOKUP(H213,СПРАВОЧНИКИ!$G$7:$H$66,2,FALSE)))</f>
        <v>ФЛ</v>
      </c>
      <c r="V213" s="4" t="str">
        <f>IF(A213="",IF(COUNTA(B213:O213)&gt;0,"НЕТ ID",""),IF(OR(AND(OR(C213="Оплата клиента",C213="Возврат клиенту"),COUNTIFS(Docs[ID],J213,Docs[Тип долга],"ДЗ")&lt;&gt;1),AND(OR(C213="Оплата поставщику",C213="Возврат поставщика"),COUNTIFS(Docs[ID],J213,Docs[Тип долга],"КЗ",Docs[Вид],"&lt;&gt;Дивиденды")&lt;&gt;1),AND(C213="Дивиденды",COUNTIFS(Docs[ID],J213,Docs[Вид],"Дивиденды")&lt;&gt;1),AND(C213="Проценты",COUNTIFS(Docs[ID],J213,Docs[Вид],"Проценты")&lt;&gt;1),COUNTIF(Cash[ID],A213)&gt;1,NOT(ISNUMBER(B213)),B213&lt;НачалоУчета,YEAR(B213)&lt;&gt;Год,NOT(ISNUMBER(E213)),E213&lt;=0,N213&lt;0,COUNTIF(Типы,C213)&lt;&gt;1,COUNTIF(Категории,D213)&lt;&gt;1,COUNTIF(Счета,F213)&lt;&gt;1,COUNTIF(Проекты,I213)&lt;&gt;1,AND(H213&lt;&gt;"",COUNTIF(Контрагенты,H213)&lt;&gt;1),AND(C213="Перевод",OR(F213=G213,COUNTIF(Счета,G213)&lt;&gt;1)),AND(S213&lt;&gt;0,COUNTIF(Docs[ID],J213)&lt;&gt;1),AND(Форма="ООО",C213="Вывод ИП"),AND(Форма="ИП",C213="Дивиденды"),AND(L213&lt;&gt;"Проведён",L213&lt;&gt;"Черновик")),"ОШИБКА","ОК"))</f>
        <v>ОК</v>
      </c>
      <c r="W213" s="25">
        <f>IF(A213="","",SUMIF(Accounts[Счёт],F213,Accounts[Начальный])+SUMIFS($Q$7:Q213,$F$7:F213,F213)+SUMIFS($E$7:E213,$G$7:G213,F213,$C$7:C213,"Перевод",$L$7:L213,"Проведён"))</f>
        <v>797204.93000000017</v>
      </c>
    </row>
    <row r="214" spans="1:23" x14ac:dyDescent="0.25">
      <c r="A214" s="3" t="s">
        <v>841</v>
      </c>
      <c r="B214" s="19">
        <v>46294</v>
      </c>
      <c r="C214" s="3" t="s">
        <v>484</v>
      </c>
      <c r="D214" s="3" t="s">
        <v>485</v>
      </c>
      <c r="E214" s="24">
        <v>20800</v>
      </c>
      <c r="F214" s="3" t="s">
        <v>474</v>
      </c>
      <c r="G214" s="3"/>
      <c r="H214" s="3" t="s">
        <v>501</v>
      </c>
      <c r="I214" s="3" t="s">
        <v>382</v>
      </c>
      <c r="J214" s="3" t="s">
        <v>816</v>
      </c>
      <c r="K214" s="3" t="s">
        <v>484</v>
      </c>
      <c r="L214" s="3" t="s">
        <v>476</v>
      </c>
      <c r="M214" s="3"/>
      <c r="N214" s="24">
        <v>0</v>
      </c>
      <c r="O214" s="3"/>
      <c r="P214" s="5">
        <f>IF(A214="","",IF(COUNTIF(Типы,C214)=0,0,VLOOKUP(C214,СПРАВОЧНИКИ!$A$7:$E$22,2,FALSE)))</f>
        <v>1</v>
      </c>
      <c r="Q214" s="25">
        <f t="shared" si="3"/>
        <v>20800</v>
      </c>
      <c r="R214" s="5" t="str">
        <f>IF(A214="","",IF(COUNTIF(Типы,C214)=0,"НЕИЗВЕСТНЫЙ ТИП",VLOOKUP(C214,СПРАВОЧНИКИ!$A$7:$E$22,3,FALSE)))</f>
        <v>Операционный</v>
      </c>
      <c r="S214" s="26">
        <f>IF(A214="","",IF(L214="Проведён",E214*IF(COUNTIF(Типы,C214)=0,0,VLOOKUP(C214,СПРАВОЧНИКИ!$A$7:$E$22,4,FALSE)),0))</f>
        <v>20800</v>
      </c>
      <c r="T214" s="26">
        <f>IF(A214="","",IF(L214="Проведён",E214*IF(COUNTIF(Типы,C214)=0,0,VLOOKUP(C214,СПРАВОЧНИКИ!$A$7:$E$22,5,FALSE)),0))</f>
        <v>20800</v>
      </c>
      <c r="U214" s="5" t="str">
        <f>IF(A214="","",IF(COUNTIF(Контрагенты,H214)=0,"Не задан",VLOOKUP(H214,СПРАВОЧНИКИ!$G$7:$H$66,2,FALSE)))</f>
        <v>ЮЛ</v>
      </c>
      <c r="V214" s="4" t="str">
        <f>IF(A214="",IF(COUNTA(B214:O214)&gt;0,"НЕТ ID",""),IF(OR(AND(OR(C214="Оплата клиента",C214="Возврат клиенту"),COUNTIFS(Docs[ID],J214,Docs[Тип долга],"ДЗ")&lt;&gt;1),AND(OR(C214="Оплата поставщику",C214="Возврат поставщика"),COUNTIFS(Docs[ID],J214,Docs[Тип долга],"КЗ",Docs[Вид],"&lt;&gt;Дивиденды")&lt;&gt;1),AND(C214="Дивиденды",COUNTIFS(Docs[ID],J214,Docs[Вид],"Дивиденды")&lt;&gt;1),AND(C214="Проценты",COUNTIFS(Docs[ID],J214,Docs[Вид],"Проценты")&lt;&gt;1),COUNTIF(Cash[ID],A214)&gt;1,NOT(ISNUMBER(B214)),B214&lt;НачалоУчета,YEAR(B214)&lt;&gt;Год,NOT(ISNUMBER(E214)),E214&lt;=0,N214&lt;0,COUNTIF(Типы,C214)&lt;&gt;1,COUNTIF(Категории,D214)&lt;&gt;1,COUNTIF(Счета,F214)&lt;&gt;1,COUNTIF(Проекты,I214)&lt;&gt;1,AND(H214&lt;&gt;"",COUNTIF(Контрагенты,H214)&lt;&gt;1),AND(C214="Перевод",OR(F214=G214,COUNTIF(Счета,G214)&lt;&gt;1)),AND(S214&lt;&gt;0,COUNTIF(Docs[ID],J214)&lt;&gt;1),AND(Форма="ООО",C214="Вывод ИП"),AND(Форма="ИП",C214="Дивиденды"),AND(L214&lt;&gt;"Проведён",L214&lt;&gt;"Черновик")),"ОШИБКА","ОК"))</f>
        <v>ОК</v>
      </c>
      <c r="W214" s="25">
        <f>IF(A214="","",SUMIF(Accounts[Счёт],F214,Accounts[Начальный])+SUMIFS($Q$7:Q214,$F$7:F214,F214)+SUMIFS($E$7:E214,$G$7:G214,F214,$C$7:C214,"Перевод",$L$7:L214,"Проведён"))</f>
        <v>818004.93000000017</v>
      </c>
    </row>
    <row r="215" spans="1:23" x14ac:dyDescent="0.25">
      <c r="A215" s="3" t="s">
        <v>842</v>
      </c>
      <c r="B215" s="19">
        <v>46307</v>
      </c>
      <c r="C215" s="3" t="s">
        <v>484</v>
      </c>
      <c r="D215" s="3" t="s">
        <v>485</v>
      </c>
      <c r="E215" s="24">
        <v>119280</v>
      </c>
      <c r="F215" s="3" t="s">
        <v>474</v>
      </c>
      <c r="G215" s="3"/>
      <c r="H215" s="3" t="s">
        <v>486</v>
      </c>
      <c r="I215" s="3" t="s">
        <v>381</v>
      </c>
      <c r="J215" s="3" t="s">
        <v>843</v>
      </c>
      <c r="K215" s="3" t="s">
        <v>484</v>
      </c>
      <c r="L215" s="3" t="s">
        <v>476</v>
      </c>
      <c r="M215" s="3"/>
      <c r="N215" s="24">
        <v>0</v>
      </c>
      <c r="O215" s="3"/>
      <c r="P215" s="5">
        <f>IF(A215="","",IF(COUNTIF(Типы,C215)=0,0,VLOOKUP(C215,СПРАВОЧНИКИ!$A$7:$E$22,2,FALSE)))</f>
        <v>1</v>
      </c>
      <c r="Q215" s="25">
        <f t="shared" si="3"/>
        <v>119280</v>
      </c>
      <c r="R215" s="5" t="str">
        <f>IF(A215="","",IF(COUNTIF(Типы,C215)=0,"НЕИЗВЕСТНЫЙ ТИП",VLOOKUP(C215,СПРАВОЧНИКИ!$A$7:$E$22,3,FALSE)))</f>
        <v>Операционный</v>
      </c>
      <c r="S215" s="26">
        <f>IF(A215="","",IF(L215="Проведён",E215*IF(COUNTIF(Типы,C215)=0,0,VLOOKUP(C215,СПРАВОЧНИКИ!$A$7:$E$22,4,FALSE)),0))</f>
        <v>119280</v>
      </c>
      <c r="T215" s="26">
        <f>IF(A215="","",IF(L215="Проведён",E215*IF(COUNTIF(Типы,C215)=0,0,VLOOKUP(C215,СПРАВОЧНИКИ!$A$7:$E$22,5,FALSE)),0))</f>
        <v>119280</v>
      </c>
      <c r="U215" s="5" t="str">
        <f>IF(A215="","",IF(COUNTIF(Контрагенты,H215)=0,"Не задан",VLOOKUP(H215,СПРАВОЧНИКИ!$G$7:$H$66,2,FALSE)))</f>
        <v>ЮЛ</v>
      </c>
      <c r="V215" s="4" t="str">
        <f>IF(A215="",IF(COUNTA(B215:O215)&gt;0,"НЕТ ID",""),IF(OR(AND(OR(C215="Оплата клиента",C215="Возврат клиенту"),COUNTIFS(Docs[ID],J215,Docs[Тип долга],"ДЗ")&lt;&gt;1),AND(OR(C215="Оплата поставщику",C215="Возврат поставщика"),COUNTIFS(Docs[ID],J215,Docs[Тип долга],"КЗ",Docs[Вид],"&lt;&gt;Дивиденды")&lt;&gt;1),AND(C215="Дивиденды",COUNTIFS(Docs[ID],J215,Docs[Вид],"Дивиденды")&lt;&gt;1),AND(C215="Проценты",COUNTIFS(Docs[ID],J215,Docs[Вид],"Проценты")&lt;&gt;1),COUNTIF(Cash[ID],A215)&gt;1,NOT(ISNUMBER(B215)),B215&lt;НачалоУчета,YEAR(B215)&lt;&gt;Год,NOT(ISNUMBER(E215)),E215&lt;=0,N215&lt;0,COUNTIF(Типы,C215)&lt;&gt;1,COUNTIF(Категории,D215)&lt;&gt;1,COUNTIF(Счета,F215)&lt;&gt;1,COUNTIF(Проекты,I215)&lt;&gt;1,AND(H215&lt;&gt;"",COUNTIF(Контрагенты,H215)&lt;&gt;1),AND(C215="Перевод",OR(F215=G215,COUNTIF(Счета,G215)&lt;&gt;1)),AND(S215&lt;&gt;0,COUNTIF(Docs[ID],J215)&lt;&gt;1),AND(Форма="ООО",C215="Вывод ИП"),AND(Форма="ИП",C215="Дивиденды"),AND(L215&lt;&gt;"Проведён",L215&lt;&gt;"Черновик")),"ОШИБКА","ОК"))</f>
        <v>ОК</v>
      </c>
      <c r="W215" s="25">
        <f>IF(A215="","",SUMIF(Accounts[Счёт],F215,Accounts[Начальный])+SUMIFS($Q$7:Q215,$F$7:F215,F215)+SUMIFS($E$7:E215,$G$7:G215,F215,$C$7:C215,"Перевод",$L$7:L215,"Проведён"))</f>
        <v>937284.93000000017</v>
      </c>
    </row>
    <row r="216" spans="1:23" x14ac:dyDescent="0.25">
      <c r="A216" s="3" t="s">
        <v>844</v>
      </c>
      <c r="B216" s="19">
        <v>46308</v>
      </c>
      <c r="C216" s="3" t="s">
        <v>484</v>
      </c>
      <c r="D216" s="3" t="s">
        <v>485</v>
      </c>
      <c r="E216" s="24">
        <v>93720</v>
      </c>
      <c r="F216" s="3" t="s">
        <v>474</v>
      </c>
      <c r="G216" s="3"/>
      <c r="H216" s="3" t="s">
        <v>489</v>
      </c>
      <c r="I216" s="3" t="s">
        <v>298</v>
      </c>
      <c r="J216" s="3" t="s">
        <v>845</v>
      </c>
      <c r="K216" s="3" t="s">
        <v>484</v>
      </c>
      <c r="L216" s="3" t="s">
        <v>476</v>
      </c>
      <c r="M216" s="3"/>
      <c r="N216" s="24">
        <v>0</v>
      </c>
      <c r="O216" s="3"/>
      <c r="P216" s="5">
        <f>IF(A216="","",IF(COUNTIF(Типы,C216)=0,0,VLOOKUP(C216,СПРАВОЧНИКИ!$A$7:$E$22,2,FALSE)))</f>
        <v>1</v>
      </c>
      <c r="Q216" s="25">
        <f t="shared" si="3"/>
        <v>93720</v>
      </c>
      <c r="R216" s="5" t="str">
        <f>IF(A216="","",IF(COUNTIF(Типы,C216)=0,"НЕИЗВЕСТНЫЙ ТИП",VLOOKUP(C216,СПРАВОЧНИКИ!$A$7:$E$22,3,FALSE)))</f>
        <v>Операционный</v>
      </c>
      <c r="S216" s="26">
        <f>IF(A216="","",IF(L216="Проведён",E216*IF(COUNTIF(Типы,C216)=0,0,VLOOKUP(C216,СПРАВОЧНИКИ!$A$7:$E$22,4,FALSE)),0))</f>
        <v>93720</v>
      </c>
      <c r="T216" s="26">
        <f>IF(A216="","",IF(L216="Проведён",E216*IF(COUNTIF(Типы,C216)=0,0,VLOOKUP(C216,СПРАВОЧНИКИ!$A$7:$E$22,5,FALSE)),0))</f>
        <v>93720</v>
      </c>
      <c r="U216" s="5" t="str">
        <f>IF(A216="","",IF(COUNTIF(Контрагенты,H216)=0,"Не задан",VLOOKUP(H216,СПРАВОЧНИКИ!$G$7:$H$66,2,FALSE)))</f>
        <v>ЮЛ</v>
      </c>
      <c r="V216" s="4" t="str">
        <f>IF(A216="",IF(COUNTA(B216:O216)&gt;0,"НЕТ ID",""),IF(OR(AND(OR(C216="Оплата клиента",C216="Возврат клиенту"),COUNTIFS(Docs[ID],J216,Docs[Тип долга],"ДЗ")&lt;&gt;1),AND(OR(C216="Оплата поставщику",C216="Возврат поставщика"),COUNTIFS(Docs[ID],J216,Docs[Тип долга],"КЗ",Docs[Вид],"&lt;&gt;Дивиденды")&lt;&gt;1),AND(C216="Дивиденды",COUNTIFS(Docs[ID],J216,Docs[Вид],"Дивиденды")&lt;&gt;1),AND(C216="Проценты",COUNTIFS(Docs[ID],J216,Docs[Вид],"Проценты")&lt;&gt;1),COUNTIF(Cash[ID],A216)&gt;1,NOT(ISNUMBER(B216)),B216&lt;НачалоУчета,YEAR(B216)&lt;&gt;Год,NOT(ISNUMBER(E216)),E216&lt;=0,N216&lt;0,COUNTIF(Типы,C216)&lt;&gt;1,COUNTIF(Категории,D216)&lt;&gt;1,COUNTIF(Счета,F216)&lt;&gt;1,COUNTIF(Проекты,I216)&lt;&gt;1,AND(H216&lt;&gt;"",COUNTIF(Контрагенты,H216)&lt;&gt;1),AND(C216="Перевод",OR(F216=G216,COUNTIF(Счета,G216)&lt;&gt;1)),AND(S216&lt;&gt;0,COUNTIF(Docs[ID],J216)&lt;&gt;1),AND(Форма="ООО",C216="Вывод ИП"),AND(Форма="ИП",C216="Дивиденды"),AND(L216&lt;&gt;"Проведён",L216&lt;&gt;"Черновик")),"ОШИБКА","ОК"))</f>
        <v>ОК</v>
      </c>
      <c r="W216" s="25">
        <f>IF(A216="","",SUMIF(Accounts[Счёт],F216,Accounts[Начальный])+SUMIFS($Q$7:Q216,$F$7:F216,F216)+SUMIFS($E$7:E216,$G$7:G216,F216,$C$7:C216,"Перевод",$L$7:L216,"Проведён"))</f>
        <v>1031004.9300000002</v>
      </c>
    </row>
    <row r="217" spans="1:23" x14ac:dyDescent="0.25">
      <c r="A217" s="3" t="s">
        <v>846</v>
      </c>
      <c r="B217" s="19">
        <v>46309</v>
      </c>
      <c r="C217" s="3" t="s">
        <v>484</v>
      </c>
      <c r="D217" s="3" t="s">
        <v>485</v>
      </c>
      <c r="E217" s="24">
        <v>76680</v>
      </c>
      <c r="F217" s="3" t="s">
        <v>474</v>
      </c>
      <c r="G217" s="3"/>
      <c r="H217" s="3" t="s">
        <v>492</v>
      </c>
      <c r="I217" s="3" t="s">
        <v>382</v>
      </c>
      <c r="J217" s="3" t="s">
        <v>847</v>
      </c>
      <c r="K217" s="3" t="s">
        <v>484</v>
      </c>
      <c r="L217" s="3" t="s">
        <v>476</v>
      </c>
      <c r="M217" s="3"/>
      <c r="N217" s="24">
        <v>0</v>
      </c>
      <c r="O217" s="3"/>
      <c r="P217" s="5">
        <f>IF(A217="","",IF(COUNTIF(Типы,C217)=0,0,VLOOKUP(C217,СПРАВОЧНИКИ!$A$7:$E$22,2,FALSE)))</f>
        <v>1</v>
      </c>
      <c r="Q217" s="25">
        <f t="shared" si="3"/>
        <v>76680</v>
      </c>
      <c r="R217" s="5" t="str">
        <f>IF(A217="","",IF(COUNTIF(Типы,C217)=0,"НЕИЗВЕСТНЫЙ ТИП",VLOOKUP(C217,СПРАВОЧНИКИ!$A$7:$E$22,3,FALSE)))</f>
        <v>Операционный</v>
      </c>
      <c r="S217" s="26">
        <f>IF(A217="","",IF(L217="Проведён",E217*IF(COUNTIF(Типы,C217)=0,0,VLOOKUP(C217,СПРАВОЧНИКИ!$A$7:$E$22,4,FALSE)),0))</f>
        <v>76680</v>
      </c>
      <c r="T217" s="26">
        <f>IF(A217="","",IF(L217="Проведён",E217*IF(COUNTIF(Типы,C217)=0,0,VLOOKUP(C217,СПРАВОЧНИКИ!$A$7:$E$22,5,FALSE)),0))</f>
        <v>76680</v>
      </c>
      <c r="U217" s="5" t="str">
        <f>IF(A217="","",IF(COUNTIF(Контрагенты,H217)=0,"Не задан",VLOOKUP(H217,СПРАВОЧНИКИ!$G$7:$H$66,2,FALSE)))</f>
        <v>ИП</v>
      </c>
      <c r="V217" s="4" t="str">
        <f>IF(A217="",IF(COUNTA(B217:O217)&gt;0,"НЕТ ID",""),IF(OR(AND(OR(C217="Оплата клиента",C217="Возврат клиенту"),COUNTIFS(Docs[ID],J217,Docs[Тип долга],"ДЗ")&lt;&gt;1),AND(OR(C217="Оплата поставщику",C217="Возврат поставщика"),COUNTIFS(Docs[ID],J217,Docs[Тип долга],"КЗ",Docs[Вид],"&lt;&gt;Дивиденды")&lt;&gt;1),AND(C217="Дивиденды",COUNTIFS(Docs[ID],J217,Docs[Вид],"Дивиденды")&lt;&gt;1),AND(C217="Проценты",COUNTIFS(Docs[ID],J217,Docs[Вид],"Проценты")&lt;&gt;1),COUNTIF(Cash[ID],A217)&gt;1,NOT(ISNUMBER(B217)),B217&lt;НачалоУчета,YEAR(B217)&lt;&gt;Год,NOT(ISNUMBER(E217)),E217&lt;=0,N217&lt;0,COUNTIF(Типы,C217)&lt;&gt;1,COUNTIF(Категории,D217)&lt;&gt;1,COUNTIF(Счета,F217)&lt;&gt;1,COUNTIF(Проекты,I217)&lt;&gt;1,AND(H217&lt;&gt;"",COUNTIF(Контрагенты,H217)&lt;&gt;1),AND(C217="Перевод",OR(F217=G217,COUNTIF(Счета,G217)&lt;&gt;1)),AND(S217&lt;&gt;0,COUNTIF(Docs[ID],J217)&lt;&gt;1),AND(Форма="ООО",C217="Вывод ИП"),AND(Форма="ИП",C217="Дивиденды"),AND(L217&lt;&gt;"Проведён",L217&lt;&gt;"Черновик")),"ОШИБКА","ОК"))</f>
        <v>ОК</v>
      </c>
      <c r="W217" s="25">
        <f>IF(A217="","",SUMIF(Accounts[Счёт],F217,Accounts[Начальный])+SUMIFS($Q$7:Q217,$F$7:F217,F217)+SUMIFS($E$7:E217,$G$7:G217,F217,$C$7:C217,"Перевод",$L$7:L217,"Проведён"))</f>
        <v>1107684.9300000002</v>
      </c>
    </row>
    <row r="218" spans="1:23" x14ac:dyDescent="0.25">
      <c r="A218" s="3" t="s">
        <v>848</v>
      </c>
      <c r="B218" s="19">
        <v>46310</v>
      </c>
      <c r="C218" s="3" t="s">
        <v>484</v>
      </c>
      <c r="D218" s="3" t="s">
        <v>485</v>
      </c>
      <c r="E218" s="24">
        <v>59640</v>
      </c>
      <c r="F218" s="3" t="s">
        <v>474</v>
      </c>
      <c r="G218" s="3"/>
      <c r="H218" s="3" t="s">
        <v>495</v>
      </c>
      <c r="I218" s="3" t="s">
        <v>381</v>
      </c>
      <c r="J218" s="3" t="s">
        <v>849</v>
      </c>
      <c r="K218" s="3" t="s">
        <v>484</v>
      </c>
      <c r="L218" s="3" t="s">
        <v>476</v>
      </c>
      <c r="M218" s="3"/>
      <c r="N218" s="24">
        <v>0</v>
      </c>
      <c r="O218" s="3"/>
      <c r="P218" s="5">
        <f>IF(A218="","",IF(COUNTIF(Типы,C218)=0,0,VLOOKUP(C218,СПРАВОЧНИКИ!$A$7:$E$22,2,FALSE)))</f>
        <v>1</v>
      </c>
      <c r="Q218" s="25">
        <f t="shared" si="3"/>
        <v>59640</v>
      </c>
      <c r="R218" s="5" t="str">
        <f>IF(A218="","",IF(COUNTIF(Типы,C218)=0,"НЕИЗВЕСТНЫЙ ТИП",VLOOKUP(C218,СПРАВОЧНИКИ!$A$7:$E$22,3,FALSE)))</f>
        <v>Операционный</v>
      </c>
      <c r="S218" s="26">
        <f>IF(A218="","",IF(L218="Проведён",E218*IF(COUNTIF(Типы,C218)=0,0,VLOOKUP(C218,СПРАВОЧНИКИ!$A$7:$E$22,4,FALSE)),0))</f>
        <v>59640</v>
      </c>
      <c r="T218" s="26">
        <f>IF(A218="","",IF(L218="Проведён",E218*IF(COUNTIF(Типы,C218)=0,0,VLOOKUP(C218,СПРАВОЧНИКИ!$A$7:$E$22,5,FALSE)),0))</f>
        <v>59640</v>
      </c>
      <c r="U218" s="5" t="str">
        <f>IF(A218="","",IF(COUNTIF(Контрагенты,H218)=0,"Не задан",VLOOKUP(H218,СПРАВОЧНИКИ!$G$7:$H$66,2,FALSE)))</f>
        <v>ЮЛ</v>
      </c>
      <c r="V218" s="4" t="str">
        <f>IF(A218="",IF(COUNTA(B218:O218)&gt;0,"НЕТ ID",""),IF(OR(AND(OR(C218="Оплата клиента",C218="Возврат клиенту"),COUNTIFS(Docs[ID],J218,Docs[Тип долга],"ДЗ")&lt;&gt;1),AND(OR(C218="Оплата поставщику",C218="Возврат поставщика"),COUNTIFS(Docs[ID],J218,Docs[Тип долга],"КЗ",Docs[Вид],"&lt;&gt;Дивиденды")&lt;&gt;1),AND(C218="Дивиденды",COUNTIFS(Docs[ID],J218,Docs[Вид],"Дивиденды")&lt;&gt;1),AND(C218="Проценты",COUNTIFS(Docs[ID],J218,Docs[Вид],"Проценты")&lt;&gt;1),COUNTIF(Cash[ID],A218)&gt;1,NOT(ISNUMBER(B218)),B218&lt;НачалоУчета,YEAR(B218)&lt;&gt;Год,NOT(ISNUMBER(E218)),E218&lt;=0,N218&lt;0,COUNTIF(Типы,C218)&lt;&gt;1,COUNTIF(Категории,D218)&lt;&gt;1,COUNTIF(Счета,F218)&lt;&gt;1,COUNTIF(Проекты,I218)&lt;&gt;1,AND(H218&lt;&gt;"",COUNTIF(Контрагенты,H218)&lt;&gt;1),AND(C218="Перевод",OR(F218=G218,COUNTIF(Счета,G218)&lt;&gt;1)),AND(S218&lt;&gt;0,COUNTIF(Docs[ID],J218)&lt;&gt;1),AND(Форма="ООО",C218="Вывод ИП"),AND(Форма="ИП",C218="Дивиденды"),AND(L218&lt;&gt;"Проведён",L218&lt;&gt;"Черновик")),"ОШИБКА","ОК"))</f>
        <v>ОК</v>
      </c>
      <c r="W218" s="25">
        <f>IF(A218="","",SUMIF(Accounts[Счёт],F218,Accounts[Начальный])+SUMIFS($Q$7:Q218,$F$7:F218,F218)+SUMIFS($E$7:E218,$G$7:G218,F218,$C$7:C218,"Перевод",$L$7:L218,"Проведён"))</f>
        <v>1167324.9300000002</v>
      </c>
    </row>
    <row r="219" spans="1:23" x14ac:dyDescent="0.25">
      <c r="A219" s="3" t="s">
        <v>850</v>
      </c>
      <c r="B219" s="19">
        <v>46311</v>
      </c>
      <c r="C219" s="3" t="s">
        <v>484</v>
      </c>
      <c r="D219" s="3" t="s">
        <v>485</v>
      </c>
      <c r="E219" s="24">
        <v>42600</v>
      </c>
      <c r="F219" s="3" t="s">
        <v>474</v>
      </c>
      <c r="G219" s="3"/>
      <c r="H219" s="3" t="s">
        <v>498</v>
      </c>
      <c r="I219" s="3" t="s">
        <v>298</v>
      </c>
      <c r="J219" s="3" t="s">
        <v>851</v>
      </c>
      <c r="K219" s="3" t="s">
        <v>484</v>
      </c>
      <c r="L219" s="3" t="s">
        <v>476</v>
      </c>
      <c r="M219" s="3"/>
      <c r="N219" s="24">
        <v>0</v>
      </c>
      <c r="O219" s="3"/>
      <c r="P219" s="5">
        <f>IF(A219="","",IF(COUNTIF(Типы,C219)=0,0,VLOOKUP(C219,СПРАВОЧНИКИ!$A$7:$E$22,2,FALSE)))</f>
        <v>1</v>
      </c>
      <c r="Q219" s="25">
        <f t="shared" si="3"/>
        <v>42600</v>
      </c>
      <c r="R219" s="5" t="str">
        <f>IF(A219="","",IF(COUNTIF(Типы,C219)=0,"НЕИЗВЕСТНЫЙ ТИП",VLOOKUP(C219,СПРАВОЧНИКИ!$A$7:$E$22,3,FALSE)))</f>
        <v>Операционный</v>
      </c>
      <c r="S219" s="26">
        <f>IF(A219="","",IF(L219="Проведён",E219*IF(COUNTIF(Типы,C219)=0,0,VLOOKUP(C219,СПРАВОЧНИКИ!$A$7:$E$22,4,FALSE)),0))</f>
        <v>42600</v>
      </c>
      <c r="T219" s="26">
        <f>IF(A219="","",IF(L219="Проведён",E219*IF(COUNTIF(Типы,C219)=0,0,VLOOKUP(C219,СПРАВОЧНИКИ!$A$7:$E$22,5,FALSE)),0))</f>
        <v>42600</v>
      </c>
      <c r="U219" s="5" t="str">
        <f>IF(A219="","",IF(COUNTIF(Контрагенты,H219)=0,"Не задан",VLOOKUP(H219,СПРАВОЧНИКИ!$G$7:$H$66,2,FALSE)))</f>
        <v>ФЛ</v>
      </c>
      <c r="V219" s="4" t="str">
        <f>IF(A219="",IF(COUNTA(B219:O219)&gt;0,"НЕТ ID",""),IF(OR(AND(OR(C219="Оплата клиента",C219="Возврат клиенту"),COUNTIFS(Docs[ID],J219,Docs[Тип долга],"ДЗ")&lt;&gt;1),AND(OR(C219="Оплата поставщику",C219="Возврат поставщика"),COUNTIFS(Docs[ID],J219,Docs[Тип долга],"КЗ",Docs[Вид],"&lt;&gt;Дивиденды")&lt;&gt;1),AND(C219="Дивиденды",COUNTIFS(Docs[ID],J219,Docs[Вид],"Дивиденды")&lt;&gt;1),AND(C219="Проценты",COUNTIFS(Docs[ID],J219,Docs[Вид],"Проценты")&lt;&gt;1),COUNTIF(Cash[ID],A219)&gt;1,NOT(ISNUMBER(B219)),B219&lt;НачалоУчета,YEAR(B219)&lt;&gt;Год,NOT(ISNUMBER(E219)),E219&lt;=0,N219&lt;0,COUNTIF(Типы,C219)&lt;&gt;1,COUNTIF(Категории,D219)&lt;&gt;1,COUNTIF(Счета,F219)&lt;&gt;1,COUNTIF(Проекты,I219)&lt;&gt;1,AND(H219&lt;&gt;"",COUNTIF(Контрагенты,H219)&lt;&gt;1),AND(C219="Перевод",OR(F219=G219,COUNTIF(Счета,G219)&lt;&gt;1)),AND(S219&lt;&gt;0,COUNTIF(Docs[ID],J219)&lt;&gt;1),AND(Форма="ООО",C219="Вывод ИП"),AND(Форма="ИП",C219="Дивиденды"),AND(L219&lt;&gt;"Проведён",L219&lt;&gt;"Черновик")),"ОШИБКА","ОК"))</f>
        <v>ОК</v>
      </c>
      <c r="W219" s="25">
        <f>IF(A219="","",SUMIF(Accounts[Счёт],F219,Accounts[Начальный])+SUMIFS($Q$7:Q219,$F$7:F219,F219)+SUMIFS($E$7:E219,$G$7:G219,F219,$C$7:C219,"Перевод",$L$7:L219,"Проведён"))</f>
        <v>1209924.9300000002</v>
      </c>
    </row>
    <row r="220" spans="1:23" x14ac:dyDescent="0.25">
      <c r="A220" s="3" t="s">
        <v>852</v>
      </c>
      <c r="B220" s="19">
        <v>46312</v>
      </c>
      <c r="C220" s="3" t="s">
        <v>484</v>
      </c>
      <c r="D220" s="3" t="s">
        <v>485</v>
      </c>
      <c r="E220" s="24">
        <v>34080</v>
      </c>
      <c r="F220" s="3" t="s">
        <v>474</v>
      </c>
      <c r="G220" s="3"/>
      <c r="H220" s="3" t="s">
        <v>501</v>
      </c>
      <c r="I220" s="3" t="s">
        <v>382</v>
      </c>
      <c r="J220" s="3" t="s">
        <v>853</v>
      </c>
      <c r="K220" s="3" t="s">
        <v>484</v>
      </c>
      <c r="L220" s="3" t="s">
        <v>476</v>
      </c>
      <c r="M220" s="3"/>
      <c r="N220" s="24">
        <v>0</v>
      </c>
      <c r="O220" s="3"/>
      <c r="P220" s="5">
        <f>IF(A220="","",IF(COUNTIF(Типы,C220)=0,0,VLOOKUP(C220,СПРАВОЧНИКИ!$A$7:$E$22,2,FALSE)))</f>
        <v>1</v>
      </c>
      <c r="Q220" s="25">
        <f t="shared" si="3"/>
        <v>34080</v>
      </c>
      <c r="R220" s="5" t="str">
        <f>IF(A220="","",IF(COUNTIF(Типы,C220)=0,"НЕИЗВЕСТНЫЙ ТИП",VLOOKUP(C220,СПРАВОЧНИКИ!$A$7:$E$22,3,FALSE)))</f>
        <v>Операционный</v>
      </c>
      <c r="S220" s="26">
        <f>IF(A220="","",IF(L220="Проведён",E220*IF(COUNTIF(Типы,C220)=0,0,VLOOKUP(C220,СПРАВОЧНИКИ!$A$7:$E$22,4,FALSE)),0))</f>
        <v>34080</v>
      </c>
      <c r="T220" s="26">
        <f>IF(A220="","",IF(L220="Проведён",E220*IF(COUNTIF(Типы,C220)=0,0,VLOOKUP(C220,СПРАВОЧНИКИ!$A$7:$E$22,5,FALSE)),0))</f>
        <v>34080</v>
      </c>
      <c r="U220" s="5" t="str">
        <f>IF(A220="","",IF(COUNTIF(Контрагенты,H220)=0,"Не задан",VLOOKUP(H220,СПРАВОЧНИКИ!$G$7:$H$66,2,FALSE)))</f>
        <v>ЮЛ</v>
      </c>
      <c r="V220" s="4" t="str">
        <f>IF(A220="",IF(COUNTA(B220:O220)&gt;0,"НЕТ ID",""),IF(OR(AND(OR(C220="Оплата клиента",C220="Возврат клиенту"),COUNTIFS(Docs[ID],J220,Docs[Тип долга],"ДЗ")&lt;&gt;1),AND(OR(C220="Оплата поставщику",C220="Возврат поставщика"),COUNTIFS(Docs[ID],J220,Docs[Тип долга],"КЗ",Docs[Вид],"&lt;&gt;Дивиденды")&lt;&gt;1),AND(C220="Дивиденды",COUNTIFS(Docs[ID],J220,Docs[Вид],"Дивиденды")&lt;&gt;1),AND(C220="Проценты",COUNTIFS(Docs[ID],J220,Docs[Вид],"Проценты")&lt;&gt;1),COUNTIF(Cash[ID],A220)&gt;1,NOT(ISNUMBER(B220)),B220&lt;НачалоУчета,YEAR(B220)&lt;&gt;Год,NOT(ISNUMBER(E220)),E220&lt;=0,N220&lt;0,COUNTIF(Типы,C220)&lt;&gt;1,COUNTIF(Категории,D220)&lt;&gt;1,COUNTIF(Счета,F220)&lt;&gt;1,COUNTIF(Проекты,I220)&lt;&gt;1,AND(H220&lt;&gt;"",COUNTIF(Контрагенты,H220)&lt;&gt;1),AND(C220="Перевод",OR(F220=G220,COUNTIF(Счета,G220)&lt;&gt;1)),AND(S220&lt;&gt;0,COUNTIF(Docs[ID],J220)&lt;&gt;1),AND(Форма="ООО",C220="Вывод ИП"),AND(Форма="ИП",C220="Дивиденды"),AND(L220&lt;&gt;"Проведён",L220&lt;&gt;"Черновик")),"ОШИБКА","ОК"))</f>
        <v>ОК</v>
      </c>
      <c r="W220" s="25">
        <f>IF(A220="","",SUMIF(Accounts[Счёт],F220,Accounts[Начальный])+SUMIFS($Q$7:Q220,$F$7:F220,F220)+SUMIFS($E$7:E220,$G$7:G220,F220,$C$7:C220,"Перевод",$L$7:L220,"Проведён"))</f>
        <v>1244004.9300000002</v>
      </c>
    </row>
    <row r="221" spans="1:23" x14ac:dyDescent="0.25">
      <c r="A221" s="3" t="s">
        <v>854</v>
      </c>
      <c r="B221" s="19">
        <v>46317</v>
      </c>
      <c r="C221" s="3" t="s">
        <v>504</v>
      </c>
      <c r="D221" s="3" t="s">
        <v>505</v>
      </c>
      <c r="E221" s="24">
        <v>227200</v>
      </c>
      <c r="F221" s="3" t="s">
        <v>474</v>
      </c>
      <c r="G221" s="3"/>
      <c r="H221" s="3" t="s">
        <v>506</v>
      </c>
      <c r="I221" s="3" t="s">
        <v>298</v>
      </c>
      <c r="J221" s="3" t="s">
        <v>855</v>
      </c>
      <c r="K221" s="3" t="s">
        <v>504</v>
      </c>
      <c r="L221" s="3" t="s">
        <v>476</v>
      </c>
      <c r="M221" s="3"/>
      <c r="N221" s="24">
        <v>227200</v>
      </c>
      <c r="O221" s="3"/>
      <c r="P221" s="5">
        <f>IF(A221="","",IF(COUNTIF(Типы,C221)=0,0,VLOOKUP(C221,СПРАВОЧНИКИ!$A$7:$E$22,2,FALSE)))</f>
        <v>-1</v>
      </c>
      <c r="Q221" s="25">
        <f t="shared" si="3"/>
        <v>-227200</v>
      </c>
      <c r="R221" s="5" t="str">
        <f>IF(A221="","",IF(COUNTIF(Типы,C221)=0,"НЕИЗВЕСТНЫЙ ТИП",VLOOKUP(C221,СПРАВОЧНИКИ!$A$7:$E$22,3,FALSE)))</f>
        <v>Операционный</v>
      </c>
      <c r="S221" s="26">
        <f>IF(A221="","",IF(L221="Проведён",E221*IF(COUNTIF(Типы,C221)=0,0,VLOOKUP(C221,СПРАВОЧНИКИ!$A$7:$E$22,4,FALSE)),0))</f>
        <v>227200</v>
      </c>
      <c r="T221" s="26">
        <f>IF(A221="","",IF(L221="Проведён",E221*IF(COUNTIF(Типы,C221)=0,0,VLOOKUP(C221,СПРАВОЧНИКИ!$A$7:$E$22,5,FALSE)),0))</f>
        <v>0</v>
      </c>
      <c r="U221" s="5" t="str">
        <f>IF(A221="","",IF(COUNTIF(Контрагенты,H221)=0,"Не задан",VLOOKUP(H221,СПРАВОЧНИКИ!$G$7:$H$66,2,FALSE)))</f>
        <v>ИП</v>
      </c>
      <c r="V221" s="4" t="str">
        <f>IF(A221="",IF(COUNTA(B221:O221)&gt;0,"НЕТ ID",""),IF(OR(AND(OR(C221="Оплата клиента",C221="Возврат клиенту"),COUNTIFS(Docs[ID],J221,Docs[Тип долга],"ДЗ")&lt;&gt;1),AND(OR(C221="Оплата поставщику",C221="Возврат поставщика"),COUNTIFS(Docs[ID],J221,Docs[Тип долга],"КЗ",Docs[Вид],"&lt;&gt;Дивиденды")&lt;&gt;1),AND(C221="Дивиденды",COUNTIFS(Docs[ID],J221,Docs[Вид],"Дивиденды")&lt;&gt;1),AND(C221="Проценты",COUNTIFS(Docs[ID],J221,Docs[Вид],"Проценты")&lt;&gt;1),COUNTIF(Cash[ID],A221)&gt;1,NOT(ISNUMBER(B221)),B221&lt;НачалоУчета,YEAR(B221)&lt;&gt;Год,NOT(ISNUMBER(E221)),E221&lt;=0,N221&lt;0,COUNTIF(Типы,C221)&lt;&gt;1,COUNTIF(Категории,D221)&lt;&gt;1,COUNTIF(Счета,F221)&lt;&gt;1,COUNTIF(Проекты,I221)&lt;&gt;1,AND(H221&lt;&gt;"",COUNTIF(Контрагенты,H221)&lt;&gt;1),AND(C221="Перевод",OR(F221=G221,COUNTIF(Счета,G221)&lt;&gt;1)),AND(S221&lt;&gt;0,COUNTIF(Docs[ID],J221)&lt;&gt;1),AND(Форма="ООО",C221="Вывод ИП"),AND(Форма="ИП",C221="Дивиденды"),AND(L221&lt;&gt;"Проведён",L221&lt;&gt;"Черновик")),"ОШИБКА","ОК"))</f>
        <v>ОК</v>
      </c>
      <c r="W221" s="25">
        <f>IF(A221="","",SUMIF(Accounts[Счёт],F221,Accounts[Начальный])+SUMIFS($Q$7:Q221,$F$7:F221,F221)+SUMIFS($E$7:E221,$G$7:G221,F221,$C$7:C221,"Перевод",$L$7:L221,"Проведён"))</f>
        <v>1016804.9300000002</v>
      </c>
    </row>
    <row r="222" spans="1:23" x14ac:dyDescent="0.25">
      <c r="A222" s="3" t="s">
        <v>856</v>
      </c>
      <c r="B222" s="19">
        <v>46318</v>
      </c>
      <c r="C222" s="3" t="s">
        <v>504</v>
      </c>
      <c r="D222" s="3" t="s">
        <v>509</v>
      </c>
      <c r="E222" s="24">
        <v>65000</v>
      </c>
      <c r="F222" s="3" t="s">
        <v>474</v>
      </c>
      <c r="G222" s="3"/>
      <c r="H222" s="3" t="s">
        <v>510</v>
      </c>
      <c r="I222" s="3" t="s">
        <v>383</v>
      </c>
      <c r="J222" s="3" t="s">
        <v>857</v>
      </c>
      <c r="K222" s="3" t="s">
        <v>504</v>
      </c>
      <c r="L222" s="3" t="s">
        <v>476</v>
      </c>
      <c r="M222" s="3"/>
      <c r="N222" s="24">
        <v>65000</v>
      </c>
      <c r="O222" s="3"/>
      <c r="P222" s="5">
        <f>IF(A222="","",IF(COUNTIF(Типы,C222)=0,0,VLOOKUP(C222,СПРАВОЧНИКИ!$A$7:$E$22,2,FALSE)))</f>
        <v>-1</v>
      </c>
      <c r="Q222" s="25">
        <f t="shared" si="3"/>
        <v>-65000</v>
      </c>
      <c r="R222" s="5" t="str">
        <f>IF(A222="","",IF(COUNTIF(Типы,C222)=0,"НЕИЗВЕСТНЫЙ ТИП",VLOOKUP(C222,СПРАВОЧНИКИ!$A$7:$E$22,3,FALSE)))</f>
        <v>Операционный</v>
      </c>
      <c r="S222" s="26">
        <f>IF(A222="","",IF(L222="Проведён",E222*IF(COUNTIF(Типы,C222)=0,0,VLOOKUP(C222,СПРАВОЧНИКИ!$A$7:$E$22,4,FALSE)),0))</f>
        <v>65000</v>
      </c>
      <c r="T222" s="26">
        <f>IF(A222="","",IF(L222="Проведён",E222*IF(COUNTIF(Типы,C222)=0,0,VLOOKUP(C222,СПРАВОЧНИКИ!$A$7:$E$22,5,FALSE)),0))</f>
        <v>0</v>
      </c>
      <c r="U222" s="5" t="str">
        <f>IF(A222="","",IF(COUNTIF(Контрагенты,H222)=0,"Не задан",VLOOKUP(H222,СПРАВОЧНИКИ!$G$7:$H$66,2,FALSE)))</f>
        <v>ЮЛ</v>
      </c>
      <c r="V222" s="4" t="str">
        <f>IF(A222="",IF(COUNTA(B222:O222)&gt;0,"НЕТ ID",""),IF(OR(AND(OR(C222="Оплата клиента",C222="Возврат клиенту"),COUNTIFS(Docs[ID],J222,Docs[Тип долга],"ДЗ")&lt;&gt;1),AND(OR(C222="Оплата поставщику",C222="Возврат поставщика"),COUNTIFS(Docs[ID],J222,Docs[Тип долга],"КЗ",Docs[Вид],"&lt;&gt;Дивиденды")&lt;&gt;1),AND(C222="Дивиденды",COUNTIFS(Docs[ID],J222,Docs[Вид],"Дивиденды")&lt;&gt;1),AND(C222="Проценты",COUNTIFS(Docs[ID],J222,Docs[Вид],"Проценты")&lt;&gt;1),COUNTIF(Cash[ID],A222)&gt;1,NOT(ISNUMBER(B222)),B222&lt;НачалоУчета,YEAR(B222)&lt;&gt;Год,NOT(ISNUMBER(E222)),E222&lt;=0,N222&lt;0,COUNTIF(Типы,C222)&lt;&gt;1,COUNTIF(Категории,D222)&lt;&gt;1,COUNTIF(Счета,F222)&lt;&gt;1,COUNTIF(Проекты,I222)&lt;&gt;1,AND(H222&lt;&gt;"",COUNTIF(Контрагенты,H222)&lt;&gt;1),AND(C222="Перевод",OR(F222=G222,COUNTIF(Счета,G222)&lt;&gt;1)),AND(S222&lt;&gt;0,COUNTIF(Docs[ID],J222)&lt;&gt;1),AND(Форма="ООО",C222="Вывод ИП"),AND(Форма="ИП",C222="Дивиденды"),AND(L222&lt;&gt;"Проведён",L222&lt;&gt;"Черновик")),"ОШИБКА","ОК"))</f>
        <v>ОК</v>
      </c>
      <c r="W222" s="25">
        <f>IF(A222="","",SUMIF(Accounts[Счёт],F222,Accounts[Начальный])+SUMIFS($Q$7:Q222,$F$7:F222,F222)+SUMIFS($E$7:E222,$G$7:G222,F222,$C$7:C222,"Перевод",$L$7:L222,"Проведён"))</f>
        <v>951804.93000000017</v>
      </c>
    </row>
    <row r="223" spans="1:23" x14ac:dyDescent="0.25">
      <c r="A223" s="3" t="s">
        <v>858</v>
      </c>
      <c r="B223" s="19">
        <v>46319</v>
      </c>
      <c r="C223" s="3" t="s">
        <v>484</v>
      </c>
      <c r="D223" s="3" t="s">
        <v>485</v>
      </c>
      <c r="E223" s="24">
        <v>79520</v>
      </c>
      <c r="F223" s="3" t="s">
        <v>474</v>
      </c>
      <c r="G223" s="3"/>
      <c r="H223" s="3" t="s">
        <v>486</v>
      </c>
      <c r="I223" s="3" t="s">
        <v>381</v>
      </c>
      <c r="J223" s="3" t="s">
        <v>843</v>
      </c>
      <c r="K223" s="3" t="s">
        <v>484</v>
      </c>
      <c r="L223" s="3" t="s">
        <v>476</v>
      </c>
      <c r="M223" s="3"/>
      <c r="N223" s="24">
        <v>0</v>
      </c>
      <c r="O223" s="3"/>
      <c r="P223" s="5">
        <f>IF(A223="","",IF(COUNTIF(Типы,C223)=0,0,VLOOKUP(C223,СПРАВОЧНИКИ!$A$7:$E$22,2,FALSE)))</f>
        <v>1</v>
      </c>
      <c r="Q223" s="25">
        <f t="shared" si="3"/>
        <v>79520</v>
      </c>
      <c r="R223" s="5" t="str">
        <f>IF(A223="","",IF(COUNTIF(Типы,C223)=0,"НЕИЗВЕСТНЫЙ ТИП",VLOOKUP(C223,СПРАВОЧНИКИ!$A$7:$E$22,3,FALSE)))</f>
        <v>Операционный</v>
      </c>
      <c r="S223" s="26">
        <f>IF(A223="","",IF(L223="Проведён",E223*IF(COUNTIF(Типы,C223)=0,0,VLOOKUP(C223,СПРАВОЧНИКИ!$A$7:$E$22,4,FALSE)),0))</f>
        <v>79520</v>
      </c>
      <c r="T223" s="26">
        <f>IF(A223="","",IF(L223="Проведён",E223*IF(COUNTIF(Типы,C223)=0,0,VLOOKUP(C223,СПРАВОЧНИКИ!$A$7:$E$22,5,FALSE)),0))</f>
        <v>79520</v>
      </c>
      <c r="U223" s="5" t="str">
        <f>IF(A223="","",IF(COUNTIF(Контрагенты,H223)=0,"Не задан",VLOOKUP(H223,СПРАВОЧНИКИ!$G$7:$H$66,2,FALSE)))</f>
        <v>ЮЛ</v>
      </c>
      <c r="V223" s="4" t="str">
        <f>IF(A223="",IF(COUNTA(B223:O223)&gt;0,"НЕТ ID",""),IF(OR(AND(OR(C223="Оплата клиента",C223="Возврат клиенту"),COUNTIFS(Docs[ID],J223,Docs[Тип долга],"ДЗ")&lt;&gt;1),AND(OR(C223="Оплата поставщику",C223="Возврат поставщика"),COUNTIFS(Docs[ID],J223,Docs[Тип долга],"КЗ",Docs[Вид],"&lt;&gt;Дивиденды")&lt;&gt;1),AND(C223="Дивиденды",COUNTIFS(Docs[ID],J223,Docs[Вид],"Дивиденды")&lt;&gt;1),AND(C223="Проценты",COUNTIFS(Docs[ID],J223,Docs[Вид],"Проценты")&lt;&gt;1),COUNTIF(Cash[ID],A223)&gt;1,NOT(ISNUMBER(B223)),B223&lt;НачалоУчета,YEAR(B223)&lt;&gt;Год,NOT(ISNUMBER(E223)),E223&lt;=0,N223&lt;0,COUNTIF(Типы,C223)&lt;&gt;1,COUNTIF(Категории,D223)&lt;&gt;1,COUNTIF(Счета,F223)&lt;&gt;1,COUNTIF(Проекты,I223)&lt;&gt;1,AND(H223&lt;&gt;"",COUNTIF(Контрагенты,H223)&lt;&gt;1),AND(C223="Перевод",OR(F223=G223,COUNTIF(Счета,G223)&lt;&gt;1)),AND(S223&lt;&gt;0,COUNTIF(Docs[ID],J223)&lt;&gt;1),AND(Форма="ООО",C223="Вывод ИП"),AND(Форма="ИП",C223="Дивиденды"),AND(L223&lt;&gt;"Проведён",L223&lt;&gt;"Черновик")),"ОШИБКА","ОК"))</f>
        <v>ОК</v>
      </c>
      <c r="W223" s="25">
        <f>IF(A223="","",SUMIF(Accounts[Счёт],F223,Accounts[Начальный])+SUMIFS($Q$7:Q223,$F$7:F223,F223)+SUMIFS($E$7:E223,$G$7:G223,F223,$C$7:C223,"Перевод",$L$7:L223,"Проведён"))</f>
        <v>1031324.9300000002</v>
      </c>
    </row>
    <row r="224" spans="1:23" x14ac:dyDescent="0.25">
      <c r="A224" s="3" t="s">
        <v>859</v>
      </c>
      <c r="B224" s="19">
        <v>46319</v>
      </c>
      <c r="C224" s="3" t="s">
        <v>504</v>
      </c>
      <c r="D224" s="3" t="s">
        <v>295</v>
      </c>
      <c r="E224" s="24">
        <v>45000</v>
      </c>
      <c r="F224" s="3" t="s">
        <v>474</v>
      </c>
      <c r="G224" s="3"/>
      <c r="H224" s="3" t="s">
        <v>514</v>
      </c>
      <c r="I224" s="3" t="s">
        <v>381</v>
      </c>
      <c r="J224" s="3" t="s">
        <v>860</v>
      </c>
      <c r="K224" s="3" t="s">
        <v>504</v>
      </c>
      <c r="L224" s="3" t="s">
        <v>476</v>
      </c>
      <c r="M224" s="3"/>
      <c r="N224" s="24">
        <v>45000</v>
      </c>
      <c r="O224" s="3" t="s">
        <v>295</v>
      </c>
      <c r="P224" s="5">
        <f>IF(A224="","",IF(COUNTIF(Типы,C224)=0,0,VLOOKUP(C224,СПРАВОЧНИКИ!$A$7:$E$22,2,FALSE)))</f>
        <v>-1</v>
      </c>
      <c r="Q224" s="25">
        <f t="shared" si="3"/>
        <v>-45000</v>
      </c>
      <c r="R224" s="5" t="str">
        <f>IF(A224="","",IF(COUNTIF(Типы,C224)=0,"НЕИЗВЕСТНЫЙ ТИП",VLOOKUP(C224,СПРАВОЧНИКИ!$A$7:$E$22,3,FALSE)))</f>
        <v>Операционный</v>
      </c>
      <c r="S224" s="26">
        <f>IF(A224="","",IF(L224="Проведён",E224*IF(COUNTIF(Типы,C224)=0,0,VLOOKUP(C224,СПРАВОЧНИКИ!$A$7:$E$22,4,FALSE)),0))</f>
        <v>45000</v>
      </c>
      <c r="T224" s="26">
        <f>IF(A224="","",IF(L224="Проведён",E224*IF(COUNTIF(Типы,C224)=0,0,VLOOKUP(C224,СПРАВОЧНИКИ!$A$7:$E$22,5,FALSE)),0))</f>
        <v>0</v>
      </c>
      <c r="U224" s="5" t="str">
        <f>IF(A224="","",IF(COUNTIF(Контрагенты,H224)=0,"Не задан",VLOOKUP(H224,СПРАВОЧНИКИ!$G$7:$H$66,2,FALSE)))</f>
        <v>ЮЛ</v>
      </c>
      <c r="V224" s="4" t="str">
        <f>IF(A224="",IF(COUNTA(B224:O224)&gt;0,"НЕТ ID",""),IF(OR(AND(OR(C224="Оплата клиента",C224="Возврат клиенту"),COUNTIFS(Docs[ID],J224,Docs[Тип долга],"ДЗ")&lt;&gt;1),AND(OR(C224="Оплата поставщику",C224="Возврат поставщика"),COUNTIFS(Docs[ID],J224,Docs[Тип долга],"КЗ",Docs[Вид],"&lt;&gt;Дивиденды")&lt;&gt;1),AND(C224="Дивиденды",COUNTIFS(Docs[ID],J224,Docs[Вид],"Дивиденды")&lt;&gt;1),AND(C224="Проценты",COUNTIFS(Docs[ID],J224,Docs[Вид],"Проценты")&lt;&gt;1),COUNTIF(Cash[ID],A224)&gt;1,NOT(ISNUMBER(B224)),B224&lt;НачалоУчета,YEAR(B224)&lt;&gt;Год,NOT(ISNUMBER(E224)),E224&lt;=0,N224&lt;0,COUNTIF(Типы,C224)&lt;&gt;1,COUNTIF(Категории,D224)&lt;&gt;1,COUNTIF(Счета,F224)&lt;&gt;1,COUNTIF(Проекты,I224)&lt;&gt;1,AND(H224&lt;&gt;"",COUNTIF(Контрагенты,H224)&lt;&gt;1),AND(C224="Перевод",OR(F224=G224,COUNTIF(Счета,G224)&lt;&gt;1)),AND(S224&lt;&gt;0,COUNTIF(Docs[ID],J224)&lt;&gt;1),AND(Форма="ООО",C224="Вывод ИП"),AND(Форма="ИП",C224="Дивиденды"),AND(L224&lt;&gt;"Проведён",L224&lt;&gt;"Черновик")),"ОШИБКА","ОК"))</f>
        <v>ОК</v>
      </c>
      <c r="W224" s="25">
        <f>IF(A224="","",SUMIF(Accounts[Счёт],F224,Accounts[Начальный])+SUMIFS($Q$7:Q224,$F$7:F224,F224)+SUMIFS($E$7:E224,$G$7:G224,F224,$C$7:C224,"Перевод",$L$7:L224,"Проведён"))</f>
        <v>986324.93000000017</v>
      </c>
    </row>
    <row r="225" spans="1:23" x14ac:dyDescent="0.25">
      <c r="A225" s="3" t="s">
        <v>861</v>
      </c>
      <c r="B225" s="19">
        <v>46320</v>
      </c>
      <c r="C225" s="3" t="s">
        <v>484</v>
      </c>
      <c r="D225" s="3" t="s">
        <v>485</v>
      </c>
      <c r="E225" s="24">
        <v>62480</v>
      </c>
      <c r="F225" s="3" t="s">
        <v>474</v>
      </c>
      <c r="G225" s="3"/>
      <c r="H225" s="3" t="s">
        <v>489</v>
      </c>
      <c r="I225" s="3" t="s">
        <v>298</v>
      </c>
      <c r="J225" s="3" t="s">
        <v>845</v>
      </c>
      <c r="K225" s="3" t="s">
        <v>484</v>
      </c>
      <c r="L225" s="3" t="s">
        <v>476</v>
      </c>
      <c r="M225" s="3"/>
      <c r="N225" s="24">
        <v>0</v>
      </c>
      <c r="O225" s="3"/>
      <c r="P225" s="5">
        <f>IF(A225="","",IF(COUNTIF(Типы,C225)=0,0,VLOOKUP(C225,СПРАВОЧНИКИ!$A$7:$E$22,2,FALSE)))</f>
        <v>1</v>
      </c>
      <c r="Q225" s="25">
        <f t="shared" si="3"/>
        <v>62480</v>
      </c>
      <c r="R225" s="5" t="str">
        <f>IF(A225="","",IF(COUNTIF(Типы,C225)=0,"НЕИЗВЕСТНЫЙ ТИП",VLOOKUP(C225,СПРАВОЧНИКИ!$A$7:$E$22,3,FALSE)))</f>
        <v>Операционный</v>
      </c>
      <c r="S225" s="26">
        <f>IF(A225="","",IF(L225="Проведён",E225*IF(COUNTIF(Типы,C225)=0,0,VLOOKUP(C225,СПРАВОЧНИКИ!$A$7:$E$22,4,FALSE)),0))</f>
        <v>62480</v>
      </c>
      <c r="T225" s="26">
        <f>IF(A225="","",IF(L225="Проведён",E225*IF(COUNTIF(Типы,C225)=0,0,VLOOKUP(C225,СПРАВОЧНИКИ!$A$7:$E$22,5,FALSE)),0))</f>
        <v>62480</v>
      </c>
      <c r="U225" s="5" t="str">
        <f>IF(A225="","",IF(COUNTIF(Контрагенты,H225)=0,"Не задан",VLOOKUP(H225,СПРАВОЧНИКИ!$G$7:$H$66,2,FALSE)))</f>
        <v>ЮЛ</v>
      </c>
      <c r="V225" s="4" t="str">
        <f>IF(A225="",IF(COUNTA(B225:O225)&gt;0,"НЕТ ID",""),IF(OR(AND(OR(C225="Оплата клиента",C225="Возврат клиенту"),COUNTIFS(Docs[ID],J225,Docs[Тип долга],"ДЗ")&lt;&gt;1),AND(OR(C225="Оплата поставщику",C225="Возврат поставщика"),COUNTIFS(Docs[ID],J225,Docs[Тип долга],"КЗ",Docs[Вид],"&lt;&gt;Дивиденды")&lt;&gt;1),AND(C225="Дивиденды",COUNTIFS(Docs[ID],J225,Docs[Вид],"Дивиденды")&lt;&gt;1),AND(C225="Проценты",COUNTIFS(Docs[ID],J225,Docs[Вид],"Проценты")&lt;&gt;1),COUNTIF(Cash[ID],A225)&gt;1,NOT(ISNUMBER(B225)),B225&lt;НачалоУчета,YEAR(B225)&lt;&gt;Год,NOT(ISNUMBER(E225)),E225&lt;=0,N225&lt;0,COUNTIF(Типы,C225)&lt;&gt;1,COUNTIF(Категории,D225)&lt;&gt;1,COUNTIF(Счета,F225)&lt;&gt;1,COUNTIF(Проекты,I225)&lt;&gt;1,AND(H225&lt;&gt;"",COUNTIF(Контрагенты,H225)&lt;&gt;1),AND(C225="Перевод",OR(F225=G225,COUNTIF(Счета,G225)&lt;&gt;1)),AND(S225&lt;&gt;0,COUNTIF(Docs[ID],J225)&lt;&gt;1),AND(Форма="ООО",C225="Вывод ИП"),AND(Форма="ИП",C225="Дивиденды"),AND(L225&lt;&gt;"Проведён",L225&lt;&gt;"Черновик")),"ОШИБКА","ОК"))</f>
        <v>ОК</v>
      </c>
      <c r="W225" s="25">
        <f>IF(A225="","",SUMIF(Accounts[Счёт],F225,Accounts[Начальный])+SUMIFS($Q$7:Q225,$F$7:F225,F225)+SUMIFS($E$7:E225,$G$7:G225,F225,$C$7:C225,"Перевод",$L$7:L225,"Проведён"))</f>
        <v>1048804.9300000002</v>
      </c>
    </row>
    <row r="226" spans="1:23" x14ac:dyDescent="0.25">
      <c r="A226" s="3" t="s">
        <v>862</v>
      </c>
      <c r="B226" s="19">
        <v>46320</v>
      </c>
      <c r="C226" s="3" t="s">
        <v>504</v>
      </c>
      <c r="D226" s="3" t="s">
        <v>518</v>
      </c>
      <c r="E226" s="24">
        <v>18000</v>
      </c>
      <c r="F226" s="3" t="s">
        <v>474</v>
      </c>
      <c r="G226" s="3"/>
      <c r="H226" s="3" t="s">
        <v>519</v>
      </c>
      <c r="I226" s="3" t="s">
        <v>383</v>
      </c>
      <c r="J226" s="3" t="s">
        <v>863</v>
      </c>
      <c r="K226" s="3" t="s">
        <v>504</v>
      </c>
      <c r="L226" s="3" t="s">
        <v>476</v>
      </c>
      <c r="M226" s="3"/>
      <c r="N226" s="24">
        <v>18000</v>
      </c>
      <c r="O226" s="3"/>
      <c r="P226" s="5">
        <f>IF(A226="","",IF(COUNTIF(Типы,C226)=0,0,VLOOKUP(C226,СПРАВОЧНИКИ!$A$7:$E$22,2,FALSE)))</f>
        <v>-1</v>
      </c>
      <c r="Q226" s="25">
        <f t="shared" si="3"/>
        <v>-18000</v>
      </c>
      <c r="R226" s="5" t="str">
        <f>IF(A226="","",IF(COUNTIF(Типы,C226)=0,"НЕИЗВЕСТНЫЙ ТИП",VLOOKUP(C226,СПРАВОЧНИКИ!$A$7:$E$22,3,FALSE)))</f>
        <v>Операционный</v>
      </c>
      <c r="S226" s="26">
        <f>IF(A226="","",IF(L226="Проведён",E226*IF(COUNTIF(Типы,C226)=0,0,VLOOKUP(C226,СПРАВОЧНИКИ!$A$7:$E$22,4,FALSE)),0))</f>
        <v>18000</v>
      </c>
      <c r="T226" s="26">
        <f>IF(A226="","",IF(L226="Проведён",E226*IF(COUNTIF(Типы,C226)=0,0,VLOOKUP(C226,СПРАВОЧНИКИ!$A$7:$E$22,5,FALSE)),0))</f>
        <v>0</v>
      </c>
      <c r="U226" s="5" t="str">
        <f>IF(A226="","",IF(COUNTIF(Контрагенты,H226)=0,"Не задан",VLOOKUP(H226,СПРАВОЧНИКИ!$G$7:$H$66,2,FALSE)))</f>
        <v>ЮЛ</v>
      </c>
      <c r="V226" s="4" t="str">
        <f>IF(A226="",IF(COUNTA(B226:O226)&gt;0,"НЕТ ID",""),IF(OR(AND(OR(C226="Оплата клиента",C226="Возврат клиенту"),COUNTIFS(Docs[ID],J226,Docs[Тип долга],"ДЗ")&lt;&gt;1),AND(OR(C226="Оплата поставщику",C226="Возврат поставщика"),COUNTIFS(Docs[ID],J226,Docs[Тип долга],"КЗ",Docs[Вид],"&lt;&gt;Дивиденды")&lt;&gt;1),AND(C226="Дивиденды",COUNTIFS(Docs[ID],J226,Docs[Вид],"Дивиденды")&lt;&gt;1),AND(C226="Проценты",COUNTIFS(Docs[ID],J226,Docs[Вид],"Проценты")&lt;&gt;1),COUNTIF(Cash[ID],A226)&gt;1,NOT(ISNUMBER(B226)),B226&lt;НачалоУчета,YEAR(B226)&lt;&gt;Год,NOT(ISNUMBER(E226)),E226&lt;=0,N226&lt;0,COUNTIF(Типы,C226)&lt;&gt;1,COUNTIF(Категории,D226)&lt;&gt;1,COUNTIF(Счета,F226)&lt;&gt;1,COUNTIF(Проекты,I226)&lt;&gt;1,AND(H226&lt;&gt;"",COUNTIF(Контрагенты,H226)&lt;&gt;1),AND(C226="Перевод",OR(F226=G226,COUNTIF(Счета,G226)&lt;&gt;1)),AND(S226&lt;&gt;0,COUNTIF(Docs[ID],J226)&lt;&gt;1),AND(Форма="ООО",C226="Вывод ИП"),AND(Форма="ИП",C226="Дивиденды"),AND(L226&lt;&gt;"Проведён",L226&lt;&gt;"Черновик")),"ОШИБКА","ОК"))</f>
        <v>ОК</v>
      </c>
      <c r="W226" s="25">
        <f>IF(A226="","",SUMIF(Accounts[Счёт],F226,Accounts[Начальный])+SUMIFS($Q$7:Q226,$F$7:F226,F226)+SUMIFS($E$7:E226,$G$7:G226,F226,$C$7:C226,"Перевод",$L$7:L226,"Проведён"))</f>
        <v>1030804.9300000002</v>
      </c>
    </row>
    <row r="227" spans="1:23" x14ac:dyDescent="0.25">
      <c r="A227" s="3" t="s">
        <v>864</v>
      </c>
      <c r="B227" s="19">
        <v>46320</v>
      </c>
      <c r="C227" s="3" t="s">
        <v>640</v>
      </c>
      <c r="D227" s="3" t="s">
        <v>641</v>
      </c>
      <c r="E227" s="24">
        <v>45000</v>
      </c>
      <c r="F227" s="3" t="s">
        <v>474</v>
      </c>
      <c r="G227" s="3"/>
      <c r="H227" s="3" t="s">
        <v>528</v>
      </c>
      <c r="I227" s="3" t="s">
        <v>383</v>
      </c>
      <c r="J227" s="3" t="s">
        <v>865</v>
      </c>
      <c r="K227" s="3" t="s">
        <v>640</v>
      </c>
      <c r="L227" s="3" t="s">
        <v>476</v>
      </c>
      <c r="M227" s="3"/>
      <c r="N227" s="24">
        <v>0</v>
      </c>
      <c r="O227" s="3"/>
      <c r="P227" s="5">
        <f>IF(A227="","",IF(COUNTIF(Типы,C227)=0,0,VLOOKUP(C227,СПРАВОЧНИКИ!$A$7:$E$22,2,FALSE)))</f>
        <v>-1</v>
      </c>
      <c r="Q227" s="25">
        <f t="shared" si="3"/>
        <v>-45000</v>
      </c>
      <c r="R227" s="5" t="str">
        <f>IF(A227="","",IF(COUNTIF(Типы,C227)=0,"НЕИЗВЕСТНЫЙ ТИП",VLOOKUP(C227,СПРАВОЧНИКИ!$A$7:$E$22,3,FALSE)))</f>
        <v>Операционный</v>
      </c>
      <c r="S227" s="26">
        <f>IF(A227="","",IF(L227="Проведён",E227*IF(COUNTIF(Типы,C227)=0,0,VLOOKUP(C227,СПРАВОЧНИКИ!$A$7:$E$22,4,FALSE)),0))</f>
        <v>0</v>
      </c>
      <c r="T227" s="26">
        <f>IF(A227="","",IF(L227="Проведён",E227*IF(COUNTIF(Типы,C227)=0,0,VLOOKUP(C227,СПРАВОЧНИКИ!$A$7:$E$22,5,FALSE)),0))</f>
        <v>0</v>
      </c>
      <c r="U227" s="5" t="str">
        <f>IF(A227="","",IF(COUNTIF(Контрагенты,H227)=0,"Не задан",VLOOKUP(H227,СПРАВОЧНИКИ!$G$7:$H$66,2,FALSE)))</f>
        <v>ЮЛ</v>
      </c>
      <c r="V227" s="4" t="str">
        <f>IF(A227="",IF(COUNTA(B227:O227)&gt;0,"НЕТ ID",""),IF(OR(AND(OR(C227="Оплата клиента",C227="Возврат клиенту"),COUNTIFS(Docs[ID],J227,Docs[Тип долга],"ДЗ")&lt;&gt;1),AND(OR(C227="Оплата поставщику",C227="Возврат поставщика"),COUNTIFS(Docs[ID],J227,Docs[Тип долга],"КЗ",Docs[Вид],"&lt;&gt;Дивиденды")&lt;&gt;1),AND(C227="Дивиденды",COUNTIFS(Docs[ID],J227,Docs[Вид],"Дивиденды")&lt;&gt;1),AND(C227="Проценты",COUNTIFS(Docs[ID],J227,Docs[Вид],"Проценты")&lt;&gt;1),COUNTIF(Cash[ID],A227)&gt;1,NOT(ISNUMBER(B227)),B227&lt;НачалоУчета,YEAR(B227)&lt;&gt;Год,NOT(ISNUMBER(E227)),E227&lt;=0,N227&lt;0,COUNTIF(Типы,C227)&lt;&gt;1,COUNTIF(Категории,D227)&lt;&gt;1,COUNTIF(Счета,F227)&lt;&gt;1,COUNTIF(Проекты,I227)&lt;&gt;1,AND(H227&lt;&gt;"",COUNTIF(Контрагенты,H227)&lt;&gt;1),AND(C227="Перевод",OR(F227=G227,COUNTIF(Счета,G227)&lt;&gt;1)),AND(S227&lt;&gt;0,COUNTIF(Docs[ID],J227)&lt;&gt;1),AND(Форма="ООО",C227="Вывод ИП"),AND(Форма="ИП",C227="Дивиденды"),AND(L227&lt;&gt;"Проведён",L227&lt;&gt;"Черновик")),"ОШИБКА","ОК"))</f>
        <v>ОК</v>
      </c>
      <c r="W227" s="25">
        <f>IF(A227="","",SUMIF(Accounts[Счёт],F227,Accounts[Начальный])+SUMIFS($Q$7:Q227,$F$7:F227,F227)+SUMIFS($E$7:E227,$G$7:G227,F227,$C$7:C227,"Перевод",$L$7:L227,"Проведён"))</f>
        <v>985804.93000000017</v>
      </c>
    </row>
    <row r="228" spans="1:23" x14ac:dyDescent="0.25">
      <c r="A228" s="3" t="s">
        <v>866</v>
      </c>
      <c r="B228" s="19">
        <v>46321</v>
      </c>
      <c r="C228" s="3" t="s">
        <v>484</v>
      </c>
      <c r="D228" s="3" t="s">
        <v>485</v>
      </c>
      <c r="E228" s="24">
        <v>51120</v>
      </c>
      <c r="F228" s="3" t="s">
        <v>474</v>
      </c>
      <c r="G228" s="3"/>
      <c r="H228" s="3" t="s">
        <v>492</v>
      </c>
      <c r="I228" s="3" t="s">
        <v>382</v>
      </c>
      <c r="J228" s="3" t="s">
        <v>847</v>
      </c>
      <c r="K228" s="3" t="s">
        <v>484</v>
      </c>
      <c r="L228" s="3" t="s">
        <v>476</v>
      </c>
      <c r="M228" s="3"/>
      <c r="N228" s="24">
        <v>0</v>
      </c>
      <c r="O228" s="3"/>
      <c r="P228" s="5">
        <f>IF(A228="","",IF(COUNTIF(Типы,C228)=0,0,VLOOKUP(C228,СПРАВОЧНИКИ!$A$7:$E$22,2,FALSE)))</f>
        <v>1</v>
      </c>
      <c r="Q228" s="25">
        <f t="shared" si="3"/>
        <v>51120</v>
      </c>
      <c r="R228" s="5" t="str">
        <f>IF(A228="","",IF(COUNTIF(Типы,C228)=0,"НЕИЗВЕСТНЫЙ ТИП",VLOOKUP(C228,СПРАВОЧНИКИ!$A$7:$E$22,3,FALSE)))</f>
        <v>Операционный</v>
      </c>
      <c r="S228" s="26">
        <f>IF(A228="","",IF(L228="Проведён",E228*IF(COUNTIF(Типы,C228)=0,0,VLOOKUP(C228,СПРАВОЧНИКИ!$A$7:$E$22,4,FALSE)),0))</f>
        <v>51120</v>
      </c>
      <c r="T228" s="26">
        <f>IF(A228="","",IF(L228="Проведён",E228*IF(COUNTIF(Типы,C228)=0,0,VLOOKUP(C228,СПРАВОЧНИКИ!$A$7:$E$22,5,FALSE)),0))</f>
        <v>51120</v>
      </c>
      <c r="U228" s="5" t="str">
        <f>IF(A228="","",IF(COUNTIF(Контрагенты,H228)=0,"Не задан",VLOOKUP(H228,СПРАВОЧНИКИ!$G$7:$H$66,2,FALSE)))</f>
        <v>ИП</v>
      </c>
      <c r="V228" s="4" t="str">
        <f>IF(A228="",IF(COUNTA(B228:O228)&gt;0,"НЕТ ID",""),IF(OR(AND(OR(C228="Оплата клиента",C228="Возврат клиенту"),COUNTIFS(Docs[ID],J228,Docs[Тип долга],"ДЗ")&lt;&gt;1),AND(OR(C228="Оплата поставщику",C228="Возврат поставщика"),COUNTIFS(Docs[ID],J228,Docs[Тип долга],"КЗ",Docs[Вид],"&lt;&gt;Дивиденды")&lt;&gt;1),AND(C228="Дивиденды",COUNTIFS(Docs[ID],J228,Docs[Вид],"Дивиденды")&lt;&gt;1),AND(C228="Проценты",COUNTIFS(Docs[ID],J228,Docs[Вид],"Проценты")&lt;&gt;1),COUNTIF(Cash[ID],A228)&gt;1,NOT(ISNUMBER(B228)),B228&lt;НачалоУчета,YEAR(B228)&lt;&gt;Год,NOT(ISNUMBER(E228)),E228&lt;=0,N228&lt;0,COUNTIF(Типы,C228)&lt;&gt;1,COUNTIF(Категории,D228)&lt;&gt;1,COUNTIF(Счета,F228)&lt;&gt;1,COUNTIF(Проекты,I228)&lt;&gt;1,AND(H228&lt;&gt;"",COUNTIF(Контрагенты,H228)&lt;&gt;1),AND(C228="Перевод",OR(F228=G228,COUNTIF(Счета,G228)&lt;&gt;1)),AND(S228&lt;&gt;0,COUNTIF(Docs[ID],J228)&lt;&gt;1),AND(Форма="ООО",C228="Вывод ИП"),AND(Форма="ИП",C228="Дивиденды"),AND(L228&lt;&gt;"Проведён",L228&lt;&gt;"Черновик")),"ОШИБКА","ОК"))</f>
        <v>ОК</v>
      </c>
      <c r="W228" s="25">
        <f>IF(A228="","",SUMIF(Accounts[Счёт],F228,Accounts[Начальный])+SUMIFS($Q$7:Q228,$F$7:F228,F228)+SUMIFS($E$7:E228,$G$7:G228,F228,$C$7:C228,"Перевод",$L$7:L228,"Проведён"))</f>
        <v>1036924.9300000002</v>
      </c>
    </row>
    <row r="229" spans="1:23" x14ac:dyDescent="0.25">
      <c r="A229" s="3" t="s">
        <v>867</v>
      </c>
      <c r="B229" s="19">
        <v>46321</v>
      </c>
      <c r="C229" s="3" t="s">
        <v>504</v>
      </c>
      <c r="D229" s="3" t="s">
        <v>523</v>
      </c>
      <c r="E229" s="24">
        <v>78300</v>
      </c>
      <c r="F229" s="3" t="s">
        <v>474</v>
      </c>
      <c r="G229" s="3"/>
      <c r="H229" s="3" t="s">
        <v>52</v>
      </c>
      <c r="I229" s="3" t="s">
        <v>383</v>
      </c>
      <c r="J229" s="3" t="s">
        <v>868</v>
      </c>
      <c r="K229" s="3" t="s">
        <v>504</v>
      </c>
      <c r="L229" s="3" t="s">
        <v>476</v>
      </c>
      <c r="M229" s="3"/>
      <c r="N229" s="24">
        <v>78300</v>
      </c>
      <c r="O229" s="3"/>
      <c r="P229" s="5">
        <f>IF(A229="","",IF(COUNTIF(Типы,C229)=0,0,VLOOKUP(C229,СПРАВОЧНИКИ!$A$7:$E$22,2,FALSE)))</f>
        <v>-1</v>
      </c>
      <c r="Q229" s="25">
        <f t="shared" si="3"/>
        <v>-78300</v>
      </c>
      <c r="R229" s="5" t="str">
        <f>IF(A229="","",IF(COUNTIF(Типы,C229)=0,"НЕИЗВЕСТНЫЙ ТИП",VLOOKUP(C229,СПРАВОЧНИКИ!$A$7:$E$22,3,FALSE)))</f>
        <v>Операционный</v>
      </c>
      <c r="S229" s="26">
        <f>IF(A229="","",IF(L229="Проведён",E229*IF(COUNTIF(Типы,C229)=0,0,VLOOKUP(C229,СПРАВОЧНИКИ!$A$7:$E$22,4,FALSE)),0))</f>
        <v>78300</v>
      </c>
      <c r="T229" s="26">
        <f>IF(A229="","",IF(L229="Проведён",E229*IF(COUNTIF(Типы,C229)=0,0,VLOOKUP(C229,СПРАВОЧНИКИ!$A$7:$E$22,5,FALSE)),0))</f>
        <v>0</v>
      </c>
      <c r="U229" s="5" t="str">
        <f>IF(A229="","",IF(COUNTIF(Контрагенты,H229)=0,"Не задан",VLOOKUP(H229,СПРАВОЧНИКИ!$G$7:$H$66,2,FALSE)))</f>
        <v>ФЛ</v>
      </c>
      <c r="V229" s="4" t="str">
        <f>IF(A229="",IF(COUNTA(B229:O229)&gt;0,"НЕТ ID",""),IF(OR(AND(OR(C229="Оплата клиента",C229="Возврат клиенту"),COUNTIFS(Docs[ID],J229,Docs[Тип долга],"ДЗ")&lt;&gt;1),AND(OR(C229="Оплата поставщику",C229="Возврат поставщика"),COUNTIFS(Docs[ID],J229,Docs[Тип долга],"КЗ",Docs[Вид],"&lt;&gt;Дивиденды")&lt;&gt;1),AND(C229="Дивиденды",COUNTIFS(Docs[ID],J229,Docs[Вид],"Дивиденды")&lt;&gt;1),AND(C229="Проценты",COUNTIFS(Docs[ID],J229,Docs[Вид],"Проценты")&lt;&gt;1),COUNTIF(Cash[ID],A229)&gt;1,NOT(ISNUMBER(B229)),B229&lt;НачалоУчета,YEAR(B229)&lt;&gt;Год,NOT(ISNUMBER(E229)),E229&lt;=0,N229&lt;0,COUNTIF(Типы,C229)&lt;&gt;1,COUNTIF(Категории,D229)&lt;&gt;1,COUNTIF(Счета,F229)&lt;&gt;1,COUNTIF(Проекты,I229)&lt;&gt;1,AND(H229&lt;&gt;"",COUNTIF(Контрагенты,H229)&lt;&gt;1),AND(C229="Перевод",OR(F229=G229,COUNTIF(Счета,G229)&lt;&gt;1)),AND(S229&lt;&gt;0,COUNTIF(Docs[ID],J229)&lt;&gt;1),AND(Форма="ООО",C229="Вывод ИП"),AND(Форма="ИП",C229="Дивиденды"),AND(L229&lt;&gt;"Проведён",L229&lt;&gt;"Черновик")),"ОШИБКА","ОК"))</f>
        <v>ОК</v>
      </c>
      <c r="W229" s="25">
        <f>IF(A229="","",SUMIF(Accounts[Счёт],F229,Accounts[Начальный])+SUMIFS($Q$7:Q229,$F$7:F229,F229)+SUMIFS($E$7:E229,$G$7:G229,F229,$C$7:C229,"Перевод",$L$7:L229,"Проведён"))</f>
        <v>958624.93000000017</v>
      </c>
    </row>
    <row r="230" spans="1:23" x14ac:dyDescent="0.25">
      <c r="A230" s="3" t="s">
        <v>869</v>
      </c>
      <c r="B230" s="19">
        <v>46322</v>
      </c>
      <c r="C230" s="3" t="s">
        <v>484</v>
      </c>
      <c r="D230" s="3" t="s">
        <v>485</v>
      </c>
      <c r="E230" s="24">
        <v>39760</v>
      </c>
      <c r="F230" s="3" t="s">
        <v>474</v>
      </c>
      <c r="G230" s="3"/>
      <c r="H230" s="3" t="s">
        <v>495</v>
      </c>
      <c r="I230" s="3" t="s">
        <v>381</v>
      </c>
      <c r="J230" s="3" t="s">
        <v>849</v>
      </c>
      <c r="K230" s="3" t="s">
        <v>484</v>
      </c>
      <c r="L230" s="3" t="s">
        <v>476</v>
      </c>
      <c r="M230" s="3"/>
      <c r="N230" s="24">
        <v>0</v>
      </c>
      <c r="O230" s="3"/>
      <c r="P230" s="5">
        <f>IF(A230="","",IF(COUNTIF(Типы,C230)=0,0,VLOOKUP(C230,СПРАВОЧНИКИ!$A$7:$E$22,2,FALSE)))</f>
        <v>1</v>
      </c>
      <c r="Q230" s="25">
        <f t="shared" si="3"/>
        <v>39760</v>
      </c>
      <c r="R230" s="5" t="str">
        <f>IF(A230="","",IF(COUNTIF(Типы,C230)=0,"НЕИЗВЕСТНЫЙ ТИП",VLOOKUP(C230,СПРАВОЧНИКИ!$A$7:$E$22,3,FALSE)))</f>
        <v>Операционный</v>
      </c>
      <c r="S230" s="26">
        <f>IF(A230="","",IF(L230="Проведён",E230*IF(COUNTIF(Типы,C230)=0,0,VLOOKUP(C230,СПРАВОЧНИКИ!$A$7:$E$22,4,FALSE)),0))</f>
        <v>39760</v>
      </c>
      <c r="T230" s="26">
        <f>IF(A230="","",IF(L230="Проведён",E230*IF(COUNTIF(Типы,C230)=0,0,VLOOKUP(C230,СПРАВОЧНИКИ!$A$7:$E$22,5,FALSE)),0))</f>
        <v>39760</v>
      </c>
      <c r="U230" s="5" t="str">
        <f>IF(A230="","",IF(COUNTIF(Контрагенты,H230)=0,"Не задан",VLOOKUP(H230,СПРАВОЧНИКИ!$G$7:$H$66,2,FALSE)))</f>
        <v>ЮЛ</v>
      </c>
      <c r="V230" s="4" t="str">
        <f>IF(A230="",IF(COUNTA(B230:O230)&gt;0,"НЕТ ID",""),IF(OR(AND(OR(C230="Оплата клиента",C230="Возврат клиенту"),COUNTIFS(Docs[ID],J230,Docs[Тип долга],"ДЗ")&lt;&gt;1),AND(OR(C230="Оплата поставщику",C230="Возврат поставщика"),COUNTIFS(Docs[ID],J230,Docs[Тип долга],"КЗ",Docs[Вид],"&lt;&gt;Дивиденды")&lt;&gt;1),AND(C230="Дивиденды",COUNTIFS(Docs[ID],J230,Docs[Вид],"Дивиденды")&lt;&gt;1),AND(C230="Проценты",COUNTIFS(Docs[ID],J230,Docs[Вид],"Проценты")&lt;&gt;1),COUNTIF(Cash[ID],A230)&gt;1,NOT(ISNUMBER(B230)),B230&lt;НачалоУчета,YEAR(B230)&lt;&gt;Год,NOT(ISNUMBER(E230)),E230&lt;=0,N230&lt;0,COUNTIF(Типы,C230)&lt;&gt;1,COUNTIF(Категории,D230)&lt;&gt;1,COUNTIF(Счета,F230)&lt;&gt;1,COUNTIF(Проекты,I230)&lt;&gt;1,AND(H230&lt;&gt;"",COUNTIF(Контрагенты,H230)&lt;&gt;1),AND(C230="Перевод",OR(F230=G230,COUNTIF(Счета,G230)&lt;&gt;1)),AND(S230&lt;&gt;0,COUNTIF(Docs[ID],J230)&lt;&gt;1),AND(Форма="ООО",C230="Вывод ИП"),AND(Форма="ИП",C230="Дивиденды"),AND(L230&lt;&gt;"Проведён",L230&lt;&gt;"Черновик")),"ОШИБКА","ОК"))</f>
        <v>ОК</v>
      </c>
      <c r="W230" s="25">
        <f>IF(A230="","",SUMIF(Accounts[Счёт],F230,Accounts[Начальный])+SUMIFS($Q$7:Q230,$F$7:F230,F230)+SUMIFS($E$7:E230,$G$7:G230,F230,$C$7:C230,"Перевод",$L$7:L230,"Проведён"))</f>
        <v>998384.93000000017</v>
      </c>
    </row>
    <row r="231" spans="1:23" x14ac:dyDescent="0.25">
      <c r="A231" s="3" t="s">
        <v>870</v>
      </c>
      <c r="B231" s="19">
        <v>46322</v>
      </c>
      <c r="C231" s="3" t="s">
        <v>504</v>
      </c>
      <c r="D231" s="3" t="s">
        <v>527</v>
      </c>
      <c r="E231" s="24">
        <v>11700</v>
      </c>
      <c r="F231" s="3" t="s">
        <v>474</v>
      </c>
      <c r="G231" s="3"/>
      <c r="H231" s="3" t="s">
        <v>528</v>
      </c>
      <c r="I231" s="3" t="s">
        <v>383</v>
      </c>
      <c r="J231" s="3" t="s">
        <v>871</v>
      </c>
      <c r="K231" s="3" t="s">
        <v>504</v>
      </c>
      <c r="L231" s="3" t="s">
        <v>476</v>
      </c>
      <c r="M231" s="3"/>
      <c r="N231" s="24">
        <v>11700</v>
      </c>
      <c r="O231" s="3"/>
      <c r="P231" s="5">
        <f>IF(A231="","",IF(COUNTIF(Типы,C231)=0,0,VLOOKUP(C231,СПРАВОЧНИКИ!$A$7:$E$22,2,FALSE)))</f>
        <v>-1</v>
      </c>
      <c r="Q231" s="25">
        <f t="shared" si="3"/>
        <v>-11700</v>
      </c>
      <c r="R231" s="5" t="str">
        <f>IF(A231="","",IF(COUNTIF(Типы,C231)=0,"НЕИЗВЕСТНЫЙ ТИП",VLOOKUP(C231,СПРАВОЧНИКИ!$A$7:$E$22,3,FALSE)))</f>
        <v>Операционный</v>
      </c>
      <c r="S231" s="26">
        <f>IF(A231="","",IF(L231="Проведён",E231*IF(COUNTIF(Типы,C231)=0,0,VLOOKUP(C231,СПРАВОЧНИКИ!$A$7:$E$22,4,FALSE)),0))</f>
        <v>11700</v>
      </c>
      <c r="T231" s="26">
        <f>IF(A231="","",IF(L231="Проведён",E231*IF(COUNTIF(Типы,C231)=0,0,VLOOKUP(C231,СПРАВОЧНИКИ!$A$7:$E$22,5,FALSE)),0))</f>
        <v>0</v>
      </c>
      <c r="U231" s="5" t="str">
        <f>IF(A231="","",IF(COUNTIF(Контрагенты,H231)=0,"Не задан",VLOOKUP(H231,СПРАВОЧНИКИ!$G$7:$H$66,2,FALSE)))</f>
        <v>ЮЛ</v>
      </c>
      <c r="V231" s="4" t="str">
        <f>IF(A231="",IF(COUNTA(B231:O231)&gt;0,"НЕТ ID",""),IF(OR(AND(OR(C231="Оплата клиента",C231="Возврат клиенту"),COUNTIFS(Docs[ID],J231,Docs[Тип долга],"ДЗ")&lt;&gt;1),AND(OR(C231="Оплата поставщику",C231="Возврат поставщика"),COUNTIFS(Docs[ID],J231,Docs[Тип долга],"КЗ",Docs[Вид],"&lt;&gt;Дивиденды")&lt;&gt;1),AND(C231="Дивиденды",COUNTIFS(Docs[ID],J231,Docs[Вид],"Дивиденды")&lt;&gt;1),AND(C231="Проценты",COUNTIFS(Docs[ID],J231,Docs[Вид],"Проценты")&lt;&gt;1),COUNTIF(Cash[ID],A231)&gt;1,NOT(ISNUMBER(B231)),B231&lt;НачалоУчета,YEAR(B231)&lt;&gt;Год,NOT(ISNUMBER(E231)),E231&lt;=0,N231&lt;0,COUNTIF(Типы,C231)&lt;&gt;1,COUNTIF(Категории,D231)&lt;&gt;1,COUNTIF(Счета,F231)&lt;&gt;1,COUNTIF(Проекты,I231)&lt;&gt;1,AND(H231&lt;&gt;"",COUNTIF(Контрагенты,H231)&lt;&gt;1),AND(C231="Перевод",OR(F231=G231,COUNTIF(Счета,G231)&lt;&gt;1)),AND(S231&lt;&gt;0,COUNTIF(Docs[ID],J231)&lt;&gt;1),AND(Форма="ООО",C231="Вывод ИП"),AND(Форма="ИП",C231="Дивиденды"),AND(L231&lt;&gt;"Проведён",L231&lt;&gt;"Черновик")),"ОШИБКА","ОК"))</f>
        <v>ОК</v>
      </c>
      <c r="W231" s="25">
        <f>IF(A231="","",SUMIF(Accounts[Счёт],F231,Accounts[Начальный])+SUMIFS($Q$7:Q231,$F$7:F231,F231)+SUMIFS($E$7:E231,$G$7:G231,F231,$C$7:C231,"Перевод",$L$7:L231,"Проведён"))</f>
        <v>986684.93000000017</v>
      </c>
    </row>
    <row r="232" spans="1:23" x14ac:dyDescent="0.25">
      <c r="A232" s="3" t="s">
        <v>872</v>
      </c>
      <c r="B232" s="19">
        <v>46323</v>
      </c>
      <c r="C232" s="3" t="s">
        <v>484</v>
      </c>
      <c r="D232" s="3" t="s">
        <v>485</v>
      </c>
      <c r="E232" s="24">
        <v>28400</v>
      </c>
      <c r="F232" s="3" t="s">
        <v>474</v>
      </c>
      <c r="G232" s="3"/>
      <c r="H232" s="3" t="s">
        <v>498</v>
      </c>
      <c r="I232" s="3" t="s">
        <v>298</v>
      </c>
      <c r="J232" s="3" t="s">
        <v>851</v>
      </c>
      <c r="K232" s="3" t="s">
        <v>484</v>
      </c>
      <c r="L232" s="3" t="s">
        <v>476</v>
      </c>
      <c r="M232" s="3"/>
      <c r="N232" s="24">
        <v>0</v>
      </c>
      <c r="O232" s="3"/>
      <c r="P232" s="5">
        <f>IF(A232="","",IF(COUNTIF(Типы,C232)=0,0,VLOOKUP(C232,СПРАВОЧНИКИ!$A$7:$E$22,2,FALSE)))</f>
        <v>1</v>
      </c>
      <c r="Q232" s="25">
        <f t="shared" si="3"/>
        <v>28400</v>
      </c>
      <c r="R232" s="5" t="str">
        <f>IF(A232="","",IF(COUNTIF(Типы,C232)=0,"НЕИЗВЕСТНЫЙ ТИП",VLOOKUP(C232,СПРАВОЧНИКИ!$A$7:$E$22,3,FALSE)))</f>
        <v>Операционный</v>
      </c>
      <c r="S232" s="26">
        <f>IF(A232="","",IF(L232="Проведён",E232*IF(COUNTIF(Типы,C232)=0,0,VLOOKUP(C232,СПРАВОЧНИКИ!$A$7:$E$22,4,FALSE)),0))</f>
        <v>28400</v>
      </c>
      <c r="T232" s="26">
        <f>IF(A232="","",IF(L232="Проведён",E232*IF(COUNTIF(Типы,C232)=0,0,VLOOKUP(C232,СПРАВОЧНИКИ!$A$7:$E$22,5,FALSE)),0))</f>
        <v>28400</v>
      </c>
      <c r="U232" s="5" t="str">
        <f>IF(A232="","",IF(COUNTIF(Контрагенты,H232)=0,"Не задан",VLOOKUP(H232,СПРАВОЧНИКИ!$G$7:$H$66,2,FALSE)))</f>
        <v>ФЛ</v>
      </c>
      <c r="V232" s="4" t="str">
        <f>IF(A232="",IF(COUNTA(B232:O232)&gt;0,"НЕТ ID",""),IF(OR(AND(OR(C232="Оплата клиента",C232="Возврат клиенту"),COUNTIFS(Docs[ID],J232,Docs[Тип долга],"ДЗ")&lt;&gt;1),AND(OR(C232="Оплата поставщику",C232="Возврат поставщика"),COUNTIFS(Docs[ID],J232,Docs[Тип долга],"КЗ",Docs[Вид],"&lt;&gt;Дивиденды")&lt;&gt;1),AND(C232="Дивиденды",COUNTIFS(Docs[ID],J232,Docs[Вид],"Дивиденды")&lt;&gt;1),AND(C232="Проценты",COUNTIFS(Docs[ID],J232,Docs[Вид],"Проценты")&lt;&gt;1),COUNTIF(Cash[ID],A232)&gt;1,NOT(ISNUMBER(B232)),B232&lt;НачалоУчета,YEAR(B232)&lt;&gt;Год,NOT(ISNUMBER(E232)),E232&lt;=0,N232&lt;0,COUNTIF(Типы,C232)&lt;&gt;1,COUNTIF(Категории,D232)&lt;&gt;1,COUNTIF(Счета,F232)&lt;&gt;1,COUNTIF(Проекты,I232)&lt;&gt;1,AND(H232&lt;&gt;"",COUNTIF(Контрагенты,H232)&lt;&gt;1),AND(C232="Перевод",OR(F232=G232,COUNTIF(Счета,G232)&lt;&gt;1)),AND(S232&lt;&gt;0,COUNTIF(Docs[ID],J232)&lt;&gt;1),AND(Форма="ООО",C232="Вывод ИП"),AND(Форма="ИП",C232="Дивиденды"),AND(L232&lt;&gt;"Проведён",L232&lt;&gt;"Черновик")),"ОШИБКА","ОК"))</f>
        <v>ОК</v>
      </c>
      <c r="W232" s="25">
        <f>IF(A232="","",SUMIF(Accounts[Счёт],F232,Accounts[Начальный])+SUMIFS($Q$7:Q232,$F$7:F232,F232)+SUMIFS($E$7:E232,$G$7:G232,F232,$C$7:C232,"Перевод",$L$7:L232,"Проведён"))</f>
        <v>1015084.9300000002</v>
      </c>
    </row>
    <row r="233" spans="1:23" x14ac:dyDescent="0.25">
      <c r="A233" s="3" t="s">
        <v>873</v>
      </c>
      <c r="B233" s="19">
        <v>46323</v>
      </c>
      <c r="C233" s="3" t="s">
        <v>504</v>
      </c>
      <c r="D233" s="3" t="s">
        <v>532</v>
      </c>
      <c r="E233" s="24">
        <v>27000</v>
      </c>
      <c r="F233" s="3" t="s">
        <v>474</v>
      </c>
      <c r="G233" s="3"/>
      <c r="H233" s="3" t="s">
        <v>528</v>
      </c>
      <c r="I233" s="3" t="s">
        <v>383</v>
      </c>
      <c r="J233" s="3" t="s">
        <v>874</v>
      </c>
      <c r="K233" s="3" t="s">
        <v>504</v>
      </c>
      <c r="L233" s="3" t="s">
        <v>476</v>
      </c>
      <c r="M233" s="3"/>
      <c r="N233" s="24">
        <v>27000</v>
      </c>
      <c r="O233" s="3"/>
      <c r="P233" s="5">
        <f>IF(A233="","",IF(COUNTIF(Типы,C233)=0,0,VLOOKUP(C233,СПРАВОЧНИКИ!$A$7:$E$22,2,FALSE)))</f>
        <v>-1</v>
      </c>
      <c r="Q233" s="25">
        <f t="shared" si="3"/>
        <v>-27000</v>
      </c>
      <c r="R233" s="5" t="str">
        <f>IF(A233="","",IF(COUNTIF(Типы,C233)=0,"НЕИЗВЕСТНЫЙ ТИП",VLOOKUP(C233,СПРАВОЧНИКИ!$A$7:$E$22,3,FALSE)))</f>
        <v>Операционный</v>
      </c>
      <c r="S233" s="26">
        <f>IF(A233="","",IF(L233="Проведён",E233*IF(COUNTIF(Типы,C233)=0,0,VLOOKUP(C233,СПРАВОЧНИКИ!$A$7:$E$22,4,FALSE)),0))</f>
        <v>27000</v>
      </c>
      <c r="T233" s="26">
        <f>IF(A233="","",IF(L233="Проведён",E233*IF(COUNTIF(Типы,C233)=0,0,VLOOKUP(C233,СПРАВОЧНИКИ!$A$7:$E$22,5,FALSE)),0))</f>
        <v>0</v>
      </c>
      <c r="U233" s="5" t="str">
        <f>IF(A233="","",IF(COUNTIF(Контрагенты,H233)=0,"Не задан",VLOOKUP(H233,СПРАВОЧНИКИ!$G$7:$H$66,2,FALSE)))</f>
        <v>ЮЛ</v>
      </c>
      <c r="V233" s="4" t="str">
        <f>IF(A233="",IF(COUNTA(B233:O233)&gt;0,"НЕТ ID",""),IF(OR(AND(OR(C233="Оплата клиента",C233="Возврат клиенту"),COUNTIFS(Docs[ID],J233,Docs[Тип долга],"ДЗ")&lt;&gt;1),AND(OR(C233="Оплата поставщику",C233="Возврат поставщика"),COUNTIFS(Docs[ID],J233,Docs[Тип долга],"КЗ",Docs[Вид],"&lt;&gt;Дивиденды")&lt;&gt;1),AND(C233="Дивиденды",COUNTIFS(Docs[ID],J233,Docs[Вид],"Дивиденды")&lt;&gt;1),AND(C233="Проценты",COUNTIFS(Docs[ID],J233,Docs[Вид],"Проценты")&lt;&gt;1),COUNTIF(Cash[ID],A233)&gt;1,NOT(ISNUMBER(B233)),B233&lt;НачалоУчета,YEAR(B233)&lt;&gt;Год,NOT(ISNUMBER(E233)),E233&lt;=0,N233&lt;0,COUNTIF(Типы,C233)&lt;&gt;1,COUNTIF(Категории,D233)&lt;&gt;1,COUNTIF(Счета,F233)&lt;&gt;1,COUNTIF(Проекты,I233)&lt;&gt;1,AND(H233&lt;&gt;"",COUNTIF(Контрагенты,H233)&lt;&gt;1),AND(C233="Перевод",OR(F233=G233,COUNTIF(Счета,G233)&lt;&gt;1)),AND(S233&lt;&gt;0,COUNTIF(Docs[ID],J233)&lt;&gt;1),AND(Форма="ООО",C233="Вывод ИП"),AND(Форма="ИП",C233="Дивиденды"),AND(L233&lt;&gt;"Проведён",L233&lt;&gt;"Черновик")),"ОШИБКА","ОК"))</f>
        <v>ОК</v>
      </c>
      <c r="W233" s="25">
        <f>IF(A233="","",SUMIF(Accounts[Счёт],F233,Accounts[Начальный])+SUMIFS($Q$7:Q233,$F$7:F233,F233)+SUMIFS($E$7:E233,$G$7:G233,F233,$C$7:C233,"Перевод",$L$7:L233,"Проведён"))</f>
        <v>988084.93000000017</v>
      </c>
    </row>
    <row r="234" spans="1:23" x14ac:dyDescent="0.25">
      <c r="A234" s="3" t="s">
        <v>875</v>
      </c>
      <c r="B234" s="19">
        <v>46323</v>
      </c>
      <c r="C234" s="3" t="s">
        <v>130</v>
      </c>
      <c r="D234" s="3" t="s">
        <v>130</v>
      </c>
      <c r="E234" s="24">
        <v>2605.54</v>
      </c>
      <c r="F234" s="3" t="s">
        <v>474</v>
      </c>
      <c r="G234" s="3"/>
      <c r="H234" s="3" t="s">
        <v>397</v>
      </c>
      <c r="I234" s="3" t="s">
        <v>383</v>
      </c>
      <c r="J234" s="3" t="s">
        <v>876</v>
      </c>
      <c r="K234" s="3" t="s">
        <v>130</v>
      </c>
      <c r="L234" s="3" t="s">
        <v>476</v>
      </c>
      <c r="M234" s="3"/>
      <c r="N234" s="24">
        <v>2605.54</v>
      </c>
      <c r="O234" s="3"/>
      <c r="P234" s="5">
        <f>IF(A234="","",IF(COUNTIF(Типы,C234)=0,0,VLOOKUP(C234,СПРАВОЧНИКИ!$A$7:$E$22,2,FALSE)))</f>
        <v>-1</v>
      </c>
      <c r="Q234" s="25">
        <f t="shared" si="3"/>
        <v>-2605.54</v>
      </c>
      <c r="R234" s="5" t="str">
        <f>IF(A234="","",IF(COUNTIF(Типы,C234)=0,"НЕИЗВЕСТНЫЙ ТИП",VLOOKUP(C234,СПРАВОЧНИКИ!$A$7:$E$22,3,FALSE)))</f>
        <v>Операционный</v>
      </c>
      <c r="S234" s="26">
        <f>IF(A234="","",IF(L234="Проведён",E234*IF(COUNTIF(Типы,C234)=0,0,VLOOKUP(C234,СПРАВОЧНИКИ!$A$7:$E$22,4,FALSE)),0))</f>
        <v>2605.54</v>
      </c>
      <c r="T234" s="26">
        <f>IF(A234="","",IF(L234="Проведён",E234*IF(COUNTIF(Типы,C234)=0,0,VLOOKUP(C234,СПРАВОЧНИКИ!$A$7:$E$22,5,FALSE)),0))</f>
        <v>0</v>
      </c>
      <c r="U234" s="5" t="str">
        <f>IF(A234="","",IF(COUNTIF(Контрагенты,H234)=0,"Не задан",VLOOKUP(H234,СПРАВОЧНИКИ!$G$7:$H$66,2,FALSE)))</f>
        <v>ЮЛ</v>
      </c>
      <c r="V234" s="4" t="str">
        <f>IF(A234="",IF(COUNTA(B234:O234)&gt;0,"НЕТ ID",""),IF(OR(AND(OR(C234="Оплата клиента",C234="Возврат клиенту"),COUNTIFS(Docs[ID],J234,Docs[Тип долга],"ДЗ")&lt;&gt;1),AND(OR(C234="Оплата поставщику",C234="Возврат поставщика"),COUNTIFS(Docs[ID],J234,Docs[Тип долга],"КЗ",Docs[Вид],"&lt;&gt;Дивиденды")&lt;&gt;1),AND(C234="Дивиденды",COUNTIFS(Docs[ID],J234,Docs[Вид],"Дивиденды")&lt;&gt;1),AND(C234="Проценты",COUNTIFS(Docs[ID],J234,Docs[Вид],"Проценты")&lt;&gt;1),COUNTIF(Cash[ID],A234)&gt;1,NOT(ISNUMBER(B234)),B234&lt;НачалоУчета,YEAR(B234)&lt;&gt;Год,NOT(ISNUMBER(E234)),E234&lt;=0,N234&lt;0,COUNTIF(Типы,C234)&lt;&gt;1,COUNTIF(Категории,D234)&lt;&gt;1,COUNTIF(Счета,F234)&lt;&gt;1,COUNTIF(Проекты,I234)&lt;&gt;1,AND(H234&lt;&gt;"",COUNTIF(Контрагенты,H234)&lt;&gt;1),AND(C234="Перевод",OR(F234=G234,COUNTIF(Счета,G234)&lt;&gt;1)),AND(S234&lt;&gt;0,COUNTIF(Docs[ID],J234)&lt;&gt;1),AND(Форма="ООО",C234="Вывод ИП"),AND(Форма="ИП",C234="Дивиденды"),AND(L234&lt;&gt;"Проведён",L234&lt;&gt;"Черновик")),"ОШИБКА","ОК"))</f>
        <v>ОК</v>
      </c>
      <c r="W234" s="25">
        <f>IF(A234="","",SUMIF(Accounts[Счёт],F234,Accounts[Начальный])+SUMIFS($Q$7:Q234,$F$7:F234,F234)+SUMIFS($E$7:E234,$G$7:G234,F234,$C$7:C234,"Перевод",$L$7:L234,"Проведён"))</f>
        <v>985479.39000000013</v>
      </c>
    </row>
    <row r="235" spans="1:23" x14ac:dyDescent="0.25">
      <c r="A235" s="3" t="s">
        <v>877</v>
      </c>
      <c r="B235" s="19">
        <v>46323</v>
      </c>
      <c r="C235" s="3" t="s">
        <v>537</v>
      </c>
      <c r="D235" s="3" t="s">
        <v>479</v>
      </c>
      <c r="E235" s="24">
        <v>12371.69</v>
      </c>
      <c r="F235" s="3" t="s">
        <v>474</v>
      </c>
      <c r="G235" s="3"/>
      <c r="H235" s="3" t="s">
        <v>397</v>
      </c>
      <c r="I235" s="3" t="s">
        <v>383</v>
      </c>
      <c r="J235" s="3" t="s">
        <v>394</v>
      </c>
      <c r="K235" s="3" t="s">
        <v>537</v>
      </c>
      <c r="L235" s="3" t="s">
        <v>476</v>
      </c>
      <c r="M235" s="3"/>
      <c r="N235" s="24">
        <v>0</v>
      </c>
      <c r="O235" s="3"/>
      <c r="P235" s="5">
        <f>IF(A235="","",IF(COUNTIF(Типы,C235)=0,0,VLOOKUP(C235,СПРАВОЧНИКИ!$A$7:$E$22,2,FALSE)))</f>
        <v>-1</v>
      </c>
      <c r="Q235" s="25">
        <f t="shared" si="3"/>
        <v>-12371.69</v>
      </c>
      <c r="R235" s="5" t="str">
        <f>IF(A235="","",IF(COUNTIF(Типы,C235)=0,"НЕИЗВЕСТНЫЙ ТИП",VLOOKUP(C235,СПРАВОЧНИКИ!$A$7:$E$22,3,FALSE)))</f>
        <v>Финансовый</v>
      </c>
      <c r="S235" s="26">
        <f>IF(A235="","",IF(L235="Проведён",E235*IF(COUNTIF(Типы,C235)=0,0,VLOOKUP(C235,СПРАВОЧНИКИ!$A$7:$E$22,4,FALSE)),0))</f>
        <v>0</v>
      </c>
      <c r="T235" s="26">
        <f>IF(A235="","",IF(L235="Проведён",E235*IF(COUNTIF(Типы,C235)=0,0,VLOOKUP(C235,СПРАВОЧНИКИ!$A$7:$E$22,5,FALSE)),0))</f>
        <v>0</v>
      </c>
      <c r="U235" s="5" t="str">
        <f>IF(A235="","",IF(COUNTIF(Контрагенты,H235)=0,"Не задан",VLOOKUP(H235,СПРАВОЧНИКИ!$G$7:$H$66,2,FALSE)))</f>
        <v>ЮЛ</v>
      </c>
      <c r="V235" s="4" t="str">
        <f>IF(A235="",IF(COUNTA(B235:O235)&gt;0,"НЕТ ID",""),IF(OR(AND(OR(C235="Оплата клиента",C235="Возврат клиенту"),COUNTIFS(Docs[ID],J235,Docs[Тип долга],"ДЗ")&lt;&gt;1),AND(OR(C235="Оплата поставщику",C235="Возврат поставщика"),COUNTIFS(Docs[ID],J235,Docs[Тип долга],"КЗ",Docs[Вид],"&lt;&gt;Дивиденды")&lt;&gt;1),AND(C235="Дивиденды",COUNTIFS(Docs[ID],J235,Docs[Вид],"Дивиденды")&lt;&gt;1),AND(C235="Проценты",COUNTIFS(Docs[ID],J235,Docs[Вид],"Проценты")&lt;&gt;1),COUNTIF(Cash[ID],A235)&gt;1,NOT(ISNUMBER(B235)),B235&lt;НачалоУчета,YEAR(B235)&lt;&gt;Год,NOT(ISNUMBER(E235)),E235&lt;=0,N235&lt;0,COUNTIF(Типы,C235)&lt;&gt;1,COUNTIF(Категории,D235)&lt;&gt;1,COUNTIF(Счета,F235)&lt;&gt;1,COUNTIF(Проекты,I235)&lt;&gt;1,AND(H235&lt;&gt;"",COUNTIF(Контрагенты,H235)&lt;&gt;1),AND(C235="Перевод",OR(F235=G235,COUNTIF(Счета,G235)&lt;&gt;1)),AND(S235&lt;&gt;0,COUNTIF(Docs[ID],J235)&lt;&gt;1),AND(Форма="ООО",C235="Вывод ИП"),AND(Форма="ИП",C235="Дивиденды"),AND(L235&lt;&gt;"Проведён",L235&lt;&gt;"Черновик")),"ОШИБКА","ОК"))</f>
        <v>ОК</v>
      </c>
      <c r="W235" s="25">
        <f>IF(A235="","",SUMIF(Accounts[Счёт],F235,Accounts[Начальный])+SUMIFS($Q$7:Q235,$F$7:F235,F235)+SUMIFS($E$7:E235,$G$7:G235,F235,$C$7:C235,"Перевод",$L$7:L235,"Проведён"))</f>
        <v>973107.70000000019</v>
      </c>
    </row>
    <row r="236" spans="1:23" x14ac:dyDescent="0.25">
      <c r="A236" s="3" t="s">
        <v>878</v>
      </c>
      <c r="B236" s="19">
        <v>46323</v>
      </c>
      <c r="C236" s="3" t="s">
        <v>539</v>
      </c>
      <c r="D236" s="3" t="s">
        <v>299</v>
      </c>
      <c r="E236" s="24">
        <v>15000</v>
      </c>
      <c r="F236" s="3" t="s">
        <v>474</v>
      </c>
      <c r="G236" s="3" t="s">
        <v>299</v>
      </c>
      <c r="H236" s="3"/>
      <c r="I236" s="3" t="s">
        <v>383</v>
      </c>
      <c r="J236" s="3"/>
      <c r="K236" s="3" t="s">
        <v>539</v>
      </c>
      <c r="L236" s="3" t="s">
        <v>476</v>
      </c>
      <c r="M236" s="3"/>
      <c r="N236" s="24">
        <v>0</v>
      </c>
      <c r="O236" s="3"/>
      <c r="P236" s="5">
        <f>IF(A236="","",IF(COUNTIF(Типы,C236)=0,0,VLOOKUP(C236,СПРАВОЧНИКИ!$A$7:$E$22,2,FALSE)))</f>
        <v>-1</v>
      </c>
      <c r="Q236" s="25">
        <f t="shared" si="3"/>
        <v>-15000</v>
      </c>
      <c r="R236" s="5" t="str">
        <f>IF(A236="","",IF(COUNTIF(Типы,C236)=0,"НЕИЗВЕСТНЫЙ ТИП",VLOOKUP(C236,СПРАВОЧНИКИ!$A$7:$E$22,3,FALSE)))</f>
        <v>Внутренний</v>
      </c>
      <c r="S236" s="26">
        <f>IF(A236="","",IF(L236="Проведён",E236*IF(COUNTIF(Типы,C236)=0,0,VLOOKUP(C236,СПРАВОЧНИКИ!$A$7:$E$22,4,FALSE)),0))</f>
        <v>0</v>
      </c>
      <c r="T236" s="26">
        <f>IF(A236="","",IF(L236="Проведён",E236*IF(COUNTIF(Типы,C236)=0,0,VLOOKUP(C236,СПРАВОЧНИКИ!$A$7:$E$22,5,FALSE)),0))</f>
        <v>0</v>
      </c>
      <c r="U236" s="5" t="str">
        <f>IF(A236="","",IF(COUNTIF(Контрагенты,H236)=0,"Не задан",VLOOKUP(H236,СПРАВОЧНИКИ!$G$7:$H$66,2,FALSE)))</f>
        <v>Не задан</v>
      </c>
      <c r="V236" s="4" t="str">
        <f>IF(A236="",IF(COUNTA(B236:O236)&gt;0,"НЕТ ID",""),IF(OR(AND(OR(C236="Оплата клиента",C236="Возврат клиенту"),COUNTIFS(Docs[ID],J236,Docs[Тип долга],"ДЗ")&lt;&gt;1),AND(OR(C236="Оплата поставщику",C236="Возврат поставщика"),COUNTIFS(Docs[ID],J236,Docs[Тип долга],"КЗ",Docs[Вид],"&lt;&gt;Дивиденды")&lt;&gt;1),AND(C236="Дивиденды",COUNTIFS(Docs[ID],J236,Docs[Вид],"Дивиденды")&lt;&gt;1),AND(C236="Проценты",COUNTIFS(Docs[ID],J236,Docs[Вид],"Проценты")&lt;&gt;1),COUNTIF(Cash[ID],A236)&gt;1,NOT(ISNUMBER(B236)),B236&lt;НачалоУчета,YEAR(B236)&lt;&gt;Год,NOT(ISNUMBER(E236)),E236&lt;=0,N236&lt;0,COUNTIF(Типы,C236)&lt;&gt;1,COUNTIF(Категории,D236)&lt;&gt;1,COUNTIF(Счета,F236)&lt;&gt;1,COUNTIF(Проекты,I236)&lt;&gt;1,AND(H236&lt;&gt;"",COUNTIF(Контрагенты,H236)&lt;&gt;1),AND(C236="Перевод",OR(F236=G236,COUNTIF(Счета,G236)&lt;&gt;1)),AND(S236&lt;&gt;0,COUNTIF(Docs[ID],J236)&lt;&gt;1),AND(Форма="ООО",C236="Вывод ИП"),AND(Форма="ИП",C236="Дивиденды"),AND(L236&lt;&gt;"Проведён",L236&lt;&gt;"Черновик")),"ОШИБКА","ОК"))</f>
        <v>ОК</v>
      </c>
      <c r="W236" s="25">
        <f>IF(A236="","",SUMIF(Accounts[Счёт],F236,Accounts[Начальный])+SUMIFS($Q$7:Q236,$F$7:F236,F236)+SUMIFS($E$7:E236,$G$7:G236,F236,$C$7:C236,"Перевод",$L$7:L236,"Проведён"))</f>
        <v>958107.70000000019</v>
      </c>
    </row>
    <row r="237" spans="1:23" x14ac:dyDescent="0.25">
      <c r="A237" s="3" t="s">
        <v>879</v>
      </c>
      <c r="B237" s="19">
        <v>46324</v>
      </c>
      <c r="C237" s="3" t="s">
        <v>484</v>
      </c>
      <c r="D237" s="3" t="s">
        <v>485</v>
      </c>
      <c r="E237" s="24">
        <v>22720</v>
      </c>
      <c r="F237" s="3" t="s">
        <v>474</v>
      </c>
      <c r="G237" s="3"/>
      <c r="H237" s="3" t="s">
        <v>501</v>
      </c>
      <c r="I237" s="3" t="s">
        <v>382</v>
      </c>
      <c r="J237" s="3" t="s">
        <v>853</v>
      </c>
      <c r="K237" s="3" t="s">
        <v>484</v>
      </c>
      <c r="L237" s="3" t="s">
        <v>476</v>
      </c>
      <c r="M237" s="3"/>
      <c r="N237" s="24">
        <v>0</v>
      </c>
      <c r="O237" s="3"/>
      <c r="P237" s="5">
        <f>IF(A237="","",IF(COUNTIF(Типы,C237)=0,0,VLOOKUP(C237,СПРАВОЧНИКИ!$A$7:$E$22,2,FALSE)))</f>
        <v>1</v>
      </c>
      <c r="Q237" s="25">
        <f t="shared" si="3"/>
        <v>22720</v>
      </c>
      <c r="R237" s="5" t="str">
        <f>IF(A237="","",IF(COUNTIF(Типы,C237)=0,"НЕИЗВЕСТНЫЙ ТИП",VLOOKUP(C237,СПРАВОЧНИКИ!$A$7:$E$22,3,FALSE)))</f>
        <v>Операционный</v>
      </c>
      <c r="S237" s="26">
        <f>IF(A237="","",IF(L237="Проведён",E237*IF(COUNTIF(Типы,C237)=0,0,VLOOKUP(C237,СПРАВОЧНИКИ!$A$7:$E$22,4,FALSE)),0))</f>
        <v>22720</v>
      </c>
      <c r="T237" s="26">
        <f>IF(A237="","",IF(L237="Проведён",E237*IF(COUNTIF(Типы,C237)=0,0,VLOOKUP(C237,СПРАВОЧНИКИ!$A$7:$E$22,5,FALSE)),0))</f>
        <v>22720</v>
      </c>
      <c r="U237" s="5" t="str">
        <f>IF(A237="","",IF(COUNTIF(Контрагенты,H237)=0,"Не задан",VLOOKUP(H237,СПРАВОЧНИКИ!$G$7:$H$66,2,FALSE)))</f>
        <v>ЮЛ</v>
      </c>
      <c r="V237" s="4" t="str">
        <f>IF(A237="",IF(COUNTA(B237:O237)&gt;0,"НЕТ ID",""),IF(OR(AND(OR(C237="Оплата клиента",C237="Возврат клиенту"),COUNTIFS(Docs[ID],J237,Docs[Тип долга],"ДЗ")&lt;&gt;1),AND(OR(C237="Оплата поставщику",C237="Возврат поставщика"),COUNTIFS(Docs[ID],J237,Docs[Тип долга],"КЗ",Docs[Вид],"&lt;&gt;Дивиденды")&lt;&gt;1),AND(C237="Дивиденды",COUNTIFS(Docs[ID],J237,Docs[Вид],"Дивиденды")&lt;&gt;1),AND(C237="Проценты",COUNTIFS(Docs[ID],J237,Docs[Вид],"Проценты")&lt;&gt;1),COUNTIF(Cash[ID],A237)&gt;1,NOT(ISNUMBER(B237)),B237&lt;НачалоУчета,YEAR(B237)&lt;&gt;Год,NOT(ISNUMBER(E237)),E237&lt;=0,N237&lt;0,COUNTIF(Типы,C237)&lt;&gt;1,COUNTIF(Категории,D237)&lt;&gt;1,COUNTIF(Счета,F237)&lt;&gt;1,COUNTIF(Проекты,I237)&lt;&gt;1,AND(H237&lt;&gt;"",COUNTIF(Контрагенты,H237)&lt;&gt;1),AND(C237="Перевод",OR(F237=G237,COUNTIF(Счета,G237)&lt;&gt;1)),AND(S237&lt;&gt;0,COUNTIF(Docs[ID],J237)&lt;&gt;1),AND(Форма="ООО",C237="Вывод ИП"),AND(Форма="ИП",C237="Дивиденды"),AND(L237&lt;&gt;"Проведён",L237&lt;&gt;"Черновик")),"ОШИБКА","ОК"))</f>
        <v>ОК</v>
      </c>
      <c r="W237" s="25">
        <f>IF(A237="","",SUMIF(Accounts[Счёт],F237,Accounts[Начальный])+SUMIFS($Q$7:Q237,$F$7:F237,F237)+SUMIFS($E$7:E237,$G$7:G237,F237,$C$7:C237,"Перевод",$L$7:L237,"Проведён"))</f>
        <v>980827.70000000019</v>
      </c>
    </row>
    <row r="238" spans="1:23" x14ac:dyDescent="0.25">
      <c r="A238" s="3" t="s">
        <v>880</v>
      </c>
      <c r="B238" s="19">
        <v>46338</v>
      </c>
      <c r="C238" s="3" t="s">
        <v>484</v>
      </c>
      <c r="D238" s="3" t="s">
        <v>485</v>
      </c>
      <c r="E238" s="24">
        <v>127680</v>
      </c>
      <c r="F238" s="3" t="s">
        <v>474</v>
      </c>
      <c r="G238" s="3"/>
      <c r="H238" s="3" t="s">
        <v>486</v>
      </c>
      <c r="I238" s="3" t="s">
        <v>381</v>
      </c>
      <c r="J238" s="3" t="s">
        <v>881</v>
      </c>
      <c r="K238" s="3" t="s">
        <v>484</v>
      </c>
      <c r="L238" s="3" t="s">
        <v>476</v>
      </c>
      <c r="M238" s="3"/>
      <c r="N238" s="24">
        <v>0</v>
      </c>
      <c r="O238" s="3"/>
      <c r="P238" s="5">
        <f>IF(A238="","",IF(COUNTIF(Типы,C238)=0,0,VLOOKUP(C238,СПРАВОЧНИКИ!$A$7:$E$22,2,FALSE)))</f>
        <v>1</v>
      </c>
      <c r="Q238" s="25">
        <f t="shared" si="3"/>
        <v>127680</v>
      </c>
      <c r="R238" s="5" t="str">
        <f>IF(A238="","",IF(COUNTIF(Типы,C238)=0,"НЕИЗВЕСТНЫЙ ТИП",VLOOKUP(C238,СПРАВОЧНИКИ!$A$7:$E$22,3,FALSE)))</f>
        <v>Операционный</v>
      </c>
      <c r="S238" s="26">
        <f>IF(A238="","",IF(L238="Проведён",E238*IF(COUNTIF(Типы,C238)=0,0,VLOOKUP(C238,СПРАВОЧНИКИ!$A$7:$E$22,4,FALSE)),0))</f>
        <v>127680</v>
      </c>
      <c r="T238" s="26">
        <f>IF(A238="","",IF(L238="Проведён",E238*IF(COUNTIF(Типы,C238)=0,0,VLOOKUP(C238,СПРАВОЧНИКИ!$A$7:$E$22,5,FALSE)),0))</f>
        <v>127680</v>
      </c>
      <c r="U238" s="5" t="str">
        <f>IF(A238="","",IF(COUNTIF(Контрагенты,H238)=0,"Не задан",VLOOKUP(H238,СПРАВОЧНИКИ!$G$7:$H$66,2,FALSE)))</f>
        <v>ЮЛ</v>
      </c>
      <c r="V238" s="4" t="str">
        <f>IF(A238="",IF(COUNTA(B238:O238)&gt;0,"НЕТ ID",""),IF(OR(AND(OR(C238="Оплата клиента",C238="Возврат клиенту"),COUNTIFS(Docs[ID],J238,Docs[Тип долга],"ДЗ")&lt;&gt;1),AND(OR(C238="Оплата поставщику",C238="Возврат поставщика"),COUNTIFS(Docs[ID],J238,Docs[Тип долга],"КЗ",Docs[Вид],"&lt;&gt;Дивиденды")&lt;&gt;1),AND(C238="Дивиденды",COUNTIFS(Docs[ID],J238,Docs[Вид],"Дивиденды")&lt;&gt;1),AND(C238="Проценты",COUNTIFS(Docs[ID],J238,Docs[Вид],"Проценты")&lt;&gt;1),COUNTIF(Cash[ID],A238)&gt;1,NOT(ISNUMBER(B238)),B238&lt;НачалоУчета,YEAR(B238)&lt;&gt;Год,NOT(ISNUMBER(E238)),E238&lt;=0,N238&lt;0,COUNTIF(Типы,C238)&lt;&gt;1,COUNTIF(Категории,D238)&lt;&gt;1,COUNTIF(Счета,F238)&lt;&gt;1,COUNTIF(Проекты,I238)&lt;&gt;1,AND(H238&lt;&gt;"",COUNTIF(Контрагенты,H238)&lt;&gt;1),AND(C238="Перевод",OR(F238=G238,COUNTIF(Счета,G238)&lt;&gt;1)),AND(S238&lt;&gt;0,COUNTIF(Docs[ID],J238)&lt;&gt;1),AND(Форма="ООО",C238="Вывод ИП"),AND(Форма="ИП",C238="Дивиденды"),AND(L238&lt;&gt;"Проведён",L238&lt;&gt;"Черновик")),"ОШИБКА","ОК"))</f>
        <v>ОК</v>
      </c>
      <c r="W238" s="25">
        <f>IF(A238="","",SUMIF(Accounts[Счёт],F238,Accounts[Начальный])+SUMIFS($Q$7:Q238,$F$7:F238,F238)+SUMIFS($E$7:E238,$G$7:G238,F238,$C$7:C238,"Перевод",$L$7:L238,"Проведён"))</f>
        <v>1108507.7000000002</v>
      </c>
    </row>
    <row r="239" spans="1:23" x14ac:dyDescent="0.25">
      <c r="A239" s="3" t="s">
        <v>882</v>
      </c>
      <c r="B239" s="19">
        <v>46339</v>
      </c>
      <c r="C239" s="3" t="s">
        <v>484</v>
      </c>
      <c r="D239" s="3" t="s">
        <v>485</v>
      </c>
      <c r="E239" s="24">
        <v>100320</v>
      </c>
      <c r="F239" s="3" t="s">
        <v>474</v>
      </c>
      <c r="G239" s="3"/>
      <c r="H239" s="3" t="s">
        <v>489</v>
      </c>
      <c r="I239" s="3" t="s">
        <v>298</v>
      </c>
      <c r="J239" s="3" t="s">
        <v>883</v>
      </c>
      <c r="K239" s="3" t="s">
        <v>484</v>
      </c>
      <c r="L239" s="3" t="s">
        <v>476</v>
      </c>
      <c r="M239" s="3"/>
      <c r="N239" s="24">
        <v>0</v>
      </c>
      <c r="O239" s="3"/>
      <c r="P239" s="5">
        <f>IF(A239="","",IF(COUNTIF(Типы,C239)=0,0,VLOOKUP(C239,СПРАВОЧНИКИ!$A$7:$E$22,2,FALSE)))</f>
        <v>1</v>
      </c>
      <c r="Q239" s="25">
        <f t="shared" si="3"/>
        <v>100320</v>
      </c>
      <c r="R239" s="5" t="str">
        <f>IF(A239="","",IF(COUNTIF(Типы,C239)=0,"НЕИЗВЕСТНЫЙ ТИП",VLOOKUP(C239,СПРАВОЧНИКИ!$A$7:$E$22,3,FALSE)))</f>
        <v>Операционный</v>
      </c>
      <c r="S239" s="26">
        <f>IF(A239="","",IF(L239="Проведён",E239*IF(COUNTIF(Типы,C239)=0,0,VLOOKUP(C239,СПРАВОЧНИКИ!$A$7:$E$22,4,FALSE)),0))</f>
        <v>100320</v>
      </c>
      <c r="T239" s="26">
        <f>IF(A239="","",IF(L239="Проведён",E239*IF(COUNTIF(Типы,C239)=0,0,VLOOKUP(C239,СПРАВОЧНИКИ!$A$7:$E$22,5,FALSE)),0))</f>
        <v>100320</v>
      </c>
      <c r="U239" s="5" t="str">
        <f>IF(A239="","",IF(COUNTIF(Контрагенты,H239)=0,"Не задан",VLOOKUP(H239,СПРАВОЧНИКИ!$G$7:$H$66,2,FALSE)))</f>
        <v>ЮЛ</v>
      </c>
      <c r="V239" s="4" t="str">
        <f>IF(A239="",IF(COUNTA(B239:O239)&gt;0,"НЕТ ID",""),IF(OR(AND(OR(C239="Оплата клиента",C239="Возврат клиенту"),COUNTIFS(Docs[ID],J239,Docs[Тип долга],"ДЗ")&lt;&gt;1),AND(OR(C239="Оплата поставщику",C239="Возврат поставщика"),COUNTIFS(Docs[ID],J239,Docs[Тип долга],"КЗ",Docs[Вид],"&lt;&gt;Дивиденды")&lt;&gt;1),AND(C239="Дивиденды",COUNTIFS(Docs[ID],J239,Docs[Вид],"Дивиденды")&lt;&gt;1),AND(C239="Проценты",COUNTIFS(Docs[ID],J239,Docs[Вид],"Проценты")&lt;&gt;1),COUNTIF(Cash[ID],A239)&gt;1,NOT(ISNUMBER(B239)),B239&lt;НачалоУчета,YEAR(B239)&lt;&gt;Год,NOT(ISNUMBER(E239)),E239&lt;=0,N239&lt;0,COUNTIF(Типы,C239)&lt;&gt;1,COUNTIF(Категории,D239)&lt;&gt;1,COUNTIF(Счета,F239)&lt;&gt;1,COUNTIF(Проекты,I239)&lt;&gt;1,AND(H239&lt;&gt;"",COUNTIF(Контрагенты,H239)&lt;&gt;1),AND(C239="Перевод",OR(F239=G239,COUNTIF(Счета,G239)&lt;&gt;1)),AND(S239&lt;&gt;0,COUNTIF(Docs[ID],J239)&lt;&gt;1),AND(Форма="ООО",C239="Вывод ИП"),AND(Форма="ИП",C239="Дивиденды"),AND(L239&lt;&gt;"Проведён",L239&lt;&gt;"Черновик")),"ОШИБКА","ОК"))</f>
        <v>ОК</v>
      </c>
      <c r="W239" s="25">
        <f>IF(A239="","",SUMIF(Accounts[Счёт],F239,Accounts[Начальный])+SUMIFS($Q$7:Q239,$F$7:F239,F239)+SUMIFS($E$7:E239,$G$7:G239,F239,$C$7:C239,"Перевод",$L$7:L239,"Проведён"))</f>
        <v>1208827.7000000002</v>
      </c>
    </row>
    <row r="240" spans="1:23" x14ac:dyDescent="0.25">
      <c r="A240" s="3" t="s">
        <v>884</v>
      </c>
      <c r="B240" s="19">
        <v>46340</v>
      </c>
      <c r="C240" s="3" t="s">
        <v>484</v>
      </c>
      <c r="D240" s="3" t="s">
        <v>485</v>
      </c>
      <c r="E240" s="24">
        <v>82080</v>
      </c>
      <c r="F240" s="3" t="s">
        <v>474</v>
      </c>
      <c r="G240" s="3"/>
      <c r="H240" s="3" t="s">
        <v>492</v>
      </c>
      <c r="I240" s="3" t="s">
        <v>382</v>
      </c>
      <c r="J240" s="3" t="s">
        <v>885</v>
      </c>
      <c r="K240" s="3" t="s">
        <v>484</v>
      </c>
      <c r="L240" s="3" t="s">
        <v>476</v>
      </c>
      <c r="M240" s="3"/>
      <c r="N240" s="24">
        <v>0</v>
      </c>
      <c r="O240" s="3"/>
      <c r="P240" s="5">
        <f>IF(A240="","",IF(COUNTIF(Типы,C240)=0,0,VLOOKUP(C240,СПРАВОЧНИКИ!$A$7:$E$22,2,FALSE)))</f>
        <v>1</v>
      </c>
      <c r="Q240" s="25">
        <f t="shared" si="3"/>
        <v>82080</v>
      </c>
      <c r="R240" s="5" t="str">
        <f>IF(A240="","",IF(COUNTIF(Типы,C240)=0,"НЕИЗВЕСТНЫЙ ТИП",VLOOKUP(C240,СПРАВОЧНИКИ!$A$7:$E$22,3,FALSE)))</f>
        <v>Операционный</v>
      </c>
      <c r="S240" s="26">
        <f>IF(A240="","",IF(L240="Проведён",E240*IF(COUNTIF(Типы,C240)=0,0,VLOOKUP(C240,СПРАВОЧНИКИ!$A$7:$E$22,4,FALSE)),0))</f>
        <v>82080</v>
      </c>
      <c r="T240" s="26">
        <f>IF(A240="","",IF(L240="Проведён",E240*IF(COUNTIF(Типы,C240)=0,0,VLOOKUP(C240,СПРАВОЧНИКИ!$A$7:$E$22,5,FALSE)),0))</f>
        <v>82080</v>
      </c>
      <c r="U240" s="5" t="str">
        <f>IF(A240="","",IF(COUNTIF(Контрагенты,H240)=0,"Не задан",VLOOKUP(H240,СПРАВОЧНИКИ!$G$7:$H$66,2,FALSE)))</f>
        <v>ИП</v>
      </c>
      <c r="V240" s="4" t="str">
        <f>IF(A240="",IF(COUNTA(B240:O240)&gt;0,"НЕТ ID",""),IF(OR(AND(OR(C240="Оплата клиента",C240="Возврат клиенту"),COUNTIFS(Docs[ID],J240,Docs[Тип долга],"ДЗ")&lt;&gt;1),AND(OR(C240="Оплата поставщику",C240="Возврат поставщика"),COUNTIFS(Docs[ID],J240,Docs[Тип долга],"КЗ",Docs[Вид],"&lt;&gt;Дивиденды")&lt;&gt;1),AND(C240="Дивиденды",COUNTIFS(Docs[ID],J240,Docs[Вид],"Дивиденды")&lt;&gt;1),AND(C240="Проценты",COUNTIFS(Docs[ID],J240,Docs[Вид],"Проценты")&lt;&gt;1),COUNTIF(Cash[ID],A240)&gt;1,NOT(ISNUMBER(B240)),B240&lt;НачалоУчета,YEAR(B240)&lt;&gt;Год,NOT(ISNUMBER(E240)),E240&lt;=0,N240&lt;0,COUNTIF(Типы,C240)&lt;&gt;1,COUNTIF(Категории,D240)&lt;&gt;1,COUNTIF(Счета,F240)&lt;&gt;1,COUNTIF(Проекты,I240)&lt;&gt;1,AND(H240&lt;&gt;"",COUNTIF(Контрагенты,H240)&lt;&gt;1),AND(C240="Перевод",OR(F240=G240,COUNTIF(Счета,G240)&lt;&gt;1)),AND(S240&lt;&gt;0,COUNTIF(Docs[ID],J240)&lt;&gt;1),AND(Форма="ООО",C240="Вывод ИП"),AND(Форма="ИП",C240="Дивиденды"),AND(L240&lt;&gt;"Проведён",L240&lt;&gt;"Черновик")),"ОШИБКА","ОК"))</f>
        <v>ОК</v>
      </c>
      <c r="W240" s="25">
        <f>IF(A240="","",SUMIF(Accounts[Счёт],F240,Accounts[Начальный])+SUMIFS($Q$7:Q240,$F$7:F240,F240)+SUMIFS($E$7:E240,$G$7:G240,F240,$C$7:C240,"Перевод",$L$7:L240,"Проведён"))</f>
        <v>1290907.7000000002</v>
      </c>
    </row>
    <row r="241" spans="1:23" x14ac:dyDescent="0.25">
      <c r="A241" s="3" t="s">
        <v>886</v>
      </c>
      <c r="B241" s="19">
        <v>46341</v>
      </c>
      <c r="C241" s="3" t="s">
        <v>484</v>
      </c>
      <c r="D241" s="3" t="s">
        <v>485</v>
      </c>
      <c r="E241" s="24">
        <v>63840</v>
      </c>
      <c r="F241" s="3" t="s">
        <v>474</v>
      </c>
      <c r="G241" s="3"/>
      <c r="H241" s="3" t="s">
        <v>495</v>
      </c>
      <c r="I241" s="3" t="s">
        <v>381</v>
      </c>
      <c r="J241" s="3" t="s">
        <v>887</v>
      </c>
      <c r="K241" s="3" t="s">
        <v>484</v>
      </c>
      <c r="L241" s="3" t="s">
        <v>476</v>
      </c>
      <c r="M241" s="3"/>
      <c r="N241" s="24">
        <v>0</v>
      </c>
      <c r="O241" s="3"/>
      <c r="P241" s="5">
        <f>IF(A241="","",IF(COUNTIF(Типы,C241)=0,0,VLOOKUP(C241,СПРАВОЧНИКИ!$A$7:$E$22,2,FALSE)))</f>
        <v>1</v>
      </c>
      <c r="Q241" s="25">
        <f t="shared" si="3"/>
        <v>63840</v>
      </c>
      <c r="R241" s="5" t="str">
        <f>IF(A241="","",IF(COUNTIF(Типы,C241)=0,"НЕИЗВЕСТНЫЙ ТИП",VLOOKUP(C241,СПРАВОЧНИКИ!$A$7:$E$22,3,FALSE)))</f>
        <v>Операционный</v>
      </c>
      <c r="S241" s="26">
        <f>IF(A241="","",IF(L241="Проведён",E241*IF(COUNTIF(Типы,C241)=0,0,VLOOKUP(C241,СПРАВОЧНИКИ!$A$7:$E$22,4,FALSE)),0))</f>
        <v>63840</v>
      </c>
      <c r="T241" s="26">
        <f>IF(A241="","",IF(L241="Проведён",E241*IF(COUNTIF(Типы,C241)=0,0,VLOOKUP(C241,СПРАВОЧНИКИ!$A$7:$E$22,5,FALSE)),0))</f>
        <v>63840</v>
      </c>
      <c r="U241" s="5" t="str">
        <f>IF(A241="","",IF(COUNTIF(Контрагенты,H241)=0,"Не задан",VLOOKUP(H241,СПРАВОЧНИКИ!$G$7:$H$66,2,FALSE)))</f>
        <v>ЮЛ</v>
      </c>
      <c r="V241" s="4" t="str">
        <f>IF(A241="",IF(COUNTA(B241:O241)&gt;0,"НЕТ ID",""),IF(OR(AND(OR(C241="Оплата клиента",C241="Возврат клиенту"),COUNTIFS(Docs[ID],J241,Docs[Тип долга],"ДЗ")&lt;&gt;1),AND(OR(C241="Оплата поставщику",C241="Возврат поставщика"),COUNTIFS(Docs[ID],J241,Docs[Тип долга],"КЗ",Docs[Вид],"&lt;&gt;Дивиденды")&lt;&gt;1),AND(C241="Дивиденды",COUNTIFS(Docs[ID],J241,Docs[Вид],"Дивиденды")&lt;&gt;1),AND(C241="Проценты",COUNTIFS(Docs[ID],J241,Docs[Вид],"Проценты")&lt;&gt;1),COUNTIF(Cash[ID],A241)&gt;1,NOT(ISNUMBER(B241)),B241&lt;НачалоУчета,YEAR(B241)&lt;&gt;Год,NOT(ISNUMBER(E241)),E241&lt;=0,N241&lt;0,COUNTIF(Типы,C241)&lt;&gt;1,COUNTIF(Категории,D241)&lt;&gt;1,COUNTIF(Счета,F241)&lt;&gt;1,COUNTIF(Проекты,I241)&lt;&gt;1,AND(H241&lt;&gt;"",COUNTIF(Контрагенты,H241)&lt;&gt;1),AND(C241="Перевод",OR(F241=G241,COUNTIF(Счета,G241)&lt;&gt;1)),AND(S241&lt;&gt;0,COUNTIF(Docs[ID],J241)&lt;&gt;1),AND(Форма="ООО",C241="Вывод ИП"),AND(Форма="ИП",C241="Дивиденды"),AND(L241&lt;&gt;"Проведён",L241&lt;&gt;"Черновик")),"ОШИБКА","ОК"))</f>
        <v>ОК</v>
      </c>
      <c r="W241" s="25">
        <f>IF(A241="","",SUMIF(Accounts[Счёт],F241,Accounts[Начальный])+SUMIFS($Q$7:Q241,$F$7:F241,F241)+SUMIFS($E$7:E241,$G$7:G241,F241,$C$7:C241,"Перевод",$L$7:L241,"Проведён"))</f>
        <v>1354747.7000000002</v>
      </c>
    </row>
    <row r="242" spans="1:23" x14ac:dyDescent="0.25">
      <c r="A242" s="3" t="s">
        <v>888</v>
      </c>
      <c r="B242" s="19">
        <v>46342</v>
      </c>
      <c r="C242" s="3" t="s">
        <v>484</v>
      </c>
      <c r="D242" s="3" t="s">
        <v>485</v>
      </c>
      <c r="E242" s="24">
        <v>45600</v>
      </c>
      <c r="F242" s="3" t="s">
        <v>474</v>
      </c>
      <c r="G242" s="3"/>
      <c r="H242" s="3" t="s">
        <v>498</v>
      </c>
      <c r="I242" s="3" t="s">
        <v>298</v>
      </c>
      <c r="J242" s="3" t="s">
        <v>889</v>
      </c>
      <c r="K242" s="3" t="s">
        <v>484</v>
      </c>
      <c r="L242" s="3" t="s">
        <v>476</v>
      </c>
      <c r="M242" s="3"/>
      <c r="N242" s="24">
        <v>0</v>
      </c>
      <c r="O242" s="3"/>
      <c r="P242" s="5">
        <f>IF(A242="","",IF(COUNTIF(Типы,C242)=0,0,VLOOKUP(C242,СПРАВОЧНИКИ!$A$7:$E$22,2,FALSE)))</f>
        <v>1</v>
      </c>
      <c r="Q242" s="25">
        <f t="shared" si="3"/>
        <v>45600</v>
      </c>
      <c r="R242" s="5" t="str">
        <f>IF(A242="","",IF(COUNTIF(Типы,C242)=0,"НЕИЗВЕСТНЫЙ ТИП",VLOOKUP(C242,СПРАВОЧНИКИ!$A$7:$E$22,3,FALSE)))</f>
        <v>Операционный</v>
      </c>
      <c r="S242" s="26">
        <f>IF(A242="","",IF(L242="Проведён",E242*IF(COUNTIF(Типы,C242)=0,0,VLOOKUP(C242,СПРАВОЧНИКИ!$A$7:$E$22,4,FALSE)),0))</f>
        <v>45600</v>
      </c>
      <c r="T242" s="26">
        <f>IF(A242="","",IF(L242="Проведён",E242*IF(COUNTIF(Типы,C242)=0,0,VLOOKUP(C242,СПРАВОЧНИКИ!$A$7:$E$22,5,FALSE)),0))</f>
        <v>45600</v>
      </c>
      <c r="U242" s="5" t="str">
        <f>IF(A242="","",IF(COUNTIF(Контрагенты,H242)=0,"Не задан",VLOOKUP(H242,СПРАВОЧНИКИ!$G$7:$H$66,2,FALSE)))</f>
        <v>ФЛ</v>
      </c>
      <c r="V242" s="4" t="str">
        <f>IF(A242="",IF(COUNTA(B242:O242)&gt;0,"НЕТ ID",""),IF(OR(AND(OR(C242="Оплата клиента",C242="Возврат клиенту"),COUNTIFS(Docs[ID],J242,Docs[Тип долга],"ДЗ")&lt;&gt;1),AND(OR(C242="Оплата поставщику",C242="Возврат поставщика"),COUNTIFS(Docs[ID],J242,Docs[Тип долга],"КЗ",Docs[Вид],"&lt;&gt;Дивиденды")&lt;&gt;1),AND(C242="Дивиденды",COUNTIFS(Docs[ID],J242,Docs[Вид],"Дивиденды")&lt;&gt;1),AND(C242="Проценты",COUNTIFS(Docs[ID],J242,Docs[Вид],"Проценты")&lt;&gt;1),COUNTIF(Cash[ID],A242)&gt;1,NOT(ISNUMBER(B242)),B242&lt;НачалоУчета,YEAR(B242)&lt;&gt;Год,NOT(ISNUMBER(E242)),E242&lt;=0,N242&lt;0,COUNTIF(Типы,C242)&lt;&gt;1,COUNTIF(Категории,D242)&lt;&gt;1,COUNTIF(Счета,F242)&lt;&gt;1,COUNTIF(Проекты,I242)&lt;&gt;1,AND(H242&lt;&gt;"",COUNTIF(Контрагенты,H242)&lt;&gt;1),AND(C242="Перевод",OR(F242=G242,COUNTIF(Счета,G242)&lt;&gt;1)),AND(S242&lt;&gt;0,COUNTIF(Docs[ID],J242)&lt;&gt;1),AND(Форма="ООО",C242="Вывод ИП"),AND(Форма="ИП",C242="Дивиденды"),AND(L242&lt;&gt;"Проведён",L242&lt;&gt;"Черновик")),"ОШИБКА","ОК"))</f>
        <v>ОК</v>
      </c>
      <c r="W242" s="25">
        <f>IF(A242="","",SUMIF(Accounts[Счёт],F242,Accounts[Начальный])+SUMIFS($Q$7:Q242,$F$7:F242,F242)+SUMIFS($E$7:E242,$G$7:G242,F242,$C$7:C242,"Перевод",$L$7:L242,"Проведён"))</f>
        <v>1400347.7000000002</v>
      </c>
    </row>
    <row r="243" spans="1:23" x14ac:dyDescent="0.25">
      <c r="A243" s="3" t="s">
        <v>890</v>
      </c>
      <c r="B243" s="19">
        <v>46343</v>
      </c>
      <c r="C243" s="3" t="s">
        <v>484</v>
      </c>
      <c r="D243" s="3" t="s">
        <v>485</v>
      </c>
      <c r="E243" s="24">
        <v>36480</v>
      </c>
      <c r="F243" s="3" t="s">
        <v>474</v>
      </c>
      <c r="G243" s="3"/>
      <c r="H243" s="3" t="s">
        <v>501</v>
      </c>
      <c r="I243" s="3" t="s">
        <v>382</v>
      </c>
      <c r="J243" s="3" t="s">
        <v>891</v>
      </c>
      <c r="K243" s="3" t="s">
        <v>484</v>
      </c>
      <c r="L243" s="3" t="s">
        <v>476</v>
      </c>
      <c r="M243" s="3"/>
      <c r="N243" s="24">
        <v>0</v>
      </c>
      <c r="O243" s="3"/>
      <c r="P243" s="5">
        <f>IF(A243="","",IF(COUNTIF(Типы,C243)=0,0,VLOOKUP(C243,СПРАВОЧНИКИ!$A$7:$E$22,2,FALSE)))</f>
        <v>1</v>
      </c>
      <c r="Q243" s="25">
        <f t="shared" si="3"/>
        <v>36480</v>
      </c>
      <c r="R243" s="5" t="str">
        <f>IF(A243="","",IF(COUNTIF(Типы,C243)=0,"НЕИЗВЕСТНЫЙ ТИП",VLOOKUP(C243,СПРАВОЧНИКИ!$A$7:$E$22,3,FALSE)))</f>
        <v>Операционный</v>
      </c>
      <c r="S243" s="26">
        <f>IF(A243="","",IF(L243="Проведён",E243*IF(COUNTIF(Типы,C243)=0,0,VLOOKUP(C243,СПРАВОЧНИКИ!$A$7:$E$22,4,FALSE)),0))</f>
        <v>36480</v>
      </c>
      <c r="T243" s="26">
        <f>IF(A243="","",IF(L243="Проведён",E243*IF(COUNTIF(Типы,C243)=0,0,VLOOKUP(C243,СПРАВОЧНИКИ!$A$7:$E$22,5,FALSE)),0))</f>
        <v>36480</v>
      </c>
      <c r="U243" s="5" t="str">
        <f>IF(A243="","",IF(COUNTIF(Контрагенты,H243)=0,"Не задан",VLOOKUP(H243,СПРАВОЧНИКИ!$G$7:$H$66,2,FALSE)))</f>
        <v>ЮЛ</v>
      </c>
      <c r="V243" s="4" t="str">
        <f>IF(A243="",IF(COUNTA(B243:O243)&gt;0,"НЕТ ID",""),IF(OR(AND(OR(C243="Оплата клиента",C243="Возврат клиенту"),COUNTIFS(Docs[ID],J243,Docs[Тип долга],"ДЗ")&lt;&gt;1),AND(OR(C243="Оплата поставщику",C243="Возврат поставщика"),COUNTIFS(Docs[ID],J243,Docs[Тип долга],"КЗ",Docs[Вид],"&lt;&gt;Дивиденды")&lt;&gt;1),AND(C243="Дивиденды",COUNTIFS(Docs[ID],J243,Docs[Вид],"Дивиденды")&lt;&gt;1),AND(C243="Проценты",COUNTIFS(Docs[ID],J243,Docs[Вид],"Проценты")&lt;&gt;1),COUNTIF(Cash[ID],A243)&gt;1,NOT(ISNUMBER(B243)),B243&lt;НачалоУчета,YEAR(B243)&lt;&gt;Год,NOT(ISNUMBER(E243)),E243&lt;=0,N243&lt;0,COUNTIF(Типы,C243)&lt;&gt;1,COUNTIF(Категории,D243)&lt;&gt;1,COUNTIF(Счета,F243)&lt;&gt;1,COUNTIF(Проекты,I243)&lt;&gt;1,AND(H243&lt;&gt;"",COUNTIF(Контрагенты,H243)&lt;&gt;1),AND(C243="Перевод",OR(F243=G243,COUNTIF(Счета,G243)&lt;&gt;1)),AND(S243&lt;&gt;0,COUNTIF(Docs[ID],J243)&lt;&gt;1),AND(Форма="ООО",C243="Вывод ИП"),AND(Форма="ИП",C243="Дивиденды"),AND(L243&lt;&gt;"Проведён",L243&lt;&gt;"Черновик")),"ОШИБКА","ОК"))</f>
        <v>ОК</v>
      </c>
      <c r="W243" s="25">
        <f>IF(A243="","",SUMIF(Accounts[Счёт],F243,Accounts[Начальный])+SUMIFS($Q$7:Q243,$F$7:F243,F243)+SUMIFS($E$7:E243,$G$7:G243,F243,$C$7:C243,"Перевод",$L$7:L243,"Проведён"))</f>
        <v>1436827.7000000002</v>
      </c>
    </row>
    <row r="244" spans="1:23" x14ac:dyDescent="0.25">
      <c r="A244" s="3" t="s">
        <v>892</v>
      </c>
      <c r="B244" s="19">
        <v>46348</v>
      </c>
      <c r="C244" s="3" t="s">
        <v>504</v>
      </c>
      <c r="D244" s="3" t="s">
        <v>505</v>
      </c>
      <c r="E244" s="24">
        <v>243200</v>
      </c>
      <c r="F244" s="3" t="s">
        <v>474</v>
      </c>
      <c r="G244" s="3"/>
      <c r="H244" s="3" t="s">
        <v>506</v>
      </c>
      <c r="I244" s="3" t="s">
        <v>298</v>
      </c>
      <c r="J244" s="3" t="s">
        <v>893</v>
      </c>
      <c r="K244" s="3" t="s">
        <v>504</v>
      </c>
      <c r="L244" s="3" t="s">
        <v>476</v>
      </c>
      <c r="M244" s="3"/>
      <c r="N244" s="24">
        <v>243200</v>
      </c>
      <c r="O244" s="3"/>
      <c r="P244" s="5">
        <f>IF(A244="","",IF(COUNTIF(Типы,C244)=0,0,VLOOKUP(C244,СПРАВОЧНИКИ!$A$7:$E$22,2,FALSE)))</f>
        <v>-1</v>
      </c>
      <c r="Q244" s="25">
        <f t="shared" si="3"/>
        <v>-243200</v>
      </c>
      <c r="R244" s="5" t="str">
        <f>IF(A244="","",IF(COUNTIF(Типы,C244)=0,"НЕИЗВЕСТНЫЙ ТИП",VLOOKUP(C244,СПРАВОЧНИКИ!$A$7:$E$22,3,FALSE)))</f>
        <v>Операционный</v>
      </c>
      <c r="S244" s="26">
        <f>IF(A244="","",IF(L244="Проведён",E244*IF(COUNTIF(Типы,C244)=0,0,VLOOKUP(C244,СПРАВОЧНИКИ!$A$7:$E$22,4,FALSE)),0))</f>
        <v>243200</v>
      </c>
      <c r="T244" s="26">
        <f>IF(A244="","",IF(L244="Проведён",E244*IF(COUNTIF(Типы,C244)=0,0,VLOOKUP(C244,СПРАВОЧНИКИ!$A$7:$E$22,5,FALSE)),0))</f>
        <v>0</v>
      </c>
      <c r="U244" s="5" t="str">
        <f>IF(A244="","",IF(COUNTIF(Контрагенты,H244)=0,"Не задан",VLOOKUP(H244,СПРАВОЧНИКИ!$G$7:$H$66,2,FALSE)))</f>
        <v>ИП</v>
      </c>
      <c r="V244" s="4" t="str">
        <f>IF(A244="",IF(COUNTA(B244:O244)&gt;0,"НЕТ ID",""),IF(OR(AND(OR(C244="Оплата клиента",C244="Возврат клиенту"),COUNTIFS(Docs[ID],J244,Docs[Тип долга],"ДЗ")&lt;&gt;1),AND(OR(C244="Оплата поставщику",C244="Возврат поставщика"),COUNTIFS(Docs[ID],J244,Docs[Тип долга],"КЗ",Docs[Вид],"&lt;&gt;Дивиденды")&lt;&gt;1),AND(C244="Дивиденды",COUNTIFS(Docs[ID],J244,Docs[Вид],"Дивиденды")&lt;&gt;1),AND(C244="Проценты",COUNTIFS(Docs[ID],J244,Docs[Вид],"Проценты")&lt;&gt;1),COUNTIF(Cash[ID],A244)&gt;1,NOT(ISNUMBER(B244)),B244&lt;НачалоУчета,YEAR(B244)&lt;&gt;Год,NOT(ISNUMBER(E244)),E244&lt;=0,N244&lt;0,COUNTIF(Типы,C244)&lt;&gt;1,COUNTIF(Категории,D244)&lt;&gt;1,COUNTIF(Счета,F244)&lt;&gt;1,COUNTIF(Проекты,I244)&lt;&gt;1,AND(H244&lt;&gt;"",COUNTIF(Контрагенты,H244)&lt;&gt;1),AND(C244="Перевод",OR(F244=G244,COUNTIF(Счета,G244)&lt;&gt;1)),AND(S244&lt;&gt;0,COUNTIF(Docs[ID],J244)&lt;&gt;1),AND(Форма="ООО",C244="Вывод ИП"),AND(Форма="ИП",C244="Дивиденды"),AND(L244&lt;&gt;"Проведён",L244&lt;&gt;"Черновик")),"ОШИБКА","ОК"))</f>
        <v>ОК</v>
      </c>
      <c r="W244" s="25">
        <f>IF(A244="","",SUMIF(Accounts[Счёт],F244,Accounts[Начальный])+SUMIFS($Q$7:Q244,$F$7:F244,F244)+SUMIFS($E$7:E244,$G$7:G244,F244,$C$7:C244,"Перевод",$L$7:L244,"Проведён"))</f>
        <v>1193627.7000000002</v>
      </c>
    </row>
    <row r="245" spans="1:23" x14ac:dyDescent="0.25">
      <c r="A245" s="3" t="s">
        <v>894</v>
      </c>
      <c r="B245" s="19">
        <v>46349</v>
      </c>
      <c r="C245" s="3" t="s">
        <v>504</v>
      </c>
      <c r="D245" s="3" t="s">
        <v>509</v>
      </c>
      <c r="E245" s="24">
        <v>65000</v>
      </c>
      <c r="F245" s="3" t="s">
        <v>474</v>
      </c>
      <c r="G245" s="3"/>
      <c r="H245" s="3" t="s">
        <v>510</v>
      </c>
      <c r="I245" s="3" t="s">
        <v>383</v>
      </c>
      <c r="J245" s="3" t="s">
        <v>895</v>
      </c>
      <c r="K245" s="3" t="s">
        <v>504</v>
      </c>
      <c r="L245" s="3" t="s">
        <v>476</v>
      </c>
      <c r="M245" s="3"/>
      <c r="N245" s="24">
        <v>65000</v>
      </c>
      <c r="O245" s="3"/>
      <c r="P245" s="5">
        <f>IF(A245="","",IF(COUNTIF(Типы,C245)=0,0,VLOOKUP(C245,СПРАВОЧНИКИ!$A$7:$E$22,2,FALSE)))</f>
        <v>-1</v>
      </c>
      <c r="Q245" s="25">
        <f t="shared" si="3"/>
        <v>-65000</v>
      </c>
      <c r="R245" s="5" t="str">
        <f>IF(A245="","",IF(COUNTIF(Типы,C245)=0,"НЕИЗВЕСТНЫЙ ТИП",VLOOKUP(C245,СПРАВОЧНИКИ!$A$7:$E$22,3,FALSE)))</f>
        <v>Операционный</v>
      </c>
      <c r="S245" s="26">
        <f>IF(A245="","",IF(L245="Проведён",E245*IF(COUNTIF(Типы,C245)=0,0,VLOOKUP(C245,СПРАВОЧНИКИ!$A$7:$E$22,4,FALSE)),0))</f>
        <v>65000</v>
      </c>
      <c r="T245" s="26">
        <f>IF(A245="","",IF(L245="Проведён",E245*IF(COUNTIF(Типы,C245)=0,0,VLOOKUP(C245,СПРАВОЧНИКИ!$A$7:$E$22,5,FALSE)),0))</f>
        <v>0</v>
      </c>
      <c r="U245" s="5" t="str">
        <f>IF(A245="","",IF(COUNTIF(Контрагенты,H245)=0,"Не задан",VLOOKUP(H245,СПРАВОЧНИКИ!$G$7:$H$66,2,FALSE)))</f>
        <v>ЮЛ</v>
      </c>
      <c r="V245" s="4" t="str">
        <f>IF(A245="",IF(COUNTA(B245:O245)&gt;0,"НЕТ ID",""),IF(OR(AND(OR(C245="Оплата клиента",C245="Возврат клиенту"),COUNTIFS(Docs[ID],J245,Docs[Тип долга],"ДЗ")&lt;&gt;1),AND(OR(C245="Оплата поставщику",C245="Возврат поставщика"),COUNTIFS(Docs[ID],J245,Docs[Тип долга],"КЗ",Docs[Вид],"&lt;&gt;Дивиденды")&lt;&gt;1),AND(C245="Дивиденды",COUNTIFS(Docs[ID],J245,Docs[Вид],"Дивиденды")&lt;&gt;1),AND(C245="Проценты",COUNTIFS(Docs[ID],J245,Docs[Вид],"Проценты")&lt;&gt;1),COUNTIF(Cash[ID],A245)&gt;1,NOT(ISNUMBER(B245)),B245&lt;НачалоУчета,YEAR(B245)&lt;&gt;Год,NOT(ISNUMBER(E245)),E245&lt;=0,N245&lt;0,COUNTIF(Типы,C245)&lt;&gt;1,COUNTIF(Категории,D245)&lt;&gt;1,COUNTIF(Счета,F245)&lt;&gt;1,COUNTIF(Проекты,I245)&lt;&gt;1,AND(H245&lt;&gt;"",COUNTIF(Контрагенты,H245)&lt;&gt;1),AND(C245="Перевод",OR(F245=G245,COUNTIF(Счета,G245)&lt;&gt;1)),AND(S245&lt;&gt;0,COUNTIF(Docs[ID],J245)&lt;&gt;1),AND(Форма="ООО",C245="Вывод ИП"),AND(Форма="ИП",C245="Дивиденды"),AND(L245&lt;&gt;"Проведён",L245&lt;&gt;"Черновик")),"ОШИБКА","ОК"))</f>
        <v>ОК</v>
      </c>
      <c r="W245" s="25">
        <f>IF(A245="","",SUMIF(Accounts[Счёт],F245,Accounts[Начальный])+SUMIFS($Q$7:Q245,$F$7:F245,F245)+SUMIFS($E$7:E245,$G$7:G245,F245,$C$7:C245,"Перевод",$L$7:L245,"Проведён"))</f>
        <v>1128627.7000000002</v>
      </c>
    </row>
    <row r="246" spans="1:23" x14ac:dyDescent="0.25">
      <c r="A246" s="3" t="s">
        <v>896</v>
      </c>
      <c r="B246" s="19">
        <v>46350</v>
      </c>
      <c r="C246" s="3" t="s">
        <v>484</v>
      </c>
      <c r="D246" s="3" t="s">
        <v>485</v>
      </c>
      <c r="E246" s="24">
        <v>85120</v>
      </c>
      <c r="F246" s="3" t="s">
        <v>474</v>
      </c>
      <c r="G246" s="3"/>
      <c r="H246" s="3" t="s">
        <v>486</v>
      </c>
      <c r="I246" s="3" t="s">
        <v>381</v>
      </c>
      <c r="J246" s="3" t="s">
        <v>881</v>
      </c>
      <c r="K246" s="3" t="s">
        <v>484</v>
      </c>
      <c r="L246" s="3" t="s">
        <v>476</v>
      </c>
      <c r="M246" s="3"/>
      <c r="N246" s="24">
        <v>0</v>
      </c>
      <c r="O246" s="3"/>
      <c r="P246" s="5">
        <f>IF(A246="","",IF(COUNTIF(Типы,C246)=0,0,VLOOKUP(C246,СПРАВОЧНИКИ!$A$7:$E$22,2,FALSE)))</f>
        <v>1</v>
      </c>
      <c r="Q246" s="25">
        <f t="shared" si="3"/>
        <v>85120</v>
      </c>
      <c r="R246" s="5" t="str">
        <f>IF(A246="","",IF(COUNTIF(Типы,C246)=0,"НЕИЗВЕСТНЫЙ ТИП",VLOOKUP(C246,СПРАВОЧНИКИ!$A$7:$E$22,3,FALSE)))</f>
        <v>Операционный</v>
      </c>
      <c r="S246" s="26">
        <f>IF(A246="","",IF(L246="Проведён",E246*IF(COUNTIF(Типы,C246)=0,0,VLOOKUP(C246,СПРАВОЧНИКИ!$A$7:$E$22,4,FALSE)),0))</f>
        <v>85120</v>
      </c>
      <c r="T246" s="26">
        <f>IF(A246="","",IF(L246="Проведён",E246*IF(COUNTIF(Типы,C246)=0,0,VLOOKUP(C246,СПРАВОЧНИКИ!$A$7:$E$22,5,FALSE)),0))</f>
        <v>85120</v>
      </c>
      <c r="U246" s="5" t="str">
        <f>IF(A246="","",IF(COUNTIF(Контрагенты,H246)=0,"Не задан",VLOOKUP(H246,СПРАВОЧНИКИ!$G$7:$H$66,2,FALSE)))</f>
        <v>ЮЛ</v>
      </c>
      <c r="V246" s="4" t="str">
        <f>IF(A246="",IF(COUNTA(B246:O246)&gt;0,"НЕТ ID",""),IF(OR(AND(OR(C246="Оплата клиента",C246="Возврат клиенту"),COUNTIFS(Docs[ID],J246,Docs[Тип долга],"ДЗ")&lt;&gt;1),AND(OR(C246="Оплата поставщику",C246="Возврат поставщика"),COUNTIFS(Docs[ID],J246,Docs[Тип долга],"КЗ",Docs[Вид],"&lt;&gt;Дивиденды")&lt;&gt;1),AND(C246="Дивиденды",COUNTIFS(Docs[ID],J246,Docs[Вид],"Дивиденды")&lt;&gt;1),AND(C246="Проценты",COUNTIFS(Docs[ID],J246,Docs[Вид],"Проценты")&lt;&gt;1),COUNTIF(Cash[ID],A246)&gt;1,NOT(ISNUMBER(B246)),B246&lt;НачалоУчета,YEAR(B246)&lt;&gt;Год,NOT(ISNUMBER(E246)),E246&lt;=0,N246&lt;0,COUNTIF(Типы,C246)&lt;&gt;1,COUNTIF(Категории,D246)&lt;&gt;1,COUNTIF(Счета,F246)&lt;&gt;1,COUNTIF(Проекты,I246)&lt;&gt;1,AND(H246&lt;&gt;"",COUNTIF(Контрагенты,H246)&lt;&gt;1),AND(C246="Перевод",OR(F246=G246,COUNTIF(Счета,G246)&lt;&gt;1)),AND(S246&lt;&gt;0,COUNTIF(Docs[ID],J246)&lt;&gt;1),AND(Форма="ООО",C246="Вывод ИП"),AND(Форма="ИП",C246="Дивиденды"),AND(L246&lt;&gt;"Проведён",L246&lt;&gt;"Черновик")),"ОШИБКА","ОК"))</f>
        <v>ОК</v>
      </c>
      <c r="W246" s="25">
        <f>IF(A246="","",SUMIF(Accounts[Счёт],F246,Accounts[Начальный])+SUMIFS($Q$7:Q246,$F$7:F246,F246)+SUMIFS($E$7:E246,$G$7:G246,F246,$C$7:C246,"Перевод",$L$7:L246,"Проведён"))</f>
        <v>1213747.7000000002</v>
      </c>
    </row>
    <row r="247" spans="1:23" x14ac:dyDescent="0.25">
      <c r="A247" s="3" t="s">
        <v>897</v>
      </c>
      <c r="B247" s="19">
        <v>46350</v>
      </c>
      <c r="C247" s="3" t="s">
        <v>504</v>
      </c>
      <c r="D247" s="3" t="s">
        <v>295</v>
      </c>
      <c r="E247" s="24">
        <v>45000</v>
      </c>
      <c r="F247" s="3" t="s">
        <v>474</v>
      </c>
      <c r="G247" s="3"/>
      <c r="H247" s="3" t="s">
        <v>514</v>
      </c>
      <c r="I247" s="3" t="s">
        <v>381</v>
      </c>
      <c r="J247" s="3" t="s">
        <v>898</v>
      </c>
      <c r="K247" s="3" t="s">
        <v>504</v>
      </c>
      <c r="L247" s="3" t="s">
        <v>476</v>
      </c>
      <c r="M247" s="3"/>
      <c r="N247" s="24">
        <v>45000</v>
      </c>
      <c r="O247" s="3" t="s">
        <v>295</v>
      </c>
      <c r="P247" s="5">
        <f>IF(A247="","",IF(COUNTIF(Типы,C247)=0,0,VLOOKUP(C247,СПРАВОЧНИКИ!$A$7:$E$22,2,FALSE)))</f>
        <v>-1</v>
      </c>
      <c r="Q247" s="25">
        <f t="shared" si="3"/>
        <v>-45000</v>
      </c>
      <c r="R247" s="5" t="str">
        <f>IF(A247="","",IF(COUNTIF(Типы,C247)=0,"НЕИЗВЕСТНЫЙ ТИП",VLOOKUP(C247,СПРАВОЧНИКИ!$A$7:$E$22,3,FALSE)))</f>
        <v>Операционный</v>
      </c>
      <c r="S247" s="26">
        <f>IF(A247="","",IF(L247="Проведён",E247*IF(COUNTIF(Типы,C247)=0,0,VLOOKUP(C247,СПРАВОЧНИКИ!$A$7:$E$22,4,FALSE)),0))</f>
        <v>45000</v>
      </c>
      <c r="T247" s="26">
        <f>IF(A247="","",IF(L247="Проведён",E247*IF(COUNTIF(Типы,C247)=0,0,VLOOKUP(C247,СПРАВОЧНИКИ!$A$7:$E$22,5,FALSE)),0))</f>
        <v>0</v>
      </c>
      <c r="U247" s="5" t="str">
        <f>IF(A247="","",IF(COUNTIF(Контрагенты,H247)=0,"Не задан",VLOOKUP(H247,СПРАВОЧНИКИ!$G$7:$H$66,2,FALSE)))</f>
        <v>ЮЛ</v>
      </c>
      <c r="V247" s="4" t="str">
        <f>IF(A247="",IF(COUNTA(B247:O247)&gt;0,"НЕТ ID",""),IF(OR(AND(OR(C247="Оплата клиента",C247="Возврат клиенту"),COUNTIFS(Docs[ID],J247,Docs[Тип долга],"ДЗ")&lt;&gt;1),AND(OR(C247="Оплата поставщику",C247="Возврат поставщика"),COUNTIFS(Docs[ID],J247,Docs[Тип долга],"КЗ",Docs[Вид],"&lt;&gt;Дивиденды")&lt;&gt;1),AND(C247="Дивиденды",COUNTIFS(Docs[ID],J247,Docs[Вид],"Дивиденды")&lt;&gt;1),AND(C247="Проценты",COUNTIFS(Docs[ID],J247,Docs[Вид],"Проценты")&lt;&gt;1),COUNTIF(Cash[ID],A247)&gt;1,NOT(ISNUMBER(B247)),B247&lt;НачалоУчета,YEAR(B247)&lt;&gt;Год,NOT(ISNUMBER(E247)),E247&lt;=0,N247&lt;0,COUNTIF(Типы,C247)&lt;&gt;1,COUNTIF(Категории,D247)&lt;&gt;1,COUNTIF(Счета,F247)&lt;&gt;1,COUNTIF(Проекты,I247)&lt;&gt;1,AND(H247&lt;&gt;"",COUNTIF(Контрагенты,H247)&lt;&gt;1),AND(C247="Перевод",OR(F247=G247,COUNTIF(Счета,G247)&lt;&gt;1)),AND(S247&lt;&gt;0,COUNTIF(Docs[ID],J247)&lt;&gt;1),AND(Форма="ООО",C247="Вывод ИП"),AND(Форма="ИП",C247="Дивиденды"),AND(L247&lt;&gt;"Проведён",L247&lt;&gt;"Черновик")),"ОШИБКА","ОК"))</f>
        <v>ОК</v>
      </c>
      <c r="W247" s="25">
        <f>IF(A247="","",SUMIF(Accounts[Счёт],F247,Accounts[Начальный])+SUMIFS($Q$7:Q247,$F$7:F247,F247)+SUMIFS($E$7:E247,$G$7:G247,F247,$C$7:C247,"Перевод",$L$7:L247,"Проведён"))</f>
        <v>1168747.7000000002</v>
      </c>
    </row>
    <row r="248" spans="1:23" x14ac:dyDescent="0.25">
      <c r="A248" s="3" t="s">
        <v>899</v>
      </c>
      <c r="B248" s="19">
        <v>46351</v>
      </c>
      <c r="C248" s="3" t="s">
        <v>484</v>
      </c>
      <c r="D248" s="3" t="s">
        <v>485</v>
      </c>
      <c r="E248" s="24">
        <v>66880</v>
      </c>
      <c r="F248" s="3" t="s">
        <v>474</v>
      </c>
      <c r="G248" s="3"/>
      <c r="H248" s="3" t="s">
        <v>489</v>
      </c>
      <c r="I248" s="3" t="s">
        <v>298</v>
      </c>
      <c r="J248" s="3" t="s">
        <v>883</v>
      </c>
      <c r="K248" s="3" t="s">
        <v>484</v>
      </c>
      <c r="L248" s="3" t="s">
        <v>476</v>
      </c>
      <c r="M248" s="3"/>
      <c r="N248" s="24">
        <v>0</v>
      </c>
      <c r="O248" s="3"/>
      <c r="P248" s="5">
        <f>IF(A248="","",IF(COUNTIF(Типы,C248)=0,0,VLOOKUP(C248,СПРАВОЧНИКИ!$A$7:$E$22,2,FALSE)))</f>
        <v>1</v>
      </c>
      <c r="Q248" s="25">
        <f t="shared" si="3"/>
        <v>66880</v>
      </c>
      <c r="R248" s="5" t="str">
        <f>IF(A248="","",IF(COUNTIF(Типы,C248)=0,"НЕИЗВЕСТНЫЙ ТИП",VLOOKUP(C248,СПРАВОЧНИКИ!$A$7:$E$22,3,FALSE)))</f>
        <v>Операционный</v>
      </c>
      <c r="S248" s="26">
        <f>IF(A248="","",IF(L248="Проведён",E248*IF(COUNTIF(Типы,C248)=0,0,VLOOKUP(C248,СПРАВОЧНИКИ!$A$7:$E$22,4,FALSE)),0))</f>
        <v>66880</v>
      </c>
      <c r="T248" s="26">
        <f>IF(A248="","",IF(L248="Проведён",E248*IF(COUNTIF(Типы,C248)=0,0,VLOOKUP(C248,СПРАВОЧНИКИ!$A$7:$E$22,5,FALSE)),0))</f>
        <v>66880</v>
      </c>
      <c r="U248" s="5" t="str">
        <f>IF(A248="","",IF(COUNTIF(Контрагенты,H248)=0,"Не задан",VLOOKUP(H248,СПРАВОЧНИКИ!$G$7:$H$66,2,FALSE)))</f>
        <v>ЮЛ</v>
      </c>
      <c r="V248" s="4" t="str">
        <f>IF(A248="",IF(COUNTA(B248:O248)&gt;0,"НЕТ ID",""),IF(OR(AND(OR(C248="Оплата клиента",C248="Возврат клиенту"),COUNTIFS(Docs[ID],J248,Docs[Тип долга],"ДЗ")&lt;&gt;1),AND(OR(C248="Оплата поставщику",C248="Возврат поставщика"),COUNTIFS(Docs[ID],J248,Docs[Тип долга],"КЗ",Docs[Вид],"&lt;&gt;Дивиденды")&lt;&gt;1),AND(C248="Дивиденды",COUNTIFS(Docs[ID],J248,Docs[Вид],"Дивиденды")&lt;&gt;1),AND(C248="Проценты",COUNTIFS(Docs[ID],J248,Docs[Вид],"Проценты")&lt;&gt;1),COUNTIF(Cash[ID],A248)&gt;1,NOT(ISNUMBER(B248)),B248&lt;НачалоУчета,YEAR(B248)&lt;&gt;Год,NOT(ISNUMBER(E248)),E248&lt;=0,N248&lt;0,COUNTIF(Типы,C248)&lt;&gt;1,COUNTIF(Категории,D248)&lt;&gt;1,COUNTIF(Счета,F248)&lt;&gt;1,COUNTIF(Проекты,I248)&lt;&gt;1,AND(H248&lt;&gt;"",COUNTIF(Контрагенты,H248)&lt;&gt;1),AND(C248="Перевод",OR(F248=G248,COUNTIF(Счета,G248)&lt;&gt;1)),AND(S248&lt;&gt;0,COUNTIF(Docs[ID],J248)&lt;&gt;1),AND(Форма="ООО",C248="Вывод ИП"),AND(Форма="ИП",C248="Дивиденды"),AND(L248&lt;&gt;"Проведён",L248&lt;&gt;"Черновик")),"ОШИБКА","ОК"))</f>
        <v>ОК</v>
      </c>
      <c r="W248" s="25">
        <f>IF(A248="","",SUMIF(Accounts[Счёт],F248,Accounts[Начальный])+SUMIFS($Q$7:Q248,$F$7:F248,F248)+SUMIFS($E$7:E248,$G$7:G248,F248,$C$7:C248,"Перевод",$L$7:L248,"Проведён"))</f>
        <v>1235627.7000000002</v>
      </c>
    </row>
    <row r="249" spans="1:23" x14ac:dyDescent="0.25">
      <c r="A249" s="3" t="s">
        <v>900</v>
      </c>
      <c r="B249" s="19">
        <v>46351</v>
      </c>
      <c r="C249" s="3" t="s">
        <v>504</v>
      </c>
      <c r="D249" s="3" t="s">
        <v>518</v>
      </c>
      <c r="E249" s="24">
        <v>18000</v>
      </c>
      <c r="F249" s="3" t="s">
        <v>474</v>
      </c>
      <c r="G249" s="3"/>
      <c r="H249" s="3" t="s">
        <v>519</v>
      </c>
      <c r="I249" s="3" t="s">
        <v>383</v>
      </c>
      <c r="J249" s="3" t="s">
        <v>901</v>
      </c>
      <c r="K249" s="3" t="s">
        <v>504</v>
      </c>
      <c r="L249" s="3" t="s">
        <v>476</v>
      </c>
      <c r="M249" s="3"/>
      <c r="N249" s="24">
        <v>18000</v>
      </c>
      <c r="O249" s="3"/>
      <c r="P249" s="5">
        <f>IF(A249="","",IF(COUNTIF(Типы,C249)=0,0,VLOOKUP(C249,СПРАВОЧНИКИ!$A$7:$E$22,2,FALSE)))</f>
        <v>-1</v>
      </c>
      <c r="Q249" s="25">
        <f t="shared" si="3"/>
        <v>-18000</v>
      </c>
      <c r="R249" s="5" t="str">
        <f>IF(A249="","",IF(COUNTIF(Типы,C249)=0,"НЕИЗВЕСТНЫЙ ТИП",VLOOKUP(C249,СПРАВОЧНИКИ!$A$7:$E$22,3,FALSE)))</f>
        <v>Операционный</v>
      </c>
      <c r="S249" s="26">
        <f>IF(A249="","",IF(L249="Проведён",E249*IF(COUNTIF(Типы,C249)=0,0,VLOOKUP(C249,СПРАВОЧНИКИ!$A$7:$E$22,4,FALSE)),0))</f>
        <v>18000</v>
      </c>
      <c r="T249" s="26">
        <f>IF(A249="","",IF(L249="Проведён",E249*IF(COUNTIF(Типы,C249)=0,0,VLOOKUP(C249,СПРАВОЧНИКИ!$A$7:$E$22,5,FALSE)),0))</f>
        <v>0</v>
      </c>
      <c r="U249" s="5" t="str">
        <f>IF(A249="","",IF(COUNTIF(Контрагенты,H249)=0,"Не задан",VLOOKUP(H249,СПРАВОЧНИКИ!$G$7:$H$66,2,FALSE)))</f>
        <v>ЮЛ</v>
      </c>
      <c r="V249" s="4" t="str">
        <f>IF(A249="",IF(COUNTA(B249:O249)&gt;0,"НЕТ ID",""),IF(OR(AND(OR(C249="Оплата клиента",C249="Возврат клиенту"),COUNTIFS(Docs[ID],J249,Docs[Тип долга],"ДЗ")&lt;&gt;1),AND(OR(C249="Оплата поставщику",C249="Возврат поставщика"),COUNTIFS(Docs[ID],J249,Docs[Тип долга],"КЗ",Docs[Вид],"&lt;&gt;Дивиденды")&lt;&gt;1),AND(C249="Дивиденды",COUNTIFS(Docs[ID],J249,Docs[Вид],"Дивиденды")&lt;&gt;1),AND(C249="Проценты",COUNTIFS(Docs[ID],J249,Docs[Вид],"Проценты")&lt;&gt;1),COUNTIF(Cash[ID],A249)&gt;1,NOT(ISNUMBER(B249)),B249&lt;НачалоУчета,YEAR(B249)&lt;&gt;Год,NOT(ISNUMBER(E249)),E249&lt;=0,N249&lt;0,COUNTIF(Типы,C249)&lt;&gt;1,COUNTIF(Категории,D249)&lt;&gt;1,COUNTIF(Счета,F249)&lt;&gt;1,COUNTIF(Проекты,I249)&lt;&gt;1,AND(H249&lt;&gt;"",COUNTIF(Контрагенты,H249)&lt;&gt;1),AND(C249="Перевод",OR(F249=G249,COUNTIF(Счета,G249)&lt;&gt;1)),AND(S249&lt;&gt;0,COUNTIF(Docs[ID],J249)&lt;&gt;1),AND(Форма="ООО",C249="Вывод ИП"),AND(Форма="ИП",C249="Дивиденды"),AND(L249&lt;&gt;"Проведён",L249&lt;&gt;"Черновик")),"ОШИБКА","ОК"))</f>
        <v>ОК</v>
      </c>
      <c r="W249" s="25">
        <f>IF(A249="","",SUMIF(Accounts[Счёт],F249,Accounts[Начальный])+SUMIFS($Q$7:Q249,$F$7:F249,F249)+SUMIFS($E$7:E249,$G$7:G249,F249,$C$7:C249,"Перевод",$L$7:L249,"Проведён"))</f>
        <v>1217627.7000000002</v>
      </c>
    </row>
    <row r="250" spans="1:23" x14ac:dyDescent="0.25">
      <c r="A250" s="3" t="s">
        <v>902</v>
      </c>
      <c r="B250" s="19">
        <v>46352</v>
      </c>
      <c r="C250" s="3" t="s">
        <v>484</v>
      </c>
      <c r="D250" s="3" t="s">
        <v>485</v>
      </c>
      <c r="E250" s="24">
        <v>54720</v>
      </c>
      <c r="F250" s="3" t="s">
        <v>474</v>
      </c>
      <c r="G250" s="3"/>
      <c r="H250" s="3" t="s">
        <v>492</v>
      </c>
      <c r="I250" s="3" t="s">
        <v>382</v>
      </c>
      <c r="J250" s="3" t="s">
        <v>885</v>
      </c>
      <c r="K250" s="3" t="s">
        <v>484</v>
      </c>
      <c r="L250" s="3" t="s">
        <v>476</v>
      </c>
      <c r="M250" s="3"/>
      <c r="N250" s="24">
        <v>0</v>
      </c>
      <c r="O250" s="3"/>
      <c r="P250" s="5">
        <f>IF(A250="","",IF(COUNTIF(Типы,C250)=0,0,VLOOKUP(C250,СПРАВОЧНИКИ!$A$7:$E$22,2,FALSE)))</f>
        <v>1</v>
      </c>
      <c r="Q250" s="25">
        <f t="shared" si="3"/>
        <v>54720</v>
      </c>
      <c r="R250" s="5" t="str">
        <f>IF(A250="","",IF(COUNTIF(Типы,C250)=0,"НЕИЗВЕСТНЫЙ ТИП",VLOOKUP(C250,СПРАВОЧНИКИ!$A$7:$E$22,3,FALSE)))</f>
        <v>Операционный</v>
      </c>
      <c r="S250" s="26">
        <f>IF(A250="","",IF(L250="Проведён",E250*IF(COUNTIF(Типы,C250)=0,0,VLOOKUP(C250,СПРАВОЧНИКИ!$A$7:$E$22,4,FALSE)),0))</f>
        <v>54720</v>
      </c>
      <c r="T250" s="26">
        <f>IF(A250="","",IF(L250="Проведён",E250*IF(COUNTIF(Типы,C250)=0,0,VLOOKUP(C250,СПРАВОЧНИКИ!$A$7:$E$22,5,FALSE)),0))</f>
        <v>54720</v>
      </c>
      <c r="U250" s="5" t="str">
        <f>IF(A250="","",IF(COUNTIF(Контрагенты,H250)=0,"Не задан",VLOOKUP(H250,СПРАВОЧНИКИ!$G$7:$H$66,2,FALSE)))</f>
        <v>ИП</v>
      </c>
      <c r="V250" s="4" t="str">
        <f>IF(A250="",IF(COUNTA(B250:O250)&gt;0,"НЕТ ID",""),IF(OR(AND(OR(C250="Оплата клиента",C250="Возврат клиенту"),COUNTIFS(Docs[ID],J250,Docs[Тип долга],"ДЗ")&lt;&gt;1),AND(OR(C250="Оплата поставщику",C250="Возврат поставщика"),COUNTIFS(Docs[ID],J250,Docs[Тип долга],"КЗ",Docs[Вид],"&lt;&gt;Дивиденды")&lt;&gt;1),AND(C250="Дивиденды",COUNTIFS(Docs[ID],J250,Docs[Вид],"Дивиденды")&lt;&gt;1),AND(C250="Проценты",COUNTIFS(Docs[ID],J250,Docs[Вид],"Проценты")&lt;&gt;1),COUNTIF(Cash[ID],A250)&gt;1,NOT(ISNUMBER(B250)),B250&lt;НачалоУчета,YEAR(B250)&lt;&gt;Год,NOT(ISNUMBER(E250)),E250&lt;=0,N250&lt;0,COUNTIF(Типы,C250)&lt;&gt;1,COUNTIF(Категории,D250)&lt;&gt;1,COUNTIF(Счета,F250)&lt;&gt;1,COUNTIF(Проекты,I250)&lt;&gt;1,AND(H250&lt;&gt;"",COUNTIF(Контрагенты,H250)&lt;&gt;1),AND(C250="Перевод",OR(F250=G250,COUNTIF(Счета,G250)&lt;&gt;1)),AND(S250&lt;&gt;0,COUNTIF(Docs[ID],J250)&lt;&gt;1),AND(Форма="ООО",C250="Вывод ИП"),AND(Форма="ИП",C250="Дивиденды"),AND(L250&lt;&gt;"Проведён",L250&lt;&gt;"Черновик")),"ОШИБКА","ОК"))</f>
        <v>ОК</v>
      </c>
      <c r="W250" s="25">
        <f>IF(A250="","",SUMIF(Accounts[Счёт],F250,Accounts[Начальный])+SUMIFS($Q$7:Q250,$F$7:F250,F250)+SUMIFS($E$7:E250,$G$7:G250,F250,$C$7:C250,"Перевод",$L$7:L250,"Проведён"))</f>
        <v>1272347.7000000002</v>
      </c>
    </row>
    <row r="251" spans="1:23" x14ac:dyDescent="0.25">
      <c r="A251" s="3" t="s">
        <v>903</v>
      </c>
      <c r="B251" s="19">
        <v>46352</v>
      </c>
      <c r="C251" s="3" t="s">
        <v>504</v>
      </c>
      <c r="D251" s="3" t="s">
        <v>523</v>
      </c>
      <c r="E251" s="24">
        <v>78300</v>
      </c>
      <c r="F251" s="3" t="s">
        <v>474</v>
      </c>
      <c r="G251" s="3"/>
      <c r="H251" s="3" t="s">
        <v>52</v>
      </c>
      <c r="I251" s="3" t="s">
        <v>383</v>
      </c>
      <c r="J251" s="3" t="s">
        <v>904</v>
      </c>
      <c r="K251" s="3" t="s">
        <v>504</v>
      </c>
      <c r="L251" s="3" t="s">
        <v>476</v>
      </c>
      <c r="M251" s="3"/>
      <c r="N251" s="24">
        <v>78300</v>
      </c>
      <c r="O251" s="3"/>
      <c r="P251" s="5">
        <f>IF(A251="","",IF(COUNTIF(Типы,C251)=0,0,VLOOKUP(C251,СПРАВОЧНИКИ!$A$7:$E$22,2,FALSE)))</f>
        <v>-1</v>
      </c>
      <c r="Q251" s="25">
        <f t="shared" si="3"/>
        <v>-78300</v>
      </c>
      <c r="R251" s="5" t="str">
        <f>IF(A251="","",IF(COUNTIF(Типы,C251)=0,"НЕИЗВЕСТНЫЙ ТИП",VLOOKUP(C251,СПРАВОЧНИКИ!$A$7:$E$22,3,FALSE)))</f>
        <v>Операционный</v>
      </c>
      <c r="S251" s="26">
        <f>IF(A251="","",IF(L251="Проведён",E251*IF(COUNTIF(Типы,C251)=0,0,VLOOKUP(C251,СПРАВОЧНИКИ!$A$7:$E$22,4,FALSE)),0))</f>
        <v>78300</v>
      </c>
      <c r="T251" s="26">
        <f>IF(A251="","",IF(L251="Проведён",E251*IF(COUNTIF(Типы,C251)=0,0,VLOOKUP(C251,СПРАВОЧНИКИ!$A$7:$E$22,5,FALSE)),0))</f>
        <v>0</v>
      </c>
      <c r="U251" s="5" t="str">
        <f>IF(A251="","",IF(COUNTIF(Контрагенты,H251)=0,"Не задан",VLOOKUP(H251,СПРАВОЧНИКИ!$G$7:$H$66,2,FALSE)))</f>
        <v>ФЛ</v>
      </c>
      <c r="V251" s="4" t="str">
        <f>IF(A251="",IF(COUNTA(B251:O251)&gt;0,"НЕТ ID",""),IF(OR(AND(OR(C251="Оплата клиента",C251="Возврат клиенту"),COUNTIFS(Docs[ID],J251,Docs[Тип долга],"ДЗ")&lt;&gt;1),AND(OR(C251="Оплата поставщику",C251="Возврат поставщика"),COUNTIFS(Docs[ID],J251,Docs[Тип долга],"КЗ",Docs[Вид],"&lt;&gt;Дивиденды")&lt;&gt;1),AND(C251="Дивиденды",COUNTIFS(Docs[ID],J251,Docs[Вид],"Дивиденды")&lt;&gt;1),AND(C251="Проценты",COUNTIFS(Docs[ID],J251,Docs[Вид],"Проценты")&lt;&gt;1),COUNTIF(Cash[ID],A251)&gt;1,NOT(ISNUMBER(B251)),B251&lt;НачалоУчета,YEAR(B251)&lt;&gt;Год,NOT(ISNUMBER(E251)),E251&lt;=0,N251&lt;0,COUNTIF(Типы,C251)&lt;&gt;1,COUNTIF(Категории,D251)&lt;&gt;1,COUNTIF(Счета,F251)&lt;&gt;1,COUNTIF(Проекты,I251)&lt;&gt;1,AND(H251&lt;&gt;"",COUNTIF(Контрагенты,H251)&lt;&gt;1),AND(C251="Перевод",OR(F251=G251,COUNTIF(Счета,G251)&lt;&gt;1)),AND(S251&lt;&gt;0,COUNTIF(Docs[ID],J251)&lt;&gt;1),AND(Форма="ООО",C251="Вывод ИП"),AND(Форма="ИП",C251="Дивиденды"),AND(L251&lt;&gt;"Проведён",L251&lt;&gt;"Черновик")),"ОШИБКА","ОК"))</f>
        <v>ОК</v>
      </c>
      <c r="W251" s="25">
        <f>IF(A251="","",SUMIF(Accounts[Счёт],F251,Accounts[Начальный])+SUMIFS($Q$7:Q251,$F$7:F251,F251)+SUMIFS($E$7:E251,$G$7:G251,F251,$C$7:C251,"Перевод",$L$7:L251,"Проведён"))</f>
        <v>1194047.7000000002</v>
      </c>
    </row>
    <row r="252" spans="1:23" x14ac:dyDescent="0.25">
      <c r="A252" s="3" t="s">
        <v>905</v>
      </c>
      <c r="B252" s="19">
        <v>46353</v>
      </c>
      <c r="C252" s="3" t="s">
        <v>484</v>
      </c>
      <c r="D252" s="3" t="s">
        <v>485</v>
      </c>
      <c r="E252" s="24">
        <v>42560</v>
      </c>
      <c r="F252" s="3" t="s">
        <v>474</v>
      </c>
      <c r="G252" s="3"/>
      <c r="H252" s="3" t="s">
        <v>495</v>
      </c>
      <c r="I252" s="3" t="s">
        <v>381</v>
      </c>
      <c r="J252" s="3" t="s">
        <v>887</v>
      </c>
      <c r="K252" s="3" t="s">
        <v>484</v>
      </c>
      <c r="L252" s="3" t="s">
        <v>476</v>
      </c>
      <c r="M252" s="3"/>
      <c r="N252" s="24">
        <v>0</v>
      </c>
      <c r="O252" s="3"/>
      <c r="P252" s="5">
        <f>IF(A252="","",IF(COUNTIF(Типы,C252)=0,0,VLOOKUP(C252,СПРАВОЧНИКИ!$A$7:$E$22,2,FALSE)))</f>
        <v>1</v>
      </c>
      <c r="Q252" s="25">
        <f t="shared" si="3"/>
        <v>42560</v>
      </c>
      <c r="R252" s="5" t="str">
        <f>IF(A252="","",IF(COUNTIF(Типы,C252)=0,"НЕИЗВЕСТНЫЙ ТИП",VLOOKUP(C252,СПРАВОЧНИКИ!$A$7:$E$22,3,FALSE)))</f>
        <v>Операционный</v>
      </c>
      <c r="S252" s="26">
        <f>IF(A252="","",IF(L252="Проведён",E252*IF(COUNTIF(Типы,C252)=0,0,VLOOKUP(C252,СПРАВОЧНИКИ!$A$7:$E$22,4,FALSE)),0))</f>
        <v>42560</v>
      </c>
      <c r="T252" s="26">
        <f>IF(A252="","",IF(L252="Проведён",E252*IF(COUNTIF(Типы,C252)=0,0,VLOOKUP(C252,СПРАВОЧНИКИ!$A$7:$E$22,5,FALSE)),0))</f>
        <v>42560</v>
      </c>
      <c r="U252" s="5" t="str">
        <f>IF(A252="","",IF(COUNTIF(Контрагенты,H252)=0,"Не задан",VLOOKUP(H252,СПРАВОЧНИКИ!$G$7:$H$66,2,FALSE)))</f>
        <v>ЮЛ</v>
      </c>
      <c r="V252" s="4" t="str">
        <f>IF(A252="",IF(COUNTA(B252:O252)&gt;0,"НЕТ ID",""),IF(OR(AND(OR(C252="Оплата клиента",C252="Возврат клиенту"),COUNTIFS(Docs[ID],J252,Docs[Тип долга],"ДЗ")&lt;&gt;1),AND(OR(C252="Оплата поставщику",C252="Возврат поставщика"),COUNTIFS(Docs[ID],J252,Docs[Тип долга],"КЗ",Docs[Вид],"&lt;&gt;Дивиденды")&lt;&gt;1),AND(C252="Дивиденды",COUNTIFS(Docs[ID],J252,Docs[Вид],"Дивиденды")&lt;&gt;1),AND(C252="Проценты",COUNTIFS(Docs[ID],J252,Docs[Вид],"Проценты")&lt;&gt;1),COUNTIF(Cash[ID],A252)&gt;1,NOT(ISNUMBER(B252)),B252&lt;НачалоУчета,YEAR(B252)&lt;&gt;Год,NOT(ISNUMBER(E252)),E252&lt;=0,N252&lt;0,COUNTIF(Типы,C252)&lt;&gt;1,COUNTIF(Категории,D252)&lt;&gt;1,COUNTIF(Счета,F252)&lt;&gt;1,COUNTIF(Проекты,I252)&lt;&gt;1,AND(H252&lt;&gt;"",COUNTIF(Контрагенты,H252)&lt;&gt;1),AND(C252="Перевод",OR(F252=G252,COUNTIF(Счета,G252)&lt;&gt;1)),AND(S252&lt;&gt;0,COUNTIF(Docs[ID],J252)&lt;&gt;1),AND(Форма="ООО",C252="Вывод ИП"),AND(Форма="ИП",C252="Дивиденды"),AND(L252&lt;&gt;"Проведён",L252&lt;&gt;"Черновик")),"ОШИБКА","ОК"))</f>
        <v>ОК</v>
      </c>
      <c r="W252" s="25">
        <f>IF(A252="","",SUMIF(Accounts[Счёт],F252,Accounts[Начальный])+SUMIFS($Q$7:Q252,$F$7:F252,F252)+SUMIFS($E$7:E252,$G$7:G252,F252,$C$7:C252,"Перевод",$L$7:L252,"Проведён"))</f>
        <v>1236607.7000000002</v>
      </c>
    </row>
    <row r="253" spans="1:23" x14ac:dyDescent="0.25">
      <c r="A253" s="3" t="s">
        <v>906</v>
      </c>
      <c r="B253" s="19">
        <v>46353</v>
      </c>
      <c r="C253" s="3" t="s">
        <v>504</v>
      </c>
      <c r="D253" s="3" t="s">
        <v>527</v>
      </c>
      <c r="E253" s="24">
        <v>11700</v>
      </c>
      <c r="F253" s="3" t="s">
        <v>474</v>
      </c>
      <c r="G253" s="3"/>
      <c r="H253" s="3" t="s">
        <v>528</v>
      </c>
      <c r="I253" s="3" t="s">
        <v>383</v>
      </c>
      <c r="J253" s="3" t="s">
        <v>907</v>
      </c>
      <c r="K253" s="3" t="s">
        <v>504</v>
      </c>
      <c r="L253" s="3" t="s">
        <v>476</v>
      </c>
      <c r="M253" s="3"/>
      <c r="N253" s="24">
        <v>11700</v>
      </c>
      <c r="O253" s="3"/>
      <c r="P253" s="5">
        <f>IF(A253="","",IF(COUNTIF(Типы,C253)=0,0,VLOOKUP(C253,СПРАВОЧНИКИ!$A$7:$E$22,2,FALSE)))</f>
        <v>-1</v>
      </c>
      <c r="Q253" s="25">
        <f t="shared" si="3"/>
        <v>-11700</v>
      </c>
      <c r="R253" s="5" t="str">
        <f>IF(A253="","",IF(COUNTIF(Типы,C253)=0,"НЕИЗВЕСТНЫЙ ТИП",VLOOKUP(C253,СПРАВОЧНИКИ!$A$7:$E$22,3,FALSE)))</f>
        <v>Операционный</v>
      </c>
      <c r="S253" s="26">
        <f>IF(A253="","",IF(L253="Проведён",E253*IF(COUNTIF(Типы,C253)=0,0,VLOOKUP(C253,СПРАВОЧНИКИ!$A$7:$E$22,4,FALSE)),0))</f>
        <v>11700</v>
      </c>
      <c r="T253" s="26">
        <f>IF(A253="","",IF(L253="Проведён",E253*IF(COUNTIF(Типы,C253)=0,0,VLOOKUP(C253,СПРАВОЧНИКИ!$A$7:$E$22,5,FALSE)),0))</f>
        <v>0</v>
      </c>
      <c r="U253" s="5" t="str">
        <f>IF(A253="","",IF(COUNTIF(Контрагенты,H253)=0,"Не задан",VLOOKUP(H253,СПРАВОЧНИКИ!$G$7:$H$66,2,FALSE)))</f>
        <v>ЮЛ</v>
      </c>
      <c r="V253" s="4" t="str">
        <f>IF(A253="",IF(COUNTA(B253:O253)&gt;0,"НЕТ ID",""),IF(OR(AND(OR(C253="Оплата клиента",C253="Возврат клиенту"),COUNTIFS(Docs[ID],J253,Docs[Тип долга],"ДЗ")&lt;&gt;1),AND(OR(C253="Оплата поставщику",C253="Возврат поставщика"),COUNTIFS(Docs[ID],J253,Docs[Тип долга],"КЗ",Docs[Вид],"&lt;&gt;Дивиденды")&lt;&gt;1),AND(C253="Дивиденды",COUNTIFS(Docs[ID],J253,Docs[Вид],"Дивиденды")&lt;&gt;1),AND(C253="Проценты",COUNTIFS(Docs[ID],J253,Docs[Вид],"Проценты")&lt;&gt;1),COUNTIF(Cash[ID],A253)&gt;1,NOT(ISNUMBER(B253)),B253&lt;НачалоУчета,YEAR(B253)&lt;&gt;Год,NOT(ISNUMBER(E253)),E253&lt;=0,N253&lt;0,COUNTIF(Типы,C253)&lt;&gt;1,COUNTIF(Категории,D253)&lt;&gt;1,COUNTIF(Счета,F253)&lt;&gt;1,COUNTIF(Проекты,I253)&lt;&gt;1,AND(H253&lt;&gt;"",COUNTIF(Контрагенты,H253)&lt;&gt;1),AND(C253="Перевод",OR(F253=G253,COUNTIF(Счета,G253)&lt;&gt;1)),AND(S253&lt;&gt;0,COUNTIF(Docs[ID],J253)&lt;&gt;1),AND(Форма="ООО",C253="Вывод ИП"),AND(Форма="ИП",C253="Дивиденды"),AND(L253&lt;&gt;"Проведён",L253&lt;&gt;"Черновик")),"ОШИБКА","ОК"))</f>
        <v>ОК</v>
      </c>
      <c r="W253" s="25">
        <f>IF(A253="","",SUMIF(Accounts[Счёт],F253,Accounts[Начальный])+SUMIFS($Q$7:Q253,$F$7:F253,F253)+SUMIFS($E$7:E253,$G$7:G253,F253,$C$7:C253,"Перевод",$L$7:L253,"Проведён"))</f>
        <v>1224907.7000000002</v>
      </c>
    </row>
    <row r="254" spans="1:23" x14ac:dyDescent="0.25">
      <c r="A254" s="3" t="s">
        <v>908</v>
      </c>
      <c r="B254" s="19">
        <v>46354</v>
      </c>
      <c r="C254" s="3" t="s">
        <v>484</v>
      </c>
      <c r="D254" s="3" t="s">
        <v>485</v>
      </c>
      <c r="E254" s="24">
        <v>30400</v>
      </c>
      <c r="F254" s="3" t="s">
        <v>474</v>
      </c>
      <c r="G254" s="3"/>
      <c r="H254" s="3" t="s">
        <v>498</v>
      </c>
      <c r="I254" s="3" t="s">
        <v>298</v>
      </c>
      <c r="J254" s="3" t="s">
        <v>889</v>
      </c>
      <c r="K254" s="3" t="s">
        <v>484</v>
      </c>
      <c r="L254" s="3" t="s">
        <v>476</v>
      </c>
      <c r="M254" s="3"/>
      <c r="N254" s="24">
        <v>0</v>
      </c>
      <c r="O254" s="3"/>
      <c r="P254" s="5">
        <f>IF(A254="","",IF(COUNTIF(Типы,C254)=0,0,VLOOKUP(C254,СПРАВОЧНИКИ!$A$7:$E$22,2,FALSE)))</f>
        <v>1</v>
      </c>
      <c r="Q254" s="25">
        <f t="shared" si="3"/>
        <v>30400</v>
      </c>
      <c r="R254" s="5" t="str">
        <f>IF(A254="","",IF(COUNTIF(Типы,C254)=0,"НЕИЗВЕСТНЫЙ ТИП",VLOOKUP(C254,СПРАВОЧНИКИ!$A$7:$E$22,3,FALSE)))</f>
        <v>Операционный</v>
      </c>
      <c r="S254" s="26">
        <f>IF(A254="","",IF(L254="Проведён",E254*IF(COUNTIF(Типы,C254)=0,0,VLOOKUP(C254,СПРАВОЧНИКИ!$A$7:$E$22,4,FALSE)),0))</f>
        <v>30400</v>
      </c>
      <c r="T254" s="26">
        <f>IF(A254="","",IF(L254="Проведён",E254*IF(COUNTIF(Типы,C254)=0,0,VLOOKUP(C254,СПРАВОЧНИКИ!$A$7:$E$22,5,FALSE)),0))</f>
        <v>30400</v>
      </c>
      <c r="U254" s="5" t="str">
        <f>IF(A254="","",IF(COUNTIF(Контрагенты,H254)=0,"Не задан",VLOOKUP(H254,СПРАВОЧНИКИ!$G$7:$H$66,2,FALSE)))</f>
        <v>ФЛ</v>
      </c>
      <c r="V254" s="4" t="str">
        <f>IF(A254="",IF(COUNTA(B254:O254)&gt;0,"НЕТ ID",""),IF(OR(AND(OR(C254="Оплата клиента",C254="Возврат клиенту"),COUNTIFS(Docs[ID],J254,Docs[Тип долга],"ДЗ")&lt;&gt;1),AND(OR(C254="Оплата поставщику",C254="Возврат поставщика"),COUNTIFS(Docs[ID],J254,Docs[Тип долга],"КЗ",Docs[Вид],"&lt;&gt;Дивиденды")&lt;&gt;1),AND(C254="Дивиденды",COUNTIFS(Docs[ID],J254,Docs[Вид],"Дивиденды")&lt;&gt;1),AND(C254="Проценты",COUNTIFS(Docs[ID],J254,Docs[Вид],"Проценты")&lt;&gt;1),COUNTIF(Cash[ID],A254)&gt;1,NOT(ISNUMBER(B254)),B254&lt;НачалоУчета,YEAR(B254)&lt;&gt;Год,NOT(ISNUMBER(E254)),E254&lt;=0,N254&lt;0,COUNTIF(Типы,C254)&lt;&gt;1,COUNTIF(Категории,D254)&lt;&gt;1,COUNTIF(Счета,F254)&lt;&gt;1,COUNTIF(Проекты,I254)&lt;&gt;1,AND(H254&lt;&gt;"",COUNTIF(Контрагенты,H254)&lt;&gt;1),AND(C254="Перевод",OR(F254=G254,COUNTIF(Счета,G254)&lt;&gt;1)),AND(S254&lt;&gt;0,COUNTIF(Docs[ID],J254)&lt;&gt;1),AND(Форма="ООО",C254="Вывод ИП"),AND(Форма="ИП",C254="Дивиденды"),AND(L254&lt;&gt;"Проведён",L254&lt;&gt;"Черновик")),"ОШИБКА","ОК"))</f>
        <v>ОК</v>
      </c>
      <c r="W254" s="25">
        <f>IF(A254="","",SUMIF(Accounts[Счёт],F254,Accounts[Начальный])+SUMIFS($Q$7:Q254,$F$7:F254,F254)+SUMIFS($E$7:E254,$G$7:G254,F254,$C$7:C254,"Перевод",$L$7:L254,"Проведён"))</f>
        <v>1255307.7000000002</v>
      </c>
    </row>
    <row r="255" spans="1:23" x14ac:dyDescent="0.25">
      <c r="A255" s="3" t="s">
        <v>909</v>
      </c>
      <c r="B255" s="19">
        <v>46354</v>
      </c>
      <c r="C255" s="3" t="s">
        <v>504</v>
      </c>
      <c r="D255" s="3" t="s">
        <v>532</v>
      </c>
      <c r="E255" s="24">
        <v>27000</v>
      </c>
      <c r="F255" s="3" t="s">
        <v>474</v>
      </c>
      <c r="G255" s="3"/>
      <c r="H255" s="3" t="s">
        <v>528</v>
      </c>
      <c r="I255" s="3" t="s">
        <v>383</v>
      </c>
      <c r="J255" s="3" t="s">
        <v>910</v>
      </c>
      <c r="K255" s="3" t="s">
        <v>504</v>
      </c>
      <c r="L255" s="3" t="s">
        <v>476</v>
      </c>
      <c r="M255" s="3"/>
      <c r="N255" s="24">
        <v>27000</v>
      </c>
      <c r="O255" s="3"/>
      <c r="P255" s="5">
        <f>IF(A255="","",IF(COUNTIF(Типы,C255)=0,0,VLOOKUP(C255,СПРАВОЧНИКИ!$A$7:$E$22,2,FALSE)))</f>
        <v>-1</v>
      </c>
      <c r="Q255" s="25">
        <f t="shared" si="3"/>
        <v>-27000</v>
      </c>
      <c r="R255" s="5" t="str">
        <f>IF(A255="","",IF(COUNTIF(Типы,C255)=0,"НЕИЗВЕСТНЫЙ ТИП",VLOOKUP(C255,СПРАВОЧНИКИ!$A$7:$E$22,3,FALSE)))</f>
        <v>Операционный</v>
      </c>
      <c r="S255" s="26">
        <f>IF(A255="","",IF(L255="Проведён",E255*IF(COUNTIF(Типы,C255)=0,0,VLOOKUP(C255,СПРАВОЧНИКИ!$A$7:$E$22,4,FALSE)),0))</f>
        <v>27000</v>
      </c>
      <c r="T255" s="26">
        <f>IF(A255="","",IF(L255="Проведён",E255*IF(COUNTIF(Типы,C255)=0,0,VLOOKUP(C255,СПРАВОЧНИКИ!$A$7:$E$22,5,FALSE)),0))</f>
        <v>0</v>
      </c>
      <c r="U255" s="5" t="str">
        <f>IF(A255="","",IF(COUNTIF(Контрагенты,H255)=0,"Не задан",VLOOKUP(H255,СПРАВОЧНИКИ!$G$7:$H$66,2,FALSE)))</f>
        <v>ЮЛ</v>
      </c>
      <c r="V255" s="4" t="str">
        <f>IF(A255="",IF(COUNTA(B255:O255)&gt;0,"НЕТ ID",""),IF(OR(AND(OR(C255="Оплата клиента",C255="Возврат клиенту"),COUNTIFS(Docs[ID],J255,Docs[Тип долга],"ДЗ")&lt;&gt;1),AND(OR(C255="Оплата поставщику",C255="Возврат поставщика"),COUNTIFS(Docs[ID],J255,Docs[Тип долга],"КЗ",Docs[Вид],"&lt;&gt;Дивиденды")&lt;&gt;1),AND(C255="Дивиденды",COUNTIFS(Docs[ID],J255,Docs[Вид],"Дивиденды")&lt;&gt;1),AND(C255="Проценты",COUNTIFS(Docs[ID],J255,Docs[Вид],"Проценты")&lt;&gt;1),COUNTIF(Cash[ID],A255)&gt;1,NOT(ISNUMBER(B255)),B255&lt;НачалоУчета,YEAR(B255)&lt;&gt;Год,NOT(ISNUMBER(E255)),E255&lt;=0,N255&lt;0,COUNTIF(Типы,C255)&lt;&gt;1,COUNTIF(Категории,D255)&lt;&gt;1,COUNTIF(Счета,F255)&lt;&gt;1,COUNTIF(Проекты,I255)&lt;&gt;1,AND(H255&lt;&gt;"",COUNTIF(Контрагенты,H255)&lt;&gt;1),AND(C255="Перевод",OR(F255=G255,COUNTIF(Счета,G255)&lt;&gt;1)),AND(S255&lt;&gt;0,COUNTIF(Docs[ID],J255)&lt;&gt;1),AND(Форма="ООО",C255="Вывод ИП"),AND(Форма="ИП",C255="Дивиденды"),AND(L255&lt;&gt;"Проведён",L255&lt;&gt;"Черновик")),"ОШИБКА","ОК"))</f>
        <v>ОК</v>
      </c>
      <c r="W255" s="25">
        <f>IF(A255="","",SUMIF(Accounts[Счёт],F255,Accounts[Начальный])+SUMIFS($Q$7:Q255,$F$7:F255,F255)+SUMIFS($E$7:E255,$G$7:G255,F255,$C$7:C255,"Перевод",$L$7:L255,"Проведён"))</f>
        <v>1228307.7000000002</v>
      </c>
    </row>
    <row r="256" spans="1:23" x14ac:dyDescent="0.25">
      <c r="A256" s="3" t="s">
        <v>911</v>
      </c>
      <c r="B256" s="19">
        <v>46354</v>
      </c>
      <c r="C256" s="3" t="s">
        <v>130</v>
      </c>
      <c r="D256" s="3" t="s">
        <v>130</v>
      </c>
      <c r="E256" s="24">
        <v>2419.9699999999998</v>
      </c>
      <c r="F256" s="3" t="s">
        <v>474</v>
      </c>
      <c r="G256" s="3"/>
      <c r="H256" s="3" t="s">
        <v>397</v>
      </c>
      <c r="I256" s="3" t="s">
        <v>383</v>
      </c>
      <c r="J256" s="3" t="s">
        <v>912</v>
      </c>
      <c r="K256" s="3" t="s">
        <v>130</v>
      </c>
      <c r="L256" s="3" t="s">
        <v>476</v>
      </c>
      <c r="M256" s="3"/>
      <c r="N256" s="24">
        <v>2419.9699999999998</v>
      </c>
      <c r="O256" s="3"/>
      <c r="P256" s="5">
        <f>IF(A256="","",IF(COUNTIF(Типы,C256)=0,0,VLOOKUP(C256,СПРАВОЧНИКИ!$A$7:$E$22,2,FALSE)))</f>
        <v>-1</v>
      </c>
      <c r="Q256" s="25">
        <f t="shared" si="3"/>
        <v>-2419.9699999999998</v>
      </c>
      <c r="R256" s="5" t="str">
        <f>IF(A256="","",IF(COUNTIF(Типы,C256)=0,"НЕИЗВЕСТНЫЙ ТИП",VLOOKUP(C256,СПРАВОЧНИКИ!$A$7:$E$22,3,FALSE)))</f>
        <v>Операционный</v>
      </c>
      <c r="S256" s="26">
        <f>IF(A256="","",IF(L256="Проведён",E256*IF(COUNTIF(Типы,C256)=0,0,VLOOKUP(C256,СПРАВОЧНИКИ!$A$7:$E$22,4,FALSE)),0))</f>
        <v>2419.9699999999998</v>
      </c>
      <c r="T256" s="26">
        <f>IF(A256="","",IF(L256="Проведён",E256*IF(COUNTIF(Типы,C256)=0,0,VLOOKUP(C256,СПРАВОЧНИКИ!$A$7:$E$22,5,FALSE)),0))</f>
        <v>0</v>
      </c>
      <c r="U256" s="5" t="str">
        <f>IF(A256="","",IF(COUNTIF(Контрагенты,H256)=0,"Не задан",VLOOKUP(H256,СПРАВОЧНИКИ!$G$7:$H$66,2,FALSE)))</f>
        <v>ЮЛ</v>
      </c>
      <c r="V256" s="4" t="str">
        <f>IF(A256="",IF(COUNTA(B256:O256)&gt;0,"НЕТ ID",""),IF(OR(AND(OR(C256="Оплата клиента",C256="Возврат клиенту"),COUNTIFS(Docs[ID],J256,Docs[Тип долга],"ДЗ")&lt;&gt;1),AND(OR(C256="Оплата поставщику",C256="Возврат поставщика"),COUNTIFS(Docs[ID],J256,Docs[Тип долга],"КЗ",Docs[Вид],"&lt;&gt;Дивиденды")&lt;&gt;1),AND(C256="Дивиденды",COUNTIFS(Docs[ID],J256,Docs[Вид],"Дивиденды")&lt;&gt;1),AND(C256="Проценты",COUNTIFS(Docs[ID],J256,Docs[Вид],"Проценты")&lt;&gt;1),COUNTIF(Cash[ID],A256)&gt;1,NOT(ISNUMBER(B256)),B256&lt;НачалоУчета,YEAR(B256)&lt;&gt;Год,NOT(ISNUMBER(E256)),E256&lt;=0,N256&lt;0,COUNTIF(Типы,C256)&lt;&gt;1,COUNTIF(Категории,D256)&lt;&gt;1,COUNTIF(Счета,F256)&lt;&gt;1,COUNTIF(Проекты,I256)&lt;&gt;1,AND(H256&lt;&gt;"",COUNTIF(Контрагенты,H256)&lt;&gt;1),AND(C256="Перевод",OR(F256=G256,COUNTIF(Счета,G256)&lt;&gt;1)),AND(S256&lt;&gt;0,COUNTIF(Docs[ID],J256)&lt;&gt;1),AND(Форма="ООО",C256="Вывод ИП"),AND(Форма="ИП",C256="Дивиденды"),AND(L256&lt;&gt;"Проведён",L256&lt;&gt;"Черновик")),"ОШИБКА","ОК"))</f>
        <v>ОК</v>
      </c>
      <c r="W256" s="25">
        <f>IF(A256="","",SUMIF(Accounts[Счёт],F256,Accounts[Начальный])+SUMIFS($Q$7:Q256,$F$7:F256,F256)+SUMIFS($E$7:E256,$G$7:G256,F256,$C$7:C256,"Перевод",$L$7:L256,"Проведён"))</f>
        <v>1225887.7300000002</v>
      </c>
    </row>
    <row r="257" spans="1:23" x14ac:dyDescent="0.25">
      <c r="A257" s="3" t="s">
        <v>913</v>
      </c>
      <c r="B257" s="19">
        <v>46354</v>
      </c>
      <c r="C257" s="3" t="s">
        <v>537</v>
      </c>
      <c r="D257" s="3" t="s">
        <v>479</v>
      </c>
      <c r="E257" s="24">
        <v>12557.26</v>
      </c>
      <c r="F257" s="3" t="s">
        <v>474</v>
      </c>
      <c r="G257" s="3"/>
      <c r="H257" s="3" t="s">
        <v>397</v>
      </c>
      <c r="I257" s="3" t="s">
        <v>383</v>
      </c>
      <c r="J257" s="3" t="s">
        <v>394</v>
      </c>
      <c r="K257" s="3" t="s">
        <v>537</v>
      </c>
      <c r="L257" s="3" t="s">
        <v>476</v>
      </c>
      <c r="M257" s="3"/>
      <c r="N257" s="24">
        <v>0</v>
      </c>
      <c r="O257" s="3"/>
      <c r="P257" s="5">
        <f>IF(A257="","",IF(COUNTIF(Типы,C257)=0,0,VLOOKUP(C257,СПРАВОЧНИКИ!$A$7:$E$22,2,FALSE)))</f>
        <v>-1</v>
      </c>
      <c r="Q257" s="25">
        <f t="shared" si="3"/>
        <v>-12557.26</v>
      </c>
      <c r="R257" s="5" t="str">
        <f>IF(A257="","",IF(COUNTIF(Типы,C257)=0,"НЕИЗВЕСТНЫЙ ТИП",VLOOKUP(C257,СПРАВОЧНИКИ!$A$7:$E$22,3,FALSE)))</f>
        <v>Финансовый</v>
      </c>
      <c r="S257" s="26">
        <f>IF(A257="","",IF(L257="Проведён",E257*IF(COUNTIF(Типы,C257)=0,0,VLOOKUP(C257,СПРАВОЧНИКИ!$A$7:$E$22,4,FALSE)),0))</f>
        <v>0</v>
      </c>
      <c r="T257" s="26">
        <f>IF(A257="","",IF(L257="Проведён",E257*IF(COUNTIF(Типы,C257)=0,0,VLOOKUP(C257,СПРАВОЧНИКИ!$A$7:$E$22,5,FALSE)),0))</f>
        <v>0</v>
      </c>
      <c r="U257" s="5" t="str">
        <f>IF(A257="","",IF(COUNTIF(Контрагенты,H257)=0,"Не задан",VLOOKUP(H257,СПРАВОЧНИКИ!$G$7:$H$66,2,FALSE)))</f>
        <v>ЮЛ</v>
      </c>
      <c r="V257" s="4" t="str">
        <f>IF(A257="",IF(COUNTA(B257:O257)&gt;0,"НЕТ ID",""),IF(OR(AND(OR(C257="Оплата клиента",C257="Возврат клиенту"),COUNTIFS(Docs[ID],J257,Docs[Тип долга],"ДЗ")&lt;&gt;1),AND(OR(C257="Оплата поставщику",C257="Возврат поставщика"),COUNTIFS(Docs[ID],J257,Docs[Тип долга],"КЗ",Docs[Вид],"&lt;&gt;Дивиденды")&lt;&gt;1),AND(C257="Дивиденды",COUNTIFS(Docs[ID],J257,Docs[Вид],"Дивиденды")&lt;&gt;1),AND(C257="Проценты",COUNTIFS(Docs[ID],J257,Docs[Вид],"Проценты")&lt;&gt;1),COUNTIF(Cash[ID],A257)&gt;1,NOT(ISNUMBER(B257)),B257&lt;НачалоУчета,YEAR(B257)&lt;&gt;Год,NOT(ISNUMBER(E257)),E257&lt;=0,N257&lt;0,COUNTIF(Типы,C257)&lt;&gt;1,COUNTIF(Категории,D257)&lt;&gt;1,COUNTIF(Счета,F257)&lt;&gt;1,COUNTIF(Проекты,I257)&lt;&gt;1,AND(H257&lt;&gt;"",COUNTIF(Контрагенты,H257)&lt;&gt;1),AND(C257="Перевод",OR(F257=G257,COUNTIF(Счета,G257)&lt;&gt;1)),AND(S257&lt;&gt;0,COUNTIF(Docs[ID],J257)&lt;&gt;1),AND(Форма="ООО",C257="Вывод ИП"),AND(Форма="ИП",C257="Дивиденды"),AND(L257&lt;&gt;"Проведён",L257&lt;&gt;"Черновик")),"ОШИБКА","ОК"))</f>
        <v>ОК</v>
      </c>
      <c r="W257" s="25">
        <f>IF(A257="","",SUMIF(Accounts[Счёт],F257,Accounts[Начальный])+SUMIFS($Q$7:Q257,$F$7:F257,F257)+SUMIFS($E$7:E257,$G$7:G257,F257,$C$7:C257,"Перевод",$L$7:L257,"Проведён"))</f>
        <v>1213330.4700000002</v>
      </c>
    </row>
    <row r="258" spans="1:23" x14ac:dyDescent="0.25">
      <c r="A258" s="3" t="s">
        <v>914</v>
      </c>
      <c r="B258" s="19">
        <v>46354</v>
      </c>
      <c r="C258" s="3" t="s">
        <v>539</v>
      </c>
      <c r="D258" s="3" t="s">
        <v>299</v>
      </c>
      <c r="E258" s="24">
        <v>15000</v>
      </c>
      <c r="F258" s="3" t="s">
        <v>474</v>
      </c>
      <c r="G258" s="3" t="s">
        <v>299</v>
      </c>
      <c r="H258" s="3"/>
      <c r="I258" s="3" t="s">
        <v>383</v>
      </c>
      <c r="J258" s="3"/>
      <c r="K258" s="3" t="s">
        <v>539</v>
      </c>
      <c r="L258" s="3" t="s">
        <v>476</v>
      </c>
      <c r="M258" s="3"/>
      <c r="N258" s="24">
        <v>0</v>
      </c>
      <c r="O258" s="3"/>
      <c r="P258" s="5">
        <f>IF(A258="","",IF(COUNTIF(Типы,C258)=0,0,VLOOKUP(C258,СПРАВОЧНИКИ!$A$7:$E$22,2,FALSE)))</f>
        <v>-1</v>
      </c>
      <c r="Q258" s="25">
        <f t="shared" si="3"/>
        <v>-15000</v>
      </c>
      <c r="R258" s="5" t="str">
        <f>IF(A258="","",IF(COUNTIF(Типы,C258)=0,"НЕИЗВЕСТНЫЙ ТИП",VLOOKUP(C258,СПРАВОЧНИКИ!$A$7:$E$22,3,FALSE)))</f>
        <v>Внутренний</v>
      </c>
      <c r="S258" s="26">
        <f>IF(A258="","",IF(L258="Проведён",E258*IF(COUNTIF(Типы,C258)=0,0,VLOOKUP(C258,СПРАВОЧНИКИ!$A$7:$E$22,4,FALSE)),0))</f>
        <v>0</v>
      </c>
      <c r="T258" s="26">
        <f>IF(A258="","",IF(L258="Проведён",E258*IF(COUNTIF(Типы,C258)=0,0,VLOOKUP(C258,СПРАВОЧНИКИ!$A$7:$E$22,5,FALSE)),0))</f>
        <v>0</v>
      </c>
      <c r="U258" s="5" t="str">
        <f>IF(A258="","",IF(COUNTIF(Контрагенты,H258)=0,"Не задан",VLOOKUP(H258,СПРАВОЧНИКИ!$G$7:$H$66,2,FALSE)))</f>
        <v>Не задан</v>
      </c>
      <c r="V258" s="4" t="str">
        <f>IF(A258="",IF(COUNTA(B258:O258)&gt;0,"НЕТ ID",""),IF(OR(AND(OR(C258="Оплата клиента",C258="Возврат клиенту"),COUNTIFS(Docs[ID],J258,Docs[Тип долга],"ДЗ")&lt;&gt;1),AND(OR(C258="Оплата поставщику",C258="Возврат поставщика"),COUNTIFS(Docs[ID],J258,Docs[Тип долга],"КЗ",Docs[Вид],"&lt;&gt;Дивиденды")&lt;&gt;1),AND(C258="Дивиденды",COUNTIFS(Docs[ID],J258,Docs[Вид],"Дивиденды")&lt;&gt;1),AND(C258="Проценты",COUNTIFS(Docs[ID],J258,Docs[Вид],"Проценты")&lt;&gt;1),COUNTIF(Cash[ID],A258)&gt;1,NOT(ISNUMBER(B258)),B258&lt;НачалоУчета,YEAR(B258)&lt;&gt;Год,NOT(ISNUMBER(E258)),E258&lt;=0,N258&lt;0,COUNTIF(Типы,C258)&lt;&gt;1,COUNTIF(Категории,D258)&lt;&gt;1,COUNTIF(Счета,F258)&lt;&gt;1,COUNTIF(Проекты,I258)&lt;&gt;1,AND(H258&lt;&gt;"",COUNTIF(Контрагенты,H258)&lt;&gt;1),AND(C258="Перевод",OR(F258=G258,COUNTIF(Счета,G258)&lt;&gt;1)),AND(S258&lt;&gt;0,COUNTIF(Docs[ID],J258)&lt;&gt;1),AND(Форма="ООО",C258="Вывод ИП"),AND(Форма="ИП",C258="Дивиденды"),AND(L258&lt;&gt;"Проведён",L258&lt;&gt;"Черновик")),"ОШИБКА","ОК"))</f>
        <v>ОК</v>
      </c>
      <c r="W258" s="25">
        <f>IF(A258="","",SUMIF(Accounts[Счёт],F258,Accounts[Начальный])+SUMIFS($Q$7:Q258,$F$7:F258,F258)+SUMIFS($E$7:E258,$G$7:G258,F258,$C$7:C258,"Перевод",$L$7:L258,"Проведён"))</f>
        <v>1198330.4700000002</v>
      </c>
    </row>
    <row r="259" spans="1:23" x14ac:dyDescent="0.25">
      <c r="A259" s="3" t="s">
        <v>915</v>
      </c>
      <c r="B259" s="19">
        <v>46355</v>
      </c>
      <c r="C259" s="3" t="s">
        <v>484</v>
      </c>
      <c r="D259" s="3" t="s">
        <v>485</v>
      </c>
      <c r="E259" s="24">
        <v>24320</v>
      </c>
      <c r="F259" s="3" t="s">
        <v>474</v>
      </c>
      <c r="G259" s="3"/>
      <c r="H259" s="3" t="s">
        <v>501</v>
      </c>
      <c r="I259" s="3" t="s">
        <v>382</v>
      </c>
      <c r="J259" s="3" t="s">
        <v>891</v>
      </c>
      <c r="K259" s="3" t="s">
        <v>484</v>
      </c>
      <c r="L259" s="3" t="s">
        <v>476</v>
      </c>
      <c r="M259" s="3"/>
      <c r="N259" s="24">
        <v>0</v>
      </c>
      <c r="O259" s="3"/>
      <c r="P259" s="5">
        <f>IF(A259="","",IF(COUNTIF(Типы,C259)=0,0,VLOOKUP(C259,СПРАВОЧНИКИ!$A$7:$E$22,2,FALSE)))</f>
        <v>1</v>
      </c>
      <c r="Q259" s="25">
        <f t="shared" si="3"/>
        <v>24320</v>
      </c>
      <c r="R259" s="5" t="str">
        <f>IF(A259="","",IF(COUNTIF(Типы,C259)=0,"НЕИЗВЕСТНЫЙ ТИП",VLOOKUP(C259,СПРАВОЧНИКИ!$A$7:$E$22,3,FALSE)))</f>
        <v>Операционный</v>
      </c>
      <c r="S259" s="26">
        <f>IF(A259="","",IF(L259="Проведён",E259*IF(COUNTIF(Типы,C259)=0,0,VLOOKUP(C259,СПРАВОЧНИКИ!$A$7:$E$22,4,FALSE)),0))</f>
        <v>24320</v>
      </c>
      <c r="T259" s="26">
        <f>IF(A259="","",IF(L259="Проведён",E259*IF(COUNTIF(Типы,C259)=0,0,VLOOKUP(C259,СПРАВОЧНИКИ!$A$7:$E$22,5,FALSE)),0))</f>
        <v>24320</v>
      </c>
      <c r="U259" s="5" t="str">
        <f>IF(A259="","",IF(COUNTIF(Контрагенты,H259)=0,"Не задан",VLOOKUP(H259,СПРАВОЧНИКИ!$G$7:$H$66,2,FALSE)))</f>
        <v>ЮЛ</v>
      </c>
      <c r="V259" s="4" t="str">
        <f>IF(A259="",IF(COUNTA(B259:O259)&gt;0,"НЕТ ID",""),IF(OR(AND(OR(C259="Оплата клиента",C259="Возврат клиенту"),COUNTIFS(Docs[ID],J259,Docs[Тип долга],"ДЗ")&lt;&gt;1),AND(OR(C259="Оплата поставщику",C259="Возврат поставщика"),COUNTIFS(Docs[ID],J259,Docs[Тип долга],"КЗ",Docs[Вид],"&lt;&gt;Дивиденды")&lt;&gt;1),AND(C259="Дивиденды",COUNTIFS(Docs[ID],J259,Docs[Вид],"Дивиденды")&lt;&gt;1),AND(C259="Проценты",COUNTIFS(Docs[ID],J259,Docs[Вид],"Проценты")&lt;&gt;1),COUNTIF(Cash[ID],A259)&gt;1,NOT(ISNUMBER(B259)),B259&lt;НачалоУчета,YEAR(B259)&lt;&gt;Год,NOT(ISNUMBER(E259)),E259&lt;=0,N259&lt;0,COUNTIF(Типы,C259)&lt;&gt;1,COUNTIF(Категории,D259)&lt;&gt;1,COUNTIF(Счета,F259)&lt;&gt;1,COUNTIF(Проекты,I259)&lt;&gt;1,AND(H259&lt;&gt;"",COUNTIF(Контрагенты,H259)&lt;&gt;1),AND(C259="Перевод",OR(F259=G259,COUNTIF(Счета,G259)&lt;&gt;1)),AND(S259&lt;&gt;0,COUNTIF(Docs[ID],J259)&lt;&gt;1),AND(Форма="ООО",C259="Вывод ИП"),AND(Форма="ИП",C259="Дивиденды"),AND(L259&lt;&gt;"Проведён",L259&lt;&gt;"Черновик")),"ОШИБКА","ОК"))</f>
        <v>ОК</v>
      </c>
      <c r="W259" s="25">
        <f>IF(A259="","",SUMIF(Accounts[Счёт],F259,Accounts[Начальный])+SUMIFS($Q$7:Q259,$F$7:F259,F259)+SUMIFS($E$7:E259,$G$7:G259,F259,$C$7:C259,"Перевод",$L$7:L259,"Проведён"))</f>
        <v>1222650.4700000002</v>
      </c>
    </row>
    <row r="260" spans="1:23" x14ac:dyDescent="0.25">
      <c r="A260" s="3" t="s">
        <v>916</v>
      </c>
      <c r="B260" s="19">
        <v>46368</v>
      </c>
      <c r="C260" s="3" t="s">
        <v>484</v>
      </c>
      <c r="D260" s="3" t="s">
        <v>485</v>
      </c>
      <c r="E260" s="24">
        <v>137760</v>
      </c>
      <c r="F260" s="3" t="s">
        <v>474</v>
      </c>
      <c r="G260" s="3"/>
      <c r="H260" s="3" t="s">
        <v>486</v>
      </c>
      <c r="I260" s="3" t="s">
        <v>381</v>
      </c>
      <c r="J260" s="3" t="s">
        <v>917</v>
      </c>
      <c r="K260" s="3" t="s">
        <v>484</v>
      </c>
      <c r="L260" s="3" t="s">
        <v>476</v>
      </c>
      <c r="M260" s="3"/>
      <c r="N260" s="24">
        <v>0</v>
      </c>
      <c r="O260" s="3"/>
      <c r="P260" s="5">
        <f>IF(A260="","",IF(COUNTIF(Типы,C260)=0,0,VLOOKUP(C260,СПРАВОЧНИКИ!$A$7:$E$22,2,FALSE)))</f>
        <v>1</v>
      </c>
      <c r="Q260" s="25">
        <f t="shared" si="3"/>
        <v>137760</v>
      </c>
      <c r="R260" s="5" t="str">
        <f>IF(A260="","",IF(COUNTIF(Типы,C260)=0,"НЕИЗВЕСТНЫЙ ТИП",VLOOKUP(C260,СПРАВОЧНИКИ!$A$7:$E$22,3,FALSE)))</f>
        <v>Операционный</v>
      </c>
      <c r="S260" s="26">
        <f>IF(A260="","",IF(L260="Проведён",E260*IF(COUNTIF(Типы,C260)=0,0,VLOOKUP(C260,СПРАВОЧНИКИ!$A$7:$E$22,4,FALSE)),0))</f>
        <v>137760</v>
      </c>
      <c r="T260" s="26">
        <f>IF(A260="","",IF(L260="Проведён",E260*IF(COUNTIF(Типы,C260)=0,0,VLOOKUP(C260,СПРАВОЧНИКИ!$A$7:$E$22,5,FALSE)),0))</f>
        <v>137760</v>
      </c>
      <c r="U260" s="5" t="str">
        <f>IF(A260="","",IF(COUNTIF(Контрагенты,H260)=0,"Не задан",VLOOKUP(H260,СПРАВОЧНИКИ!$G$7:$H$66,2,FALSE)))</f>
        <v>ЮЛ</v>
      </c>
      <c r="V260" s="4" t="str">
        <f>IF(A260="",IF(COUNTA(B260:O260)&gt;0,"НЕТ ID",""),IF(OR(AND(OR(C260="Оплата клиента",C260="Возврат клиенту"),COUNTIFS(Docs[ID],J260,Docs[Тип долга],"ДЗ")&lt;&gt;1),AND(OR(C260="Оплата поставщику",C260="Возврат поставщика"),COUNTIFS(Docs[ID],J260,Docs[Тип долга],"КЗ",Docs[Вид],"&lt;&gt;Дивиденды")&lt;&gt;1),AND(C260="Дивиденды",COUNTIFS(Docs[ID],J260,Docs[Вид],"Дивиденды")&lt;&gt;1),AND(C260="Проценты",COUNTIFS(Docs[ID],J260,Docs[Вид],"Проценты")&lt;&gt;1),COUNTIF(Cash[ID],A260)&gt;1,NOT(ISNUMBER(B260)),B260&lt;НачалоУчета,YEAR(B260)&lt;&gt;Год,NOT(ISNUMBER(E260)),E260&lt;=0,N260&lt;0,COUNTIF(Типы,C260)&lt;&gt;1,COUNTIF(Категории,D260)&lt;&gt;1,COUNTIF(Счета,F260)&lt;&gt;1,COUNTIF(Проекты,I260)&lt;&gt;1,AND(H260&lt;&gt;"",COUNTIF(Контрагенты,H260)&lt;&gt;1),AND(C260="Перевод",OR(F260=G260,COUNTIF(Счета,G260)&lt;&gt;1)),AND(S260&lt;&gt;0,COUNTIF(Docs[ID],J260)&lt;&gt;1),AND(Форма="ООО",C260="Вывод ИП"),AND(Форма="ИП",C260="Дивиденды"),AND(L260&lt;&gt;"Проведён",L260&lt;&gt;"Черновик")),"ОШИБКА","ОК"))</f>
        <v>ОК</v>
      </c>
      <c r="W260" s="25">
        <f>IF(A260="","",SUMIF(Accounts[Счёт],F260,Accounts[Начальный])+SUMIFS($Q$7:Q260,$F$7:F260,F260)+SUMIFS($E$7:E260,$G$7:G260,F260,$C$7:C260,"Перевод",$L$7:L260,"Проведён"))</f>
        <v>1360410.4700000002</v>
      </c>
    </row>
    <row r="261" spans="1:23" x14ac:dyDescent="0.25">
      <c r="A261" s="3" t="s">
        <v>918</v>
      </c>
      <c r="B261" s="19">
        <v>46369</v>
      </c>
      <c r="C261" s="3" t="s">
        <v>484</v>
      </c>
      <c r="D261" s="3" t="s">
        <v>485</v>
      </c>
      <c r="E261" s="24">
        <v>108240</v>
      </c>
      <c r="F261" s="3" t="s">
        <v>474</v>
      </c>
      <c r="G261" s="3"/>
      <c r="H261" s="3" t="s">
        <v>489</v>
      </c>
      <c r="I261" s="3" t="s">
        <v>298</v>
      </c>
      <c r="J261" s="3" t="s">
        <v>919</v>
      </c>
      <c r="K261" s="3" t="s">
        <v>484</v>
      </c>
      <c r="L261" s="3" t="s">
        <v>476</v>
      </c>
      <c r="M261" s="3"/>
      <c r="N261" s="24">
        <v>0</v>
      </c>
      <c r="O261" s="3"/>
      <c r="P261" s="5">
        <f>IF(A261="","",IF(COUNTIF(Типы,C261)=0,0,VLOOKUP(C261,СПРАВОЧНИКИ!$A$7:$E$22,2,FALSE)))</f>
        <v>1</v>
      </c>
      <c r="Q261" s="25">
        <f t="shared" si="3"/>
        <v>108240</v>
      </c>
      <c r="R261" s="5" t="str">
        <f>IF(A261="","",IF(COUNTIF(Типы,C261)=0,"НЕИЗВЕСТНЫЙ ТИП",VLOOKUP(C261,СПРАВОЧНИКИ!$A$7:$E$22,3,FALSE)))</f>
        <v>Операционный</v>
      </c>
      <c r="S261" s="26">
        <f>IF(A261="","",IF(L261="Проведён",E261*IF(COUNTIF(Типы,C261)=0,0,VLOOKUP(C261,СПРАВОЧНИКИ!$A$7:$E$22,4,FALSE)),0))</f>
        <v>108240</v>
      </c>
      <c r="T261" s="26">
        <f>IF(A261="","",IF(L261="Проведён",E261*IF(COUNTIF(Типы,C261)=0,0,VLOOKUP(C261,СПРАВОЧНИКИ!$A$7:$E$22,5,FALSE)),0))</f>
        <v>108240</v>
      </c>
      <c r="U261" s="5" t="str">
        <f>IF(A261="","",IF(COUNTIF(Контрагенты,H261)=0,"Не задан",VLOOKUP(H261,СПРАВОЧНИКИ!$G$7:$H$66,2,FALSE)))</f>
        <v>ЮЛ</v>
      </c>
      <c r="V261" s="4" t="str">
        <f>IF(A261="",IF(COUNTA(B261:O261)&gt;0,"НЕТ ID",""),IF(OR(AND(OR(C261="Оплата клиента",C261="Возврат клиенту"),COUNTIFS(Docs[ID],J261,Docs[Тип долга],"ДЗ")&lt;&gt;1),AND(OR(C261="Оплата поставщику",C261="Возврат поставщика"),COUNTIFS(Docs[ID],J261,Docs[Тип долга],"КЗ",Docs[Вид],"&lt;&gt;Дивиденды")&lt;&gt;1),AND(C261="Дивиденды",COUNTIFS(Docs[ID],J261,Docs[Вид],"Дивиденды")&lt;&gt;1),AND(C261="Проценты",COUNTIFS(Docs[ID],J261,Docs[Вид],"Проценты")&lt;&gt;1),COUNTIF(Cash[ID],A261)&gt;1,NOT(ISNUMBER(B261)),B261&lt;НачалоУчета,YEAR(B261)&lt;&gt;Год,NOT(ISNUMBER(E261)),E261&lt;=0,N261&lt;0,COUNTIF(Типы,C261)&lt;&gt;1,COUNTIF(Категории,D261)&lt;&gt;1,COUNTIF(Счета,F261)&lt;&gt;1,COUNTIF(Проекты,I261)&lt;&gt;1,AND(H261&lt;&gt;"",COUNTIF(Контрагенты,H261)&lt;&gt;1),AND(C261="Перевод",OR(F261=G261,COUNTIF(Счета,G261)&lt;&gt;1)),AND(S261&lt;&gt;0,COUNTIF(Docs[ID],J261)&lt;&gt;1),AND(Форма="ООО",C261="Вывод ИП"),AND(Форма="ИП",C261="Дивиденды"),AND(L261&lt;&gt;"Проведён",L261&lt;&gt;"Черновик")),"ОШИБКА","ОК"))</f>
        <v>ОК</v>
      </c>
      <c r="W261" s="25">
        <f>IF(A261="","",SUMIF(Accounts[Счёт],F261,Accounts[Начальный])+SUMIFS($Q$7:Q261,$F$7:F261,F261)+SUMIFS($E$7:E261,$G$7:G261,F261,$C$7:C261,"Перевод",$L$7:L261,"Проведён"))</f>
        <v>1468650.4700000002</v>
      </c>
    </row>
    <row r="262" spans="1:23" x14ac:dyDescent="0.25">
      <c r="A262" s="3" t="s">
        <v>920</v>
      </c>
      <c r="B262" s="19">
        <v>46370</v>
      </c>
      <c r="C262" s="3" t="s">
        <v>484</v>
      </c>
      <c r="D262" s="3" t="s">
        <v>485</v>
      </c>
      <c r="E262" s="24">
        <v>88560</v>
      </c>
      <c r="F262" s="3" t="s">
        <v>474</v>
      </c>
      <c r="G262" s="3"/>
      <c r="H262" s="3" t="s">
        <v>492</v>
      </c>
      <c r="I262" s="3" t="s">
        <v>382</v>
      </c>
      <c r="J262" s="3" t="s">
        <v>921</v>
      </c>
      <c r="K262" s="3" t="s">
        <v>484</v>
      </c>
      <c r="L262" s="3" t="s">
        <v>476</v>
      </c>
      <c r="M262" s="3"/>
      <c r="N262" s="24">
        <v>0</v>
      </c>
      <c r="O262" s="3"/>
      <c r="P262" s="5">
        <f>IF(A262="","",IF(COUNTIF(Типы,C262)=0,0,VLOOKUP(C262,СПРАВОЧНИКИ!$A$7:$E$22,2,FALSE)))</f>
        <v>1</v>
      </c>
      <c r="Q262" s="25">
        <f t="shared" si="3"/>
        <v>88560</v>
      </c>
      <c r="R262" s="5" t="str">
        <f>IF(A262="","",IF(COUNTIF(Типы,C262)=0,"НЕИЗВЕСТНЫЙ ТИП",VLOOKUP(C262,СПРАВОЧНИКИ!$A$7:$E$22,3,FALSE)))</f>
        <v>Операционный</v>
      </c>
      <c r="S262" s="26">
        <f>IF(A262="","",IF(L262="Проведён",E262*IF(COUNTIF(Типы,C262)=0,0,VLOOKUP(C262,СПРАВОЧНИКИ!$A$7:$E$22,4,FALSE)),0))</f>
        <v>88560</v>
      </c>
      <c r="T262" s="26">
        <f>IF(A262="","",IF(L262="Проведён",E262*IF(COUNTIF(Типы,C262)=0,0,VLOOKUP(C262,СПРАВОЧНИКИ!$A$7:$E$22,5,FALSE)),0))</f>
        <v>88560</v>
      </c>
      <c r="U262" s="5" t="str">
        <f>IF(A262="","",IF(COUNTIF(Контрагенты,H262)=0,"Не задан",VLOOKUP(H262,СПРАВОЧНИКИ!$G$7:$H$66,2,FALSE)))</f>
        <v>ИП</v>
      </c>
      <c r="V262" s="4" t="str">
        <f>IF(A262="",IF(COUNTA(B262:O262)&gt;0,"НЕТ ID",""),IF(OR(AND(OR(C262="Оплата клиента",C262="Возврат клиенту"),COUNTIFS(Docs[ID],J262,Docs[Тип долга],"ДЗ")&lt;&gt;1),AND(OR(C262="Оплата поставщику",C262="Возврат поставщика"),COUNTIFS(Docs[ID],J262,Docs[Тип долга],"КЗ",Docs[Вид],"&lt;&gt;Дивиденды")&lt;&gt;1),AND(C262="Дивиденды",COUNTIFS(Docs[ID],J262,Docs[Вид],"Дивиденды")&lt;&gt;1),AND(C262="Проценты",COUNTIFS(Docs[ID],J262,Docs[Вид],"Проценты")&lt;&gt;1),COUNTIF(Cash[ID],A262)&gt;1,NOT(ISNUMBER(B262)),B262&lt;НачалоУчета,YEAR(B262)&lt;&gt;Год,NOT(ISNUMBER(E262)),E262&lt;=0,N262&lt;0,COUNTIF(Типы,C262)&lt;&gt;1,COUNTIF(Категории,D262)&lt;&gt;1,COUNTIF(Счета,F262)&lt;&gt;1,COUNTIF(Проекты,I262)&lt;&gt;1,AND(H262&lt;&gt;"",COUNTIF(Контрагенты,H262)&lt;&gt;1),AND(C262="Перевод",OR(F262=G262,COUNTIF(Счета,G262)&lt;&gt;1)),AND(S262&lt;&gt;0,COUNTIF(Docs[ID],J262)&lt;&gt;1),AND(Форма="ООО",C262="Вывод ИП"),AND(Форма="ИП",C262="Дивиденды"),AND(L262&lt;&gt;"Проведён",L262&lt;&gt;"Черновик")),"ОШИБКА","ОК"))</f>
        <v>ОК</v>
      </c>
      <c r="W262" s="25">
        <f>IF(A262="","",SUMIF(Accounts[Счёт],F262,Accounts[Начальный])+SUMIFS($Q$7:Q262,$F$7:F262,F262)+SUMIFS($E$7:E262,$G$7:G262,F262,$C$7:C262,"Перевод",$L$7:L262,"Проведён"))</f>
        <v>1557210.4700000002</v>
      </c>
    </row>
    <row r="263" spans="1:23" x14ac:dyDescent="0.25">
      <c r="A263" s="3" t="s">
        <v>922</v>
      </c>
      <c r="B263" s="19">
        <v>46371</v>
      </c>
      <c r="C263" s="3" t="s">
        <v>484</v>
      </c>
      <c r="D263" s="3" t="s">
        <v>485</v>
      </c>
      <c r="E263" s="24">
        <v>68880</v>
      </c>
      <c r="F263" s="3" t="s">
        <v>474</v>
      </c>
      <c r="G263" s="3"/>
      <c r="H263" s="3" t="s">
        <v>495</v>
      </c>
      <c r="I263" s="3" t="s">
        <v>381</v>
      </c>
      <c r="J263" s="3" t="s">
        <v>923</v>
      </c>
      <c r="K263" s="3" t="s">
        <v>484</v>
      </c>
      <c r="L263" s="3" t="s">
        <v>476</v>
      </c>
      <c r="M263" s="3"/>
      <c r="N263" s="24">
        <v>0</v>
      </c>
      <c r="O263" s="3"/>
      <c r="P263" s="5">
        <f>IF(A263="","",IF(COUNTIF(Типы,C263)=0,0,VLOOKUP(C263,СПРАВОЧНИКИ!$A$7:$E$22,2,FALSE)))</f>
        <v>1</v>
      </c>
      <c r="Q263" s="25">
        <f t="shared" ref="Q263:Q326" si="4">IF(A263="","",IF(L263="Проведён",E263*P263,0))</f>
        <v>68880</v>
      </c>
      <c r="R263" s="5" t="str">
        <f>IF(A263="","",IF(COUNTIF(Типы,C263)=0,"НЕИЗВЕСТНЫЙ ТИП",VLOOKUP(C263,СПРАВОЧНИКИ!$A$7:$E$22,3,FALSE)))</f>
        <v>Операционный</v>
      </c>
      <c r="S263" s="26">
        <f>IF(A263="","",IF(L263="Проведён",E263*IF(COUNTIF(Типы,C263)=0,0,VLOOKUP(C263,СПРАВОЧНИКИ!$A$7:$E$22,4,FALSE)),0))</f>
        <v>68880</v>
      </c>
      <c r="T263" s="26">
        <f>IF(A263="","",IF(L263="Проведён",E263*IF(COUNTIF(Типы,C263)=0,0,VLOOKUP(C263,СПРАВОЧНИКИ!$A$7:$E$22,5,FALSE)),0))</f>
        <v>68880</v>
      </c>
      <c r="U263" s="5" t="str">
        <f>IF(A263="","",IF(COUNTIF(Контрагенты,H263)=0,"Не задан",VLOOKUP(H263,СПРАВОЧНИКИ!$G$7:$H$66,2,FALSE)))</f>
        <v>ЮЛ</v>
      </c>
      <c r="V263" s="4" t="str">
        <f>IF(A263="",IF(COUNTA(B263:O263)&gt;0,"НЕТ ID",""),IF(OR(AND(OR(C263="Оплата клиента",C263="Возврат клиенту"),COUNTIFS(Docs[ID],J263,Docs[Тип долга],"ДЗ")&lt;&gt;1),AND(OR(C263="Оплата поставщику",C263="Возврат поставщика"),COUNTIFS(Docs[ID],J263,Docs[Тип долга],"КЗ",Docs[Вид],"&lt;&gt;Дивиденды")&lt;&gt;1),AND(C263="Дивиденды",COUNTIFS(Docs[ID],J263,Docs[Вид],"Дивиденды")&lt;&gt;1),AND(C263="Проценты",COUNTIFS(Docs[ID],J263,Docs[Вид],"Проценты")&lt;&gt;1),COUNTIF(Cash[ID],A263)&gt;1,NOT(ISNUMBER(B263)),B263&lt;НачалоУчета,YEAR(B263)&lt;&gt;Год,NOT(ISNUMBER(E263)),E263&lt;=0,N263&lt;0,COUNTIF(Типы,C263)&lt;&gt;1,COUNTIF(Категории,D263)&lt;&gt;1,COUNTIF(Счета,F263)&lt;&gt;1,COUNTIF(Проекты,I263)&lt;&gt;1,AND(H263&lt;&gt;"",COUNTIF(Контрагенты,H263)&lt;&gt;1),AND(C263="Перевод",OR(F263=G263,COUNTIF(Счета,G263)&lt;&gt;1)),AND(S263&lt;&gt;0,COUNTIF(Docs[ID],J263)&lt;&gt;1),AND(Форма="ООО",C263="Вывод ИП"),AND(Форма="ИП",C263="Дивиденды"),AND(L263&lt;&gt;"Проведён",L263&lt;&gt;"Черновик")),"ОШИБКА","ОК"))</f>
        <v>ОК</v>
      </c>
      <c r="W263" s="25">
        <f>IF(A263="","",SUMIF(Accounts[Счёт],F263,Accounts[Начальный])+SUMIFS($Q$7:Q263,$F$7:F263,F263)+SUMIFS($E$7:E263,$G$7:G263,F263,$C$7:C263,"Перевод",$L$7:L263,"Проведён"))</f>
        <v>1626090.4700000002</v>
      </c>
    </row>
    <row r="264" spans="1:23" x14ac:dyDescent="0.25">
      <c r="A264" s="3" t="s">
        <v>924</v>
      </c>
      <c r="B264" s="19">
        <v>46372</v>
      </c>
      <c r="C264" s="3" t="s">
        <v>484</v>
      </c>
      <c r="D264" s="3" t="s">
        <v>485</v>
      </c>
      <c r="E264" s="24">
        <v>49200</v>
      </c>
      <c r="F264" s="3" t="s">
        <v>474</v>
      </c>
      <c r="G264" s="3"/>
      <c r="H264" s="3" t="s">
        <v>498</v>
      </c>
      <c r="I264" s="3" t="s">
        <v>298</v>
      </c>
      <c r="J264" s="3" t="s">
        <v>925</v>
      </c>
      <c r="K264" s="3" t="s">
        <v>484</v>
      </c>
      <c r="L264" s="3" t="s">
        <v>476</v>
      </c>
      <c r="M264" s="3"/>
      <c r="N264" s="24">
        <v>0</v>
      </c>
      <c r="O264" s="3"/>
      <c r="P264" s="5">
        <f>IF(A264="","",IF(COUNTIF(Типы,C264)=0,0,VLOOKUP(C264,СПРАВОЧНИКИ!$A$7:$E$22,2,FALSE)))</f>
        <v>1</v>
      </c>
      <c r="Q264" s="25">
        <f t="shared" si="4"/>
        <v>49200</v>
      </c>
      <c r="R264" s="5" t="str">
        <f>IF(A264="","",IF(COUNTIF(Типы,C264)=0,"НЕИЗВЕСТНЫЙ ТИП",VLOOKUP(C264,СПРАВОЧНИКИ!$A$7:$E$22,3,FALSE)))</f>
        <v>Операционный</v>
      </c>
      <c r="S264" s="26">
        <f>IF(A264="","",IF(L264="Проведён",E264*IF(COUNTIF(Типы,C264)=0,0,VLOOKUP(C264,СПРАВОЧНИКИ!$A$7:$E$22,4,FALSE)),0))</f>
        <v>49200</v>
      </c>
      <c r="T264" s="26">
        <f>IF(A264="","",IF(L264="Проведён",E264*IF(COUNTIF(Типы,C264)=0,0,VLOOKUP(C264,СПРАВОЧНИКИ!$A$7:$E$22,5,FALSE)),0))</f>
        <v>49200</v>
      </c>
      <c r="U264" s="5" t="str">
        <f>IF(A264="","",IF(COUNTIF(Контрагенты,H264)=0,"Не задан",VLOOKUP(H264,СПРАВОЧНИКИ!$G$7:$H$66,2,FALSE)))</f>
        <v>ФЛ</v>
      </c>
      <c r="V264" s="4" t="str">
        <f>IF(A264="",IF(COUNTA(B264:O264)&gt;0,"НЕТ ID",""),IF(OR(AND(OR(C264="Оплата клиента",C264="Возврат клиенту"),COUNTIFS(Docs[ID],J264,Docs[Тип долга],"ДЗ")&lt;&gt;1),AND(OR(C264="Оплата поставщику",C264="Возврат поставщика"),COUNTIFS(Docs[ID],J264,Docs[Тип долга],"КЗ",Docs[Вид],"&lt;&gt;Дивиденды")&lt;&gt;1),AND(C264="Дивиденды",COUNTIFS(Docs[ID],J264,Docs[Вид],"Дивиденды")&lt;&gt;1),AND(C264="Проценты",COUNTIFS(Docs[ID],J264,Docs[Вид],"Проценты")&lt;&gt;1),COUNTIF(Cash[ID],A264)&gt;1,NOT(ISNUMBER(B264)),B264&lt;НачалоУчета,YEAR(B264)&lt;&gt;Год,NOT(ISNUMBER(E264)),E264&lt;=0,N264&lt;0,COUNTIF(Типы,C264)&lt;&gt;1,COUNTIF(Категории,D264)&lt;&gt;1,COUNTIF(Счета,F264)&lt;&gt;1,COUNTIF(Проекты,I264)&lt;&gt;1,AND(H264&lt;&gt;"",COUNTIF(Контрагенты,H264)&lt;&gt;1),AND(C264="Перевод",OR(F264=G264,COUNTIF(Счета,G264)&lt;&gt;1)),AND(S264&lt;&gt;0,COUNTIF(Docs[ID],J264)&lt;&gt;1),AND(Форма="ООО",C264="Вывод ИП"),AND(Форма="ИП",C264="Дивиденды"),AND(L264&lt;&gt;"Проведён",L264&lt;&gt;"Черновик")),"ОШИБКА","ОК"))</f>
        <v>ОК</v>
      </c>
      <c r="W264" s="25">
        <f>IF(A264="","",SUMIF(Accounts[Счёт],F264,Accounts[Начальный])+SUMIFS($Q$7:Q264,$F$7:F264,F264)+SUMIFS($E$7:E264,$G$7:G264,F264,$C$7:C264,"Перевод",$L$7:L264,"Проведён"))</f>
        <v>1675290.4700000002</v>
      </c>
    </row>
    <row r="265" spans="1:23" x14ac:dyDescent="0.25">
      <c r="A265" s="3" t="s">
        <v>926</v>
      </c>
      <c r="B265" s="19">
        <v>46373</v>
      </c>
      <c r="C265" s="3" t="s">
        <v>484</v>
      </c>
      <c r="D265" s="3" t="s">
        <v>485</v>
      </c>
      <c r="E265" s="24">
        <v>39360</v>
      </c>
      <c r="F265" s="3" t="s">
        <v>474</v>
      </c>
      <c r="G265" s="3"/>
      <c r="H265" s="3" t="s">
        <v>501</v>
      </c>
      <c r="I265" s="3" t="s">
        <v>382</v>
      </c>
      <c r="J265" s="3" t="s">
        <v>927</v>
      </c>
      <c r="K265" s="3" t="s">
        <v>484</v>
      </c>
      <c r="L265" s="3" t="s">
        <v>476</v>
      </c>
      <c r="M265" s="3"/>
      <c r="N265" s="24">
        <v>0</v>
      </c>
      <c r="O265" s="3"/>
      <c r="P265" s="5">
        <f>IF(A265="","",IF(COUNTIF(Типы,C265)=0,0,VLOOKUP(C265,СПРАВОЧНИКИ!$A$7:$E$22,2,FALSE)))</f>
        <v>1</v>
      </c>
      <c r="Q265" s="25">
        <f t="shared" si="4"/>
        <v>39360</v>
      </c>
      <c r="R265" s="5" t="str">
        <f>IF(A265="","",IF(COUNTIF(Типы,C265)=0,"НЕИЗВЕСТНЫЙ ТИП",VLOOKUP(C265,СПРАВОЧНИКИ!$A$7:$E$22,3,FALSE)))</f>
        <v>Операционный</v>
      </c>
      <c r="S265" s="26">
        <f>IF(A265="","",IF(L265="Проведён",E265*IF(COUNTIF(Типы,C265)=0,0,VLOOKUP(C265,СПРАВОЧНИКИ!$A$7:$E$22,4,FALSE)),0))</f>
        <v>39360</v>
      </c>
      <c r="T265" s="26">
        <f>IF(A265="","",IF(L265="Проведён",E265*IF(COUNTIF(Типы,C265)=0,0,VLOOKUP(C265,СПРАВОЧНИКИ!$A$7:$E$22,5,FALSE)),0))</f>
        <v>39360</v>
      </c>
      <c r="U265" s="5" t="str">
        <f>IF(A265="","",IF(COUNTIF(Контрагенты,H265)=0,"Не задан",VLOOKUP(H265,СПРАВОЧНИКИ!$G$7:$H$66,2,FALSE)))</f>
        <v>ЮЛ</v>
      </c>
      <c r="V265" s="4" t="str">
        <f>IF(A265="",IF(COUNTA(B265:O265)&gt;0,"НЕТ ID",""),IF(OR(AND(OR(C265="Оплата клиента",C265="Возврат клиенту"),COUNTIFS(Docs[ID],J265,Docs[Тип долга],"ДЗ")&lt;&gt;1),AND(OR(C265="Оплата поставщику",C265="Возврат поставщика"),COUNTIFS(Docs[ID],J265,Docs[Тип долга],"КЗ",Docs[Вид],"&lt;&gt;Дивиденды")&lt;&gt;1),AND(C265="Дивиденды",COUNTIFS(Docs[ID],J265,Docs[Вид],"Дивиденды")&lt;&gt;1),AND(C265="Проценты",COUNTIFS(Docs[ID],J265,Docs[Вид],"Проценты")&lt;&gt;1),COUNTIF(Cash[ID],A265)&gt;1,NOT(ISNUMBER(B265)),B265&lt;НачалоУчета,YEAR(B265)&lt;&gt;Год,NOT(ISNUMBER(E265)),E265&lt;=0,N265&lt;0,COUNTIF(Типы,C265)&lt;&gt;1,COUNTIF(Категории,D265)&lt;&gt;1,COUNTIF(Счета,F265)&lt;&gt;1,COUNTIF(Проекты,I265)&lt;&gt;1,AND(H265&lt;&gt;"",COUNTIF(Контрагенты,H265)&lt;&gt;1),AND(C265="Перевод",OR(F265=G265,COUNTIF(Счета,G265)&lt;&gt;1)),AND(S265&lt;&gt;0,COUNTIF(Docs[ID],J265)&lt;&gt;1),AND(Форма="ООО",C265="Вывод ИП"),AND(Форма="ИП",C265="Дивиденды"),AND(L265&lt;&gt;"Проведён",L265&lt;&gt;"Черновик")),"ОШИБКА","ОК"))</f>
        <v>ОК</v>
      </c>
      <c r="W265" s="25">
        <f>IF(A265="","",SUMIF(Accounts[Счёт],F265,Accounts[Начальный])+SUMIFS($Q$7:Q265,$F$7:F265,F265)+SUMIFS($E$7:E265,$G$7:G265,F265,$C$7:C265,"Перевод",$L$7:L265,"Проведён"))</f>
        <v>1714650.4700000002</v>
      </c>
    </row>
    <row r="266" spans="1:23" x14ac:dyDescent="0.25">
      <c r="A266" s="3" t="s">
        <v>928</v>
      </c>
      <c r="B266" s="19">
        <v>46378</v>
      </c>
      <c r="C266" s="3" t="s">
        <v>504</v>
      </c>
      <c r="D266" s="3" t="s">
        <v>505</v>
      </c>
      <c r="E266" s="24">
        <v>131200</v>
      </c>
      <c r="F266" s="3" t="s">
        <v>474</v>
      </c>
      <c r="G266" s="3"/>
      <c r="H266" s="3" t="s">
        <v>506</v>
      </c>
      <c r="I266" s="3" t="s">
        <v>298</v>
      </c>
      <c r="J266" s="3" t="s">
        <v>929</v>
      </c>
      <c r="K266" s="3" t="s">
        <v>504</v>
      </c>
      <c r="L266" s="3" t="s">
        <v>476</v>
      </c>
      <c r="M266" s="3"/>
      <c r="N266" s="24">
        <v>131200</v>
      </c>
      <c r="O266" s="3"/>
      <c r="P266" s="5">
        <f>IF(A266="","",IF(COUNTIF(Типы,C266)=0,0,VLOOKUP(C266,СПРАВОЧНИКИ!$A$7:$E$22,2,FALSE)))</f>
        <v>-1</v>
      </c>
      <c r="Q266" s="25">
        <f t="shared" si="4"/>
        <v>-131200</v>
      </c>
      <c r="R266" s="5" t="str">
        <f>IF(A266="","",IF(COUNTIF(Типы,C266)=0,"НЕИЗВЕСТНЫЙ ТИП",VLOOKUP(C266,СПРАВОЧНИКИ!$A$7:$E$22,3,FALSE)))</f>
        <v>Операционный</v>
      </c>
      <c r="S266" s="26">
        <f>IF(A266="","",IF(L266="Проведён",E266*IF(COUNTIF(Типы,C266)=0,0,VLOOKUP(C266,СПРАВОЧНИКИ!$A$7:$E$22,4,FALSE)),0))</f>
        <v>131200</v>
      </c>
      <c r="T266" s="26">
        <f>IF(A266="","",IF(L266="Проведён",E266*IF(COUNTIF(Типы,C266)=0,0,VLOOKUP(C266,СПРАВОЧНИКИ!$A$7:$E$22,5,FALSE)),0))</f>
        <v>0</v>
      </c>
      <c r="U266" s="5" t="str">
        <f>IF(A266="","",IF(COUNTIF(Контрагенты,H266)=0,"Не задан",VLOOKUP(H266,СПРАВОЧНИКИ!$G$7:$H$66,2,FALSE)))</f>
        <v>ИП</v>
      </c>
      <c r="V266" s="4" t="str">
        <f>IF(A266="",IF(COUNTA(B266:O266)&gt;0,"НЕТ ID",""),IF(OR(AND(OR(C266="Оплата клиента",C266="Возврат клиенту"),COUNTIFS(Docs[ID],J266,Docs[Тип долга],"ДЗ")&lt;&gt;1),AND(OR(C266="Оплата поставщику",C266="Возврат поставщика"),COUNTIFS(Docs[ID],J266,Docs[Тип долга],"КЗ",Docs[Вид],"&lt;&gt;Дивиденды")&lt;&gt;1),AND(C266="Дивиденды",COUNTIFS(Docs[ID],J266,Docs[Вид],"Дивиденды")&lt;&gt;1),AND(C266="Проценты",COUNTIFS(Docs[ID],J266,Docs[Вид],"Проценты")&lt;&gt;1),COUNTIF(Cash[ID],A266)&gt;1,NOT(ISNUMBER(B266)),B266&lt;НачалоУчета,YEAR(B266)&lt;&gt;Год,NOT(ISNUMBER(E266)),E266&lt;=0,N266&lt;0,COUNTIF(Типы,C266)&lt;&gt;1,COUNTIF(Категории,D266)&lt;&gt;1,COUNTIF(Счета,F266)&lt;&gt;1,COUNTIF(Проекты,I266)&lt;&gt;1,AND(H266&lt;&gt;"",COUNTIF(Контрагенты,H266)&lt;&gt;1),AND(C266="Перевод",OR(F266=G266,COUNTIF(Счета,G266)&lt;&gt;1)),AND(S266&lt;&gt;0,COUNTIF(Docs[ID],J266)&lt;&gt;1),AND(Форма="ООО",C266="Вывод ИП"),AND(Форма="ИП",C266="Дивиденды"),AND(L266&lt;&gt;"Проведён",L266&lt;&gt;"Черновик")),"ОШИБКА","ОК"))</f>
        <v>ОК</v>
      </c>
      <c r="W266" s="25">
        <f>IF(A266="","",SUMIF(Accounts[Счёт],F266,Accounts[Начальный])+SUMIFS($Q$7:Q266,$F$7:F266,F266)+SUMIFS($E$7:E266,$G$7:G266,F266,$C$7:C266,"Перевод",$L$7:L266,"Проведён"))</f>
        <v>1583450.4700000002</v>
      </c>
    </row>
    <row r="267" spans="1:23" x14ac:dyDescent="0.25">
      <c r="A267" s="3" t="s">
        <v>930</v>
      </c>
      <c r="B267" s="19">
        <v>46379</v>
      </c>
      <c r="C267" s="3" t="s">
        <v>504</v>
      </c>
      <c r="D267" s="3" t="s">
        <v>509</v>
      </c>
      <c r="E267" s="24">
        <v>65000</v>
      </c>
      <c r="F267" s="3" t="s">
        <v>474</v>
      </c>
      <c r="G267" s="3"/>
      <c r="H267" s="3" t="s">
        <v>510</v>
      </c>
      <c r="I267" s="3" t="s">
        <v>383</v>
      </c>
      <c r="J267" s="3" t="s">
        <v>931</v>
      </c>
      <c r="K267" s="3" t="s">
        <v>504</v>
      </c>
      <c r="L267" s="3" t="s">
        <v>476</v>
      </c>
      <c r="M267" s="3"/>
      <c r="N267" s="24">
        <v>65000</v>
      </c>
      <c r="O267" s="3"/>
      <c r="P267" s="5">
        <f>IF(A267="","",IF(COUNTIF(Типы,C267)=0,0,VLOOKUP(C267,СПРАВОЧНИКИ!$A$7:$E$22,2,FALSE)))</f>
        <v>-1</v>
      </c>
      <c r="Q267" s="25">
        <f t="shared" si="4"/>
        <v>-65000</v>
      </c>
      <c r="R267" s="5" t="str">
        <f>IF(A267="","",IF(COUNTIF(Типы,C267)=0,"НЕИЗВЕСТНЫЙ ТИП",VLOOKUP(C267,СПРАВОЧНИКИ!$A$7:$E$22,3,FALSE)))</f>
        <v>Операционный</v>
      </c>
      <c r="S267" s="26">
        <f>IF(A267="","",IF(L267="Проведён",E267*IF(COUNTIF(Типы,C267)=0,0,VLOOKUP(C267,СПРАВОЧНИКИ!$A$7:$E$22,4,FALSE)),0))</f>
        <v>65000</v>
      </c>
      <c r="T267" s="26">
        <f>IF(A267="","",IF(L267="Проведён",E267*IF(COUNTIF(Типы,C267)=0,0,VLOOKUP(C267,СПРАВОЧНИКИ!$A$7:$E$22,5,FALSE)),0))</f>
        <v>0</v>
      </c>
      <c r="U267" s="5" t="str">
        <f>IF(A267="","",IF(COUNTIF(Контрагенты,H267)=0,"Не задан",VLOOKUP(H267,СПРАВОЧНИКИ!$G$7:$H$66,2,FALSE)))</f>
        <v>ЮЛ</v>
      </c>
      <c r="V267" s="4" t="str">
        <f>IF(A267="",IF(COUNTA(B267:O267)&gt;0,"НЕТ ID",""),IF(OR(AND(OR(C267="Оплата клиента",C267="Возврат клиенту"),COUNTIFS(Docs[ID],J267,Docs[Тип долга],"ДЗ")&lt;&gt;1),AND(OR(C267="Оплата поставщику",C267="Возврат поставщика"),COUNTIFS(Docs[ID],J267,Docs[Тип долга],"КЗ",Docs[Вид],"&lt;&gt;Дивиденды")&lt;&gt;1),AND(C267="Дивиденды",COUNTIFS(Docs[ID],J267,Docs[Вид],"Дивиденды")&lt;&gt;1),AND(C267="Проценты",COUNTIFS(Docs[ID],J267,Docs[Вид],"Проценты")&lt;&gt;1),COUNTIF(Cash[ID],A267)&gt;1,NOT(ISNUMBER(B267)),B267&lt;НачалоУчета,YEAR(B267)&lt;&gt;Год,NOT(ISNUMBER(E267)),E267&lt;=0,N267&lt;0,COUNTIF(Типы,C267)&lt;&gt;1,COUNTIF(Категории,D267)&lt;&gt;1,COUNTIF(Счета,F267)&lt;&gt;1,COUNTIF(Проекты,I267)&lt;&gt;1,AND(H267&lt;&gt;"",COUNTIF(Контрагенты,H267)&lt;&gt;1),AND(C267="Перевод",OR(F267=G267,COUNTIF(Счета,G267)&lt;&gt;1)),AND(S267&lt;&gt;0,COUNTIF(Docs[ID],J267)&lt;&gt;1),AND(Форма="ООО",C267="Вывод ИП"),AND(Форма="ИП",C267="Дивиденды"),AND(L267&lt;&gt;"Проведён",L267&lt;&gt;"Черновик")),"ОШИБКА","ОК"))</f>
        <v>ОК</v>
      </c>
      <c r="W267" s="25">
        <f>IF(A267="","",SUMIF(Accounts[Счёт],F267,Accounts[Начальный])+SUMIFS($Q$7:Q267,$F$7:F267,F267)+SUMIFS($E$7:E267,$G$7:G267,F267,$C$7:C267,"Перевод",$L$7:L267,"Проведён"))</f>
        <v>1518450.4700000002</v>
      </c>
    </row>
    <row r="268" spans="1:23" x14ac:dyDescent="0.25">
      <c r="A268" s="3" t="s">
        <v>932</v>
      </c>
      <c r="B268" s="19">
        <v>46380</v>
      </c>
      <c r="C268" s="3" t="s">
        <v>484</v>
      </c>
      <c r="D268" s="3" t="s">
        <v>485</v>
      </c>
      <c r="E268" s="24">
        <v>91840</v>
      </c>
      <c r="F268" s="3" t="s">
        <v>474</v>
      </c>
      <c r="G268" s="3"/>
      <c r="H268" s="3" t="s">
        <v>486</v>
      </c>
      <c r="I268" s="3" t="s">
        <v>381</v>
      </c>
      <c r="J268" s="3" t="s">
        <v>917</v>
      </c>
      <c r="K268" s="3" t="s">
        <v>484</v>
      </c>
      <c r="L268" s="3" t="s">
        <v>476</v>
      </c>
      <c r="M268" s="3"/>
      <c r="N268" s="24">
        <v>0</v>
      </c>
      <c r="O268" s="3"/>
      <c r="P268" s="5">
        <f>IF(A268="","",IF(COUNTIF(Типы,C268)=0,0,VLOOKUP(C268,СПРАВОЧНИКИ!$A$7:$E$22,2,FALSE)))</f>
        <v>1</v>
      </c>
      <c r="Q268" s="25">
        <f t="shared" si="4"/>
        <v>91840</v>
      </c>
      <c r="R268" s="5" t="str">
        <f>IF(A268="","",IF(COUNTIF(Типы,C268)=0,"НЕИЗВЕСТНЫЙ ТИП",VLOOKUP(C268,СПРАВОЧНИКИ!$A$7:$E$22,3,FALSE)))</f>
        <v>Операционный</v>
      </c>
      <c r="S268" s="26">
        <f>IF(A268="","",IF(L268="Проведён",E268*IF(COUNTIF(Типы,C268)=0,0,VLOOKUP(C268,СПРАВОЧНИКИ!$A$7:$E$22,4,FALSE)),0))</f>
        <v>91840</v>
      </c>
      <c r="T268" s="26">
        <f>IF(A268="","",IF(L268="Проведён",E268*IF(COUNTIF(Типы,C268)=0,0,VLOOKUP(C268,СПРАВОЧНИКИ!$A$7:$E$22,5,FALSE)),0))</f>
        <v>91840</v>
      </c>
      <c r="U268" s="5" t="str">
        <f>IF(A268="","",IF(COUNTIF(Контрагенты,H268)=0,"Не задан",VLOOKUP(H268,СПРАВОЧНИКИ!$G$7:$H$66,2,FALSE)))</f>
        <v>ЮЛ</v>
      </c>
      <c r="V268" s="4" t="str">
        <f>IF(A268="",IF(COUNTA(B268:O268)&gt;0,"НЕТ ID",""),IF(OR(AND(OR(C268="Оплата клиента",C268="Возврат клиенту"),COUNTIFS(Docs[ID],J268,Docs[Тип долга],"ДЗ")&lt;&gt;1),AND(OR(C268="Оплата поставщику",C268="Возврат поставщика"),COUNTIFS(Docs[ID],J268,Docs[Тип долга],"КЗ",Docs[Вид],"&lt;&gt;Дивиденды")&lt;&gt;1),AND(C268="Дивиденды",COUNTIFS(Docs[ID],J268,Docs[Вид],"Дивиденды")&lt;&gt;1),AND(C268="Проценты",COUNTIFS(Docs[ID],J268,Docs[Вид],"Проценты")&lt;&gt;1),COUNTIF(Cash[ID],A268)&gt;1,NOT(ISNUMBER(B268)),B268&lt;НачалоУчета,YEAR(B268)&lt;&gt;Год,NOT(ISNUMBER(E268)),E268&lt;=0,N268&lt;0,COUNTIF(Типы,C268)&lt;&gt;1,COUNTIF(Категории,D268)&lt;&gt;1,COUNTIF(Счета,F268)&lt;&gt;1,COUNTIF(Проекты,I268)&lt;&gt;1,AND(H268&lt;&gt;"",COUNTIF(Контрагенты,H268)&lt;&gt;1),AND(C268="Перевод",OR(F268=G268,COUNTIF(Счета,G268)&lt;&gt;1)),AND(S268&lt;&gt;0,COUNTIF(Docs[ID],J268)&lt;&gt;1),AND(Форма="ООО",C268="Вывод ИП"),AND(Форма="ИП",C268="Дивиденды"),AND(L268&lt;&gt;"Проведён",L268&lt;&gt;"Черновик")),"ОШИБКА","ОК"))</f>
        <v>ОК</v>
      </c>
      <c r="W268" s="25">
        <f>IF(A268="","",SUMIF(Accounts[Счёт],F268,Accounts[Начальный])+SUMIFS($Q$7:Q268,$F$7:F268,F268)+SUMIFS($E$7:E268,$G$7:G268,F268,$C$7:C268,"Перевод",$L$7:L268,"Проведён"))</f>
        <v>1610290.4700000002</v>
      </c>
    </row>
    <row r="269" spans="1:23" x14ac:dyDescent="0.25">
      <c r="A269" s="3" t="s">
        <v>933</v>
      </c>
      <c r="B269" s="19">
        <v>46380</v>
      </c>
      <c r="C269" s="3" t="s">
        <v>504</v>
      </c>
      <c r="D269" s="3" t="s">
        <v>295</v>
      </c>
      <c r="E269" s="24">
        <v>45000</v>
      </c>
      <c r="F269" s="3" t="s">
        <v>474</v>
      </c>
      <c r="G269" s="3"/>
      <c r="H269" s="3" t="s">
        <v>514</v>
      </c>
      <c r="I269" s="3" t="s">
        <v>381</v>
      </c>
      <c r="J269" s="3" t="s">
        <v>934</v>
      </c>
      <c r="K269" s="3" t="s">
        <v>504</v>
      </c>
      <c r="L269" s="3" t="s">
        <v>476</v>
      </c>
      <c r="M269" s="3"/>
      <c r="N269" s="24">
        <v>45000</v>
      </c>
      <c r="O269" s="3" t="s">
        <v>295</v>
      </c>
      <c r="P269" s="5">
        <f>IF(A269="","",IF(COUNTIF(Типы,C269)=0,0,VLOOKUP(C269,СПРАВОЧНИКИ!$A$7:$E$22,2,FALSE)))</f>
        <v>-1</v>
      </c>
      <c r="Q269" s="25">
        <f t="shared" si="4"/>
        <v>-45000</v>
      </c>
      <c r="R269" s="5" t="str">
        <f>IF(A269="","",IF(COUNTIF(Типы,C269)=0,"НЕИЗВЕСТНЫЙ ТИП",VLOOKUP(C269,СПРАВОЧНИКИ!$A$7:$E$22,3,FALSE)))</f>
        <v>Операционный</v>
      </c>
      <c r="S269" s="26">
        <f>IF(A269="","",IF(L269="Проведён",E269*IF(COUNTIF(Типы,C269)=0,0,VLOOKUP(C269,СПРАВОЧНИКИ!$A$7:$E$22,4,FALSE)),0))</f>
        <v>45000</v>
      </c>
      <c r="T269" s="26">
        <f>IF(A269="","",IF(L269="Проведён",E269*IF(COUNTIF(Типы,C269)=0,0,VLOOKUP(C269,СПРАВОЧНИКИ!$A$7:$E$22,5,FALSE)),0))</f>
        <v>0</v>
      </c>
      <c r="U269" s="5" t="str">
        <f>IF(A269="","",IF(COUNTIF(Контрагенты,H269)=0,"Не задан",VLOOKUP(H269,СПРАВОЧНИКИ!$G$7:$H$66,2,FALSE)))</f>
        <v>ЮЛ</v>
      </c>
      <c r="V269" s="4" t="str">
        <f>IF(A269="",IF(COUNTA(B269:O269)&gt;0,"НЕТ ID",""),IF(OR(AND(OR(C269="Оплата клиента",C269="Возврат клиенту"),COUNTIFS(Docs[ID],J269,Docs[Тип долга],"ДЗ")&lt;&gt;1),AND(OR(C269="Оплата поставщику",C269="Возврат поставщика"),COUNTIFS(Docs[ID],J269,Docs[Тип долга],"КЗ",Docs[Вид],"&lt;&gt;Дивиденды")&lt;&gt;1),AND(C269="Дивиденды",COUNTIFS(Docs[ID],J269,Docs[Вид],"Дивиденды")&lt;&gt;1),AND(C269="Проценты",COUNTIFS(Docs[ID],J269,Docs[Вид],"Проценты")&lt;&gt;1),COUNTIF(Cash[ID],A269)&gt;1,NOT(ISNUMBER(B269)),B269&lt;НачалоУчета,YEAR(B269)&lt;&gt;Год,NOT(ISNUMBER(E269)),E269&lt;=0,N269&lt;0,COUNTIF(Типы,C269)&lt;&gt;1,COUNTIF(Категории,D269)&lt;&gt;1,COUNTIF(Счета,F269)&lt;&gt;1,COUNTIF(Проекты,I269)&lt;&gt;1,AND(H269&lt;&gt;"",COUNTIF(Контрагенты,H269)&lt;&gt;1),AND(C269="Перевод",OR(F269=G269,COUNTIF(Счета,G269)&lt;&gt;1)),AND(S269&lt;&gt;0,COUNTIF(Docs[ID],J269)&lt;&gt;1),AND(Форма="ООО",C269="Вывод ИП"),AND(Форма="ИП",C269="Дивиденды"),AND(L269&lt;&gt;"Проведён",L269&lt;&gt;"Черновик")),"ОШИБКА","ОК"))</f>
        <v>ОК</v>
      </c>
      <c r="W269" s="25">
        <f>IF(A269="","",SUMIF(Accounts[Счёт],F269,Accounts[Начальный])+SUMIFS($Q$7:Q269,$F$7:F269,F269)+SUMIFS($E$7:E269,$G$7:G269,F269,$C$7:C269,"Перевод",$L$7:L269,"Проведён"))</f>
        <v>1565290.4700000002</v>
      </c>
    </row>
    <row r="270" spans="1:23" x14ac:dyDescent="0.25">
      <c r="A270" s="3" t="s">
        <v>935</v>
      </c>
      <c r="B270" s="19">
        <v>46381</v>
      </c>
      <c r="C270" s="3" t="s">
        <v>484</v>
      </c>
      <c r="D270" s="3" t="s">
        <v>485</v>
      </c>
      <c r="E270" s="24">
        <v>72160</v>
      </c>
      <c r="F270" s="3" t="s">
        <v>474</v>
      </c>
      <c r="G270" s="3"/>
      <c r="H270" s="3" t="s">
        <v>489</v>
      </c>
      <c r="I270" s="3" t="s">
        <v>298</v>
      </c>
      <c r="J270" s="3" t="s">
        <v>919</v>
      </c>
      <c r="K270" s="3" t="s">
        <v>484</v>
      </c>
      <c r="L270" s="3" t="s">
        <v>476</v>
      </c>
      <c r="M270" s="3"/>
      <c r="N270" s="24">
        <v>0</v>
      </c>
      <c r="O270" s="3"/>
      <c r="P270" s="5">
        <f>IF(A270="","",IF(COUNTIF(Типы,C270)=0,0,VLOOKUP(C270,СПРАВОЧНИКИ!$A$7:$E$22,2,FALSE)))</f>
        <v>1</v>
      </c>
      <c r="Q270" s="25">
        <f t="shared" si="4"/>
        <v>72160</v>
      </c>
      <c r="R270" s="5" t="str">
        <f>IF(A270="","",IF(COUNTIF(Типы,C270)=0,"НЕИЗВЕСТНЫЙ ТИП",VLOOKUP(C270,СПРАВОЧНИКИ!$A$7:$E$22,3,FALSE)))</f>
        <v>Операционный</v>
      </c>
      <c r="S270" s="26">
        <f>IF(A270="","",IF(L270="Проведён",E270*IF(COUNTIF(Типы,C270)=0,0,VLOOKUP(C270,СПРАВОЧНИКИ!$A$7:$E$22,4,FALSE)),0))</f>
        <v>72160</v>
      </c>
      <c r="T270" s="26">
        <f>IF(A270="","",IF(L270="Проведён",E270*IF(COUNTIF(Типы,C270)=0,0,VLOOKUP(C270,СПРАВОЧНИКИ!$A$7:$E$22,5,FALSE)),0))</f>
        <v>72160</v>
      </c>
      <c r="U270" s="5" t="str">
        <f>IF(A270="","",IF(COUNTIF(Контрагенты,H270)=0,"Не задан",VLOOKUP(H270,СПРАВОЧНИКИ!$G$7:$H$66,2,FALSE)))</f>
        <v>ЮЛ</v>
      </c>
      <c r="V270" s="4" t="str">
        <f>IF(A270="",IF(COUNTA(B270:O270)&gt;0,"НЕТ ID",""),IF(OR(AND(OR(C270="Оплата клиента",C270="Возврат клиенту"),COUNTIFS(Docs[ID],J270,Docs[Тип долга],"ДЗ")&lt;&gt;1),AND(OR(C270="Оплата поставщику",C270="Возврат поставщика"),COUNTIFS(Docs[ID],J270,Docs[Тип долга],"КЗ",Docs[Вид],"&lt;&gt;Дивиденды")&lt;&gt;1),AND(C270="Дивиденды",COUNTIFS(Docs[ID],J270,Docs[Вид],"Дивиденды")&lt;&gt;1),AND(C270="Проценты",COUNTIFS(Docs[ID],J270,Docs[Вид],"Проценты")&lt;&gt;1),COUNTIF(Cash[ID],A270)&gt;1,NOT(ISNUMBER(B270)),B270&lt;НачалоУчета,YEAR(B270)&lt;&gt;Год,NOT(ISNUMBER(E270)),E270&lt;=0,N270&lt;0,COUNTIF(Типы,C270)&lt;&gt;1,COUNTIF(Категории,D270)&lt;&gt;1,COUNTIF(Счета,F270)&lt;&gt;1,COUNTIF(Проекты,I270)&lt;&gt;1,AND(H270&lt;&gt;"",COUNTIF(Контрагенты,H270)&lt;&gt;1),AND(C270="Перевод",OR(F270=G270,COUNTIF(Счета,G270)&lt;&gt;1)),AND(S270&lt;&gt;0,COUNTIF(Docs[ID],J270)&lt;&gt;1),AND(Форма="ООО",C270="Вывод ИП"),AND(Форма="ИП",C270="Дивиденды"),AND(L270&lt;&gt;"Проведён",L270&lt;&gt;"Черновик")),"ОШИБКА","ОК"))</f>
        <v>ОК</v>
      </c>
      <c r="W270" s="25">
        <f>IF(A270="","",SUMIF(Accounts[Счёт],F270,Accounts[Начальный])+SUMIFS($Q$7:Q270,$F$7:F270,F270)+SUMIFS($E$7:E270,$G$7:G270,F270,$C$7:C270,"Перевод",$L$7:L270,"Проведён"))</f>
        <v>1637450.4700000002</v>
      </c>
    </row>
    <row r="271" spans="1:23" x14ac:dyDescent="0.25">
      <c r="A271" s="3" t="s">
        <v>936</v>
      </c>
      <c r="B271" s="19">
        <v>46381</v>
      </c>
      <c r="C271" s="3" t="s">
        <v>504</v>
      </c>
      <c r="D271" s="3" t="s">
        <v>518</v>
      </c>
      <c r="E271" s="24">
        <v>18000</v>
      </c>
      <c r="F271" s="3" t="s">
        <v>474</v>
      </c>
      <c r="G271" s="3"/>
      <c r="H271" s="3" t="s">
        <v>519</v>
      </c>
      <c r="I271" s="3" t="s">
        <v>383</v>
      </c>
      <c r="J271" s="3" t="s">
        <v>937</v>
      </c>
      <c r="K271" s="3" t="s">
        <v>504</v>
      </c>
      <c r="L271" s="3" t="s">
        <v>476</v>
      </c>
      <c r="M271" s="3"/>
      <c r="N271" s="24">
        <v>18000</v>
      </c>
      <c r="O271" s="3"/>
      <c r="P271" s="5">
        <f>IF(A271="","",IF(COUNTIF(Типы,C271)=0,0,VLOOKUP(C271,СПРАВОЧНИКИ!$A$7:$E$22,2,FALSE)))</f>
        <v>-1</v>
      </c>
      <c r="Q271" s="25">
        <f t="shared" si="4"/>
        <v>-18000</v>
      </c>
      <c r="R271" s="5" t="str">
        <f>IF(A271="","",IF(COUNTIF(Типы,C271)=0,"НЕИЗВЕСТНЫЙ ТИП",VLOOKUP(C271,СПРАВОЧНИКИ!$A$7:$E$22,3,FALSE)))</f>
        <v>Операционный</v>
      </c>
      <c r="S271" s="26">
        <f>IF(A271="","",IF(L271="Проведён",E271*IF(COUNTIF(Типы,C271)=0,0,VLOOKUP(C271,СПРАВОЧНИКИ!$A$7:$E$22,4,FALSE)),0))</f>
        <v>18000</v>
      </c>
      <c r="T271" s="26">
        <f>IF(A271="","",IF(L271="Проведён",E271*IF(COUNTIF(Типы,C271)=0,0,VLOOKUP(C271,СПРАВОЧНИКИ!$A$7:$E$22,5,FALSE)),0))</f>
        <v>0</v>
      </c>
      <c r="U271" s="5" t="str">
        <f>IF(A271="","",IF(COUNTIF(Контрагенты,H271)=0,"Не задан",VLOOKUP(H271,СПРАВОЧНИКИ!$G$7:$H$66,2,FALSE)))</f>
        <v>ЮЛ</v>
      </c>
      <c r="V271" s="4" t="str">
        <f>IF(A271="",IF(COUNTA(B271:O271)&gt;0,"НЕТ ID",""),IF(OR(AND(OR(C271="Оплата клиента",C271="Возврат клиенту"),COUNTIFS(Docs[ID],J271,Docs[Тип долга],"ДЗ")&lt;&gt;1),AND(OR(C271="Оплата поставщику",C271="Возврат поставщика"),COUNTIFS(Docs[ID],J271,Docs[Тип долга],"КЗ",Docs[Вид],"&lt;&gt;Дивиденды")&lt;&gt;1),AND(C271="Дивиденды",COUNTIFS(Docs[ID],J271,Docs[Вид],"Дивиденды")&lt;&gt;1),AND(C271="Проценты",COUNTIFS(Docs[ID],J271,Docs[Вид],"Проценты")&lt;&gt;1),COUNTIF(Cash[ID],A271)&gt;1,NOT(ISNUMBER(B271)),B271&lt;НачалоУчета,YEAR(B271)&lt;&gt;Год,NOT(ISNUMBER(E271)),E271&lt;=0,N271&lt;0,COUNTIF(Типы,C271)&lt;&gt;1,COUNTIF(Категории,D271)&lt;&gt;1,COUNTIF(Счета,F271)&lt;&gt;1,COUNTIF(Проекты,I271)&lt;&gt;1,AND(H271&lt;&gt;"",COUNTIF(Контрагенты,H271)&lt;&gt;1),AND(C271="Перевод",OR(F271=G271,COUNTIF(Счета,G271)&lt;&gt;1)),AND(S271&lt;&gt;0,COUNTIF(Docs[ID],J271)&lt;&gt;1),AND(Форма="ООО",C271="Вывод ИП"),AND(Форма="ИП",C271="Дивиденды"),AND(L271&lt;&gt;"Проведён",L271&lt;&gt;"Черновик")),"ОШИБКА","ОК"))</f>
        <v>ОК</v>
      </c>
      <c r="W271" s="25">
        <f>IF(A271="","",SUMIF(Accounts[Счёт],F271,Accounts[Начальный])+SUMIFS($Q$7:Q271,$F$7:F271,F271)+SUMIFS($E$7:E271,$G$7:G271,F271,$C$7:C271,"Перевод",$L$7:L271,"Проведён"))</f>
        <v>1619450.4700000002</v>
      </c>
    </row>
    <row r="272" spans="1:23" x14ac:dyDescent="0.25">
      <c r="A272" s="3" t="s">
        <v>938</v>
      </c>
      <c r="B272" s="19">
        <v>46382</v>
      </c>
      <c r="C272" s="3" t="s">
        <v>484</v>
      </c>
      <c r="D272" s="3" t="s">
        <v>485</v>
      </c>
      <c r="E272" s="24">
        <v>59040</v>
      </c>
      <c r="F272" s="3" t="s">
        <v>474</v>
      </c>
      <c r="G272" s="3"/>
      <c r="H272" s="3" t="s">
        <v>492</v>
      </c>
      <c r="I272" s="3" t="s">
        <v>382</v>
      </c>
      <c r="J272" s="3" t="s">
        <v>921</v>
      </c>
      <c r="K272" s="3" t="s">
        <v>484</v>
      </c>
      <c r="L272" s="3" t="s">
        <v>476</v>
      </c>
      <c r="M272" s="3"/>
      <c r="N272" s="24">
        <v>0</v>
      </c>
      <c r="O272" s="3"/>
      <c r="P272" s="5">
        <f>IF(A272="","",IF(COUNTIF(Типы,C272)=0,0,VLOOKUP(C272,СПРАВОЧНИКИ!$A$7:$E$22,2,FALSE)))</f>
        <v>1</v>
      </c>
      <c r="Q272" s="25">
        <f t="shared" si="4"/>
        <v>59040</v>
      </c>
      <c r="R272" s="5" t="str">
        <f>IF(A272="","",IF(COUNTIF(Типы,C272)=0,"НЕИЗВЕСТНЫЙ ТИП",VLOOKUP(C272,СПРАВОЧНИКИ!$A$7:$E$22,3,FALSE)))</f>
        <v>Операционный</v>
      </c>
      <c r="S272" s="26">
        <f>IF(A272="","",IF(L272="Проведён",E272*IF(COUNTIF(Типы,C272)=0,0,VLOOKUP(C272,СПРАВОЧНИКИ!$A$7:$E$22,4,FALSE)),0))</f>
        <v>59040</v>
      </c>
      <c r="T272" s="26">
        <f>IF(A272="","",IF(L272="Проведён",E272*IF(COUNTIF(Типы,C272)=0,0,VLOOKUP(C272,СПРАВОЧНИКИ!$A$7:$E$22,5,FALSE)),0))</f>
        <v>59040</v>
      </c>
      <c r="U272" s="5" t="str">
        <f>IF(A272="","",IF(COUNTIF(Контрагенты,H272)=0,"Не задан",VLOOKUP(H272,СПРАВОЧНИКИ!$G$7:$H$66,2,FALSE)))</f>
        <v>ИП</v>
      </c>
      <c r="V272" s="4" t="str">
        <f>IF(A272="",IF(COUNTA(B272:O272)&gt;0,"НЕТ ID",""),IF(OR(AND(OR(C272="Оплата клиента",C272="Возврат клиенту"),COUNTIFS(Docs[ID],J272,Docs[Тип долга],"ДЗ")&lt;&gt;1),AND(OR(C272="Оплата поставщику",C272="Возврат поставщика"),COUNTIFS(Docs[ID],J272,Docs[Тип долга],"КЗ",Docs[Вид],"&lt;&gt;Дивиденды")&lt;&gt;1),AND(C272="Дивиденды",COUNTIFS(Docs[ID],J272,Docs[Вид],"Дивиденды")&lt;&gt;1),AND(C272="Проценты",COUNTIFS(Docs[ID],J272,Docs[Вид],"Проценты")&lt;&gt;1),COUNTIF(Cash[ID],A272)&gt;1,NOT(ISNUMBER(B272)),B272&lt;НачалоУчета,YEAR(B272)&lt;&gt;Год,NOT(ISNUMBER(E272)),E272&lt;=0,N272&lt;0,COUNTIF(Типы,C272)&lt;&gt;1,COUNTIF(Категории,D272)&lt;&gt;1,COUNTIF(Счета,F272)&lt;&gt;1,COUNTIF(Проекты,I272)&lt;&gt;1,AND(H272&lt;&gt;"",COUNTIF(Контрагенты,H272)&lt;&gt;1),AND(C272="Перевод",OR(F272=G272,COUNTIF(Счета,G272)&lt;&gt;1)),AND(S272&lt;&gt;0,COUNTIF(Docs[ID],J272)&lt;&gt;1),AND(Форма="ООО",C272="Вывод ИП"),AND(Форма="ИП",C272="Дивиденды"),AND(L272&lt;&gt;"Проведён",L272&lt;&gt;"Черновик")),"ОШИБКА","ОК"))</f>
        <v>ОК</v>
      </c>
      <c r="W272" s="25">
        <f>IF(A272="","",SUMIF(Accounts[Счёт],F272,Accounts[Начальный])+SUMIFS($Q$7:Q272,$F$7:F272,F272)+SUMIFS($E$7:E272,$G$7:G272,F272,$C$7:C272,"Перевод",$L$7:L272,"Проведён"))</f>
        <v>1678490.4700000002</v>
      </c>
    </row>
    <row r="273" spans="1:23" x14ac:dyDescent="0.25">
      <c r="A273" s="3" t="s">
        <v>939</v>
      </c>
      <c r="B273" s="19">
        <v>46382</v>
      </c>
      <c r="C273" s="3" t="s">
        <v>504</v>
      </c>
      <c r="D273" s="3" t="s">
        <v>523</v>
      </c>
      <c r="E273" s="24">
        <v>78300</v>
      </c>
      <c r="F273" s="3" t="s">
        <v>474</v>
      </c>
      <c r="G273" s="3"/>
      <c r="H273" s="3" t="s">
        <v>52</v>
      </c>
      <c r="I273" s="3" t="s">
        <v>383</v>
      </c>
      <c r="J273" s="3" t="s">
        <v>940</v>
      </c>
      <c r="K273" s="3" t="s">
        <v>504</v>
      </c>
      <c r="L273" s="3" t="s">
        <v>476</v>
      </c>
      <c r="M273" s="3"/>
      <c r="N273" s="24">
        <v>78300</v>
      </c>
      <c r="O273" s="3"/>
      <c r="P273" s="5">
        <f>IF(A273="","",IF(COUNTIF(Типы,C273)=0,0,VLOOKUP(C273,СПРАВОЧНИКИ!$A$7:$E$22,2,FALSE)))</f>
        <v>-1</v>
      </c>
      <c r="Q273" s="25">
        <f t="shared" si="4"/>
        <v>-78300</v>
      </c>
      <c r="R273" s="5" t="str">
        <f>IF(A273="","",IF(COUNTIF(Типы,C273)=0,"НЕИЗВЕСТНЫЙ ТИП",VLOOKUP(C273,СПРАВОЧНИКИ!$A$7:$E$22,3,FALSE)))</f>
        <v>Операционный</v>
      </c>
      <c r="S273" s="26">
        <f>IF(A273="","",IF(L273="Проведён",E273*IF(COUNTIF(Типы,C273)=0,0,VLOOKUP(C273,СПРАВОЧНИКИ!$A$7:$E$22,4,FALSE)),0))</f>
        <v>78300</v>
      </c>
      <c r="T273" s="26">
        <f>IF(A273="","",IF(L273="Проведён",E273*IF(COUNTIF(Типы,C273)=0,0,VLOOKUP(C273,СПРАВОЧНИКИ!$A$7:$E$22,5,FALSE)),0))</f>
        <v>0</v>
      </c>
      <c r="U273" s="5" t="str">
        <f>IF(A273="","",IF(COUNTIF(Контрагенты,H273)=0,"Не задан",VLOOKUP(H273,СПРАВОЧНИКИ!$G$7:$H$66,2,FALSE)))</f>
        <v>ФЛ</v>
      </c>
      <c r="V273" s="4" t="str">
        <f>IF(A273="",IF(COUNTA(B273:O273)&gt;0,"НЕТ ID",""),IF(OR(AND(OR(C273="Оплата клиента",C273="Возврат клиенту"),COUNTIFS(Docs[ID],J273,Docs[Тип долга],"ДЗ")&lt;&gt;1),AND(OR(C273="Оплата поставщику",C273="Возврат поставщика"),COUNTIFS(Docs[ID],J273,Docs[Тип долга],"КЗ",Docs[Вид],"&lt;&gt;Дивиденды")&lt;&gt;1),AND(C273="Дивиденды",COUNTIFS(Docs[ID],J273,Docs[Вид],"Дивиденды")&lt;&gt;1),AND(C273="Проценты",COUNTIFS(Docs[ID],J273,Docs[Вид],"Проценты")&lt;&gt;1),COUNTIF(Cash[ID],A273)&gt;1,NOT(ISNUMBER(B273)),B273&lt;НачалоУчета,YEAR(B273)&lt;&gt;Год,NOT(ISNUMBER(E273)),E273&lt;=0,N273&lt;0,COUNTIF(Типы,C273)&lt;&gt;1,COUNTIF(Категории,D273)&lt;&gt;1,COUNTIF(Счета,F273)&lt;&gt;1,COUNTIF(Проекты,I273)&lt;&gt;1,AND(H273&lt;&gt;"",COUNTIF(Контрагенты,H273)&lt;&gt;1),AND(C273="Перевод",OR(F273=G273,COUNTIF(Счета,G273)&lt;&gt;1)),AND(S273&lt;&gt;0,COUNTIF(Docs[ID],J273)&lt;&gt;1),AND(Форма="ООО",C273="Вывод ИП"),AND(Форма="ИП",C273="Дивиденды"),AND(L273&lt;&gt;"Проведён",L273&lt;&gt;"Черновик")),"ОШИБКА","ОК"))</f>
        <v>ОК</v>
      </c>
      <c r="W273" s="25">
        <f>IF(A273="","",SUMIF(Accounts[Счёт],F273,Accounts[Начальный])+SUMIFS($Q$7:Q273,$F$7:F273,F273)+SUMIFS($E$7:E273,$G$7:G273,F273,$C$7:C273,"Перевод",$L$7:L273,"Проведён"))</f>
        <v>1600190.4700000002</v>
      </c>
    </row>
    <row r="274" spans="1:23" x14ac:dyDescent="0.25">
      <c r="A274" s="3" t="s">
        <v>941</v>
      </c>
      <c r="B274" s="19">
        <v>46383</v>
      </c>
      <c r="C274" s="3" t="s">
        <v>484</v>
      </c>
      <c r="D274" s="3" t="s">
        <v>485</v>
      </c>
      <c r="E274" s="24">
        <v>45920</v>
      </c>
      <c r="F274" s="3" t="s">
        <v>474</v>
      </c>
      <c r="G274" s="3"/>
      <c r="H274" s="3" t="s">
        <v>495</v>
      </c>
      <c r="I274" s="3" t="s">
        <v>381</v>
      </c>
      <c r="J274" s="3" t="s">
        <v>923</v>
      </c>
      <c r="K274" s="3" t="s">
        <v>484</v>
      </c>
      <c r="L274" s="3" t="s">
        <v>476</v>
      </c>
      <c r="M274" s="3"/>
      <c r="N274" s="24">
        <v>0</v>
      </c>
      <c r="O274" s="3"/>
      <c r="P274" s="5">
        <f>IF(A274="","",IF(COUNTIF(Типы,C274)=0,0,VLOOKUP(C274,СПРАВОЧНИКИ!$A$7:$E$22,2,FALSE)))</f>
        <v>1</v>
      </c>
      <c r="Q274" s="25">
        <f t="shared" si="4"/>
        <v>45920</v>
      </c>
      <c r="R274" s="5" t="str">
        <f>IF(A274="","",IF(COUNTIF(Типы,C274)=0,"НЕИЗВЕСТНЫЙ ТИП",VLOOKUP(C274,СПРАВОЧНИКИ!$A$7:$E$22,3,FALSE)))</f>
        <v>Операционный</v>
      </c>
      <c r="S274" s="26">
        <f>IF(A274="","",IF(L274="Проведён",E274*IF(COUNTIF(Типы,C274)=0,0,VLOOKUP(C274,СПРАВОЧНИКИ!$A$7:$E$22,4,FALSE)),0))</f>
        <v>45920</v>
      </c>
      <c r="T274" s="26">
        <f>IF(A274="","",IF(L274="Проведён",E274*IF(COUNTIF(Типы,C274)=0,0,VLOOKUP(C274,СПРАВОЧНИКИ!$A$7:$E$22,5,FALSE)),0))</f>
        <v>45920</v>
      </c>
      <c r="U274" s="5" t="str">
        <f>IF(A274="","",IF(COUNTIF(Контрагенты,H274)=0,"Не задан",VLOOKUP(H274,СПРАВОЧНИКИ!$G$7:$H$66,2,FALSE)))</f>
        <v>ЮЛ</v>
      </c>
      <c r="V274" s="4" t="str">
        <f>IF(A274="",IF(COUNTA(B274:O274)&gt;0,"НЕТ ID",""),IF(OR(AND(OR(C274="Оплата клиента",C274="Возврат клиенту"),COUNTIFS(Docs[ID],J274,Docs[Тип долга],"ДЗ")&lt;&gt;1),AND(OR(C274="Оплата поставщику",C274="Возврат поставщика"),COUNTIFS(Docs[ID],J274,Docs[Тип долга],"КЗ",Docs[Вид],"&lt;&gt;Дивиденды")&lt;&gt;1),AND(C274="Дивиденды",COUNTIFS(Docs[ID],J274,Docs[Вид],"Дивиденды")&lt;&gt;1),AND(C274="Проценты",COUNTIFS(Docs[ID],J274,Docs[Вид],"Проценты")&lt;&gt;1),COUNTIF(Cash[ID],A274)&gt;1,NOT(ISNUMBER(B274)),B274&lt;НачалоУчета,YEAR(B274)&lt;&gt;Год,NOT(ISNUMBER(E274)),E274&lt;=0,N274&lt;0,COUNTIF(Типы,C274)&lt;&gt;1,COUNTIF(Категории,D274)&lt;&gt;1,COUNTIF(Счета,F274)&lt;&gt;1,COUNTIF(Проекты,I274)&lt;&gt;1,AND(H274&lt;&gt;"",COUNTIF(Контрагенты,H274)&lt;&gt;1),AND(C274="Перевод",OR(F274=G274,COUNTIF(Счета,G274)&lt;&gt;1)),AND(S274&lt;&gt;0,COUNTIF(Docs[ID],J274)&lt;&gt;1),AND(Форма="ООО",C274="Вывод ИП"),AND(Форма="ИП",C274="Дивиденды"),AND(L274&lt;&gt;"Проведён",L274&lt;&gt;"Черновик")),"ОШИБКА","ОК"))</f>
        <v>ОК</v>
      </c>
      <c r="W274" s="25">
        <f>IF(A274="","",SUMIF(Accounts[Счёт],F274,Accounts[Начальный])+SUMIFS($Q$7:Q274,$F$7:F274,F274)+SUMIFS($E$7:E274,$G$7:G274,F274,$C$7:C274,"Перевод",$L$7:L274,"Проведён"))</f>
        <v>1646110.4700000002</v>
      </c>
    </row>
    <row r="275" spans="1:23" x14ac:dyDescent="0.25">
      <c r="A275" s="3" t="s">
        <v>942</v>
      </c>
      <c r="B275" s="19">
        <v>46383</v>
      </c>
      <c r="C275" s="3" t="s">
        <v>504</v>
      </c>
      <c r="D275" s="3" t="s">
        <v>527</v>
      </c>
      <c r="E275" s="24">
        <v>11700</v>
      </c>
      <c r="F275" s="3" t="s">
        <v>474</v>
      </c>
      <c r="G275" s="3"/>
      <c r="H275" s="3" t="s">
        <v>528</v>
      </c>
      <c r="I275" s="3" t="s">
        <v>383</v>
      </c>
      <c r="J275" s="3" t="s">
        <v>943</v>
      </c>
      <c r="K275" s="3" t="s">
        <v>504</v>
      </c>
      <c r="L275" s="3" t="s">
        <v>476</v>
      </c>
      <c r="M275" s="3"/>
      <c r="N275" s="24">
        <v>11700</v>
      </c>
      <c r="O275" s="3"/>
      <c r="P275" s="5">
        <f>IF(A275="","",IF(COUNTIF(Типы,C275)=0,0,VLOOKUP(C275,СПРАВОЧНИКИ!$A$7:$E$22,2,FALSE)))</f>
        <v>-1</v>
      </c>
      <c r="Q275" s="25">
        <f t="shared" si="4"/>
        <v>-11700</v>
      </c>
      <c r="R275" s="5" t="str">
        <f>IF(A275="","",IF(COUNTIF(Типы,C275)=0,"НЕИЗВЕСТНЫЙ ТИП",VLOOKUP(C275,СПРАВОЧНИКИ!$A$7:$E$22,3,FALSE)))</f>
        <v>Операционный</v>
      </c>
      <c r="S275" s="26">
        <f>IF(A275="","",IF(L275="Проведён",E275*IF(COUNTIF(Типы,C275)=0,0,VLOOKUP(C275,СПРАВОЧНИКИ!$A$7:$E$22,4,FALSE)),0))</f>
        <v>11700</v>
      </c>
      <c r="T275" s="26">
        <f>IF(A275="","",IF(L275="Проведён",E275*IF(COUNTIF(Типы,C275)=0,0,VLOOKUP(C275,СПРАВОЧНИКИ!$A$7:$E$22,5,FALSE)),0))</f>
        <v>0</v>
      </c>
      <c r="U275" s="5" t="str">
        <f>IF(A275="","",IF(COUNTIF(Контрагенты,H275)=0,"Не задан",VLOOKUP(H275,СПРАВОЧНИКИ!$G$7:$H$66,2,FALSE)))</f>
        <v>ЮЛ</v>
      </c>
      <c r="V275" s="4" t="str">
        <f>IF(A275="",IF(COUNTA(B275:O275)&gt;0,"НЕТ ID",""),IF(OR(AND(OR(C275="Оплата клиента",C275="Возврат клиенту"),COUNTIFS(Docs[ID],J275,Docs[Тип долга],"ДЗ")&lt;&gt;1),AND(OR(C275="Оплата поставщику",C275="Возврат поставщика"),COUNTIFS(Docs[ID],J275,Docs[Тип долга],"КЗ",Docs[Вид],"&lt;&gt;Дивиденды")&lt;&gt;1),AND(C275="Дивиденды",COUNTIFS(Docs[ID],J275,Docs[Вид],"Дивиденды")&lt;&gt;1),AND(C275="Проценты",COUNTIFS(Docs[ID],J275,Docs[Вид],"Проценты")&lt;&gt;1),COUNTIF(Cash[ID],A275)&gt;1,NOT(ISNUMBER(B275)),B275&lt;НачалоУчета,YEAR(B275)&lt;&gt;Год,NOT(ISNUMBER(E275)),E275&lt;=0,N275&lt;0,COUNTIF(Типы,C275)&lt;&gt;1,COUNTIF(Категории,D275)&lt;&gt;1,COUNTIF(Счета,F275)&lt;&gt;1,COUNTIF(Проекты,I275)&lt;&gt;1,AND(H275&lt;&gt;"",COUNTIF(Контрагенты,H275)&lt;&gt;1),AND(C275="Перевод",OR(F275=G275,COUNTIF(Счета,G275)&lt;&gt;1)),AND(S275&lt;&gt;0,COUNTIF(Docs[ID],J275)&lt;&gt;1),AND(Форма="ООО",C275="Вывод ИП"),AND(Форма="ИП",C275="Дивиденды"),AND(L275&lt;&gt;"Проведён",L275&lt;&gt;"Черновик")),"ОШИБКА","ОК"))</f>
        <v>ОК</v>
      </c>
      <c r="W275" s="25">
        <f>IF(A275="","",SUMIF(Accounts[Счёт],F275,Accounts[Начальный])+SUMIFS($Q$7:Q275,$F$7:F275,F275)+SUMIFS($E$7:E275,$G$7:G275,F275,$C$7:C275,"Перевод",$L$7:L275,"Проведён"))</f>
        <v>1634410.4700000002</v>
      </c>
    </row>
    <row r="276" spans="1:23" x14ac:dyDescent="0.25">
      <c r="A276" s="3" t="s">
        <v>944</v>
      </c>
      <c r="B276" s="19">
        <v>46384</v>
      </c>
      <c r="C276" s="3" t="s">
        <v>504</v>
      </c>
      <c r="D276" s="3" t="s">
        <v>532</v>
      </c>
      <c r="E276" s="24">
        <v>27000</v>
      </c>
      <c r="F276" s="3" t="s">
        <v>474</v>
      </c>
      <c r="G276" s="3"/>
      <c r="H276" s="3" t="s">
        <v>528</v>
      </c>
      <c r="I276" s="3" t="s">
        <v>383</v>
      </c>
      <c r="J276" s="3" t="s">
        <v>945</v>
      </c>
      <c r="K276" s="3" t="s">
        <v>504</v>
      </c>
      <c r="L276" s="3" t="s">
        <v>476</v>
      </c>
      <c r="M276" s="3"/>
      <c r="N276" s="24">
        <v>27000</v>
      </c>
      <c r="O276" s="3"/>
      <c r="P276" s="5">
        <f>IF(A276="","",IF(COUNTIF(Типы,C276)=0,0,VLOOKUP(C276,СПРАВОЧНИКИ!$A$7:$E$22,2,FALSE)))</f>
        <v>-1</v>
      </c>
      <c r="Q276" s="25">
        <f t="shared" si="4"/>
        <v>-27000</v>
      </c>
      <c r="R276" s="5" t="str">
        <f>IF(A276="","",IF(COUNTIF(Типы,C276)=0,"НЕИЗВЕСТНЫЙ ТИП",VLOOKUP(C276,СПРАВОЧНИКИ!$A$7:$E$22,3,FALSE)))</f>
        <v>Операционный</v>
      </c>
      <c r="S276" s="26">
        <f>IF(A276="","",IF(L276="Проведён",E276*IF(COUNTIF(Типы,C276)=0,0,VLOOKUP(C276,СПРАВОЧНИКИ!$A$7:$E$22,4,FALSE)),0))</f>
        <v>27000</v>
      </c>
      <c r="T276" s="26">
        <f>IF(A276="","",IF(L276="Проведён",E276*IF(COUNTIF(Типы,C276)=0,0,VLOOKUP(C276,СПРАВОЧНИКИ!$A$7:$E$22,5,FALSE)),0))</f>
        <v>0</v>
      </c>
      <c r="U276" s="5" t="str">
        <f>IF(A276="","",IF(COUNTIF(Контрагенты,H276)=0,"Не задан",VLOOKUP(H276,СПРАВОЧНИКИ!$G$7:$H$66,2,FALSE)))</f>
        <v>ЮЛ</v>
      </c>
      <c r="V276" s="4" t="str">
        <f>IF(A276="",IF(COUNTA(B276:O276)&gt;0,"НЕТ ID",""),IF(OR(AND(OR(C276="Оплата клиента",C276="Возврат клиенту"),COUNTIFS(Docs[ID],J276,Docs[Тип долга],"ДЗ")&lt;&gt;1),AND(OR(C276="Оплата поставщику",C276="Возврат поставщика"),COUNTIFS(Docs[ID],J276,Docs[Тип долга],"КЗ",Docs[Вид],"&lt;&gt;Дивиденды")&lt;&gt;1),AND(C276="Дивиденды",COUNTIFS(Docs[ID],J276,Docs[Вид],"Дивиденды")&lt;&gt;1),AND(C276="Проценты",COUNTIFS(Docs[ID],J276,Docs[Вид],"Проценты")&lt;&gt;1),COUNTIF(Cash[ID],A276)&gt;1,NOT(ISNUMBER(B276)),B276&lt;НачалоУчета,YEAR(B276)&lt;&gt;Год,NOT(ISNUMBER(E276)),E276&lt;=0,N276&lt;0,COUNTIF(Типы,C276)&lt;&gt;1,COUNTIF(Категории,D276)&lt;&gt;1,COUNTIF(Счета,F276)&lt;&gt;1,COUNTIF(Проекты,I276)&lt;&gt;1,AND(H276&lt;&gt;"",COUNTIF(Контрагенты,H276)&lt;&gt;1),AND(C276="Перевод",OR(F276=G276,COUNTIF(Счета,G276)&lt;&gt;1)),AND(S276&lt;&gt;0,COUNTIF(Docs[ID],J276)&lt;&gt;1),AND(Форма="ООО",C276="Вывод ИП"),AND(Форма="ИП",C276="Дивиденды"),AND(L276&lt;&gt;"Проведён",L276&lt;&gt;"Черновик")),"ОШИБКА","ОК"))</f>
        <v>ОК</v>
      </c>
      <c r="W276" s="25">
        <f>IF(A276="","",SUMIF(Accounts[Счёт],F276,Accounts[Начальный])+SUMIFS($Q$7:Q276,$F$7:F276,F276)+SUMIFS($E$7:E276,$G$7:G276,F276,$C$7:C276,"Перевод",$L$7:L276,"Проведён"))</f>
        <v>1607410.4700000002</v>
      </c>
    </row>
    <row r="277" spans="1:23" x14ac:dyDescent="0.25">
      <c r="A277" s="3" t="s">
        <v>946</v>
      </c>
      <c r="B277" s="19">
        <v>46384</v>
      </c>
      <c r="C277" s="3" t="s">
        <v>130</v>
      </c>
      <c r="D277" s="3" t="s">
        <v>130</v>
      </c>
      <c r="E277" s="24">
        <v>2231.61</v>
      </c>
      <c r="F277" s="3" t="s">
        <v>474</v>
      </c>
      <c r="G277" s="3"/>
      <c r="H277" s="3" t="s">
        <v>397</v>
      </c>
      <c r="I277" s="3" t="s">
        <v>383</v>
      </c>
      <c r="J277" s="3" t="s">
        <v>947</v>
      </c>
      <c r="K277" s="3" t="s">
        <v>130</v>
      </c>
      <c r="L277" s="3" t="s">
        <v>476</v>
      </c>
      <c r="M277" s="3"/>
      <c r="N277" s="24">
        <v>2231.61</v>
      </c>
      <c r="O277" s="3"/>
      <c r="P277" s="5">
        <f>IF(A277="","",IF(COUNTIF(Типы,C277)=0,0,VLOOKUP(C277,СПРАВОЧНИКИ!$A$7:$E$22,2,FALSE)))</f>
        <v>-1</v>
      </c>
      <c r="Q277" s="25">
        <f t="shared" si="4"/>
        <v>-2231.61</v>
      </c>
      <c r="R277" s="5" t="str">
        <f>IF(A277="","",IF(COUNTIF(Типы,C277)=0,"НЕИЗВЕСТНЫЙ ТИП",VLOOKUP(C277,СПРАВОЧНИКИ!$A$7:$E$22,3,FALSE)))</f>
        <v>Операционный</v>
      </c>
      <c r="S277" s="26">
        <f>IF(A277="","",IF(L277="Проведён",E277*IF(COUNTIF(Типы,C277)=0,0,VLOOKUP(C277,СПРАВОЧНИКИ!$A$7:$E$22,4,FALSE)),0))</f>
        <v>2231.61</v>
      </c>
      <c r="T277" s="26">
        <f>IF(A277="","",IF(L277="Проведён",E277*IF(COUNTIF(Типы,C277)=0,0,VLOOKUP(C277,СПРАВОЧНИКИ!$A$7:$E$22,5,FALSE)),0))</f>
        <v>0</v>
      </c>
      <c r="U277" s="5" t="str">
        <f>IF(A277="","",IF(COUNTIF(Контрагенты,H277)=0,"Не задан",VLOOKUP(H277,СПРАВОЧНИКИ!$G$7:$H$66,2,FALSE)))</f>
        <v>ЮЛ</v>
      </c>
      <c r="V277" s="4" t="str">
        <f>IF(A277="",IF(COUNTA(B277:O277)&gt;0,"НЕТ ID",""),IF(OR(AND(OR(C277="Оплата клиента",C277="Возврат клиенту"),COUNTIFS(Docs[ID],J277,Docs[Тип долга],"ДЗ")&lt;&gt;1),AND(OR(C277="Оплата поставщику",C277="Возврат поставщика"),COUNTIFS(Docs[ID],J277,Docs[Тип долга],"КЗ",Docs[Вид],"&lt;&gt;Дивиденды")&lt;&gt;1),AND(C277="Дивиденды",COUNTIFS(Docs[ID],J277,Docs[Вид],"Дивиденды")&lt;&gt;1),AND(C277="Проценты",COUNTIFS(Docs[ID],J277,Docs[Вид],"Проценты")&lt;&gt;1),COUNTIF(Cash[ID],A277)&gt;1,NOT(ISNUMBER(B277)),B277&lt;НачалоУчета,YEAR(B277)&lt;&gt;Год,NOT(ISNUMBER(E277)),E277&lt;=0,N277&lt;0,COUNTIF(Типы,C277)&lt;&gt;1,COUNTIF(Категории,D277)&lt;&gt;1,COUNTIF(Счета,F277)&lt;&gt;1,COUNTIF(Проекты,I277)&lt;&gt;1,AND(H277&lt;&gt;"",COUNTIF(Контрагенты,H277)&lt;&gt;1),AND(C277="Перевод",OR(F277=G277,COUNTIF(Счета,G277)&lt;&gt;1)),AND(S277&lt;&gt;0,COUNTIF(Docs[ID],J277)&lt;&gt;1),AND(Форма="ООО",C277="Вывод ИП"),AND(Форма="ИП",C277="Дивиденды"),AND(L277&lt;&gt;"Проведён",L277&lt;&gt;"Черновик")),"ОШИБКА","ОК"))</f>
        <v>ОК</v>
      </c>
      <c r="W277" s="25">
        <f>IF(A277="","",SUMIF(Accounts[Счёт],F277,Accounts[Начальный])+SUMIFS($Q$7:Q277,$F$7:F277,F277)+SUMIFS($E$7:E277,$G$7:G277,F277,$C$7:C277,"Перевод",$L$7:L277,"Проведён"))</f>
        <v>1605178.86</v>
      </c>
    </row>
    <row r="278" spans="1:23" x14ac:dyDescent="0.25">
      <c r="A278" s="3" t="s">
        <v>948</v>
      </c>
      <c r="B278" s="19">
        <v>46384</v>
      </c>
      <c r="C278" s="3" t="s">
        <v>537</v>
      </c>
      <c r="D278" s="3" t="s">
        <v>479</v>
      </c>
      <c r="E278" s="24">
        <v>12745.62</v>
      </c>
      <c r="F278" s="3" t="s">
        <v>474</v>
      </c>
      <c r="G278" s="3"/>
      <c r="H278" s="3" t="s">
        <v>397</v>
      </c>
      <c r="I278" s="3" t="s">
        <v>383</v>
      </c>
      <c r="J278" s="3" t="s">
        <v>394</v>
      </c>
      <c r="K278" s="3" t="s">
        <v>537</v>
      </c>
      <c r="L278" s="3" t="s">
        <v>476</v>
      </c>
      <c r="M278" s="3"/>
      <c r="N278" s="24">
        <v>0</v>
      </c>
      <c r="O278" s="3"/>
      <c r="P278" s="5">
        <f>IF(A278="","",IF(COUNTIF(Типы,C278)=0,0,VLOOKUP(C278,СПРАВОЧНИКИ!$A$7:$E$22,2,FALSE)))</f>
        <v>-1</v>
      </c>
      <c r="Q278" s="25">
        <f t="shared" si="4"/>
        <v>-12745.62</v>
      </c>
      <c r="R278" s="5" t="str">
        <f>IF(A278="","",IF(COUNTIF(Типы,C278)=0,"НЕИЗВЕСТНЫЙ ТИП",VLOOKUP(C278,СПРАВОЧНИКИ!$A$7:$E$22,3,FALSE)))</f>
        <v>Финансовый</v>
      </c>
      <c r="S278" s="26">
        <f>IF(A278="","",IF(L278="Проведён",E278*IF(COUNTIF(Типы,C278)=0,0,VLOOKUP(C278,СПРАВОЧНИКИ!$A$7:$E$22,4,FALSE)),0))</f>
        <v>0</v>
      </c>
      <c r="T278" s="26">
        <f>IF(A278="","",IF(L278="Проведён",E278*IF(COUNTIF(Типы,C278)=0,0,VLOOKUP(C278,СПРАВОЧНИКИ!$A$7:$E$22,5,FALSE)),0))</f>
        <v>0</v>
      </c>
      <c r="U278" s="5" t="str">
        <f>IF(A278="","",IF(COUNTIF(Контрагенты,H278)=0,"Не задан",VLOOKUP(H278,СПРАВОЧНИКИ!$G$7:$H$66,2,FALSE)))</f>
        <v>ЮЛ</v>
      </c>
      <c r="V278" s="4" t="str">
        <f>IF(A278="",IF(COUNTA(B278:O278)&gt;0,"НЕТ ID",""),IF(OR(AND(OR(C278="Оплата клиента",C278="Возврат клиенту"),COUNTIFS(Docs[ID],J278,Docs[Тип долга],"ДЗ")&lt;&gt;1),AND(OR(C278="Оплата поставщику",C278="Возврат поставщика"),COUNTIFS(Docs[ID],J278,Docs[Тип долга],"КЗ",Docs[Вид],"&lt;&gt;Дивиденды")&lt;&gt;1),AND(C278="Дивиденды",COUNTIFS(Docs[ID],J278,Docs[Вид],"Дивиденды")&lt;&gt;1),AND(C278="Проценты",COUNTIFS(Docs[ID],J278,Docs[Вид],"Проценты")&lt;&gt;1),COUNTIF(Cash[ID],A278)&gt;1,NOT(ISNUMBER(B278)),B278&lt;НачалоУчета,YEAR(B278)&lt;&gt;Год,NOT(ISNUMBER(E278)),E278&lt;=0,N278&lt;0,COUNTIF(Типы,C278)&lt;&gt;1,COUNTIF(Категории,D278)&lt;&gt;1,COUNTIF(Счета,F278)&lt;&gt;1,COUNTIF(Проекты,I278)&lt;&gt;1,AND(H278&lt;&gt;"",COUNTIF(Контрагенты,H278)&lt;&gt;1),AND(C278="Перевод",OR(F278=G278,COUNTIF(Счета,G278)&lt;&gt;1)),AND(S278&lt;&gt;0,COUNTIF(Docs[ID],J278)&lt;&gt;1),AND(Форма="ООО",C278="Вывод ИП"),AND(Форма="ИП",C278="Дивиденды"),AND(L278&lt;&gt;"Проведён",L278&lt;&gt;"Черновик")),"ОШИБКА","ОК"))</f>
        <v>ОК</v>
      </c>
      <c r="W278" s="25">
        <f>IF(A278="","",SUMIF(Accounts[Счёт],F278,Accounts[Начальный])+SUMIFS($Q$7:Q278,$F$7:F278,F278)+SUMIFS($E$7:E278,$G$7:G278,F278,$C$7:C278,"Перевод",$L$7:L278,"Проведён"))</f>
        <v>1592433.24</v>
      </c>
    </row>
    <row r="279" spans="1:23" x14ac:dyDescent="0.25">
      <c r="A279" s="3" t="s">
        <v>949</v>
      </c>
      <c r="B279" s="19">
        <v>46384</v>
      </c>
      <c r="C279" s="3" t="s">
        <v>539</v>
      </c>
      <c r="D279" s="3" t="s">
        <v>299</v>
      </c>
      <c r="E279" s="24">
        <v>15000</v>
      </c>
      <c r="F279" s="3" t="s">
        <v>474</v>
      </c>
      <c r="G279" s="3" t="s">
        <v>299</v>
      </c>
      <c r="H279" s="3"/>
      <c r="I279" s="3" t="s">
        <v>383</v>
      </c>
      <c r="J279" s="3"/>
      <c r="K279" s="3" t="s">
        <v>539</v>
      </c>
      <c r="L279" s="3" t="s">
        <v>476</v>
      </c>
      <c r="M279" s="3"/>
      <c r="N279" s="24">
        <v>0</v>
      </c>
      <c r="O279" s="3"/>
      <c r="P279" s="5">
        <f>IF(A279="","",IF(COUNTIF(Типы,C279)=0,0,VLOOKUP(C279,СПРАВОЧНИКИ!$A$7:$E$22,2,FALSE)))</f>
        <v>-1</v>
      </c>
      <c r="Q279" s="25">
        <f t="shared" si="4"/>
        <v>-15000</v>
      </c>
      <c r="R279" s="5" t="str">
        <f>IF(A279="","",IF(COUNTIF(Типы,C279)=0,"НЕИЗВЕСТНЫЙ ТИП",VLOOKUP(C279,СПРАВОЧНИКИ!$A$7:$E$22,3,FALSE)))</f>
        <v>Внутренний</v>
      </c>
      <c r="S279" s="26">
        <f>IF(A279="","",IF(L279="Проведён",E279*IF(COUNTIF(Типы,C279)=0,0,VLOOKUP(C279,СПРАВОЧНИКИ!$A$7:$E$22,4,FALSE)),0))</f>
        <v>0</v>
      </c>
      <c r="T279" s="26">
        <f>IF(A279="","",IF(L279="Проведён",E279*IF(COUNTIF(Типы,C279)=0,0,VLOOKUP(C279,СПРАВОЧНИКИ!$A$7:$E$22,5,FALSE)),0))</f>
        <v>0</v>
      </c>
      <c r="U279" s="5" t="str">
        <f>IF(A279="","",IF(COUNTIF(Контрагенты,H279)=0,"Не задан",VLOOKUP(H279,СПРАВОЧНИКИ!$G$7:$H$66,2,FALSE)))</f>
        <v>Не задан</v>
      </c>
      <c r="V279" s="4" t="str">
        <f>IF(A279="",IF(COUNTA(B279:O279)&gt;0,"НЕТ ID",""),IF(OR(AND(OR(C279="Оплата клиента",C279="Возврат клиенту"),COUNTIFS(Docs[ID],J279,Docs[Тип долга],"ДЗ")&lt;&gt;1),AND(OR(C279="Оплата поставщику",C279="Возврат поставщика"),COUNTIFS(Docs[ID],J279,Docs[Тип долга],"КЗ",Docs[Вид],"&lt;&gt;Дивиденды")&lt;&gt;1),AND(C279="Дивиденды",COUNTIFS(Docs[ID],J279,Docs[Вид],"Дивиденды")&lt;&gt;1),AND(C279="Проценты",COUNTIFS(Docs[ID],J279,Docs[Вид],"Проценты")&lt;&gt;1),COUNTIF(Cash[ID],A279)&gt;1,NOT(ISNUMBER(B279)),B279&lt;НачалоУчета,YEAR(B279)&lt;&gt;Год,NOT(ISNUMBER(E279)),E279&lt;=0,N279&lt;0,COUNTIF(Типы,C279)&lt;&gt;1,COUNTIF(Категории,D279)&lt;&gt;1,COUNTIF(Счета,F279)&lt;&gt;1,COUNTIF(Проекты,I279)&lt;&gt;1,AND(H279&lt;&gt;"",COUNTIF(Контрагенты,H279)&lt;&gt;1),AND(C279="Перевод",OR(F279=G279,COUNTIF(Счета,G279)&lt;&gt;1)),AND(S279&lt;&gt;0,COUNTIF(Docs[ID],J279)&lt;&gt;1),AND(Форма="ООО",C279="Вывод ИП"),AND(Форма="ИП",C279="Дивиденды"),AND(L279&lt;&gt;"Проведён",L279&lt;&gt;"Черновик")),"ОШИБКА","ОК"))</f>
        <v>ОК</v>
      </c>
      <c r="W279" s="25">
        <f>IF(A279="","",SUMIF(Accounts[Счёт],F279,Accounts[Начальный])+SUMIFS($Q$7:Q279,$F$7:F279,F279)+SUMIFS($E$7:E279,$G$7:G279,F279,$C$7:C279,"Перевод",$L$7:L279,"Проведён"))</f>
        <v>1577433.24</v>
      </c>
    </row>
    <row r="280" spans="1:23" x14ac:dyDescent="0.25">
      <c r="A280" s="3" t="s">
        <v>950</v>
      </c>
      <c r="B280" s="19">
        <v>46384</v>
      </c>
      <c r="C280" s="3" t="s">
        <v>613</v>
      </c>
      <c r="D280" s="3" t="s">
        <v>300</v>
      </c>
      <c r="E280" s="24">
        <v>25000</v>
      </c>
      <c r="F280" s="3" t="s">
        <v>474</v>
      </c>
      <c r="G280" s="3"/>
      <c r="H280" s="3" t="s">
        <v>475</v>
      </c>
      <c r="I280" s="3" t="s">
        <v>383</v>
      </c>
      <c r="J280" s="3"/>
      <c r="K280" s="3" t="s">
        <v>613</v>
      </c>
      <c r="L280" s="3" t="s">
        <v>476</v>
      </c>
      <c r="M280" s="3"/>
      <c r="N280" s="24">
        <v>0</v>
      </c>
      <c r="O280" s="3" t="s">
        <v>300</v>
      </c>
      <c r="P280" s="5">
        <f>IF(A280="","",IF(COUNTIF(Типы,C280)=0,0,VLOOKUP(C280,СПРАВОЧНИКИ!$A$7:$E$22,2,FALSE)))</f>
        <v>-1</v>
      </c>
      <c r="Q280" s="25">
        <f t="shared" si="4"/>
        <v>-25000</v>
      </c>
      <c r="R280" s="5" t="str">
        <f>IF(A280="","",IF(COUNTIF(Типы,C280)=0,"НЕИЗВЕСТНЫЙ ТИП",VLOOKUP(C280,СПРАВОЧНИКИ!$A$7:$E$22,3,FALSE)))</f>
        <v>Финансовый</v>
      </c>
      <c r="S280" s="26">
        <f>IF(A280="","",IF(L280="Проведён",E280*IF(COUNTIF(Типы,C280)=0,0,VLOOKUP(C280,СПРАВОЧНИКИ!$A$7:$E$22,4,FALSE)),0))</f>
        <v>0</v>
      </c>
      <c r="T280" s="26">
        <f>IF(A280="","",IF(L280="Проведён",E280*IF(COUNTIF(Типы,C280)=0,0,VLOOKUP(C280,СПРАВОЧНИКИ!$A$7:$E$22,5,FALSE)),0))</f>
        <v>0</v>
      </c>
      <c r="U280" s="5" t="str">
        <f>IF(A280="","",IF(COUNTIF(Контрагенты,H280)=0,"Не задан",VLOOKUP(H280,СПРАВОЧНИКИ!$G$7:$H$66,2,FALSE)))</f>
        <v>ФЛ</v>
      </c>
      <c r="V280" s="4" t="str">
        <f>IF(A280="",IF(COUNTA(B280:O280)&gt;0,"НЕТ ID",""),IF(OR(AND(OR(C280="Оплата клиента",C280="Возврат клиенту"),COUNTIFS(Docs[ID],J280,Docs[Тип долга],"ДЗ")&lt;&gt;1),AND(OR(C280="Оплата поставщику",C280="Возврат поставщика"),COUNTIFS(Docs[ID],J280,Docs[Тип долга],"КЗ",Docs[Вид],"&lt;&gt;Дивиденды")&lt;&gt;1),AND(C280="Дивиденды",COUNTIFS(Docs[ID],J280,Docs[Вид],"Дивиденды")&lt;&gt;1),AND(C280="Проценты",COUNTIFS(Docs[ID],J280,Docs[Вид],"Проценты")&lt;&gt;1),COUNTIF(Cash[ID],A280)&gt;1,NOT(ISNUMBER(B280)),B280&lt;НачалоУчета,YEAR(B280)&lt;&gt;Год,NOT(ISNUMBER(E280)),E280&lt;=0,N280&lt;0,COUNTIF(Типы,C280)&lt;&gt;1,COUNTIF(Категории,D280)&lt;&gt;1,COUNTIF(Счета,F280)&lt;&gt;1,COUNTIF(Проекты,I280)&lt;&gt;1,AND(H280&lt;&gt;"",COUNTIF(Контрагенты,H280)&lt;&gt;1),AND(C280="Перевод",OR(F280=G280,COUNTIF(Счета,G280)&lt;&gt;1)),AND(S280&lt;&gt;0,COUNTIF(Docs[ID],J280)&lt;&gt;1),AND(Форма="ООО",C280="Вывод ИП"),AND(Форма="ИП",C280="Дивиденды"),AND(L280&lt;&gt;"Проведён",L280&lt;&gt;"Черновик")),"ОШИБКА","ОК"))</f>
        <v>ОК</v>
      </c>
      <c r="W280" s="25">
        <f>IF(A280="","",SUMIF(Accounts[Счёт],F280,Accounts[Начальный])+SUMIFS($Q$7:Q280,$F$7:F280,F280)+SUMIFS($E$7:E280,$G$7:G280,F280,$C$7:C280,"Перевод",$L$7:L280,"Проведён"))</f>
        <v>1552433.24</v>
      </c>
    </row>
    <row r="281" spans="1:23" x14ac:dyDescent="0.25">
      <c r="A281" s="3" t="s">
        <v>951</v>
      </c>
      <c r="B281" s="19">
        <v>46384</v>
      </c>
      <c r="C281" s="3" t="s">
        <v>211</v>
      </c>
      <c r="D281" s="3" t="s">
        <v>211</v>
      </c>
      <c r="E281" s="24">
        <v>57390</v>
      </c>
      <c r="F281" s="3" t="s">
        <v>474</v>
      </c>
      <c r="G281" s="3"/>
      <c r="H281" s="3" t="s">
        <v>528</v>
      </c>
      <c r="I281" s="3" t="s">
        <v>383</v>
      </c>
      <c r="J281" s="3" t="s">
        <v>952</v>
      </c>
      <c r="K281" s="3" t="s">
        <v>211</v>
      </c>
      <c r="L281" s="3" t="s">
        <v>476</v>
      </c>
      <c r="M281" s="3"/>
      <c r="N281" s="24">
        <v>0</v>
      </c>
      <c r="O281" s="3"/>
      <c r="P281" s="5">
        <f>IF(A281="","",IF(COUNTIF(Типы,C281)=0,0,VLOOKUP(C281,СПРАВОЧНИКИ!$A$7:$E$22,2,FALSE)))</f>
        <v>-1</v>
      </c>
      <c r="Q281" s="25">
        <f t="shared" si="4"/>
        <v>-57390</v>
      </c>
      <c r="R281" s="5" t="str">
        <f>IF(A281="","",IF(COUNTIF(Типы,C281)=0,"НЕИЗВЕСТНЫЙ ТИП",VLOOKUP(C281,СПРАВОЧНИКИ!$A$7:$E$22,3,FALSE)))</f>
        <v>Операционный</v>
      </c>
      <c r="S281" s="26">
        <f>IF(A281="","",IF(L281="Проведён",E281*IF(COUNTIF(Типы,C281)=0,0,VLOOKUP(C281,СПРАВОЧНИКИ!$A$7:$E$22,4,FALSE)),0))</f>
        <v>0</v>
      </c>
      <c r="T281" s="26">
        <f>IF(A281="","",IF(L281="Проведён",E281*IF(COUNTIF(Типы,C281)=0,0,VLOOKUP(C281,СПРАВОЧНИКИ!$A$7:$E$22,5,FALSE)),0))</f>
        <v>0</v>
      </c>
      <c r="U281" s="5" t="str">
        <f>IF(A281="","",IF(COUNTIF(Контрагенты,H281)=0,"Не задан",VLOOKUP(H281,СПРАВОЧНИКИ!$G$7:$H$66,2,FALSE)))</f>
        <v>ЮЛ</v>
      </c>
      <c r="V281" s="4" t="str">
        <f>IF(A281="",IF(COUNTA(B281:O281)&gt;0,"НЕТ ID",""),IF(OR(AND(OR(C281="Оплата клиента",C281="Возврат клиенту"),COUNTIFS(Docs[ID],J281,Docs[Тип долга],"ДЗ")&lt;&gt;1),AND(OR(C281="Оплата поставщику",C281="Возврат поставщика"),COUNTIFS(Docs[ID],J281,Docs[Тип долга],"КЗ",Docs[Вид],"&lt;&gt;Дивиденды")&lt;&gt;1),AND(C281="Дивиденды",COUNTIFS(Docs[ID],J281,Docs[Вид],"Дивиденды")&lt;&gt;1),AND(C281="Проценты",COUNTIFS(Docs[ID],J281,Docs[Вид],"Проценты")&lt;&gt;1),COUNTIF(Cash[ID],A281)&gt;1,NOT(ISNUMBER(B281)),B281&lt;НачалоУчета,YEAR(B281)&lt;&gt;Год,NOT(ISNUMBER(E281)),E281&lt;=0,N281&lt;0,COUNTIF(Типы,C281)&lt;&gt;1,COUNTIF(Категории,D281)&lt;&gt;1,COUNTIF(Счета,F281)&lt;&gt;1,COUNTIF(Проекты,I281)&lt;&gt;1,AND(H281&lt;&gt;"",COUNTIF(Контрагенты,H281)&lt;&gt;1),AND(C281="Перевод",OR(F281=G281,COUNTIF(Счета,G281)&lt;&gt;1)),AND(S281&lt;&gt;0,COUNTIF(Docs[ID],J281)&lt;&gt;1),AND(Форма="ООО",C281="Вывод ИП"),AND(Форма="ИП",C281="Дивиденды"),AND(L281&lt;&gt;"Проведён",L281&lt;&gt;"Черновик")),"ОШИБКА","ОК"))</f>
        <v>ОК</v>
      </c>
      <c r="W281" s="25">
        <f>IF(A281="","",SUMIF(Accounts[Счёт],F281,Accounts[Начальный])+SUMIFS($Q$7:Q281,$F$7:F281,F281)+SUMIFS($E$7:E281,$G$7:G281,F281,$C$7:C281,"Перевод",$L$7:L281,"Проведён"))</f>
        <v>1495043.24</v>
      </c>
    </row>
    <row r="282" spans="1:23" x14ac:dyDescent="0.25">
      <c r="A282" s="22"/>
      <c r="B282" s="23"/>
      <c r="C282" s="22"/>
      <c r="D282" s="22"/>
      <c r="E282" s="27"/>
      <c r="F282" s="22"/>
      <c r="G282" s="22"/>
      <c r="H282" s="22"/>
      <c r="I282" s="22"/>
      <c r="J282" s="22"/>
      <c r="K282" s="22"/>
      <c r="L282" s="22"/>
      <c r="M282" s="22"/>
      <c r="N282" s="27"/>
      <c r="O282" s="22"/>
      <c r="P282" s="5" t="str">
        <f>IF(A282="","",IF(COUNTIF(Типы,C282)=0,0,VLOOKUP(C282,СПРАВОЧНИКИ!$A$7:$E$22,2,FALSE)))</f>
        <v/>
      </c>
      <c r="Q282" s="25" t="str">
        <f t="shared" si="4"/>
        <v/>
      </c>
      <c r="R282" s="5" t="str">
        <f>IF(A282="","",IF(COUNTIF(Типы,C282)=0,"НЕИЗВЕСТНЫЙ ТИП",VLOOKUP(C282,СПРАВОЧНИКИ!$A$7:$E$22,3,FALSE)))</f>
        <v/>
      </c>
      <c r="S282" s="26" t="str">
        <f>IF(A282="","",IF(L282="Проведён",E282*IF(COUNTIF(Типы,C282)=0,0,VLOOKUP(C282,СПРАВОЧНИКИ!$A$7:$E$22,4,FALSE)),0))</f>
        <v/>
      </c>
      <c r="T282" s="26" t="str">
        <f>IF(A282="","",IF(L282="Проведён",E282*IF(COUNTIF(Типы,C282)=0,0,VLOOKUP(C282,СПРАВОЧНИКИ!$A$7:$E$22,5,FALSE)),0))</f>
        <v/>
      </c>
      <c r="U282" s="5" t="str">
        <f>IF(A282="","",IF(COUNTIF(Контрагенты,H282)=0,"Не задан",VLOOKUP(H282,СПРАВОЧНИКИ!$G$7:$H$66,2,FALSE)))</f>
        <v/>
      </c>
      <c r="V282" s="4" t="str">
        <f>IF(A282="",IF(COUNTA(B282:O282)&gt;0,"НЕТ ID",""),IF(OR(AND(OR(C282="Оплата клиента",C282="Возврат клиенту"),COUNTIFS(Docs[ID],J282,Docs[Тип долга],"ДЗ")&lt;&gt;1),AND(OR(C282="Оплата поставщику",C282="Возврат поставщика"),COUNTIFS(Docs[ID],J282,Docs[Тип долга],"КЗ",Docs[Вид],"&lt;&gt;Дивиденды")&lt;&gt;1),AND(C282="Дивиденды",COUNTIFS(Docs[ID],J282,Docs[Вид],"Дивиденды")&lt;&gt;1),AND(C282="Проценты",COUNTIFS(Docs[ID],J282,Docs[Вид],"Проценты")&lt;&gt;1),COUNTIF(Cash[ID],A282)&gt;1,NOT(ISNUMBER(B282)),B282&lt;НачалоУчета,YEAR(B282)&lt;&gt;Год,NOT(ISNUMBER(E282)),E282&lt;=0,N282&lt;0,COUNTIF(Типы,C282)&lt;&gt;1,COUNTIF(Категории,D282)&lt;&gt;1,COUNTIF(Счета,F282)&lt;&gt;1,COUNTIF(Проекты,I282)&lt;&gt;1,AND(H282&lt;&gt;"",COUNTIF(Контрагенты,H282)&lt;&gt;1),AND(C282="Перевод",OR(F282=G282,COUNTIF(Счета,G282)&lt;&gt;1)),AND(S282&lt;&gt;0,COUNTIF(Docs[ID],J282)&lt;&gt;1),AND(Форма="ООО",C282="Вывод ИП"),AND(Форма="ИП",C282="Дивиденды"),AND(L282&lt;&gt;"Проведён",L282&lt;&gt;"Черновик")),"ОШИБКА","ОК"))</f>
        <v/>
      </c>
      <c r="W282" s="25" t="str">
        <f>IF(A282="","",SUMIF(Accounts[Счёт],F282,Accounts[Начальный])+SUMIFS($Q$7:Q282,$F$7:F282,F282)+SUMIFS($E$7:E282,$G$7:G282,F282,$C$7:C282,"Перевод",$L$7:L282,"Проведён"))</f>
        <v/>
      </c>
    </row>
    <row r="283" spans="1:23" x14ac:dyDescent="0.25">
      <c r="A283" s="22"/>
      <c r="B283" s="23"/>
      <c r="C283" s="22"/>
      <c r="D283" s="22"/>
      <c r="E283" s="27"/>
      <c r="F283" s="22"/>
      <c r="G283" s="22"/>
      <c r="H283" s="22"/>
      <c r="I283" s="22"/>
      <c r="J283" s="22"/>
      <c r="K283" s="22"/>
      <c r="L283" s="22"/>
      <c r="M283" s="22"/>
      <c r="N283" s="27"/>
      <c r="O283" s="22"/>
      <c r="P283" s="5" t="str">
        <f>IF(A283="","",IF(COUNTIF(Типы,C283)=0,0,VLOOKUP(C283,СПРАВОЧНИКИ!$A$7:$E$22,2,FALSE)))</f>
        <v/>
      </c>
      <c r="Q283" s="25" t="str">
        <f t="shared" si="4"/>
        <v/>
      </c>
      <c r="R283" s="5" t="str">
        <f>IF(A283="","",IF(COUNTIF(Типы,C283)=0,"НЕИЗВЕСТНЫЙ ТИП",VLOOKUP(C283,СПРАВОЧНИКИ!$A$7:$E$22,3,FALSE)))</f>
        <v/>
      </c>
      <c r="S283" s="26" t="str">
        <f>IF(A283="","",IF(L283="Проведён",E283*IF(COUNTIF(Типы,C283)=0,0,VLOOKUP(C283,СПРАВОЧНИКИ!$A$7:$E$22,4,FALSE)),0))</f>
        <v/>
      </c>
      <c r="T283" s="26" t="str">
        <f>IF(A283="","",IF(L283="Проведён",E283*IF(COUNTIF(Типы,C283)=0,0,VLOOKUP(C283,СПРАВОЧНИКИ!$A$7:$E$22,5,FALSE)),0))</f>
        <v/>
      </c>
      <c r="U283" s="5" t="str">
        <f>IF(A283="","",IF(COUNTIF(Контрагенты,H283)=0,"Не задан",VLOOKUP(H283,СПРАВОЧНИКИ!$G$7:$H$66,2,FALSE)))</f>
        <v/>
      </c>
      <c r="V283" s="4" t="str">
        <f>IF(A283="",IF(COUNTA(B283:O283)&gt;0,"НЕТ ID",""),IF(OR(AND(OR(C283="Оплата клиента",C283="Возврат клиенту"),COUNTIFS(Docs[ID],J283,Docs[Тип долга],"ДЗ")&lt;&gt;1),AND(OR(C283="Оплата поставщику",C283="Возврат поставщика"),COUNTIFS(Docs[ID],J283,Docs[Тип долга],"КЗ",Docs[Вид],"&lt;&gt;Дивиденды")&lt;&gt;1),AND(C283="Дивиденды",COUNTIFS(Docs[ID],J283,Docs[Вид],"Дивиденды")&lt;&gt;1),AND(C283="Проценты",COUNTIFS(Docs[ID],J283,Docs[Вид],"Проценты")&lt;&gt;1),COUNTIF(Cash[ID],A283)&gt;1,NOT(ISNUMBER(B283)),B283&lt;НачалоУчета,YEAR(B283)&lt;&gt;Год,NOT(ISNUMBER(E283)),E283&lt;=0,N283&lt;0,COUNTIF(Типы,C283)&lt;&gt;1,COUNTIF(Категории,D283)&lt;&gt;1,COUNTIF(Счета,F283)&lt;&gt;1,COUNTIF(Проекты,I283)&lt;&gt;1,AND(H283&lt;&gt;"",COUNTIF(Контрагенты,H283)&lt;&gt;1),AND(C283="Перевод",OR(F283=G283,COUNTIF(Счета,G283)&lt;&gt;1)),AND(S283&lt;&gt;0,COUNTIF(Docs[ID],J283)&lt;&gt;1),AND(Форма="ООО",C283="Вывод ИП"),AND(Форма="ИП",C283="Дивиденды"),AND(L283&lt;&gt;"Проведён",L283&lt;&gt;"Черновик")),"ОШИБКА","ОК"))</f>
        <v/>
      </c>
      <c r="W283" s="25" t="str">
        <f>IF(A283="","",SUMIF(Accounts[Счёт],F283,Accounts[Начальный])+SUMIFS($Q$7:Q283,$F$7:F283,F283)+SUMIFS($E$7:E283,$G$7:G283,F283,$C$7:C283,"Перевод",$L$7:L283,"Проведён"))</f>
        <v/>
      </c>
    </row>
    <row r="284" spans="1:23" x14ac:dyDescent="0.25">
      <c r="A284" s="22"/>
      <c r="B284" s="23"/>
      <c r="C284" s="22"/>
      <c r="D284" s="22"/>
      <c r="E284" s="27"/>
      <c r="F284" s="22"/>
      <c r="G284" s="22"/>
      <c r="H284" s="22"/>
      <c r="I284" s="22"/>
      <c r="J284" s="22"/>
      <c r="K284" s="22"/>
      <c r="L284" s="22"/>
      <c r="M284" s="22"/>
      <c r="N284" s="27"/>
      <c r="O284" s="22"/>
      <c r="P284" s="5" t="str">
        <f>IF(A284="","",IF(COUNTIF(Типы,C284)=0,0,VLOOKUP(C284,СПРАВОЧНИКИ!$A$7:$E$22,2,FALSE)))</f>
        <v/>
      </c>
      <c r="Q284" s="25" t="str">
        <f t="shared" si="4"/>
        <v/>
      </c>
      <c r="R284" s="5" t="str">
        <f>IF(A284="","",IF(COUNTIF(Типы,C284)=0,"НЕИЗВЕСТНЫЙ ТИП",VLOOKUP(C284,СПРАВОЧНИКИ!$A$7:$E$22,3,FALSE)))</f>
        <v/>
      </c>
      <c r="S284" s="26" t="str">
        <f>IF(A284="","",IF(L284="Проведён",E284*IF(COUNTIF(Типы,C284)=0,0,VLOOKUP(C284,СПРАВОЧНИКИ!$A$7:$E$22,4,FALSE)),0))</f>
        <v/>
      </c>
      <c r="T284" s="26" t="str">
        <f>IF(A284="","",IF(L284="Проведён",E284*IF(COUNTIF(Типы,C284)=0,0,VLOOKUP(C284,СПРАВОЧНИКИ!$A$7:$E$22,5,FALSE)),0))</f>
        <v/>
      </c>
      <c r="U284" s="5" t="str">
        <f>IF(A284="","",IF(COUNTIF(Контрагенты,H284)=0,"Не задан",VLOOKUP(H284,СПРАВОЧНИКИ!$G$7:$H$66,2,FALSE)))</f>
        <v/>
      </c>
      <c r="V284" s="4" t="str">
        <f>IF(A284="",IF(COUNTA(B284:O284)&gt;0,"НЕТ ID",""),IF(OR(AND(OR(C284="Оплата клиента",C284="Возврат клиенту"),COUNTIFS(Docs[ID],J284,Docs[Тип долга],"ДЗ")&lt;&gt;1),AND(OR(C284="Оплата поставщику",C284="Возврат поставщика"),COUNTIFS(Docs[ID],J284,Docs[Тип долга],"КЗ",Docs[Вид],"&lt;&gt;Дивиденды")&lt;&gt;1),AND(C284="Дивиденды",COUNTIFS(Docs[ID],J284,Docs[Вид],"Дивиденды")&lt;&gt;1),AND(C284="Проценты",COUNTIFS(Docs[ID],J284,Docs[Вид],"Проценты")&lt;&gt;1),COUNTIF(Cash[ID],A284)&gt;1,NOT(ISNUMBER(B284)),B284&lt;НачалоУчета,YEAR(B284)&lt;&gt;Год,NOT(ISNUMBER(E284)),E284&lt;=0,N284&lt;0,COUNTIF(Типы,C284)&lt;&gt;1,COUNTIF(Категории,D284)&lt;&gt;1,COUNTIF(Счета,F284)&lt;&gt;1,COUNTIF(Проекты,I284)&lt;&gt;1,AND(H284&lt;&gt;"",COUNTIF(Контрагенты,H284)&lt;&gt;1),AND(C284="Перевод",OR(F284=G284,COUNTIF(Счета,G284)&lt;&gt;1)),AND(S284&lt;&gt;0,COUNTIF(Docs[ID],J284)&lt;&gt;1),AND(Форма="ООО",C284="Вывод ИП"),AND(Форма="ИП",C284="Дивиденды"),AND(L284&lt;&gt;"Проведён",L284&lt;&gt;"Черновик")),"ОШИБКА","ОК"))</f>
        <v/>
      </c>
      <c r="W284" s="25" t="str">
        <f>IF(A284="","",SUMIF(Accounts[Счёт],F284,Accounts[Начальный])+SUMIFS($Q$7:Q284,$F$7:F284,F284)+SUMIFS($E$7:E284,$G$7:G284,F284,$C$7:C284,"Перевод",$L$7:L284,"Проведён"))</f>
        <v/>
      </c>
    </row>
    <row r="285" spans="1:23" x14ac:dyDescent="0.25">
      <c r="A285" s="22"/>
      <c r="B285" s="23"/>
      <c r="C285" s="22"/>
      <c r="D285" s="22"/>
      <c r="E285" s="27"/>
      <c r="F285" s="22"/>
      <c r="G285" s="22"/>
      <c r="H285" s="22"/>
      <c r="I285" s="22"/>
      <c r="J285" s="22"/>
      <c r="K285" s="22"/>
      <c r="L285" s="22"/>
      <c r="M285" s="22"/>
      <c r="N285" s="27"/>
      <c r="O285" s="22"/>
      <c r="P285" s="5" t="str">
        <f>IF(A285="","",IF(COUNTIF(Типы,C285)=0,0,VLOOKUP(C285,СПРАВОЧНИКИ!$A$7:$E$22,2,FALSE)))</f>
        <v/>
      </c>
      <c r="Q285" s="25" t="str">
        <f t="shared" si="4"/>
        <v/>
      </c>
      <c r="R285" s="5" t="str">
        <f>IF(A285="","",IF(COUNTIF(Типы,C285)=0,"НЕИЗВЕСТНЫЙ ТИП",VLOOKUP(C285,СПРАВОЧНИКИ!$A$7:$E$22,3,FALSE)))</f>
        <v/>
      </c>
      <c r="S285" s="26" t="str">
        <f>IF(A285="","",IF(L285="Проведён",E285*IF(COUNTIF(Типы,C285)=0,0,VLOOKUP(C285,СПРАВОЧНИКИ!$A$7:$E$22,4,FALSE)),0))</f>
        <v/>
      </c>
      <c r="T285" s="26" t="str">
        <f>IF(A285="","",IF(L285="Проведён",E285*IF(COUNTIF(Типы,C285)=0,0,VLOOKUP(C285,СПРАВОЧНИКИ!$A$7:$E$22,5,FALSE)),0))</f>
        <v/>
      </c>
      <c r="U285" s="5" t="str">
        <f>IF(A285="","",IF(COUNTIF(Контрагенты,H285)=0,"Не задан",VLOOKUP(H285,СПРАВОЧНИКИ!$G$7:$H$66,2,FALSE)))</f>
        <v/>
      </c>
      <c r="V285" s="4" t="str">
        <f>IF(A285="",IF(COUNTA(B285:O285)&gt;0,"НЕТ ID",""),IF(OR(AND(OR(C285="Оплата клиента",C285="Возврат клиенту"),COUNTIFS(Docs[ID],J285,Docs[Тип долга],"ДЗ")&lt;&gt;1),AND(OR(C285="Оплата поставщику",C285="Возврат поставщика"),COUNTIFS(Docs[ID],J285,Docs[Тип долга],"КЗ",Docs[Вид],"&lt;&gt;Дивиденды")&lt;&gt;1),AND(C285="Дивиденды",COUNTIFS(Docs[ID],J285,Docs[Вид],"Дивиденды")&lt;&gt;1),AND(C285="Проценты",COUNTIFS(Docs[ID],J285,Docs[Вид],"Проценты")&lt;&gt;1),COUNTIF(Cash[ID],A285)&gt;1,NOT(ISNUMBER(B285)),B285&lt;НачалоУчета,YEAR(B285)&lt;&gt;Год,NOT(ISNUMBER(E285)),E285&lt;=0,N285&lt;0,COUNTIF(Типы,C285)&lt;&gt;1,COUNTIF(Категории,D285)&lt;&gt;1,COUNTIF(Счета,F285)&lt;&gt;1,COUNTIF(Проекты,I285)&lt;&gt;1,AND(H285&lt;&gt;"",COUNTIF(Контрагенты,H285)&lt;&gt;1),AND(C285="Перевод",OR(F285=G285,COUNTIF(Счета,G285)&lt;&gt;1)),AND(S285&lt;&gt;0,COUNTIF(Docs[ID],J285)&lt;&gt;1),AND(Форма="ООО",C285="Вывод ИП"),AND(Форма="ИП",C285="Дивиденды"),AND(L285&lt;&gt;"Проведён",L285&lt;&gt;"Черновик")),"ОШИБКА","ОК"))</f>
        <v/>
      </c>
      <c r="W285" s="25" t="str">
        <f>IF(A285="","",SUMIF(Accounts[Счёт],F285,Accounts[Начальный])+SUMIFS($Q$7:Q285,$F$7:F285,F285)+SUMIFS($E$7:E285,$G$7:G285,F285,$C$7:C285,"Перевод",$L$7:L285,"Проведён"))</f>
        <v/>
      </c>
    </row>
    <row r="286" spans="1:23" x14ac:dyDescent="0.25">
      <c r="A286" s="22"/>
      <c r="B286" s="23"/>
      <c r="C286" s="22"/>
      <c r="D286" s="22"/>
      <c r="E286" s="27"/>
      <c r="F286" s="22"/>
      <c r="G286" s="22"/>
      <c r="H286" s="22"/>
      <c r="I286" s="22"/>
      <c r="J286" s="22"/>
      <c r="K286" s="22"/>
      <c r="L286" s="22"/>
      <c r="M286" s="22"/>
      <c r="N286" s="27"/>
      <c r="O286" s="22"/>
      <c r="P286" s="5" t="str">
        <f>IF(A286="","",IF(COUNTIF(Типы,C286)=0,0,VLOOKUP(C286,СПРАВОЧНИКИ!$A$7:$E$22,2,FALSE)))</f>
        <v/>
      </c>
      <c r="Q286" s="25" t="str">
        <f t="shared" si="4"/>
        <v/>
      </c>
      <c r="R286" s="5" t="str">
        <f>IF(A286="","",IF(COUNTIF(Типы,C286)=0,"НЕИЗВЕСТНЫЙ ТИП",VLOOKUP(C286,СПРАВОЧНИКИ!$A$7:$E$22,3,FALSE)))</f>
        <v/>
      </c>
      <c r="S286" s="26" t="str">
        <f>IF(A286="","",IF(L286="Проведён",E286*IF(COUNTIF(Типы,C286)=0,0,VLOOKUP(C286,СПРАВОЧНИКИ!$A$7:$E$22,4,FALSE)),0))</f>
        <v/>
      </c>
      <c r="T286" s="26" t="str">
        <f>IF(A286="","",IF(L286="Проведён",E286*IF(COUNTIF(Типы,C286)=0,0,VLOOKUP(C286,СПРАВОЧНИКИ!$A$7:$E$22,5,FALSE)),0))</f>
        <v/>
      </c>
      <c r="U286" s="5" t="str">
        <f>IF(A286="","",IF(COUNTIF(Контрагенты,H286)=0,"Не задан",VLOOKUP(H286,СПРАВОЧНИКИ!$G$7:$H$66,2,FALSE)))</f>
        <v/>
      </c>
      <c r="V286" s="4" t="str">
        <f>IF(A286="",IF(COUNTA(B286:O286)&gt;0,"НЕТ ID",""),IF(OR(AND(OR(C286="Оплата клиента",C286="Возврат клиенту"),COUNTIFS(Docs[ID],J286,Docs[Тип долга],"ДЗ")&lt;&gt;1),AND(OR(C286="Оплата поставщику",C286="Возврат поставщика"),COUNTIFS(Docs[ID],J286,Docs[Тип долга],"КЗ",Docs[Вид],"&lt;&gt;Дивиденды")&lt;&gt;1),AND(C286="Дивиденды",COUNTIFS(Docs[ID],J286,Docs[Вид],"Дивиденды")&lt;&gt;1),AND(C286="Проценты",COUNTIFS(Docs[ID],J286,Docs[Вид],"Проценты")&lt;&gt;1),COUNTIF(Cash[ID],A286)&gt;1,NOT(ISNUMBER(B286)),B286&lt;НачалоУчета,YEAR(B286)&lt;&gt;Год,NOT(ISNUMBER(E286)),E286&lt;=0,N286&lt;0,COUNTIF(Типы,C286)&lt;&gt;1,COUNTIF(Категории,D286)&lt;&gt;1,COUNTIF(Счета,F286)&lt;&gt;1,COUNTIF(Проекты,I286)&lt;&gt;1,AND(H286&lt;&gt;"",COUNTIF(Контрагенты,H286)&lt;&gt;1),AND(C286="Перевод",OR(F286=G286,COUNTIF(Счета,G286)&lt;&gt;1)),AND(S286&lt;&gt;0,COUNTIF(Docs[ID],J286)&lt;&gt;1),AND(Форма="ООО",C286="Вывод ИП"),AND(Форма="ИП",C286="Дивиденды"),AND(L286&lt;&gt;"Проведён",L286&lt;&gt;"Черновик")),"ОШИБКА","ОК"))</f>
        <v/>
      </c>
      <c r="W286" s="25" t="str">
        <f>IF(A286="","",SUMIF(Accounts[Счёт],F286,Accounts[Начальный])+SUMIFS($Q$7:Q286,$F$7:F286,F286)+SUMIFS($E$7:E286,$G$7:G286,F286,$C$7:C286,"Перевод",$L$7:L286,"Проведён"))</f>
        <v/>
      </c>
    </row>
    <row r="287" spans="1:23" x14ac:dyDescent="0.25">
      <c r="A287" s="22"/>
      <c r="B287" s="23"/>
      <c r="C287" s="22"/>
      <c r="D287" s="22"/>
      <c r="E287" s="27"/>
      <c r="F287" s="22"/>
      <c r="G287" s="22"/>
      <c r="H287" s="22"/>
      <c r="I287" s="22"/>
      <c r="J287" s="22"/>
      <c r="K287" s="22"/>
      <c r="L287" s="22"/>
      <c r="M287" s="22"/>
      <c r="N287" s="27"/>
      <c r="O287" s="22"/>
      <c r="P287" s="5" t="str">
        <f>IF(A287="","",IF(COUNTIF(Типы,C287)=0,0,VLOOKUP(C287,СПРАВОЧНИКИ!$A$7:$E$22,2,FALSE)))</f>
        <v/>
      </c>
      <c r="Q287" s="25" t="str">
        <f t="shared" si="4"/>
        <v/>
      </c>
      <c r="R287" s="5" t="str">
        <f>IF(A287="","",IF(COUNTIF(Типы,C287)=0,"НЕИЗВЕСТНЫЙ ТИП",VLOOKUP(C287,СПРАВОЧНИКИ!$A$7:$E$22,3,FALSE)))</f>
        <v/>
      </c>
      <c r="S287" s="26" t="str">
        <f>IF(A287="","",IF(L287="Проведён",E287*IF(COUNTIF(Типы,C287)=0,0,VLOOKUP(C287,СПРАВОЧНИКИ!$A$7:$E$22,4,FALSE)),0))</f>
        <v/>
      </c>
      <c r="T287" s="26" t="str">
        <f>IF(A287="","",IF(L287="Проведён",E287*IF(COUNTIF(Типы,C287)=0,0,VLOOKUP(C287,СПРАВОЧНИКИ!$A$7:$E$22,5,FALSE)),0))</f>
        <v/>
      </c>
      <c r="U287" s="5" t="str">
        <f>IF(A287="","",IF(COUNTIF(Контрагенты,H287)=0,"Не задан",VLOOKUP(H287,СПРАВОЧНИКИ!$G$7:$H$66,2,FALSE)))</f>
        <v/>
      </c>
      <c r="V287" s="4" t="str">
        <f>IF(A287="",IF(COUNTA(B287:O287)&gt;0,"НЕТ ID",""),IF(OR(AND(OR(C287="Оплата клиента",C287="Возврат клиенту"),COUNTIFS(Docs[ID],J287,Docs[Тип долга],"ДЗ")&lt;&gt;1),AND(OR(C287="Оплата поставщику",C287="Возврат поставщика"),COUNTIFS(Docs[ID],J287,Docs[Тип долга],"КЗ",Docs[Вид],"&lt;&gt;Дивиденды")&lt;&gt;1),AND(C287="Дивиденды",COUNTIFS(Docs[ID],J287,Docs[Вид],"Дивиденды")&lt;&gt;1),AND(C287="Проценты",COUNTIFS(Docs[ID],J287,Docs[Вид],"Проценты")&lt;&gt;1),COUNTIF(Cash[ID],A287)&gt;1,NOT(ISNUMBER(B287)),B287&lt;НачалоУчета,YEAR(B287)&lt;&gt;Год,NOT(ISNUMBER(E287)),E287&lt;=0,N287&lt;0,COUNTIF(Типы,C287)&lt;&gt;1,COUNTIF(Категории,D287)&lt;&gt;1,COUNTIF(Счета,F287)&lt;&gt;1,COUNTIF(Проекты,I287)&lt;&gt;1,AND(H287&lt;&gt;"",COUNTIF(Контрагенты,H287)&lt;&gt;1),AND(C287="Перевод",OR(F287=G287,COUNTIF(Счета,G287)&lt;&gt;1)),AND(S287&lt;&gt;0,COUNTIF(Docs[ID],J287)&lt;&gt;1),AND(Форма="ООО",C287="Вывод ИП"),AND(Форма="ИП",C287="Дивиденды"),AND(L287&lt;&gt;"Проведён",L287&lt;&gt;"Черновик")),"ОШИБКА","ОК"))</f>
        <v/>
      </c>
      <c r="W287" s="25" t="str">
        <f>IF(A287="","",SUMIF(Accounts[Счёт],F287,Accounts[Начальный])+SUMIFS($Q$7:Q287,$F$7:F287,F287)+SUMIFS($E$7:E287,$G$7:G287,F287,$C$7:C287,"Перевод",$L$7:L287,"Проведён"))</f>
        <v/>
      </c>
    </row>
    <row r="288" spans="1:23" x14ac:dyDescent="0.25">
      <c r="A288" s="22"/>
      <c r="B288" s="23"/>
      <c r="C288" s="22"/>
      <c r="D288" s="22"/>
      <c r="E288" s="27"/>
      <c r="F288" s="22"/>
      <c r="G288" s="22"/>
      <c r="H288" s="22"/>
      <c r="I288" s="22"/>
      <c r="J288" s="22"/>
      <c r="K288" s="22"/>
      <c r="L288" s="22"/>
      <c r="M288" s="22"/>
      <c r="N288" s="27"/>
      <c r="O288" s="22"/>
      <c r="P288" s="5" t="str">
        <f>IF(A288="","",IF(COUNTIF(Типы,C288)=0,0,VLOOKUP(C288,СПРАВОЧНИКИ!$A$7:$E$22,2,FALSE)))</f>
        <v/>
      </c>
      <c r="Q288" s="25" t="str">
        <f t="shared" si="4"/>
        <v/>
      </c>
      <c r="R288" s="5" t="str">
        <f>IF(A288="","",IF(COUNTIF(Типы,C288)=0,"НЕИЗВЕСТНЫЙ ТИП",VLOOKUP(C288,СПРАВОЧНИКИ!$A$7:$E$22,3,FALSE)))</f>
        <v/>
      </c>
      <c r="S288" s="26" t="str">
        <f>IF(A288="","",IF(L288="Проведён",E288*IF(COUNTIF(Типы,C288)=0,0,VLOOKUP(C288,СПРАВОЧНИКИ!$A$7:$E$22,4,FALSE)),0))</f>
        <v/>
      </c>
      <c r="T288" s="26" t="str">
        <f>IF(A288="","",IF(L288="Проведён",E288*IF(COUNTIF(Типы,C288)=0,0,VLOOKUP(C288,СПРАВОЧНИКИ!$A$7:$E$22,5,FALSE)),0))</f>
        <v/>
      </c>
      <c r="U288" s="5" t="str">
        <f>IF(A288="","",IF(COUNTIF(Контрагенты,H288)=0,"Не задан",VLOOKUP(H288,СПРАВОЧНИКИ!$G$7:$H$66,2,FALSE)))</f>
        <v/>
      </c>
      <c r="V288" s="4" t="str">
        <f>IF(A288="",IF(COUNTA(B288:O288)&gt;0,"НЕТ ID",""),IF(OR(AND(OR(C288="Оплата клиента",C288="Возврат клиенту"),COUNTIFS(Docs[ID],J288,Docs[Тип долга],"ДЗ")&lt;&gt;1),AND(OR(C288="Оплата поставщику",C288="Возврат поставщика"),COUNTIFS(Docs[ID],J288,Docs[Тип долга],"КЗ",Docs[Вид],"&lt;&gt;Дивиденды")&lt;&gt;1),AND(C288="Дивиденды",COUNTIFS(Docs[ID],J288,Docs[Вид],"Дивиденды")&lt;&gt;1),AND(C288="Проценты",COUNTIFS(Docs[ID],J288,Docs[Вид],"Проценты")&lt;&gt;1),COUNTIF(Cash[ID],A288)&gt;1,NOT(ISNUMBER(B288)),B288&lt;НачалоУчета,YEAR(B288)&lt;&gt;Год,NOT(ISNUMBER(E288)),E288&lt;=0,N288&lt;0,COUNTIF(Типы,C288)&lt;&gt;1,COUNTIF(Категории,D288)&lt;&gt;1,COUNTIF(Счета,F288)&lt;&gt;1,COUNTIF(Проекты,I288)&lt;&gt;1,AND(H288&lt;&gt;"",COUNTIF(Контрагенты,H288)&lt;&gt;1),AND(C288="Перевод",OR(F288=G288,COUNTIF(Счета,G288)&lt;&gt;1)),AND(S288&lt;&gt;0,COUNTIF(Docs[ID],J288)&lt;&gt;1),AND(Форма="ООО",C288="Вывод ИП"),AND(Форма="ИП",C288="Дивиденды"),AND(L288&lt;&gt;"Проведён",L288&lt;&gt;"Черновик")),"ОШИБКА","ОК"))</f>
        <v/>
      </c>
      <c r="W288" s="25" t="str">
        <f>IF(A288="","",SUMIF(Accounts[Счёт],F288,Accounts[Начальный])+SUMIFS($Q$7:Q288,$F$7:F288,F288)+SUMIFS($E$7:E288,$G$7:G288,F288,$C$7:C288,"Перевод",$L$7:L288,"Проведён"))</f>
        <v/>
      </c>
    </row>
    <row r="289" spans="1:23" x14ac:dyDescent="0.25">
      <c r="A289" s="22"/>
      <c r="B289" s="23"/>
      <c r="C289" s="22"/>
      <c r="D289" s="22"/>
      <c r="E289" s="27"/>
      <c r="F289" s="22"/>
      <c r="G289" s="22"/>
      <c r="H289" s="22"/>
      <c r="I289" s="22"/>
      <c r="J289" s="22"/>
      <c r="K289" s="22"/>
      <c r="L289" s="22"/>
      <c r="M289" s="22"/>
      <c r="N289" s="27"/>
      <c r="O289" s="22"/>
      <c r="P289" s="5" t="str">
        <f>IF(A289="","",IF(COUNTIF(Типы,C289)=0,0,VLOOKUP(C289,СПРАВОЧНИКИ!$A$7:$E$22,2,FALSE)))</f>
        <v/>
      </c>
      <c r="Q289" s="25" t="str">
        <f t="shared" si="4"/>
        <v/>
      </c>
      <c r="R289" s="5" t="str">
        <f>IF(A289="","",IF(COUNTIF(Типы,C289)=0,"НЕИЗВЕСТНЫЙ ТИП",VLOOKUP(C289,СПРАВОЧНИКИ!$A$7:$E$22,3,FALSE)))</f>
        <v/>
      </c>
      <c r="S289" s="26" t="str">
        <f>IF(A289="","",IF(L289="Проведён",E289*IF(COUNTIF(Типы,C289)=0,0,VLOOKUP(C289,СПРАВОЧНИКИ!$A$7:$E$22,4,FALSE)),0))</f>
        <v/>
      </c>
      <c r="T289" s="26" t="str">
        <f>IF(A289="","",IF(L289="Проведён",E289*IF(COUNTIF(Типы,C289)=0,0,VLOOKUP(C289,СПРАВОЧНИКИ!$A$7:$E$22,5,FALSE)),0))</f>
        <v/>
      </c>
      <c r="U289" s="5" t="str">
        <f>IF(A289="","",IF(COUNTIF(Контрагенты,H289)=0,"Не задан",VLOOKUP(H289,СПРАВОЧНИКИ!$G$7:$H$66,2,FALSE)))</f>
        <v/>
      </c>
      <c r="V289" s="4" t="str">
        <f>IF(A289="",IF(COUNTA(B289:O289)&gt;0,"НЕТ ID",""),IF(OR(AND(OR(C289="Оплата клиента",C289="Возврат клиенту"),COUNTIFS(Docs[ID],J289,Docs[Тип долга],"ДЗ")&lt;&gt;1),AND(OR(C289="Оплата поставщику",C289="Возврат поставщика"),COUNTIFS(Docs[ID],J289,Docs[Тип долга],"КЗ",Docs[Вид],"&lt;&gt;Дивиденды")&lt;&gt;1),AND(C289="Дивиденды",COUNTIFS(Docs[ID],J289,Docs[Вид],"Дивиденды")&lt;&gt;1),AND(C289="Проценты",COUNTIFS(Docs[ID],J289,Docs[Вид],"Проценты")&lt;&gt;1),COUNTIF(Cash[ID],A289)&gt;1,NOT(ISNUMBER(B289)),B289&lt;НачалоУчета,YEAR(B289)&lt;&gt;Год,NOT(ISNUMBER(E289)),E289&lt;=0,N289&lt;0,COUNTIF(Типы,C289)&lt;&gt;1,COUNTIF(Категории,D289)&lt;&gt;1,COUNTIF(Счета,F289)&lt;&gt;1,COUNTIF(Проекты,I289)&lt;&gt;1,AND(H289&lt;&gt;"",COUNTIF(Контрагенты,H289)&lt;&gt;1),AND(C289="Перевод",OR(F289=G289,COUNTIF(Счета,G289)&lt;&gt;1)),AND(S289&lt;&gt;0,COUNTIF(Docs[ID],J289)&lt;&gt;1),AND(Форма="ООО",C289="Вывод ИП"),AND(Форма="ИП",C289="Дивиденды"),AND(L289&lt;&gt;"Проведён",L289&lt;&gt;"Черновик")),"ОШИБКА","ОК"))</f>
        <v/>
      </c>
      <c r="W289" s="25" t="str">
        <f>IF(A289="","",SUMIF(Accounts[Счёт],F289,Accounts[Начальный])+SUMIFS($Q$7:Q289,$F$7:F289,F289)+SUMIFS($E$7:E289,$G$7:G289,F289,$C$7:C289,"Перевод",$L$7:L289,"Проведён"))</f>
        <v/>
      </c>
    </row>
    <row r="290" spans="1:23" x14ac:dyDescent="0.25">
      <c r="A290" s="22"/>
      <c r="B290" s="23"/>
      <c r="C290" s="22"/>
      <c r="D290" s="22"/>
      <c r="E290" s="27"/>
      <c r="F290" s="22"/>
      <c r="G290" s="22"/>
      <c r="H290" s="22"/>
      <c r="I290" s="22"/>
      <c r="J290" s="22"/>
      <c r="K290" s="22"/>
      <c r="L290" s="22"/>
      <c r="M290" s="22"/>
      <c r="N290" s="27"/>
      <c r="O290" s="22"/>
      <c r="P290" s="5" t="str">
        <f>IF(A290="","",IF(COUNTIF(Типы,C290)=0,0,VLOOKUP(C290,СПРАВОЧНИКИ!$A$7:$E$22,2,FALSE)))</f>
        <v/>
      </c>
      <c r="Q290" s="25" t="str">
        <f t="shared" si="4"/>
        <v/>
      </c>
      <c r="R290" s="5" t="str">
        <f>IF(A290="","",IF(COUNTIF(Типы,C290)=0,"НЕИЗВЕСТНЫЙ ТИП",VLOOKUP(C290,СПРАВОЧНИКИ!$A$7:$E$22,3,FALSE)))</f>
        <v/>
      </c>
      <c r="S290" s="26" t="str">
        <f>IF(A290="","",IF(L290="Проведён",E290*IF(COUNTIF(Типы,C290)=0,0,VLOOKUP(C290,СПРАВОЧНИКИ!$A$7:$E$22,4,FALSE)),0))</f>
        <v/>
      </c>
      <c r="T290" s="26" t="str">
        <f>IF(A290="","",IF(L290="Проведён",E290*IF(COUNTIF(Типы,C290)=0,0,VLOOKUP(C290,СПРАВОЧНИКИ!$A$7:$E$22,5,FALSE)),0))</f>
        <v/>
      </c>
      <c r="U290" s="5" t="str">
        <f>IF(A290="","",IF(COUNTIF(Контрагенты,H290)=0,"Не задан",VLOOKUP(H290,СПРАВОЧНИКИ!$G$7:$H$66,2,FALSE)))</f>
        <v/>
      </c>
      <c r="V290" s="4" t="str">
        <f>IF(A290="",IF(COUNTA(B290:O290)&gt;0,"НЕТ ID",""),IF(OR(AND(OR(C290="Оплата клиента",C290="Возврат клиенту"),COUNTIFS(Docs[ID],J290,Docs[Тип долга],"ДЗ")&lt;&gt;1),AND(OR(C290="Оплата поставщику",C290="Возврат поставщика"),COUNTIFS(Docs[ID],J290,Docs[Тип долга],"КЗ",Docs[Вид],"&lt;&gt;Дивиденды")&lt;&gt;1),AND(C290="Дивиденды",COUNTIFS(Docs[ID],J290,Docs[Вид],"Дивиденды")&lt;&gt;1),AND(C290="Проценты",COUNTIFS(Docs[ID],J290,Docs[Вид],"Проценты")&lt;&gt;1),COUNTIF(Cash[ID],A290)&gt;1,NOT(ISNUMBER(B290)),B290&lt;НачалоУчета,YEAR(B290)&lt;&gt;Год,NOT(ISNUMBER(E290)),E290&lt;=0,N290&lt;0,COUNTIF(Типы,C290)&lt;&gt;1,COUNTIF(Категории,D290)&lt;&gt;1,COUNTIF(Счета,F290)&lt;&gt;1,COUNTIF(Проекты,I290)&lt;&gt;1,AND(H290&lt;&gt;"",COUNTIF(Контрагенты,H290)&lt;&gt;1),AND(C290="Перевод",OR(F290=G290,COUNTIF(Счета,G290)&lt;&gt;1)),AND(S290&lt;&gt;0,COUNTIF(Docs[ID],J290)&lt;&gt;1),AND(Форма="ООО",C290="Вывод ИП"),AND(Форма="ИП",C290="Дивиденды"),AND(L290&lt;&gt;"Проведён",L290&lt;&gt;"Черновик")),"ОШИБКА","ОК"))</f>
        <v/>
      </c>
      <c r="W290" s="25" t="str">
        <f>IF(A290="","",SUMIF(Accounts[Счёт],F290,Accounts[Начальный])+SUMIFS($Q$7:Q290,$F$7:F290,F290)+SUMIFS($E$7:E290,$G$7:G290,F290,$C$7:C290,"Перевод",$L$7:L290,"Проведён"))</f>
        <v/>
      </c>
    </row>
    <row r="291" spans="1:23" x14ac:dyDescent="0.25">
      <c r="A291" s="22"/>
      <c r="B291" s="23"/>
      <c r="C291" s="22"/>
      <c r="D291" s="22"/>
      <c r="E291" s="27"/>
      <c r="F291" s="22"/>
      <c r="G291" s="22"/>
      <c r="H291" s="22"/>
      <c r="I291" s="22"/>
      <c r="J291" s="22"/>
      <c r="K291" s="22"/>
      <c r="L291" s="22"/>
      <c r="M291" s="22"/>
      <c r="N291" s="27"/>
      <c r="O291" s="22"/>
      <c r="P291" s="5" t="str">
        <f>IF(A291="","",IF(COUNTIF(Типы,C291)=0,0,VLOOKUP(C291,СПРАВОЧНИКИ!$A$7:$E$22,2,FALSE)))</f>
        <v/>
      </c>
      <c r="Q291" s="25" t="str">
        <f t="shared" si="4"/>
        <v/>
      </c>
      <c r="R291" s="5" t="str">
        <f>IF(A291="","",IF(COUNTIF(Типы,C291)=0,"НЕИЗВЕСТНЫЙ ТИП",VLOOKUP(C291,СПРАВОЧНИКИ!$A$7:$E$22,3,FALSE)))</f>
        <v/>
      </c>
      <c r="S291" s="26" t="str">
        <f>IF(A291="","",IF(L291="Проведён",E291*IF(COUNTIF(Типы,C291)=0,0,VLOOKUP(C291,СПРАВОЧНИКИ!$A$7:$E$22,4,FALSE)),0))</f>
        <v/>
      </c>
      <c r="T291" s="26" t="str">
        <f>IF(A291="","",IF(L291="Проведён",E291*IF(COUNTIF(Типы,C291)=0,0,VLOOKUP(C291,СПРАВОЧНИКИ!$A$7:$E$22,5,FALSE)),0))</f>
        <v/>
      </c>
      <c r="U291" s="5" t="str">
        <f>IF(A291="","",IF(COUNTIF(Контрагенты,H291)=0,"Не задан",VLOOKUP(H291,СПРАВОЧНИКИ!$G$7:$H$66,2,FALSE)))</f>
        <v/>
      </c>
      <c r="V291" s="4" t="str">
        <f>IF(A291="",IF(COUNTA(B291:O291)&gt;0,"НЕТ ID",""),IF(OR(AND(OR(C291="Оплата клиента",C291="Возврат клиенту"),COUNTIFS(Docs[ID],J291,Docs[Тип долга],"ДЗ")&lt;&gt;1),AND(OR(C291="Оплата поставщику",C291="Возврат поставщика"),COUNTIFS(Docs[ID],J291,Docs[Тип долга],"КЗ",Docs[Вид],"&lt;&gt;Дивиденды")&lt;&gt;1),AND(C291="Дивиденды",COUNTIFS(Docs[ID],J291,Docs[Вид],"Дивиденды")&lt;&gt;1),AND(C291="Проценты",COUNTIFS(Docs[ID],J291,Docs[Вид],"Проценты")&lt;&gt;1),COUNTIF(Cash[ID],A291)&gt;1,NOT(ISNUMBER(B291)),B291&lt;НачалоУчета,YEAR(B291)&lt;&gt;Год,NOT(ISNUMBER(E291)),E291&lt;=0,N291&lt;0,COUNTIF(Типы,C291)&lt;&gt;1,COUNTIF(Категории,D291)&lt;&gt;1,COUNTIF(Счета,F291)&lt;&gt;1,COUNTIF(Проекты,I291)&lt;&gt;1,AND(H291&lt;&gt;"",COUNTIF(Контрагенты,H291)&lt;&gt;1),AND(C291="Перевод",OR(F291=G291,COUNTIF(Счета,G291)&lt;&gt;1)),AND(S291&lt;&gt;0,COUNTIF(Docs[ID],J291)&lt;&gt;1),AND(Форма="ООО",C291="Вывод ИП"),AND(Форма="ИП",C291="Дивиденды"),AND(L291&lt;&gt;"Проведён",L291&lt;&gt;"Черновик")),"ОШИБКА","ОК"))</f>
        <v/>
      </c>
      <c r="W291" s="25" t="str">
        <f>IF(A291="","",SUMIF(Accounts[Счёт],F291,Accounts[Начальный])+SUMIFS($Q$7:Q291,$F$7:F291,F291)+SUMIFS($E$7:E291,$G$7:G291,F291,$C$7:C291,"Перевод",$L$7:L291,"Проведён"))</f>
        <v/>
      </c>
    </row>
    <row r="292" spans="1:23" x14ac:dyDescent="0.25">
      <c r="A292" s="22"/>
      <c r="B292" s="23"/>
      <c r="C292" s="22"/>
      <c r="D292" s="22"/>
      <c r="E292" s="27"/>
      <c r="F292" s="22"/>
      <c r="G292" s="22"/>
      <c r="H292" s="22"/>
      <c r="I292" s="22"/>
      <c r="J292" s="22"/>
      <c r="K292" s="22"/>
      <c r="L292" s="22"/>
      <c r="M292" s="22"/>
      <c r="N292" s="27"/>
      <c r="O292" s="22"/>
      <c r="P292" s="5" t="str">
        <f>IF(A292="","",IF(COUNTIF(Типы,C292)=0,0,VLOOKUP(C292,СПРАВОЧНИКИ!$A$7:$E$22,2,FALSE)))</f>
        <v/>
      </c>
      <c r="Q292" s="25" t="str">
        <f t="shared" si="4"/>
        <v/>
      </c>
      <c r="R292" s="5" t="str">
        <f>IF(A292="","",IF(COUNTIF(Типы,C292)=0,"НЕИЗВЕСТНЫЙ ТИП",VLOOKUP(C292,СПРАВОЧНИКИ!$A$7:$E$22,3,FALSE)))</f>
        <v/>
      </c>
      <c r="S292" s="26" t="str">
        <f>IF(A292="","",IF(L292="Проведён",E292*IF(COUNTIF(Типы,C292)=0,0,VLOOKUP(C292,СПРАВОЧНИКИ!$A$7:$E$22,4,FALSE)),0))</f>
        <v/>
      </c>
      <c r="T292" s="26" t="str">
        <f>IF(A292="","",IF(L292="Проведён",E292*IF(COUNTIF(Типы,C292)=0,0,VLOOKUP(C292,СПРАВОЧНИКИ!$A$7:$E$22,5,FALSE)),0))</f>
        <v/>
      </c>
      <c r="U292" s="5" t="str">
        <f>IF(A292="","",IF(COUNTIF(Контрагенты,H292)=0,"Не задан",VLOOKUP(H292,СПРАВОЧНИКИ!$G$7:$H$66,2,FALSE)))</f>
        <v/>
      </c>
      <c r="V292" s="4" t="str">
        <f>IF(A292="",IF(COUNTA(B292:O292)&gt;0,"НЕТ ID",""),IF(OR(AND(OR(C292="Оплата клиента",C292="Возврат клиенту"),COUNTIFS(Docs[ID],J292,Docs[Тип долга],"ДЗ")&lt;&gt;1),AND(OR(C292="Оплата поставщику",C292="Возврат поставщика"),COUNTIFS(Docs[ID],J292,Docs[Тип долга],"КЗ",Docs[Вид],"&lt;&gt;Дивиденды")&lt;&gt;1),AND(C292="Дивиденды",COUNTIFS(Docs[ID],J292,Docs[Вид],"Дивиденды")&lt;&gt;1),AND(C292="Проценты",COUNTIFS(Docs[ID],J292,Docs[Вид],"Проценты")&lt;&gt;1),COUNTIF(Cash[ID],A292)&gt;1,NOT(ISNUMBER(B292)),B292&lt;НачалоУчета,YEAR(B292)&lt;&gt;Год,NOT(ISNUMBER(E292)),E292&lt;=0,N292&lt;0,COUNTIF(Типы,C292)&lt;&gt;1,COUNTIF(Категории,D292)&lt;&gt;1,COUNTIF(Счета,F292)&lt;&gt;1,COUNTIF(Проекты,I292)&lt;&gt;1,AND(H292&lt;&gt;"",COUNTIF(Контрагенты,H292)&lt;&gt;1),AND(C292="Перевод",OR(F292=G292,COUNTIF(Счета,G292)&lt;&gt;1)),AND(S292&lt;&gt;0,COUNTIF(Docs[ID],J292)&lt;&gt;1),AND(Форма="ООО",C292="Вывод ИП"),AND(Форма="ИП",C292="Дивиденды"),AND(L292&lt;&gt;"Проведён",L292&lt;&gt;"Черновик")),"ОШИБКА","ОК"))</f>
        <v/>
      </c>
      <c r="W292" s="25" t="str">
        <f>IF(A292="","",SUMIF(Accounts[Счёт],F292,Accounts[Начальный])+SUMIFS($Q$7:Q292,$F$7:F292,F292)+SUMIFS($E$7:E292,$G$7:G292,F292,$C$7:C292,"Перевод",$L$7:L292,"Проведён"))</f>
        <v/>
      </c>
    </row>
    <row r="293" spans="1:23" x14ac:dyDescent="0.25">
      <c r="A293" s="22"/>
      <c r="B293" s="23"/>
      <c r="C293" s="22"/>
      <c r="D293" s="22"/>
      <c r="E293" s="27"/>
      <c r="F293" s="22"/>
      <c r="G293" s="22"/>
      <c r="H293" s="22"/>
      <c r="I293" s="22"/>
      <c r="J293" s="22"/>
      <c r="K293" s="22"/>
      <c r="L293" s="22"/>
      <c r="M293" s="22"/>
      <c r="N293" s="27"/>
      <c r="O293" s="22"/>
      <c r="P293" s="5" t="str">
        <f>IF(A293="","",IF(COUNTIF(Типы,C293)=0,0,VLOOKUP(C293,СПРАВОЧНИКИ!$A$7:$E$22,2,FALSE)))</f>
        <v/>
      </c>
      <c r="Q293" s="25" t="str">
        <f t="shared" si="4"/>
        <v/>
      </c>
      <c r="R293" s="5" t="str">
        <f>IF(A293="","",IF(COUNTIF(Типы,C293)=0,"НЕИЗВЕСТНЫЙ ТИП",VLOOKUP(C293,СПРАВОЧНИКИ!$A$7:$E$22,3,FALSE)))</f>
        <v/>
      </c>
      <c r="S293" s="26" t="str">
        <f>IF(A293="","",IF(L293="Проведён",E293*IF(COUNTIF(Типы,C293)=0,0,VLOOKUP(C293,СПРАВОЧНИКИ!$A$7:$E$22,4,FALSE)),0))</f>
        <v/>
      </c>
      <c r="T293" s="26" t="str">
        <f>IF(A293="","",IF(L293="Проведён",E293*IF(COUNTIF(Типы,C293)=0,0,VLOOKUP(C293,СПРАВОЧНИКИ!$A$7:$E$22,5,FALSE)),0))</f>
        <v/>
      </c>
      <c r="U293" s="5" t="str">
        <f>IF(A293="","",IF(COUNTIF(Контрагенты,H293)=0,"Не задан",VLOOKUP(H293,СПРАВОЧНИКИ!$G$7:$H$66,2,FALSE)))</f>
        <v/>
      </c>
      <c r="V293" s="4" t="str">
        <f>IF(A293="",IF(COUNTA(B293:O293)&gt;0,"НЕТ ID",""),IF(OR(AND(OR(C293="Оплата клиента",C293="Возврат клиенту"),COUNTIFS(Docs[ID],J293,Docs[Тип долга],"ДЗ")&lt;&gt;1),AND(OR(C293="Оплата поставщику",C293="Возврат поставщика"),COUNTIFS(Docs[ID],J293,Docs[Тип долга],"КЗ",Docs[Вид],"&lt;&gt;Дивиденды")&lt;&gt;1),AND(C293="Дивиденды",COUNTIFS(Docs[ID],J293,Docs[Вид],"Дивиденды")&lt;&gt;1),AND(C293="Проценты",COUNTIFS(Docs[ID],J293,Docs[Вид],"Проценты")&lt;&gt;1),COUNTIF(Cash[ID],A293)&gt;1,NOT(ISNUMBER(B293)),B293&lt;НачалоУчета,YEAR(B293)&lt;&gt;Год,NOT(ISNUMBER(E293)),E293&lt;=0,N293&lt;0,COUNTIF(Типы,C293)&lt;&gt;1,COUNTIF(Категории,D293)&lt;&gt;1,COUNTIF(Счета,F293)&lt;&gt;1,COUNTIF(Проекты,I293)&lt;&gt;1,AND(H293&lt;&gt;"",COUNTIF(Контрагенты,H293)&lt;&gt;1),AND(C293="Перевод",OR(F293=G293,COUNTIF(Счета,G293)&lt;&gt;1)),AND(S293&lt;&gt;0,COUNTIF(Docs[ID],J293)&lt;&gt;1),AND(Форма="ООО",C293="Вывод ИП"),AND(Форма="ИП",C293="Дивиденды"),AND(L293&lt;&gt;"Проведён",L293&lt;&gt;"Черновик")),"ОШИБКА","ОК"))</f>
        <v/>
      </c>
      <c r="W293" s="25" t="str">
        <f>IF(A293="","",SUMIF(Accounts[Счёт],F293,Accounts[Начальный])+SUMIFS($Q$7:Q293,$F$7:F293,F293)+SUMIFS($E$7:E293,$G$7:G293,F293,$C$7:C293,"Перевод",$L$7:L293,"Проведён"))</f>
        <v/>
      </c>
    </row>
    <row r="294" spans="1:23" x14ac:dyDescent="0.25">
      <c r="A294" s="22"/>
      <c r="B294" s="23"/>
      <c r="C294" s="22"/>
      <c r="D294" s="22"/>
      <c r="E294" s="27"/>
      <c r="F294" s="22"/>
      <c r="G294" s="22"/>
      <c r="H294" s="22"/>
      <c r="I294" s="22"/>
      <c r="J294" s="22"/>
      <c r="K294" s="22"/>
      <c r="L294" s="22"/>
      <c r="M294" s="22"/>
      <c r="N294" s="27"/>
      <c r="O294" s="22"/>
      <c r="P294" s="5" t="str">
        <f>IF(A294="","",IF(COUNTIF(Типы,C294)=0,0,VLOOKUP(C294,СПРАВОЧНИКИ!$A$7:$E$22,2,FALSE)))</f>
        <v/>
      </c>
      <c r="Q294" s="25" t="str">
        <f t="shared" si="4"/>
        <v/>
      </c>
      <c r="R294" s="5" t="str">
        <f>IF(A294="","",IF(COUNTIF(Типы,C294)=0,"НЕИЗВЕСТНЫЙ ТИП",VLOOKUP(C294,СПРАВОЧНИКИ!$A$7:$E$22,3,FALSE)))</f>
        <v/>
      </c>
      <c r="S294" s="26" t="str">
        <f>IF(A294="","",IF(L294="Проведён",E294*IF(COUNTIF(Типы,C294)=0,0,VLOOKUP(C294,СПРАВОЧНИКИ!$A$7:$E$22,4,FALSE)),0))</f>
        <v/>
      </c>
      <c r="T294" s="26" t="str">
        <f>IF(A294="","",IF(L294="Проведён",E294*IF(COUNTIF(Типы,C294)=0,0,VLOOKUP(C294,СПРАВОЧНИКИ!$A$7:$E$22,5,FALSE)),0))</f>
        <v/>
      </c>
      <c r="U294" s="5" t="str">
        <f>IF(A294="","",IF(COUNTIF(Контрагенты,H294)=0,"Не задан",VLOOKUP(H294,СПРАВОЧНИКИ!$G$7:$H$66,2,FALSE)))</f>
        <v/>
      </c>
      <c r="V294" s="4" t="str">
        <f>IF(A294="",IF(COUNTA(B294:O294)&gt;0,"НЕТ ID",""),IF(OR(AND(OR(C294="Оплата клиента",C294="Возврат клиенту"),COUNTIFS(Docs[ID],J294,Docs[Тип долга],"ДЗ")&lt;&gt;1),AND(OR(C294="Оплата поставщику",C294="Возврат поставщика"),COUNTIFS(Docs[ID],J294,Docs[Тип долга],"КЗ",Docs[Вид],"&lt;&gt;Дивиденды")&lt;&gt;1),AND(C294="Дивиденды",COUNTIFS(Docs[ID],J294,Docs[Вид],"Дивиденды")&lt;&gt;1),AND(C294="Проценты",COUNTIFS(Docs[ID],J294,Docs[Вид],"Проценты")&lt;&gt;1),COUNTIF(Cash[ID],A294)&gt;1,NOT(ISNUMBER(B294)),B294&lt;НачалоУчета,YEAR(B294)&lt;&gt;Год,NOT(ISNUMBER(E294)),E294&lt;=0,N294&lt;0,COUNTIF(Типы,C294)&lt;&gt;1,COUNTIF(Категории,D294)&lt;&gt;1,COUNTIF(Счета,F294)&lt;&gt;1,COUNTIF(Проекты,I294)&lt;&gt;1,AND(H294&lt;&gt;"",COUNTIF(Контрагенты,H294)&lt;&gt;1),AND(C294="Перевод",OR(F294=G294,COUNTIF(Счета,G294)&lt;&gt;1)),AND(S294&lt;&gt;0,COUNTIF(Docs[ID],J294)&lt;&gt;1),AND(Форма="ООО",C294="Вывод ИП"),AND(Форма="ИП",C294="Дивиденды"),AND(L294&lt;&gt;"Проведён",L294&lt;&gt;"Черновик")),"ОШИБКА","ОК"))</f>
        <v/>
      </c>
      <c r="W294" s="25" t="str">
        <f>IF(A294="","",SUMIF(Accounts[Счёт],F294,Accounts[Начальный])+SUMIFS($Q$7:Q294,$F$7:F294,F294)+SUMIFS($E$7:E294,$G$7:G294,F294,$C$7:C294,"Перевод",$L$7:L294,"Проведён"))</f>
        <v/>
      </c>
    </row>
    <row r="295" spans="1:23" x14ac:dyDescent="0.25">
      <c r="A295" s="22"/>
      <c r="B295" s="23"/>
      <c r="C295" s="22"/>
      <c r="D295" s="22"/>
      <c r="E295" s="27"/>
      <c r="F295" s="22"/>
      <c r="G295" s="22"/>
      <c r="H295" s="22"/>
      <c r="I295" s="22"/>
      <c r="J295" s="22"/>
      <c r="K295" s="22"/>
      <c r="L295" s="22"/>
      <c r="M295" s="22"/>
      <c r="N295" s="27"/>
      <c r="O295" s="22"/>
      <c r="P295" s="5" t="str">
        <f>IF(A295="","",IF(COUNTIF(Типы,C295)=0,0,VLOOKUP(C295,СПРАВОЧНИКИ!$A$7:$E$22,2,FALSE)))</f>
        <v/>
      </c>
      <c r="Q295" s="25" t="str">
        <f t="shared" si="4"/>
        <v/>
      </c>
      <c r="R295" s="5" t="str">
        <f>IF(A295="","",IF(COUNTIF(Типы,C295)=0,"НЕИЗВЕСТНЫЙ ТИП",VLOOKUP(C295,СПРАВОЧНИКИ!$A$7:$E$22,3,FALSE)))</f>
        <v/>
      </c>
      <c r="S295" s="26" t="str">
        <f>IF(A295="","",IF(L295="Проведён",E295*IF(COUNTIF(Типы,C295)=0,0,VLOOKUP(C295,СПРАВОЧНИКИ!$A$7:$E$22,4,FALSE)),0))</f>
        <v/>
      </c>
      <c r="T295" s="26" t="str">
        <f>IF(A295="","",IF(L295="Проведён",E295*IF(COUNTIF(Типы,C295)=0,0,VLOOKUP(C295,СПРАВОЧНИКИ!$A$7:$E$22,5,FALSE)),0))</f>
        <v/>
      </c>
      <c r="U295" s="5" t="str">
        <f>IF(A295="","",IF(COUNTIF(Контрагенты,H295)=0,"Не задан",VLOOKUP(H295,СПРАВОЧНИКИ!$G$7:$H$66,2,FALSE)))</f>
        <v/>
      </c>
      <c r="V295" s="4" t="str">
        <f>IF(A295="",IF(COUNTA(B295:O295)&gt;0,"НЕТ ID",""),IF(OR(AND(OR(C295="Оплата клиента",C295="Возврат клиенту"),COUNTIFS(Docs[ID],J295,Docs[Тип долга],"ДЗ")&lt;&gt;1),AND(OR(C295="Оплата поставщику",C295="Возврат поставщика"),COUNTIFS(Docs[ID],J295,Docs[Тип долга],"КЗ",Docs[Вид],"&lt;&gt;Дивиденды")&lt;&gt;1),AND(C295="Дивиденды",COUNTIFS(Docs[ID],J295,Docs[Вид],"Дивиденды")&lt;&gt;1),AND(C295="Проценты",COUNTIFS(Docs[ID],J295,Docs[Вид],"Проценты")&lt;&gt;1),COUNTIF(Cash[ID],A295)&gt;1,NOT(ISNUMBER(B295)),B295&lt;НачалоУчета,YEAR(B295)&lt;&gt;Год,NOT(ISNUMBER(E295)),E295&lt;=0,N295&lt;0,COUNTIF(Типы,C295)&lt;&gt;1,COUNTIF(Категории,D295)&lt;&gt;1,COUNTIF(Счета,F295)&lt;&gt;1,COUNTIF(Проекты,I295)&lt;&gt;1,AND(H295&lt;&gt;"",COUNTIF(Контрагенты,H295)&lt;&gt;1),AND(C295="Перевод",OR(F295=G295,COUNTIF(Счета,G295)&lt;&gt;1)),AND(S295&lt;&gt;0,COUNTIF(Docs[ID],J295)&lt;&gt;1),AND(Форма="ООО",C295="Вывод ИП"),AND(Форма="ИП",C295="Дивиденды"),AND(L295&lt;&gt;"Проведён",L295&lt;&gt;"Черновик")),"ОШИБКА","ОК"))</f>
        <v/>
      </c>
      <c r="W295" s="25" t="str">
        <f>IF(A295="","",SUMIF(Accounts[Счёт],F295,Accounts[Начальный])+SUMIFS($Q$7:Q295,$F$7:F295,F295)+SUMIFS($E$7:E295,$G$7:G295,F295,$C$7:C295,"Перевод",$L$7:L295,"Проведён"))</f>
        <v/>
      </c>
    </row>
    <row r="296" spans="1:23" x14ac:dyDescent="0.25">
      <c r="A296" s="22"/>
      <c r="B296" s="23"/>
      <c r="C296" s="22"/>
      <c r="D296" s="22"/>
      <c r="E296" s="27"/>
      <c r="F296" s="22"/>
      <c r="G296" s="22"/>
      <c r="H296" s="22"/>
      <c r="I296" s="22"/>
      <c r="J296" s="22"/>
      <c r="K296" s="22"/>
      <c r="L296" s="22"/>
      <c r="M296" s="22"/>
      <c r="N296" s="27"/>
      <c r="O296" s="22"/>
      <c r="P296" s="5" t="str">
        <f>IF(A296="","",IF(COUNTIF(Типы,C296)=0,0,VLOOKUP(C296,СПРАВОЧНИКИ!$A$7:$E$22,2,FALSE)))</f>
        <v/>
      </c>
      <c r="Q296" s="25" t="str">
        <f t="shared" si="4"/>
        <v/>
      </c>
      <c r="R296" s="5" t="str">
        <f>IF(A296="","",IF(COUNTIF(Типы,C296)=0,"НЕИЗВЕСТНЫЙ ТИП",VLOOKUP(C296,СПРАВОЧНИКИ!$A$7:$E$22,3,FALSE)))</f>
        <v/>
      </c>
      <c r="S296" s="26" t="str">
        <f>IF(A296="","",IF(L296="Проведён",E296*IF(COUNTIF(Типы,C296)=0,0,VLOOKUP(C296,СПРАВОЧНИКИ!$A$7:$E$22,4,FALSE)),0))</f>
        <v/>
      </c>
      <c r="T296" s="26" t="str">
        <f>IF(A296="","",IF(L296="Проведён",E296*IF(COUNTIF(Типы,C296)=0,0,VLOOKUP(C296,СПРАВОЧНИКИ!$A$7:$E$22,5,FALSE)),0))</f>
        <v/>
      </c>
      <c r="U296" s="5" t="str">
        <f>IF(A296="","",IF(COUNTIF(Контрагенты,H296)=0,"Не задан",VLOOKUP(H296,СПРАВОЧНИКИ!$G$7:$H$66,2,FALSE)))</f>
        <v/>
      </c>
      <c r="V296" s="4" t="str">
        <f>IF(A296="",IF(COUNTA(B296:O296)&gt;0,"НЕТ ID",""),IF(OR(AND(OR(C296="Оплата клиента",C296="Возврат клиенту"),COUNTIFS(Docs[ID],J296,Docs[Тип долга],"ДЗ")&lt;&gt;1),AND(OR(C296="Оплата поставщику",C296="Возврат поставщика"),COUNTIFS(Docs[ID],J296,Docs[Тип долга],"КЗ",Docs[Вид],"&lt;&gt;Дивиденды")&lt;&gt;1),AND(C296="Дивиденды",COUNTIFS(Docs[ID],J296,Docs[Вид],"Дивиденды")&lt;&gt;1),AND(C296="Проценты",COUNTIFS(Docs[ID],J296,Docs[Вид],"Проценты")&lt;&gt;1),COUNTIF(Cash[ID],A296)&gt;1,NOT(ISNUMBER(B296)),B296&lt;НачалоУчета,YEAR(B296)&lt;&gt;Год,NOT(ISNUMBER(E296)),E296&lt;=0,N296&lt;0,COUNTIF(Типы,C296)&lt;&gt;1,COUNTIF(Категории,D296)&lt;&gt;1,COUNTIF(Счета,F296)&lt;&gt;1,COUNTIF(Проекты,I296)&lt;&gt;1,AND(H296&lt;&gt;"",COUNTIF(Контрагенты,H296)&lt;&gt;1),AND(C296="Перевод",OR(F296=G296,COUNTIF(Счета,G296)&lt;&gt;1)),AND(S296&lt;&gt;0,COUNTIF(Docs[ID],J296)&lt;&gt;1),AND(Форма="ООО",C296="Вывод ИП"),AND(Форма="ИП",C296="Дивиденды"),AND(L296&lt;&gt;"Проведён",L296&lt;&gt;"Черновик")),"ОШИБКА","ОК"))</f>
        <v/>
      </c>
      <c r="W296" s="25" t="str">
        <f>IF(A296="","",SUMIF(Accounts[Счёт],F296,Accounts[Начальный])+SUMIFS($Q$7:Q296,$F$7:F296,F296)+SUMIFS($E$7:E296,$G$7:G296,F296,$C$7:C296,"Перевод",$L$7:L296,"Проведён"))</f>
        <v/>
      </c>
    </row>
    <row r="297" spans="1:23" x14ac:dyDescent="0.25">
      <c r="A297" s="22"/>
      <c r="B297" s="23"/>
      <c r="C297" s="22"/>
      <c r="D297" s="22"/>
      <c r="E297" s="27"/>
      <c r="F297" s="22"/>
      <c r="G297" s="22"/>
      <c r="H297" s="22"/>
      <c r="I297" s="22"/>
      <c r="J297" s="22"/>
      <c r="K297" s="22"/>
      <c r="L297" s="22"/>
      <c r="M297" s="22"/>
      <c r="N297" s="27"/>
      <c r="O297" s="22"/>
      <c r="P297" s="5" t="str">
        <f>IF(A297="","",IF(COUNTIF(Типы,C297)=0,0,VLOOKUP(C297,СПРАВОЧНИКИ!$A$7:$E$22,2,FALSE)))</f>
        <v/>
      </c>
      <c r="Q297" s="25" t="str">
        <f t="shared" si="4"/>
        <v/>
      </c>
      <c r="R297" s="5" t="str">
        <f>IF(A297="","",IF(COUNTIF(Типы,C297)=0,"НЕИЗВЕСТНЫЙ ТИП",VLOOKUP(C297,СПРАВОЧНИКИ!$A$7:$E$22,3,FALSE)))</f>
        <v/>
      </c>
      <c r="S297" s="26" t="str">
        <f>IF(A297="","",IF(L297="Проведён",E297*IF(COUNTIF(Типы,C297)=0,0,VLOOKUP(C297,СПРАВОЧНИКИ!$A$7:$E$22,4,FALSE)),0))</f>
        <v/>
      </c>
      <c r="T297" s="26" t="str">
        <f>IF(A297="","",IF(L297="Проведён",E297*IF(COUNTIF(Типы,C297)=0,0,VLOOKUP(C297,СПРАВОЧНИКИ!$A$7:$E$22,5,FALSE)),0))</f>
        <v/>
      </c>
      <c r="U297" s="5" t="str">
        <f>IF(A297="","",IF(COUNTIF(Контрагенты,H297)=0,"Не задан",VLOOKUP(H297,СПРАВОЧНИКИ!$G$7:$H$66,2,FALSE)))</f>
        <v/>
      </c>
      <c r="V297" s="4" t="str">
        <f>IF(A297="",IF(COUNTA(B297:O297)&gt;0,"НЕТ ID",""),IF(OR(AND(OR(C297="Оплата клиента",C297="Возврат клиенту"),COUNTIFS(Docs[ID],J297,Docs[Тип долга],"ДЗ")&lt;&gt;1),AND(OR(C297="Оплата поставщику",C297="Возврат поставщика"),COUNTIFS(Docs[ID],J297,Docs[Тип долга],"КЗ",Docs[Вид],"&lt;&gt;Дивиденды")&lt;&gt;1),AND(C297="Дивиденды",COUNTIFS(Docs[ID],J297,Docs[Вид],"Дивиденды")&lt;&gt;1),AND(C297="Проценты",COUNTIFS(Docs[ID],J297,Docs[Вид],"Проценты")&lt;&gt;1),COUNTIF(Cash[ID],A297)&gt;1,NOT(ISNUMBER(B297)),B297&lt;НачалоУчета,YEAR(B297)&lt;&gt;Год,NOT(ISNUMBER(E297)),E297&lt;=0,N297&lt;0,COUNTIF(Типы,C297)&lt;&gt;1,COUNTIF(Категории,D297)&lt;&gt;1,COUNTIF(Счета,F297)&lt;&gt;1,COUNTIF(Проекты,I297)&lt;&gt;1,AND(H297&lt;&gt;"",COUNTIF(Контрагенты,H297)&lt;&gt;1),AND(C297="Перевод",OR(F297=G297,COUNTIF(Счета,G297)&lt;&gt;1)),AND(S297&lt;&gt;0,COUNTIF(Docs[ID],J297)&lt;&gt;1),AND(Форма="ООО",C297="Вывод ИП"),AND(Форма="ИП",C297="Дивиденды"),AND(L297&lt;&gt;"Проведён",L297&lt;&gt;"Черновик")),"ОШИБКА","ОК"))</f>
        <v/>
      </c>
      <c r="W297" s="25" t="str">
        <f>IF(A297="","",SUMIF(Accounts[Счёт],F297,Accounts[Начальный])+SUMIFS($Q$7:Q297,$F$7:F297,F297)+SUMIFS($E$7:E297,$G$7:G297,F297,$C$7:C297,"Перевод",$L$7:L297,"Проведён"))</f>
        <v/>
      </c>
    </row>
    <row r="298" spans="1:23" x14ac:dyDescent="0.25">
      <c r="A298" s="22"/>
      <c r="B298" s="23"/>
      <c r="C298" s="22"/>
      <c r="D298" s="22"/>
      <c r="E298" s="27"/>
      <c r="F298" s="22"/>
      <c r="G298" s="22"/>
      <c r="H298" s="22"/>
      <c r="I298" s="22"/>
      <c r="J298" s="22"/>
      <c r="K298" s="22"/>
      <c r="L298" s="22"/>
      <c r="M298" s="22"/>
      <c r="N298" s="27"/>
      <c r="O298" s="22"/>
      <c r="P298" s="5" t="str">
        <f>IF(A298="","",IF(COUNTIF(Типы,C298)=0,0,VLOOKUP(C298,СПРАВОЧНИКИ!$A$7:$E$22,2,FALSE)))</f>
        <v/>
      </c>
      <c r="Q298" s="25" t="str">
        <f t="shared" si="4"/>
        <v/>
      </c>
      <c r="R298" s="5" t="str">
        <f>IF(A298="","",IF(COUNTIF(Типы,C298)=0,"НЕИЗВЕСТНЫЙ ТИП",VLOOKUP(C298,СПРАВОЧНИКИ!$A$7:$E$22,3,FALSE)))</f>
        <v/>
      </c>
      <c r="S298" s="26" t="str">
        <f>IF(A298="","",IF(L298="Проведён",E298*IF(COUNTIF(Типы,C298)=0,0,VLOOKUP(C298,СПРАВОЧНИКИ!$A$7:$E$22,4,FALSE)),0))</f>
        <v/>
      </c>
      <c r="T298" s="26" t="str">
        <f>IF(A298="","",IF(L298="Проведён",E298*IF(COUNTIF(Типы,C298)=0,0,VLOOKUP(C298,СПРАВОЧНИКИ!$A$7:$E$22,5,FALSE)),0))</f>
        <v/>
      </c>
      <c r="U298" s="5" t="str">
        <f>IF(A298="","",IF(COUNTIF(Контрагенты,H298)=0,"Не задан",VLOOKUP(H298,СПРАВОЧНИКИ!$G$7:$H$66,2,FALSE)))</f>
        <v/>
      </c>
      <c r="V298" s="4" t="str">
        <f>IF(A298="",IF(COUNTA(B298:O298)&gt;0,"НЕТ ID",""),IF(OR(AND(OR(C298="Оплата клиента",C298="Возврат клиенту"),COUNTIFS(Docs[ID],J298,Docs[Тип долга],"ДЗ")&lt;&gt;1),AND(OR(C298="Оплата поставщику",C298="Возврат поставщика"),COUNTIFS(Docs[ID],J298,Docs[Тип долга],"КЗ",Docs[Вид],"&lt;&gt;Дивиденды")&lt;&gt;1),AND(C298="Дивиденды",COUNTIFS(Docs[ID],J298,Docs[Вид],"Дивиденды")&lt;&gt;1),AND(C298="Проценты",COUNTIFS(Docs[ID],J298,Docs[Вид],"Проценты")&lt;&gt;1),COUNTIF(Cash[ID],A298)&gt;1,NOT(ISNUMBER(B298)),B298&lt;НачалоУчета,YEAR(B298)&lt;&gt;Год,NOT(ISNUMBER(E298)),E298&lt;=0,N298&lt;0,COUNTIF(Типы,C298)&lt;&gt;1,COUNTIF(Категории,D298)&lt;&gt;1,COUNTIF(Счета,F298)&lt;&gt;1,COUNTIF(Проекты,I298)&lt;&gt;1,AND(H298&lt;&gt;"",COUNTIF(Контрагенты,H298)&lt;&gt;1),AND(C298="Перевод",OR(F298=G298,COUNTIF(Счета,G298)&lt;&gt;1)),AND(S298&lt;&gt;0,COUNTIF(Docs[ID],J298)&lt;&gt;1),AND(Форма="ООО",C298="Вывод ИП"),AND(Форма="ИП",C298="Дивиденды"),AND(L298&lt;&gt;"Проведён",L298&lt;&gt;"Черновик")),"ОШИБКА","ОК"))</f>
        <v/>
      </c>
      <c r="W298" s="25" t="str">
        <f>IF(A298="","",SUMIF(Accounts[Счёт],F298,Accounts[Начальный])+SUMIFS($Q$7:Q298,$F$7:F298,F298)+SUMIFS($E$7:E298,$G$7:G298,F298,$C$7:C298,"Перевод",$L$7:L298,"Проведён"))</f>
        <v/>
      </c>
    </row>
    <row r="299" spans="1:23" x14ac:dyDescent="0.25">
      <c r="A299" s="22"/>
      <c r="B299" s="23"/>
      <c r="C299" s="22"/>
      <c r="D299" s="22"/>
      <c r="E299" s="27"/>
      <c r="F299" s="22"/>
      <c r="G299" s="22"/>
      <c r="H299" s="22"/>
      <c r="I299" s="22"/>
      <c r="J299" s="22"/>
      <c r="K299" s="22"/>
      <c r="L299" s="22"/>
      <c r="M299" s="22"/>
      <c r="N299" s="27"/>
      <c r="O299" s="22"/>
      <c r="P299" s="5" t="str">
        <f>IF(A299="","",IF(COUNTIF(Типы,C299)=0,0,VLOOKUP(C299,СПРАВОЧНИКИ!$A$7:$E$22,2,FALSE)))</f>
        <v/>
      </c>
      <c r="Q299" s="25" t="str">
        <f t="shared" si="4"/>
        <v/>
      </c>
      <c r="R299" s="5" t="str">
        <f>IF(A299="","",IF(COUNTIF(Типы,C299)=0,"НЕИЗВЕСТНЫЙ ТИП",VLOOKUP(C299,СПРАВОЧНИКИ!$A$7:$E$22,3,FALSE)))</f>
        <v/>
      </c>
      <c r="S299" s="26" t="str">
        <f>IF(A299="","",IF(L299="Проведён",E299*IF(COUNTIF(Типы,C299)=0,0,VLOOKUP(C299,СПРАВОЧНИКИ!$A$7:$E$22,4,FALSE)),0))</f>
        <v/>
      </c>
      <c r="T299" s="26" t="str">
        <f>IF(A299="","",IF(L299="Проведён",E299*IF(COUNTIF(Типы,C299)=0,0,VLOOKUP(C299,СПРАВОЧНИКИ!$A$7:$E$22,5,FALSE)),0))</f>
        <v/>
      </c>
      <c r="U299" s="5" t="str">
        <f>IF(A299="","",IF(COUNTIF(Контрагенты,H299)=0,"Не задан",VLOOKUP(H299,СПРАВОЧНИКИ!$G$7:$H$66,2,FALSE)))</f>
        <v/>
      </c>
      <c r="V299" s="4" t="str">
        <f>IF(A299="",IF(COUNTA(B299:O299)&gt;0,"НЕТ ID",""),IF(OR(AND(OR(C299="Оплата клиента",C299="Возврат клиенту"),COUNTIFS(Docs[ID],J299,Docs[Тип долга],"ДЗ")&lt;&gt;1),AND(OR(C299="Оплата поставщику",C299="Возврат поставщика"),COUNTIFS(Docs[ID],J299,Docs[Тип долга],"КЗ",Docs[Вид],"&lt;&gt;Дивиденды")&lt;&gt;1),AND(C299="Дивиденды",COUNTIFS(Docs[ID],J299,Docs[Вид],"Дивиденды")&lt;&gt;1),AND(C299="Проценты",COUNTIFS(Docs[ID],J299,Docs[Вид],"Проценты")&lt;&gt;1),COUNTIF(Cash[ID],A299)&gt;1,NOT(ISNUMBER(B299)),B299&lt;НачалоУчета,YEAR(B299)&lt;&gt;Год,NOT(ISNUMBER(E299)),E299&lt;=0,N299&lt;0,COUNTIF(Типы,C299)&lt;&gt;1,COUNTIF(Категории,D299)&lt;&gt;1,COUNTIF(Счета,F299)&lt;&gt;1,COUNTIF(Проекты,I299)&lt;&gt;1,AND(H299&lt;&gt;"",COUNTIF(Контрагенты,H299)&lt;&gt;1),AND(C299="Перевод",OR(F299=G299,COUNTIF(Счета,G299)&lt;&gt;1)),AND(S299&lt;&gt;0,COUNTIF(Docs[ID],J299)&lt;&gt;1),AND(Форма="ООО",C299="Вывод ИП"),AND(Форма="ИП",C299="Дивиденды"),AND(L299&lt;&gt;"Проведён",L299&lt;&gt;"Черновик")),"ОШИБКА","ОК"))</f>
        <v/>
      </c>
      <c r="W299" s="25" t="str">
        <f>IF(A299="","",SUMIF(Accounts[Счёт],F299,Accounts[Начальный])+SUMIFS($Q$7:Q299,$F$7:F299,F299)+SUMIFS($E$7:E299,$G$7:G299,F299,$C$7:C299,"Перевод",$L$7:L299,"Проведён"))</f>
        <v/>
      </c>
    </row>
    <row r="300" spans="1:23" x14ac:dyDescent="0.25">
      <c r="A300" s="22"/>
      <c r="B300" s="23"/>
      <c r="C300" s="22"/>
      <c r="D300" s="22"/>
      <c r="E300" s="27"/>
      <c r="F300" s="22"/>
      <c r="G300" s="22"/>
      <c r="H300" s="22"/>
      <c r="I300" s="22"/>
      <c r="J300" s="22"/>
      <c r="K300" s="22"/>
      <c r="L300" s="22"/>
      <c r="M300" s="22"/>
      <c r="N300" s="27"/>
      <c r="O300" s="22"/>
      <c r="P300" s="5" t="str">
        <f>IF(A300="","",IF(COUNTIF(Типы,C300)=0,0,VLOOKUP(C300,СПРАВОЧНИКИ!$A$7:$E$22,2,FALSE)))</f>
        <v/>
      </c>
      <c r="Q300" s="25" t="str">
        <f t="shared" si="4"/>
        <v/>
      </c>
      <c r="R300" s="5" t="str">
        <f>IF(A300="","",IF(COUNTIF(Типы,C300)=0,"НЕИЗВЕСТНЫЙ ТИП",VLOOKUP(C300,СПРАВОЧНИКИ!$A$7:$E$22,3,FALSE)))</f>
        <v/>
      </c>
      <c r="S300" s="26" t="str">
        <f>IF(A300="","",IF(L300="Проведён",E300*IF(COUNTIF(Типы,C300)=0,0,VLOOKUP(C300,СПРАВОЧНИКИ!$A$7:$E$22,4,FALSE)),0))</f>
        <v/>
      </c>
      <c r="T300" s="26" t="str">
        <f>IF(A300="","",IF(L300="Проведён",E300*IF(COUNTIF(Типы,C300)=0,0,VLOOKUP(C300,СПРАВОЧНИКИ!$A$7:$E$22,5,FALSE)),0))</f>
        <v/>
      </c>
      <c r="U300" s="5" t="str">
        <f>IF(A300="","",IF(COUNTIF(Контрагенты,H300)=0,"Не задан",VLOOKUP(H300,СПРАВОЧНИКИ!$G$7:$H$66,2,FALSE)))</f>
        <v/>
      </c>
      <c r="V300" s="4" t="str">
        <f>IF(A300="",IF(COUNTA(B300:O300)&gt;0,"НЕТ ID",""),IF(OR(AND(OR(C300="Оплата клиента",C300="Возврат клиенту"),COUNTIFS(Docs[ID],J300,Docs[Тип долга],"ДЗ")&lt;&gt;1),AND(OR(C300="Оплата поставщику",C300="Возврат поставщика"),COUNTIFS(Docs[ID],J300,Docs[Тип долга],"КЗ",Docs[Вид],"&lt;&gt;Дивиденды")&lt;&gt;1),AND(C300="Дивиденды",COUNTIFS(Docs[ID],J300,Docs[Вид],"Дивиденды")&lt;&gt;1),AND(C300="Проценты",COUNTIFS(Docs[ID],J300,Docs[Вид],"Проценты")&lt;&gt;1),COUNTIF(Cash[ID],A300)&gt;1,NOT(ISNUMBER(B300)),B300&lt;НачалоУчета,YEAR(B300)&lt;&gt;Год,NOT(ISNUMBER(E300)),E300&lt;=0,N300&lt;0,COUNTIF(Типы,C300)&lt;&gt;1,COUNTIF(Категории,D300)&lt;&gt;1,COUNTIF(Счета,F300)&lt;&gt;1,COUNTIF(Проекты,I300)&lt;&gt;1,AND(H300&lt;&gt;"",COUNTIF(Контрагенты,H300)&lt;&gt;1),AND(C300="Перевод",OR(F300=G300,COUNTIF(Счета,G300)&lt;&gt;1)),AND(S300&lt;&gt;0,COUNTIF(Docs[ID],J300)&lt;&gt;1),AND(Форма="ООО",C300="Вывод ИП"),AND(Форма="ИП",C300="Дивиденды"),AND(L300&lt;&gt;"Проведён",L300&lt;&gt;"Черновик")),"ОШИБКА","ОК"))</f>
        <v/>
      </c>
      <c r="W300" s="25" t="str">
        <f>IF(A300="","",SUMIF(Accounts[Счёт],F300,Accounts[Начальный])+SUMIFS($Q$7:Q300,$F$7:F300,F300)+SUMIFS($E$7:E300,$G$7:G300,F300,$C$7:C300,"Перевод",$L$7:L300,"Проведён"))</f>
        <v/>
      </c>
    </row>
    <row r="301" spans="1:23" x14ac:dyDescent="0.25">
      <c r="A301" s="22"/>
      <c r="B301" s="23"/>
      <c r="C301" s="22"/>
      <c r="D301" s="22"/>
      <c r="E301" s="27"/>
      <c r="F301" s="22"/>
      <c r="G301" s="22"/>
      <c r="H301" s="22"/>
      <c r="I301" s="22"/>
      <c r="J301" s="22"/>
      <c r="K301" s="22"/>
      <c r="L301" s="22"/>
      <c r="M301" s="22"/>
      <c r="N301" s="27"/>
      <c r="O301" s="22"/>
      <c r="P301" s="5" t="str">
        <f>IF(A301="","",IF(COUNTIF(Типы,C301)=0,0,VLOOKUP(C301,СПРАВОЧНИКИ!$A$7:$E$22,2,FALSE)))</f>
        <v/>
      </c>
      <c r="Q301" s="25" t="str">
        <f t="shared" si="4"/>
        <v/>
      </c>
      <c r="R301" s="5" t="str">
        <f>IF(A301="","",IF(COUNTIF(Типы,C301)=0,"НЕИЗВЕСТНЫЙ ТИП",VLOOKUP(C301,СПРАВОЧНИКИ!$A$7:$E$22,3,FALSE)))</f>
        <v/>
      </c>
      <c r="S301" s="26" t="str">
        <f>IF(A301="","",IF(L301="Проведён",E301*IF(COUNTIF(Типы,C301)=0,0,VLOOKUP(C301,СПРАВОЧНИКИ!$A$7:$E$22,4,FALSE)),0))</f>
        <v/>
      </c>
      <c r="T301" s="26" t="str">
        <f>IF(A301="","",IF(L301="Проведён",E301*IF(COUNTIF(Типы,C301)=0,0,VLOOKUP(C301,СПРАВОЧНИКИ!$A$7:$E$22,5,FALSE)),0))</f>
        <v/>
      </c>
      <c r="U301" s="5" t="str">
        <f>IF(A301="","",IF(COUNTIF(Контрагенты,H301)=0,"Не задан",VLOOKUP(H301,СПРАВОЧНИКИ!$G$7:$H$66,2,FALSE)))</f>
        <v/>
      </c>
      <c r="V301" s="4" t="str">
        <f>IF(A301="",IF(COUNTA(B301:O301)&gt;0,"НЕТ ID",""),IF(OR(AND(OR(C301="Оплата клиента",C301="Возврат клиенту"),COUNTIFS(Docs[ID],J301,Docs[Тип долга],"ДЗ")&lt;&gt;1),AND(OR(C301="Оплата поставщику",C301="Возврат поставщика"),COUNTIFS(Docs[ID],J301,Docs[Тип долга],"КЗ",Docs[Вид],"&lt;&gt;Дивиденды")&lt;&gt;1),AND(C301="Дивиденды",COUNTIFS(Docs[ID],J301,Docs[Вид],"Дивиденды")&lt;&gt;1),AND(C301="Проценты",COUNTIFS(Docs[ID],J301,Docs[Вид],"Проценты")&lt;&gt;1),COUNTIF(Cash[ID],A301)&gt;1,NOT(ISNUMBER(B301)),B301&lt;НачалоУчета,YEAR(B301)&lt;&gt;Год,NOT(ISNUMBER(E301)),E301&lt;=0,N301&lt;0,COUNTIF(Типы,C301)&lt;&gt;1,COUNTIF(Категории,D301)&lt;&gt;1,COUNTIF(Счета,F301)&lt;&gt;1,COUNTIF(Проекты,I301)&lt;&gt;1,AND(H301&lt;&gt;"",COUNTIF(Контрагенты,H301)&lt;&gt;1),AND(C301="Перевод",OR(F301=G301,COUNTIF(Счета,G301)&lt;&gt;1)),AND(S301&lt;&gt;0,COUNTIF(Docs[ID],J301)&lt;&gt;1),AND(Форма="ООО",C301="Вывод ИП"),AND(Форма="ИП",C301="Дивиденды"),AND(L301&lt;&gt;"Проведён",L301&lt;&gt;"Черновик")),"ОШИБКА","ОК"))</f>
        <v/>
      </c>
      <c r="W301" s="25" t="str">
        <f>IF(A301="","",SUMIF(Accounts[Счёт],F301,Accounts[Начальный])+SUMIFS($Q$7:Q301,$F$7:F301,F301)+SUMIFS($E$7:E301,$G$7:G301,F301,$C$7:C301,"Перевод",$L$7:L301,"Проведён"))</f>
        <v/>
      </c>
    </row>
    <row r="302" spans="1:23" x14ac:dyDescent="0.25">
      <c r="A302" s="22"/>
      <c r="B302" s="23"/>
      <c r="C302" s="22"/>
      <c r="D302" s="22"/>
      <c r="E302" s="27"/>
      <c r="F302" s="22"/>
      <c r="G302" s="22"/>
      <c r="H302" s="22"/>
      <c r="I302" s="22"/>
      <c r="J302" s="22"/>
      <c r="K302" s="22"/>
      <c r="L302" s="22"/>
      <c r="M302" s="22"/>
      <c r="N302" s="27"/>
      <c r="O302" s="22"/>
      <c r="P302" s="5" t="str">
        <f>IF(A302="","",IF(COUNTIF(Типы,C302)=0,0,VLOOKUP(C302,СПРАВОЧНИКИ!$A$7:$E$22,2,FALSE)))</f>
        <v/>
      </c>
      <c r="Q302" s="25" t="str">
        <f t="shared" si="4"/>
        <v/>
      </c>
      <c r="R302" s="5" t="str">
        <f>IF(A302="","",IF(COUNTIF(Типы,C302)=0,"НЕИЗВЕСТНЫЙ ТИП",VLOOKUP(C302,СПРАВОЧНИКИ!$A$7:$E$22,3,FALSE)))</f>
        <v/>
      </c>
      <c r="S302" s="26" t="str">
        <f>IF(A302="","",IF(L302="Проведён",E302*IF(COUNTIF(Типы,C302)=0,0,VLOOKUP(C302,СПРАВОЧНИКИ!$A$7:$E$22,4,FALSE)),0))</f>
        <v/>
      </c>
      <c r="T302" s="26" t="str">
        <f>IF(A302="","",IF(L302="Проведён",E302*IF(COUNTIF(Типы,C302)=0,0,VLOOKUP(C302,СПРАВОЧНИКИ!$A$7:$E$22,5,FALSE)),0))</f>
        <v/>
      </c>
      <c r="U302" s="5" t="str">
        <f>IF(A302="","",IF(COUNTIF(Контрагенты,H302)=0,"Не задан",VLOOKUP(H302,СПРАВОЧНИКИ!$G$7:$H$66,2,FALSE)))</f>
        <v/>
      </c>
      <c r="V302" s="4" t="str">
        <f>IF(A302="",IF(COUNTA(B302:O302)&gt;0,"НЕТ ID",""),IF(OR(AND(OR(C302="Оплата клиента",C302="Возврат клиенту"),COUNTIFS(Docs[ID],J302,Docs[Тип долга],"ДЗ")&lt;&gt;1),AND(OR(C302="Оплата поставщику",C302="Возврат поставщика"),COUNTIFS(Docs[ID],J302,Docs[Тип долга],"КЗ",Docs[Вид],"&lt;&gt;Дивиденды")&lt;&gt;1),AND(C302="Дивиденды",COUNTIFS(Docs[ID],J302,Docs[Вид],"Дивиденды")&lt;&gt;1),AND(C302="Проценты",COUNTIFS(Docs[ID],J302,Docs[Вид],"Проценты")&lt;&gt;1),COUNTIF(Cash[ID],A302)&gt;1,NOT(ISNUMBER(B302)),B302&lt;НачалоУчета,YEAR(B302)&lt;&gt;Год,NOT(ISNUMBER(E302)),E302&lt;=0,N302&lt;0,COUNTIF(Типы,C302)&lt;&gt;1,COUNTIF(Категории,D302)&lt;&gt;1,COUNTIF(Счета,F302)&lt;&gt;1,COUNTIF(Проекты,I302)&lt;&gt;1,AND(H302&lt;&gt;"",COUNTIF(Контрагенты,H302)&lt;&gt;1),AND(C302="Перевод",OR(F302=G302,COUNTIF(Счета,G302)&lt;&gt;1)),AND(S302&lt;&gt;0,COUNTIF(Docs[ID],J302)&lt;&gt;1),AND(Форма="ООО",C302="Вывод ИП"),AND(Форма="ИП",C302="Дивиденды"),AND(L302&lt;&gt;"Проведён",L302&lt;&gt;"Черновик")),"ОШИБКА","ОК"))</f>
        <v/>
      </c>
      <c r="W302" s="25" t="str">
        <f>IF(A302="","",SUMIF(Accounts[Счёт],F302,Accounts[Начальный])+SUMIFS($Q$7:Q302,$F$7:F302,F302)+SUMIFS($E$7:E302,$G$7:G302,F302,$C$7:C302,"Перевод",$L$7:L302,"Проведён"))</f>
        <v/>
      </c>
    </row>
    <row r="303" spans="1:23" x14ac:dyDescent="0.25">
      <c r="A303" s="22"/>
      <c r="B303" s="23"/>
      <c r="C303" s="22"/>
      <c r="D303" s="22"/>
      <c r="E303" s="27"/>
      <c r="F303" s="22"/>
      <c r="G303" s="22"/>
      <c r="H303" s="22"/>
      <c r="I303" s="22"/>
      <c r="J303" s="22"/>
      <c r="K303" s="22"/>
      <c r="L303" s="22"/>
      <c r="M303" s="22"/>
      <c r="N303" s="27"/>
      <c r="O303" s="22"/>
      <c r="P303" s="5" t="str">
        <f>IF(A303="","",IF(COUNTIF(Типы,C303)=0,0,VLOOKUP(C303,СПРАВОЧНИКИ!$A$7:$E$22,2,FALSE)))</f>
        <v/>
      </c>
      <c r="Q303" s="25" t="str">
        <f t="shared" si="4"/>
        <v/>
      </c>
      <c r="R303" s="5" t="str">
        <f>IF(A303="","",IF(COUNTIF(Типы,C303)=0,"НЕИЗВЕСТНЫЙ ТИП",VLOOKUP(C303,СПРАВОЧНИКИ!$A$7:$E$22,3,FALSE)))</f>
        <v/>
      </c>
      <c r="S303" s="26" t="str">
        <f>IF(A303="","",IF(L303="Проведён",E303*IF(COUNTIF(Типы,C303)=0,0,VLOOKUP(C303,СПРАВОЧНИКИ!$A$7:$E$22,4,FALSE)),0))</f>
        <v/>
      </c>
      <c r="T303" s="26" t="str">
        <f>IF(A303="","",IF(L303="Проведён",E303*IF(COUNTIF(Типы,C303)=0,0,VLOOKUP(C303,СПРАВОЧНИКИ!$A$7:$E$22,5,FALSE)),0))</f>
        <v/>
      </c>
      <c r="U303" s="5" t="str">
        <f>IF(A303="","",IF(COUNTIF(Контрагенты,H303)=0,"Не задан",VLOOKUP(H303,СПРАВОЧНИКИ!$G$7:$H$66,2,FALSE)))</f>
        <v/>
      </c>
      <c r="V303" s="4" t="str">
        <f>IF(A303="",IF(COUNTA(B303:O303)&gt;0,"НЕТ ID",""),IF(OR(AND(OR(C303="Оплата клиента",C303="Возврат клиенту"),COUNTIFS(Docs[ID],J303,Docs[Тип долга],"ДЗ")&lt;&gt;1),AND(OR(C303="Оплата поставщику",C303="Возврат поставщика"),COUNTIFS(Docs[ID],J303,Docs[Тип долга],"КЗ",Docs[Вид],"&lt;&gt;Дивиденды")&lt;&gt;1),AND(C303="Дивиденды",COUNTIFS(Docs[ID],J303,Docs[Вид],"Дивиденды")&lt;&gt;1),AND(C303="Проценты",COUNTIFS(Docs[ID],J303,Docs[Вид],"Проценты")&lt;&gt;1),COUNTIF(Cash[ID],A303)&gt;1,NOT(ISNUMBER(B303)),B303&lt;НачалоУчета,YEAR(B303)&lt;&gt;Год,NOT(ISNUMBER(E303)),E303&lt;=0,N303&lt;0,COUNTIF(Типы,C303)&lt;&gt;1,COUNTIF(Категории,D303)&lt;&gt;1,COUNTIF(Счета,F303)&lt;&gt;1,COUNTIF(Проекты,I303)&lt;&gt;1,AND(H303&lt;&gt;"",COUNTIF(Контрагенты,H303)&lt;&gt;1),AND(C303="Перевод",OR(F303=G303,COUNTIF(Счета,G303)&lt;&gt;1)),AND(S303&lt;&gt;0,COUNTIF(Docs[ID],J303)&lt;&gt;1),AND(Форма="ООО",C303="Вывод ИП"),AND(Форма="ИП",C303="Дивиденды"),AND(L303&lt;&gt;"Проведён",L303&lt;&gt;"Черновик")),"ОШИБКА","ОК"))</f>
        <v/>
      </c>
      <c r="W303" s="25" t="str">
        <f>IF(A303="","",SUMIF(Accounts[Счёт],F303,Accounts[Начальный])+SUMIFS($Q$7:Q303,$F$7:F303,F303)+SUMIFS($E$7:E303,$G$7:G303,F303,$C$7:C303,"Перевод",$L$7:L303,"Проведён"))</f>
        <v/>
      </c>
    </row>
    <row r="304" spans="1:23" x14ac:dyDescent="0.25">
      <c r="A304" s="22"/>
      <c r="B304" s="23"/>
      <c r="C304" s="22"/>
      <c r="D304" s="22"/>
      <c r="E304" s="27"/>
      <c r="F304" s="22"/>
      <c r="G304" s="22"/>
      <c r="H304" s="22"/>
      <c r="I304" s="22"/>
      <c r="J304" s="22"/>
      <c r="K304" s="22"/>
      <c r="L304" s="22"/>
      <c r="M304" s="22"/>
      <c r="N304" s="27"/>
      <c r="O304" s="22"/>
      <c r="P304" s="5" t="str">
        <f>IF(A304="","",IF(COUNTIF(Типы,C304)=0,0,VLOOKUP(C304,СПРАВОЧНИКИ!$A$7:$E$22,2,FALSE)))</f>
        <v/>
      </c>
      <c r="Q304" s="25" t="str">
        <f t="shared" si="4"/>
        <v/>
      </c>
      <c r="R304" s="5" t="str">
        <f>IF(A304="","",IF(COUNTIF(Типы,C304)=0,"НЕИЗВЕСТНЫЙ ТИП",VLOOKUP(C304,СПРАВОЧНИКИ!$A$7:$E$22,3,FALSE)))</f>
        <v/>
      </c>
      <c r="S304" s="26" t="str">
        <f>IF(A304="","",IF(L304="Проведён",E304*IF(COUNTIF(Типы,C304)=0,0,VLOOKUP(C304,СПРАВОЧНИКИ!$A$7:$E$22,4,FALSE)),0))</f>
        <v/>
      </c>
      <c r="T304" s="26" t="str">
        <f>IF(A304="","",IF(L304="Проведён",E304*IF(COUNTIF(Типы,C304)=0,0,VLOOKUP(C304,СПРАВОЧНИКИ!$A$7:$E$22,5,FALSE)),0))</f>
        <v/>
      </c>
      <c r="U304" s="5" t="str">
        <f>IF(A304="","",IF(COUNTIF(Контрагенты,H304)=0,"Не задан",VLOOKUP(H304,СПРАВОЧНИКИ!$G$7:$H$66,2,FALSE)))</f>
        <v/>
      </c>
      <c r="V304" s="4" t="str">
        <f>IF(A304="",IF(COUNTA(B304:O304)&gt;0,"НЕТ ID",""),IF(OR(AND(OR(C304="Оплата клиента",C304="Возврат клиенту"),COUNTIFS(Docs[ID],J304,Docs[Тип долга],"ДЗ")&lt;&gt;1),AND(OR(C304="Оплата поставщику",C304="Возврат поставщика"),COUNTIFS(Docs[ID],J304,Docs[Тип долга],"КЗ",Docs[Вид],"&lt;&gt;Дивиденды")&lt;&gt;1),AND(C304="Дивиденды",COUNTIFS(Docs[ID],J304,Docs[Вид],"Дивиденды")&lt;&gt;1),AND(C304="Проценты",COUNTIFS(Docs[ID],J304,Docs[Вид],"Проценты")&lt;&gt;1),COUNTIF(Cash[ID],A304)&gt;1,NOT(ISNUMBER(B304)),B304&lt;НачалоУчета,YEAR(B304)&lt;&gt;Год,NOT(ISNUMBER(E304)),E304&lt;=0,N304&lt;0,COUNTIF(Типы,C304)&lt;&gt;1,COUNTIF(Категории,D304)&lt;&gt;1,COUNTIF(Счета,F304)&lt;&gt;1,COUNTIF(Проекты,I304)&lt;&gt;1,AND(H304&lt;&gt;"",COUNTIF(Контрагенты,H304)&lt;&gt;1),AND(C304="Перевод",OR(F304=G304,COUNTIF(Счета,G304)&lt;&gt;1)),AND(S304&lt;&gt;0,COUNTIF(Docs[ID],J304)&lt;&gt;1),AND(Форма="ООО",C304="Вывод ИП"),AND(Форма="ИП",C304="Дивиденды"),AND(L304&lt;&gt;"Проведён",L304&lt;&gt;"Черновик")),"ОШИБКА","ОК"))</f>
        <v/>
      </c>
      <c r="W304" s="25" t="str">
        <f>IF(A304="","",SUMIF(Accounts[Счёт],F304,Accounts[Начальный])+SUMIFS($Q$7:Q304,$F$7:F304,F304)+SUMIFS($E$7:E304,$G$7:G304,F304,$C$7:C304,"Перевод",$L$7:L304,"Проведён"))</f>
        <v/>
      </c>
    </row>
    <row r="305" spans="1:23" x14ac:dyDescent="0.25">
      <c r="A305" s="22"/>
      <c r="B305" s="23"/>
      <c r="C305" s="22"/>
      <c r="D305" s="22"/>
      <c r="E305" s="27"/>
      <c r="F305" s="22"/>
      <c r="G305" s="22"/>
      <c r="H305" s="22"/>
      <c r="I305" s="22"/>
      <c r="J305" s="22"/>
      <c r="K305" s="22"/>
      <c r="L305" s="22"/>
      <c r="M305" s="22"/>
      <c r="N305" s="27"/>
      <c r="O305" s="22"/>
      <c r="P305" s="5" t="str">
        <f>IF(A305="","",IF(COUNTIF(Типы,C305)=0,0,VLOOKUP(C305,СПРАВОЧНИКИ!$A$7:$E$22,2,FALSE)))</f>
        <v/>
      </c>
      <c r="Q305" s="25" t="str">
        <f t="shared" si="4"/>
        <v/>
      </c>
      <c r="R305" s="5" t="str">
        <f>IF(A305="","",IF(COUNTIF(Типы,C305)=0,"НЕИЗВЕСТНЫЙ ТИП",VLOOKUP(C305,СПРАВОЧНИКИ!$A$7:$E$22,3,FALSE)))</f>
        <v/>
      </c>
      <c r="S305" s="26" t="str">
        <f>IF(A305="","",IF(L305="Проведён",E305*IF(COUNTIF(Типы,C305)=0,0,VLOOKUP(C305,СПРАВОЧНИКИ!$A$7:$E$22,4,FALSE)),0))</f>
        <v/>
      </c>
      <c r="T305" s="26" t="str">
        <f>IF(A305="","",IF(L305="Проведён",E305*IF(COUNTIF(Типы,C305)=0,0,VLOOKUP(C305,СПРАВОЧНИКИ!$A$7:$E$22,5,FALSE)),0))</f>
        <v/>
      </c>
      <c r="U305" s="5" t="str">
        <f>IF(A305="","",IF(COUNTIF(Контрагенты,H305)=0,"Не задан",VLOOKUP(H305,СПРАВОЧНИКИ!$G$7:$H$66,2,FALSE)))</f>
        <v/>
      </c>
      <c r="V305" s="4" t="str">
        <f>IF(A305="",IF(COUNTA(B305:O305)&gt;0,"НЕТ ID",""),IF(OR(AND(OR(C305="Оплата клиента",C305="Возврат клиенту"),COUNTIFS(Docs[ID],J305,Docs[Тип долга],"ДЗ")&lt;&gt;1),AND(OR(C305="Оплата поставщику",C305="Возврат поставщика"),COUNTIFS(Docs[ID],J305,Docs[Тип долга],"КЗ",Docs[Вид],"&lt;&gt;Дивиденды")&lt;&gt;1),AND(C305="Дивиденды",COUNTIFS(Docs[ID],J305,Docs[Вид],"Дивиденды")&lt;&gt;1),AND(C305="Проценты",COUNTIFS(Docs[ID],J305,Docs[Вид],"Проценты")&lt;&gt;1),COUNTIF(Cash[ID],A305)&gt;1,NOT(ISNUMBER(B305)),B305&lt;НачалоУчета,YEAR(B305)&lt;&gt;Год,NOT(ISNUMBER(E305)),E305&lt;=0,N305&lt;0,COUNTIF(Типы,C305)&lt;&gt;1,COUNTIF(Категории,D305)&lt;&gt;1,COUNTIF(Счета,F305)&lt;&gt;1,COUNTIF(Проекты,I305)&lt;&gt;1,AND(H305&lt;&gt;"",COUNTIF(Контрагенты,H305)&lt;&gt;1),AND(C305="Перевод",OR(F305=G305,COUNTIF(Счета,G305)&lt;&gt;1)),AND(S305&lt;&gt;0,COUNTIF(Docs[ID],J305)&lt;&gt;1),AND(Форма="ООО",C305="Вывод ИП"),AND(Форма="ИП",C305="Дивиденды"),AND(L305&lt;&gt;"Проведён",L305&lt;&gt;"Черновик")),"ОШИБКА","ОК"))</f>
        <v/>
      </c>
      <c r="W305" s="25" t="str">
        <f>IF(A305="","",SUMIF(Accounts[Счёт],F305,Accounts[Начальный])+SUMIFS($Q$7:Q305,$F$7:F305,F305)+SUMIFS($E$7:E305,$G$7:G305,F305,$C$7:C305,"Перевод",$L$7:L305,"Проведён"))</f>
        <v/>
      </c>
    </row>
    <row r="306" spans="1:23" x14ac:dyDescent="0.25">
      <c r="A306" s="22"/>
      <c r="B306" s="23"/>
      <c r="C306" s="22"/>
      <c r="D306" s="22"/>
      <c r="E306" s="27"/>
      <c r="F306" s="22"/>
      <c r="G306" s="22"/>
      <c r="H306" s="22"/>
      <c r="I306" s="22"/>
      <c r="J306" s="22"/>
      <c r="K306" s="22"/>
      <c r="L306" s="22"/>
      <c r="M306" s="22"/>
      <c r="N306" s="27"/>
      <c r="O306" s="22"/>
      <c r="P306" s="5" t="str">
        <f>IF(A306="","",IF(COUNTIF(Типы,C306)=0,0,VLOOKUP(C306,СПРАВОЧНИКИ!$A$7:$E$22,2,FALSE)))</f>
        <v/>
      </c>
      <c r="Q306" s="25" t="str">
        <f t="shared" si="4"/>
        <v/>
      </c>
      <c r="R306" s="5" t="str">
        <f>IF(A306="","",IF(COUNTIF(Типы,C306)=0,"НЕИЗВЕСТНЫЙ ТИП",VLOOKUP(C306,СПРАВОЧНИКИ!$A$7:$E$22,3,FALSE)))</f>
        <v/>
      </c>
      <c r="S306" s="26" t="str">
        <f>IF(A306="","",IF(L306="Проведён",E306*IF(COUNTIF(Типы,C306)=0,0,VLOOKUP(C306,СПРАВОЧНИКИ!$A$7:$E$22,4,FALSE)),0))</f>
        <v/>
      </c>
      <c r="T306" s="26" t="str">
        <f>IF(A306="","",IF(L306="Проведён",E306*IF(COUNTIF(Типы,C306)=0,0,VLOOKUP(C306,СПРАВОЧНИКИ!$A$7:$E$22,5,FALSE)),0))</f>
        <v/>
      </c>
      <c r="U306" s="5" t="str">
        <f>IF(A306="","",IF(COUNTIF(Контрагенты,H306)=0,"Не задан",VLOOKUP(H306,СПРАВОЧНИКИ!$G$7:$H$66,2,FALSE)))</f>
        <v/>
      </c>
      <c r="V306" s="4" t="str">
        <f>IF(A306="",IF(COUNTA(B306:O306)&gt;0,"НЕТ ID",""),IF(OR(AND(OR(C306="Оплата клиента",C306="Возврат клиенту"),COUNTIFS(Docs[ID],J306,Docs[Тип долга],"ДЗ")&lt;&gt;1),AND(OR(C306="Оплата поставщику",C306="Возврат поставщика"),COUNTIFS(Docs[ID],J306,Docs[Тип долга],"КЗ",Docs[Вид],"&lt;&gt;Дивиденды")&lt;&gt;1),AND(C306="Дивиденды",COUNTIFS(Docs[ID],J306,Docs[Вид],"Дивиденды")&lt;&gt;1),AND(C306="Проценты",COUNTIFS(Docs[ID],J306,Docs[Вид],"Проценты")&lt;&gt;1),COUNTIF(Cash[ID],A306)&gt;1,NOT(ISNUMBER(B306)),B306&lt;НачалоУчета,YEAR(B306)&lt;&gt;Год,NOT(ISNUMBER(E306)),E306&lt;=0,N306&lt;0,COUNTIF(Типы,C306)&lt;&gt;1,COUNTIF(Категории,D306)&lt;&gt;1,COUNTIF(Счета,F306)&lt;&gt;1,COUNTIF(Проекты,I306)&lt;&gt;1,AND(H306&lt;&gt;"",COUNTIF(Контрагенты,H306)&lt;&gt;1),AND(C306="Перевод",OR(F306=G306,COUNTIF(Счета,G306)&lt;&gt;1)),AND(S306&lt;&gt;0,COUNTIF(Docs[ID],J306)&lt;&gt;1),AND(Форма="ООО",C306="Вывод ИП"),AND(Форма="ИП",C306="Дивиденды"),AND(L306&lt;&gt;"Проведён",L306&lt;&gt;"Черновик")),"ОШИБКА","ОК"))</f>
        <v/>
      </c>
      <c r="W306" s="25" t="str">
        <f>IF(A306="","",SUMIF(Accounts[Счёт],F306,Accounts[Начальный])+SUMIFS($Q$7:Q306,$F$7:F306,F306)+SUMIFS($E$7:E306,$G$7:G306,F306,$C$7:C306,"Перевод",$L$7:L306,"Проведён"))</f>
        <v/>
      </c>
    </row>
    <row r="307" spans="1:23" x14ac:dyDescent="0.25">
      <c r="A307" s="22"/>
      <c r="B307" s="23"/>
      <c r="C307" s="22"/>
      <c r="D307" s="22"/>
      <c r="E307" s="27"/>
      <c r="F307" s="22"/>
      <c r="G307" s="22"/>
      <c r="H307" s="22"/>
      <c r="I307" s="22"/>
      <c r="J307" s="22"/>
      <c r="K307" s="22"/>
      <c r="L307" s="22"/>
      <c r="M307" s="22"/>
      <c r="N307" s="27"/>
      <c r="O307" s="22"/>
      <c r="P307" s="5" t="str">
        <f>IF(A307="","",IF(COUNTIF(Типы,C307)=0,0,VLOOKUP(C307,СПРАВОЧНИКИ!$A$7:$E$22,2,FALSE)))</f>
        <v/>
      </c>
      <c r="Q307" s="25" t="str">
        <f t="shared" si="4"/>
        <v/>
      </c>
      <c r="R307" s="5" t="str">
        <f>IF(A307="","",IF(COUNTIF(Типы,C307)=0,"НЕИЗВЕСТНЫЙ ТИП",VLOOKUP(C307,СПРАВОЧНИКИ!$A$7:$E$22,3,FALSE)))</f>
        <v/>
      </c>
      <c r="S307" s="26" t="str">
        <f>IF(A307="","",IF(L307="Проведён",E307*IF(COUNTIF(Типы,C307)=0,0,VLOOKUP(C307,СПРАВОЧНИКИ!$A$7:$E$22,4,FALSE)),0))</f>
        <v/>
      </c>
      <c r="T307" s="26" t="str">
        <f>IF(A307="","",IF(L307="Проведён",E307*IF(COUNTIF(Типы,C307)=0,0,VLOOKUP(C307,СПРАВОЧНИКИ!$A$7:$E$22,5,FALSE)),0))</f>
        <v/>
      </c>
      <c r="U307" s="5" t="str">
        <f>IF(A307="","",IF(COUNTIF(Контрагенты,H307)=0,"Не задан",VLOOKUP(H307,СПРАВОЧНИКИ!$G$7:$H$66,2,FALSE)))</f>
        <v/>
      </c>
      <c r="V307" s="4" t="str">
        <f>IF(A307="",IF(COUNTA(B307:O307)&gt;0,"НЕТ ID",""),IF(OR(AND(OR(C307="Оплата клиента",C307="Возврат клиенту"),COUNTIFS(Docs[ID],J307,Docs[Тип долга],"ДЗ")&lt;&gt;1),AND(OR(C307="Оплата поставщику",C307="Возврат поставщика"),COUNTIFS(Docs[ID],J307,Docs[Тип долга],"КЗ",Docs[Вид],"&lt;&gt;Дивиденды")&lt;&gt;1),AND(C307="Дивиденды",COUNTIFS(Docs[ID],J307,Docs[Вид],"Дивиденды")&lt;&gt;1),AND(C307="Проценты",COUNTIFS(Docs[ID],J307,Docs[Вид],"Проценты")&lt;&gt;1),COUNTIF(Cash[ID],A307)&gt;1,NOT(ISNUMBER(B307)),B307&lt;НачалоУчета,YEAR(B307)&lt;&gt;Год,NOT(ISNUMBER(E307)),E307&lt;=0,N307&lt;0,COUNTIF(Типы,C307)&lt;&gt;1,COUNTIF(Категории,D307)&lt;&gt;1,COUNTIF(Счета,F307)&lt;&gt;1,COUNTIF(Проекты,I307)&lt;&gt;1,AND(H307&lt;&gt;"",COUNTIF(Контрагенты,H307)&lt;&gt;1),AND(C307="Перевод",OR(F307=G307,COUNTIF(Счета,G307)&lt;&gt;1)),AND(S307&lt;&gt;0,COUNTIF(Docs[ID],J307)&lt;&gt;1),AND(Форма="ООО",C307="Вывод ИП"),AND(Форма="ИП",C307="Дивиденды"),AND(L307&lt;&gt;"Проведён",L307&lt;&gt;"Черновик")),"ОШИБКА","ОК"))</f>
        <v/>
      </c>
      <c r="W307" s="25" t="str">
        <f>IF(A307="","",SUMIF(Accounts[Счёт],F307,Accounts[Начальный])+SUMIFS($Q$7:Q307,$F$7:F307,F307)+SUMIFS($E$7:E307,$G$7:G307,F307,$C$7:C307,"Перевод",$L$7:L307,"Проведён"))</f>
        <v/>
      </c>
    </row>
    <row r="308" spans="1:23" x14ac:dyDescent="0.25">
      <c r="A308" s="22"/>
      <c r="B308" s="23"/>
      <c r="C308" s="22"/>
      <c r="D308" s="22"/>
      <c r="E308" s="27"/>
      <c r="F308" s="22"/>
      <c r="G308" s="22"/>
      <c r="H308" s="22"/>
      <c r="I308" s="22"/>
      <c r="J308" s="22"/>
      <c r="K308" s="22"/>
      <c r="L308" s="22"/>
      <c r="M308" s="22"/>
      <c r="N308" s="27"/>
      <c r="O308" s="22"/>
      <c r="P308" s="5" t="str">
        <f>IF(A308="","",IF(COUNTIF(Типы,C308)=0,0,VLOOKUP(C308,СПРАВОЧНИКИ!$A$7:$E$22,2,FALSE)))</f>
        <v/>
      </c>
      <c r="Q308" s="25" t="str">
        <f t="shared" si="4"/>
        <v/>
      </c>
      <c r="R308" s="5" t="str">
        <f>IF(A308="","",IF(COUNTIF(Типы,C308)=0,"НЕИЗВЕСТНЫЙ ТИП",VLOOKUP(C308,СПРАВОЧНИКИ!$A$7:$E$22,3,FALSE)))</f>
        <v/>
      </c>
      <c r="S308" s="26" t="str">
        <f>IF(A308="","",IF(L308="Проведён",E308*IF(COUNTIF(Типы,C308)=0,0,VLOOKUP(C308,СПРАВОЧНИКИ!$A$7:$E$22,4,FALSE)),0))</f>
        <v/>
      </c>
      <c r="T308" s="26" t="str">
        <f>IF(A308="","",IF(L308="Проведён",E308*IF(COUNTIF(Типы,C308)=0,0,VLOOKUP(C308,СПРАВОЧНИКИ!$A$7:$E$22,5,FALSE)),0))</f>
        <v/>
      </c>
      <c r="U308" s="5" t="str">
        <f>IF(A308="","",IF(COUNTIF(Контрагенты,H308)=0,"Не задан",VLOOKUP(H308,СПРАВОЧНИКИ!$G$7:$H$66,2,FALSE)))</f>
        <v/>
      </c>
      <c r="V308" s="4" t="str">
        <f>IF(A308="",IF(COUNTA(B308:O308)&gt;0,"НЕТ ID",""),IF(OR(AND(OR(C308="Оплата клиента",C308="Возврат клиенту"),COUNTIFS(Docs[ID],J308,Docs[Тип долга],"ДЗ")&lt;&gt;1),AND(OR(C308="Оплата поставщику",C308="Возврат поставщика"),COUNTIFS(Docs[ID],J308,Docs[Тип долга],"КЗ",Docs[Вид],"&lt;&gt;Дивиденды")&lt;&gt;1),AND(C308="Дивиденды",COUNTIFS(Docs[ID],J308,Docs[Вид],"Дивиденды")&lt;&gt;1),AND(C308="Проценты",COUNTIFS(Docs[ID],J308,Docs[Вид],"Проценты")&lt;&gt;1),COUNTIF(Cash[ID],A308)&gt;1,NOT(ISNUMBER(B308)),B308&lt;НачалоУчета,YEAR(B308)&lt;&gt;Год,NOT(ISNUMBER(E308)),E308&lt;=0,N308&lt;0,COUNTIF(Типы,C308)&lt;&gt;1,COUNTIF(Категории,D308)&lt;&gt;1,COUNTIF(Счета,F308)&lt;&gt;1,COUNTIF(Проекты,I308)&lt;&gt;1,AND(H308&lt;&gt;"",COUNTIF(Контрагенты,H308)&lt;&gt;1),AND(C308="Перевод",OR(F308=G308,COUNTIF(Счета,G308)&lt;&gt;1)),AND(S308&lt;&gt;0,COUNTIF(Docs[ID],J308)&lt;&gt;1),AND(Форма="ООО",C308="Вывод ИП"),AND(Форма="ИП",C308="Дивиденды"),AND(L308&lt;&gt;"Проведён",L308&lt;&gt;"Черновик")),"ОШИБКА","ОК"))</f>
        <v/>
      </c>
      <c r="W308" s="25" t="str">
        <f>IF(A308="","",SUMIF(Accounts[Счёт],F308,Accounts[Начальный])+SUMIFS($Q$7:Q308,$F$7:F308,F308)+SUMIFS($E$7:E308,$G$7:G308,F308,$C$7:C308,"Перевод",$L$7:L308,"Проведён"))</f>
        <v/>
      </c>
    </row>
    <row r="309" spans="1:23" x14ac:dyDescent="0.25">
      <c r="A309" s="22"/>
      <c r="B309" s="23"/>
      <c r="C309" s="22"/>
      <c r="D309" s="22"/>
      <c r="E309" s="27"/>
      <c r="F309" s="22"/>
      <c r="G309" s="22"/>
      <c r="H309" s="22"/>
      <c r="I309" s="22"/>
      <c r="J309" s="22"/>
      <c r="K309" s="22"/>
      <c r="L309" s="22"/>
      <c r="M309" s="22"/>
      <c r="N309" s="27"/>
      <c r="O309" s="22"/>
      <c r="P309" s="5" t="str">
        <f>IF(A309="","",IF(COUNTIF(Типы,C309)=0,0,VLOOKUP(C309,СПРАВОЧНИКИ!$A$7:$E$22,2,FALSE)))</f>
        <v/>
      </c>
      <c r="Q309" s="25" t="str">
        <f t="shared" si="4"/>
        <v/>
      </c>
      <c r="R309" s="5" t="str">
        <f>IF(A309="","",IF(COUNTIF(Типы,C309)=0,"НЕИЗВЕСТНЫЙ ТИП",VLOOKUP(C309,СПРАВОЧНИКИ!$A$7:$E$22,3,FALSE)))</f>
        <v/>
      </c>
      <c r="S309" s="26" t="str">
        <f>IF(A309="","",IF(L309="Проведён",E309*IF(COUNTIF(Типы,C309)=0,0,VLOOKUP(C309,СПРАВОЧНИКИ!$A$7:$E$22,4,FALSE)),0))</f>
        <v/>
      </c>
      <c r="T309" s="26" t="str">
        <f>IF(A309="","",IF(L309="Проведён",E309*IF(COUNTIF(Типы,C309)=0,0,VLOOKUP(C309,СПРАВОЧНИКИ!$A$7:$E$22,5,FALSE)),0))</f>
        <v/>
      </c>
      <c r="U309" s="5" t="str">
        <f>IF(A309="","",IF(COUNTIF(Контрагенты,H309)=0,"Не задан",VLOOKUP(H309,СПРАВОЧНИКИ!$G$7:$H$66,2,FALSE)))</f>
        <v/>
      </c>
      <c r="V309" s="4" t="str">
        <f>IF(A309="",IF(COUNTA(B309:O309)&gt;0,"НЕТ ID",""),IF(OR(AND(OR(C309="Оплата клиента",C309="Возврат клиенту"),COUNTIFS(Docs[ID],J309,Docs[Тип долга],"ДЗ")&lt;&gt;1),AND(OR(C309="Оплата поставщику",C309="Возврат поставщика"),COUNTIFS(Docs[ID],J309,Docs[Тип долга],"КЗ",Docs[Вид],"&lt;&gt;Дивиденды")&lt;&gt;1),AND(C309="Дивиденды",COUNTIFS(Docs[ID],J309,Docs[Вид],"Дивиденды")&lt;&gt;1),AND(C309="Проценты",COUNTIFS(Docs[ID],J309,Docs[Вид],"Проценты")&lt;&gt;1),COUNTIF(Cash[ID],A309)&gt;1,NOT(ISNUMBER(B309)),B309&lt;НачалоУчета,YEAR(B309)&lt;&gt;Год,NOT(ISNUMBER(E309)),E309&lt;=0,N309&lt;0,COUNTIF(Типы,C309)&lt;&gt;1,COUNTIF(Категории,D309)&lt;&gt;1,COUNTIF(Счета,F309)&lt;&gt;1,COUNTIF(Проекты,I309)&lt;&gt;1,AND(H309&lt;&gt;"",COUNTIF(Контрагенты,H309)&lt;&gt;1),AND(C309="Перевод",OR(F309=G309,COUNTIF(Счета,G309)&lt;&gt;1)),AND(S309&lt;&gt;0,COUNTIF(Docs[ID],J309)&lt;&gt;1),AND(Форма="ООО",C309="Вывод ИП"),AND(Форма="ИП",C309="Дивиденды"),AND(L309&lt;&gt;"Проведён",L309&lt;&gt;"Черновик")),"ОШИБКА","ОК"))</f>
        <v/>
      </c>
      <c r="W309" s="25" t="str">
        <f>IF(A309="","",SUMIF(Accounts[Счёт],F309,Accounts[Начальный])+SUMIFS($Q$7:Q309,$F$7:F309,F309)+SUMIFS($E$7:E309,$G$7:G309,F309,$C$7:C309,"Перевод",$L$7:L309,"Проведён"))</f>
        <v/>
      </c>
    </row>
    <row r="310" spans="1:23" x14ac:dyDescent="0.25">
      <c r="A310" s="22"/>
      <c r="B310" s="23"/>
      <c r="C310" s="22"/>
      <c r="D310" s="22"/>
      <c r="E310" s="27"/>
      <c r="F310" s="22"/>
      <c r="G310" s="22"/>
      <c r="H310" s="22"/>
      <c r="I310" s="22"/>
      <c r="J310" s="22"/>
      <c r="K310" s="22"/>
      <c r="L310" s="22"/>
      <c r="M310" s="22"/>
      <c r="N310" s="27"/>
      <c r="O310" s="22"/>
      <c r="P310" s="5" t="str">
        <f>IF(A310="","",IF(COUNTIF(Типы,C310)=0,0,VLOOKUP(C310,СПРАВОЧНИКИ!$A$7:$E$22,2,FALSE)))</f>
        <v/>
      </c>
      <c r="Q310" s="25" t="str">
        <f t="shared" si="4"/>
        <v/>
      </c>
      <c r="R310" s="5" t="str">
        <f>IF(A310="","",IF(COUNTIF(Типы,C310)=0,"НЕИЗВЕСТНЫЙ ТИП",VLOOKUP(C310,СПРАВОЧНИКИ!$A$7:$E$22,3,FALSE)))</f>
        <v/>
      </c>
      <c r="S310" s="26" t="str">
        <f>IF(A310="","",IF(L310="Проведён",E310*IF(COUNTIF(Типы,C310)=0,0,VLOOKUP(C310,СПРАВОЧНИКИ!$A$7:$E$22,4,FALSE)),0))</f>
        <v/>
      </c>
      <c r="T310" s="26" t="str">
        <f>IF(A310="","",IF(L310="Проведён",E310*IF(COUNTIF(Типы,C310)=0,0,VLOOKUP(C310,СПРАВОЧНИКИ!$A$7:$E$22,5,FALSE)),0))</f>
        <v/>
      </c>
      <c r="U310" s="5" t="str">
        <f>IF(A310="","",IF(COUNTIF(Контрагенты,H310)=0,"Не задан",VLOOKUP(H310,СПРАВОЧНИКИ!$G$7:$H$66,2,FALSE)))</f>
        <v/>
      </c>
      <c r="V310" s="4" t="str">
        <f>IF(A310="",IF(COUNTA(B310:O310)&gt;0,"НЕТ ID",""),IF(OR(AND(OR(C310="Оплата клиента",C310="Возврат клиенту"),COUNTIFS(Docs[ID],J310,Docs[Тип долга],"ДЗ")&lt;&gt;1),AND(OR(C310="Оплата поставщику",C310="Возврат поставщика"),COUNTIFS(Docs[ID],J310,Docs[Тип долга],"КЗ",Docs[Вид],"&lt;&gt;Дивиденды")&lt;&gt;1),AND(C310="Дивиденды",COUNTIFS(Docs[ID],J310,Docs[Вид],"Дивиденды")&lt;&gt;1),AND(C310="Проценты",COUNTIFS(Docs[ID],J310,Docs[Вид],"Проценты")&lt;&gt;1),COUNTIF(Cash[ID],A310)&gt;1,NOT(ISNUMBER(B310)),B310&lt;НачалоУчета,YEAR(B310)&lt;&gt;Год,NOT(ISNUMBER(E310)),E310&lt;=0,N310&lt;0,COUNTIF(Типы,C310)&lt;&gt;1,COUNTIF(Категории,D310)&lt;&gt;1,COUNTIF(Счета,F310)&lt;&gt;1,COUNTIF(Проекты,I310)&lt;&gt;1,AND(H310&lt;&gt;"",COUNTIF(Контрагенты,H310)&lt;&gt;1),AND(C310="Перевод",OR(F310=G310,COUNTIF(Счета,G310)&lt;&gt;1)),AND(S310&lt;&gt;0,COUNTIF(Docs[ID],J310)&lt;&gt;1),AND(Форма="ООО",C310="Вывод ИП"),AND(Форма="ИП",C310="Дивиденды"),AND(L310&lt;&gt;"Проведён",L310&lt;&gt;"Черновик")),"ОШИБКА","ОК"))</f>
        <v/>
      </c>
      <c r="W310" s="25" t="str">
        <f>IF(A310="","",SUMIF(Accounts[Счёт],F310,Accounts[Начальный])+SUMIFS($Q$7:Q310,$F$7:F310,F310)+SUMIFS($E$7:E310,$G$7:G310,F310,$C$7:C310,"Перевод",$L$7:L310,"Проведён"))</f>
        <v/>
      </c>
    </row>
    <row r="311" spans="1:23" x14ac:dyDescent="0.25">
      <c r="A311" s="22"/>
      <c r="B311" s="23"/>
      <c r="C311" s="22"/>
      <c r="D311" s="22"/>
      <c r="E311" s="27"/>
      <c r="F311" s="22"/>
      <c r="G311" s="22"/>
      <c r="H311" s="22"/>
      <c r="I311" s="22"/>
      <c r="J311" s="22"/>
      <c r="K311" s="22"/>
      <c r="L311" s="22"/>
      <c r="M311" s="22"/>
      <c r="N311" s="27"/>
      <c r="O311" s="22"/>
      <c r="P311" s="5" t="str">
        <f>IF(A311="","",IF(COUNTIF(Типы,C311)=0,0,VLOOKUP(C311,СПРАВОЧНИКИ!$A$7:$E$22,2,FALSE)))</f>
        <v/>
      </c>
      <c r="Q311" s="25" t="str">
        <f t="shared" si="4"/>
        <v/>
      </c>
      <c r="R311" s="5" t="str">
        <f>IF(A311="","",IF(COUNTIF(Типы,C311)=0,"НЕИЗВЕСТНЫЙ ТИП",VLOOKUP(C311,СПРАВОЧНИКИ!$A$7:$E$22,3,FALSE)))</f>
        <v/>
      </c>
      <c r="S311" s="26" t="str">
        <f>IF(A311="","",IF(L311="Проведён",E311*IF(COUNTIF(Типы,C311)=0,0,VLOOKUP(C311,СПРАВОЧНИКИ!$A$7:$E$22,4,FALSE)),0))</f>
        <v/>
      </c>
      <c r="T311" s="26" t="str">
        <f>IF(A311="","",IF(L311="Проведён",E311*IF(COUNTIF(Типы,C311)=0,0,VLOOKUP(C311,СПРАВОЧНИКИ!$A$7:$E$22,5,FALSE)),0))</f>
        <v/>
      </c>
      <c r="U311" s="5" t="str">
        <f>IF(A311="","",IF(COUNTIF(Контрагенты,H311)=0,"Не задан",VLOOKUP(H311,СПРАВОЧНИКИ!$G$7:$H$66,2,FALSE)))</f>
        <v/>
      </c>
      <c r="V311" s="4" t="str">
        <f>IF(A311="",IF(COUNTA(B311:O311)&gt;0,"НЕТ ID",""),IF(OR(AND(OR(C311="Оплата клиента",C311="Возврат клиенту"),COUNTIFS(Docs[ID],J311,Docs[Тип долга],"ДЗ")&lt;&gt;1),AND(OR(C311="Оплата поставщику",C311="Возврат поставщика"),COUNTIFS(Docs[ID],J311,Docs[Тип долга],"КЗ",Docs[Вид],"&lt;&gt;Дивиденды")&lt;&gt;1),AND(C311="Дивиденды",COUNTIFS(Docs[ID],J311,Docs[Вид],"Дивиденды")&lt;&gt;1),AND(C311="Проценты",COUNTIFS(Docs[ID],J311,Docs[Вид],"Проценты")&lt;&gt;1),COUNTIF(Cash[ID],A311)&gt;1,NOT(ISNUMBER(B311)),B311&lt;НачалоУчета,YEAR(B311)&lt;&gt;Год,NOT(ISNUMBER(E311)),E311&lt;=0,N311&lt;0,COUNTIF(Типы,C311)&lt;&gt;1,COUNTIF(Категории,D311)&lt;&gt;1,COUNTIF(Счета,F311)&lt;&gt;1,COUNTIF(Проекты,I311)&lt;&gt;1,AND(H311&lt;&gt;"",COUNTIF(Контрагенты,H311)&lt;&gt;1),AND(C311="Перевод",OR(F311=G311,COUNTIF(Счета,G311)&lt;&gt;1)),AND(S311&lt;&gt;0,COUNTIF(Docs[ID],J311)&lt;&gt;1),AND(Форма="ООО",C311="Вывод ИП"),AND(Форма="ИП",C311="Дивиденды"),AND(L311&lt;&gt;"Проведён",L311&lt;&gt;"Черновик")),"ОШИБКА","ОК"))</f>
        <v/>
      </c>
      <c r="W311" s="25" t="str">
        <f>IF(A311="","",SUMIF(Accounts[Счёт],F311,Accounts[Начальный])+SUMIFS($Q$7:Q311,$F$7:F311,F311)+SUMIFS($E$7:E311,$G$7:G311,F311,$C$7:C311,"Перевод",$L$7:L311,"Проведён"))</f>
        <v/>
      </c>
    </row>
    <row r="312" spans="1:23" x14ac:dyDescent="0.25">
      <c r="A312" s="22"/>
      <c r="B312" s="23"/>
      <c r="C312" s="22"/>
      <c r="D312" s="22"/>
      <c r="E312" s="27"/>
      <c r="F312" s="22"/>
      <c r="G312" s="22"/>
      <c r="H312" s="22"/>
      <c r="I312" s="22"/>
      <c r="J312" s="22"/>
      <c r="K312" s="22"/>
      <c r="L312" s="22"/>
      <c r="M312" s="22"/>
      <c r="N312" s="27"/>
      <c r="O312" s="22"/>
      <c r="P312" s="5" t="str">
        <f>IF(A312="","",IF(COUNTIF(Типы,C312)=0,0,VLOOKUP(C312,СПРАВОЧНИКИ!$A$7:$E$22,2,FALSE)))</f>
        <v/>
      </c>
      <c r="Q312" s="25" t="str">
        <f t="shared" si="4"/>
        <v/>
      </c>
      <c r="R312" s="5" t="str">
        <f>IF(A312="","",IF(COUNTIF(Типы,C312)=0,"НЕИЗВЕСТНЫЙ ТИП",VLOOKUP(C312,СПРАВОЧНИКИ!$A$7:$E$22,3,FALSE)))</f>
        <v/>
      </c>
      <c r="S312" s="26" t="str">
        <f>IF(A312="","",IF(L312="Проведён",E312*IF(COUNTIF(Типы,C312)=0,0,VLOOKUP(C312,СПРАВОЧНИКИ!$A$7:$E$22,4,FALSE)),0))</f>
        <v/>
      </c>
      <c r="T312" s="26" t="str">
        <f>IF(A312="","",IF(L312="Проведён",E312*IF(COUNTIF(Типы,C312)=0,0,VLOOKUP(C312,СПРАВОЧНИКИ!$A$7:$E$22,5,FALSE)),0))</f>
        <v/>
      </c>
      <c r="U312" s="5" t="str">
        <f>IF(A312="","",IF(COUNTIF(Контрагенты,H312)=0,"Не задан",VLOOKUP(H312,СПРАВОЧНИКИ!$G$7:$H$66,2,FALSE)))</f>
        <v/>
      </c>
      <c r="V312" s="4" t="str">
        <f>IF(A312="",IF(COUNTA(B312:O312)&gt;0,"НЕТ ID",""),IF(OR(AND(OR(C312="Оплата клиента",C312="Возврат клиенту"),COUNTIFS(Docs[ID],J312,Docs[Тип долга],"ДЗ")&lt;&gt;1),AND(OR(C312="Оплата поставщику",C312="Возврат поставщика"),COUNTIFS(Docs[ID],J312,Docs[Тип долга],"КЗ",Docs[Вид],"&lt;&gt;Дивиденды")&lt;&gt;1),AND(C312="Дивиденды",COUNTIFS(Docs[ID],J312,Docs[Вид],"Дивиденды")&lt;&gt;1),AND(C312="Проценты",COUNTIFS(Docs[ID],J312,Docs[Вид],"Проценты")&lt;&gt;1),COUNTIF(Cash[ID],A312)&gt;1,NOT(ISNUMBER(B312)),B312&lt;НачалоУчета,YEAR(B312)&lt;&gt;Год,NOT(ISNUMBER(E312)),E312&lt;=0,N312&lt;0,COUNTIF(Типы,C312)&lt;&gt;1,COUNTIF(Категории,D312)&lt;&gt;1,COUNTIF(Счета,F312)&lt;&gt;1,COUNTIF(Проекты,I312)&lt;&gt;1,AND(H312&lt;&gt;"",COUNTIF(Контрагенты,H312)&lt;&gt;1),AND(C312="Перевод",OR(F312=G312,COUNTIF(Счета,G312)&lt;&gt;1)),AND(S312&lt;&gt;0,COUNTIF(Docs[ID],J312)&lt;&gt;1),AND(Форма="ООО",C312="Вывод ИП"),AND(Форма="ИП",C312="Дивиденды"),AND(L312&lt;&gt;"Проведён",L312&lt;&gt;"Черновик")),"ОШИБКА","ОК"))</f>
        <v/>
      </c>
      <c r="W312" s="25" t="str">
        <f>IF(A312="","",SUMIF(Accounts[Счёт],F312,Accounts[Начальный])+SUMIFS($Q$7:Q312,$F$7:F312,F312)+SUMIFS($E$7:E312,$G$7:G312,F312,$C$7:C312,"Перевод",$L$7:L312,"Проведён"))</f>
        <v/>
      </c>
    </row>
    <row r="313" spans="1:23" x14ac:dyDescent="0.25">
      <c r="A313" s="22"/>
      <c r="B313" s="23"/>
      <c r="C313" s="22"/>
      <c r="D313" s="22"/>
      <c r="E313" s="27"/>
      <c r="F313" s="22"/>
      <c r="G313" s="22"/>
      <c r="H313" s="22"/>
      <c r="I313" s="22"/>
      <c r="J313" s="22"/>
      <c r="K313" s="22"/>
      <c r="L313" s="22"/>
      <c r="M313" s="22"/>
      <c r="N313" s="27"/>
      <c r="O313" s="22"/>
      <c r="P313" s="5" t="str">
        <f>IF(A313="","",IF(COUNTIF(Типы,C313)=0,0,VLOOKUP(C313,СПРАВОЧНИКИ!$A$7:$E$22,2,FALSE)))</f>
        <v/>
      </c>
      <c r="Q313" s="25" t="str">
        <f t="shared" si="4"/>
        <v/>
      </c>
      <c r="R313" s="5" t="str">
        <f>IF(A313="","",IF(COUNTIF(Типы,C313)=0,"НЕИЗВЕСТНЫЙ ТИП",VLOOKUP(C313,СПРАВОЧНИКИ!$A$7:$E$22,3,FALSE)))</f>
        <v/>
      </c>
      <c r="S313" s="26" t="str">
        <f>IF(A313="","",IF(L313="Проведён",E313*IF(COUNTIF(Типы,C313)=0,0,VLOOKUP(C313,СПРАВОЧНИКИ!$A$7:$E$22,4,FALSE)),0))</f>
        <v/>
      </c>
      <c r="T313" s="26" t="str">
        <f>IF(A313="","",IF(L313="Проведён",E313*IF(COUNTIF(Типы,C313)=0,0,VLOOKUP(C313,СПРАВОЧНИКИ!$A$7:$E$22,5,FALSE)),0))</f>
        <v/>
      </c>
      <c r="U313" s="5" t="str">
        <f>IF(A313="","",IF(COUNTIF(Контрагенты,H313)=0,"Не задан",VLOOKUP(H313,СПРАВОЧНИКИ!$G$7:$H$66,2,FALSE)))</f>
        <v/>
      </c>
      <c r="V313" s="4" t="str">
        <f>IF(A313="",IF(COUNTA(B313:O313)&gt;0,"НЕТ ID",""),IF(OR(AND(OR(C313="Оплата клиента",C313="Возврат клиенту"),COUNTIFS(Docs[ID],J313,Docs[Тип долга],"ДЗ")&lt;&gt;1),AND(OR(C313="Оплата поставщику",C313="Возврат поставщика"),COUNTIFS(Docs[ID],J313,Docs[Тип долга],"КЗ",Docs[Вид],"&lt;&gt;Дивиденды")&lt;&gt;1),AND(C313="Дивиденды",COUNTIFS(Docs[ID],J313,Docs[Вид],"Дивиденды")&lt;&gt;1),AND(C313="Проценты",COUNTIFS(Docs[ID],J313,Docs[Вид],"Проценты")&lt;&gt;1),COUNTIF(Cash[ID],A313)&gt;1,NOT(ISNUMBER(B313)),B313&lt;НачалоУчета,YEAR(B313)&lt;&gt;Год,NOT(ISNUMBER(E313)),E313&lt;=0,N313&lt;0,COUNTIF(Типы,C313)&lt;&gt;1,COUNTIF(Категории,D313)&lt;&gt;1,COUNTIF(Счета,F313)&lt;&gt;1,COUNTIF(Проекты,I313)&lt;&gt;1,AND(H313&lt;&gt;"",COUNTIF(Контрагенты,H313)&lt;&gt;1),AND(C313="Перевод",OR(F313=G313,COUNTIF(Счета,G313)&lt;&gt;1)),AND(S313&lt;&gt;0,COUNTIF(Docs[ID],J313)&lt;&gt;1),AND(Форма="ООО",C313="Вывод ИП"),AND(Форма="ИП",C313="Дивиденды"),AND(L313&lt;&gt;"Проведён",L313&lt;&gt;"Черновик")),"ОШИБКА","ОК"))</f>
        <v/>
      </c>
      <c r="W313" s="25" t="str">
        <f>IF(A313="","",SUMIF(Accounts[Счёт],F313,Accounts[Начальный])+SUMIFS($Q$7:Q313,$F$7:F313,F313)+SUMIFS($E$7:E313,$G$7:G313,F313,$C$7:C313,"Перевод",$L$7:L313,"Проведён"))</f>
        <v/>
      </c>
    </row>
    <row r="314" spans="1:23" x14ac:dyDescent="0.25">
      <c r="A314" s="22"/>
      <c r="B314" s="23"/>
      <c r="C314" s="22"/>
      <c r="D314" s="22"/>
      <c r="E314" s="27"/>
      <c r="F314" s="22"/>
      <c r="G314" s="22"/>
      <c r="H314" s="22"/>
      <c r="I314" s="22"/>
      <c r="J314" s="22"/>
      <c r="K314" s="22"/>
      <c r="L314" s="22"/>
      <c r="M314" s="22"/>
      <c r="N314" s="27"/>
      <c r="O314" s="22"/>
      <c r="P314" s="5" t="str">
        <f>IF(A314="","",IF(COUNTIF(Типы,C314)=0,0,VLOOKUP(C314,СПРАВОЧНИКИ!$A$7:$E$22,2,FALSE)))</f>
        <v/>
      </c>
      <c r="Q314" s="25" t="str">
        <f t="shared" si="4"/>
        <v/>
      </c>
      <c r="R314" s="5" t="str">
        <f>IF(A314="","",IF(COUNTIF(Типы,C314)=0,"НЕИЗВЕСТНЫЙ ТИП",VLOOKUP(C314,СПРАВОЧНИКИ!$A$7:$E$22,3,FALSE)))</f>
        <v/>
      </c>
      <c r="S314" s="26" t="str">
        <f>IF(A314="","",IF(L314="Проведён",E314*IF(COUNTIF(Типы,C314)=0,0,VLOOKUP(C314,СПРАВОЧНИКИ!$A$7:$E$22,4,FALSE)),0))</f>
        <v/>
      </c>
      <c r="T314" s="26" t="str">
        <f>IF(A314="","",IF(L314="Проведён",E314*IF(COUNTIF(Типы,C314)=0,0,VLOOKUP(C314,СПРАВОЧНИКИ!$A$7:$E$22,5,FALSE)),0))</f>
        <v/>
      </c>
      <c r="U314" s="5" t="str">
        <f>IF(A314="","",IF(COUNTIF(Контрагенты,H314)=0,"Не задан",VLOOKUP(H314,СПРАВОЧНИКИ!$G$7:$H$66,2,FALSE)))</f>
        <v/>
      </c>
      <c r="V314" s="4" t="str">
        <f>IF(A314="",IF(COUNTA(B314:O314)&gt;0,"НЕТ ID",""),IF(OR(AND(OR(C314="Оплата клиента",C314="Возврат клиенту"),COUNTIFS(Docs[ID],J314,Docs[Тип долга],"ДЗ")&lt;&gt;1),AND(OR(C314="Оплата поставщику",C314="Возврат поставщика"),COUNTIFS(Docs[ID],J314,Docs[Тип долга],"КЗ",Docs[Вид],"&lt;&gt;Дивиденды")&lt;&gt;1),AND(C314="Дивиденды",COUNTIFS(Docs[ID],J314,Docs[Вид],"Дивиденды")&lt;&gt;1),AND(C314="Проценты",COUNTIFS(Docs[ID],J314,Docs[Вид],"Проценты")&lt;&gt;1),COUNTIF(Cash[ID],A314)&gt;1,NOT(ISNUMBER(B314)),B314&lt;НачалоУчета,YEAR(B314)&lt;&gt;Год,NOT(ISNUMBER(E314)),E314&lt;=0,N314&lt;0,COUNTIF(Типы,C314)&lt;&gt;1,COUNTIF(Категории,D314)&lt;&gt;1,COUNTIF(Счета,F314)&lt;&gt;1,COUNTIF(Проекты,I314)&lt;&gt;1,AND(H314&lt;&gt;"",COUNTIF(Контрагенты,H314)&lt;&gt;1),AND(C314="Перевод",OR(F314=G314,COUNTIF(Счета,G314)&lt;&gt;1)),AND(S314&lt;&gt;0,COUNTIF(Docs[ID],J314)&lt;&gt;1),AND(Форма="ООО",C314="Вывод ИП"),AND(Форма="ИП",C314="Дивиденды"),AND(L314&lt;&gt;"Проведён",L314&lt;&gt;"Черновик")),"ОШИБКА","ОК"))</f>
        <v/>
      </c>
      <c r="W314" s="25" t="str">
        <f>IF(A314="","",SUMIF(Accounts[Счёт],F314,Accounts[Начальный])+SUMIFS($Q$7:Q314,$F$7:F314,F314)+SUMIFS($E$7:E314,$G$7:G314,F314,$C$7:C314,"Перевод",$L$7:L314,"Проведён"))</f>
        <v/>
      </c>
    </row>
    <row r="315" spans="1:23" x14ac:dyDescent="0.25">
      <c r="A315" s="22"/>
      <c r="B315" s="23"/>
      <c r="C315" s="22"/>
      <c r="D315" s="22"/>
      <c r="E315" s="27"/>
      <c r="F315" s="22"/>
      <c r="G315" s="22"/>
      <c r="H315" s="22"/>
      <c r="I315" s="22"/>
      <c r="J315" s="22"/>
      <c r="K315" s="22"/>
      <c r="L315" s="22"/>
      <c r="M315" s="22"/>
      <c r="N315" s="27"/>
      <c r="O315" s="22"/>
      <c r="P315" s="5" t="str">
        <f>IF(A315="","",IF(COUNTIF(Типы,C315)=0,0,VLOOKUP(C315,СПРАВОЧНИКИ!$A$7:$E$22,2,FALSE)))</f>
        <v/>
      </c>
      <c r="Q315" s="25" t="str">
        <f t="shared" si="4"/>
        <v/>
      </c>
      <c r="R315" s="5" t="str">
        <f>IF(A315="","",IF(COUNTIF(Типы,C315)=0,"НЕИЗВЕСТНЫЙ ТИП",VLOOKUP(C315,СПРАВОЧНИКИ!$A$7:$E$22,3,FALSE)))</f>
        <v/>
      </c>
      <c r="S315" s="26" t="str">
        <f>IF(A315="","",IF(L315="Проведён",E315*IF(COUNTIF(Типы,C315)=0,0,VLOOKUP(C315,СПРАВОЧНИКИ!$A$7:$E$22,4,FALSE)),0))</f>
        <v/>
      </c>
      <c r="T315" s="26" t="str">
        <f>IF(A315="","",IF(L315="Проведён",E315*IF(COUNTIF(Типы,C315)=0,0,VLOOKUP(C315,СПРАВОЧНИКИ!$A$7:$E$22,5,FALSE)),0))</f>
        <v/>
      </c>
      <c r="U315" s="5" t="str">
        <f>IF(A315="","",IF(COUNTIF(Контрагенты,H315)=0,"Не задан",VLOOKUP(H315,СПРАВОЧНИКИ!$G$7:$H$66,2,FALSE)))</f>
        <v/>
      </c>
      <c r="V315" s="4" t="str">
        <f>IF(A315="",IF(COUNTA(B315:O315)&gt;0,"НЕТ ID",""),IF(OR(AND(OR(C315="Оплата клиента",C315="Возврат клиенту"),COUNTIFS(Docs[ID],J315,Docs[Тип долга],"ДЗ")&lt;&gt;1),AND(OR(C315="Оплата поставщику",C315="Возврат поставщика"),COUNTIFS(Docs[ID],J315,Docs[Тип долга],"КЗ",Docs[Вид],"&lt;&gt;Дивиденды")&lt;&gt;1),AND(C315="Дивиденды",COUNTIFS(Docs[ID],J315,Docs[Вид],"Дивиденды")&lt;&gt;1),AND(C315="Проценты",COUNTIFS(Docs[ID],J315,Docs[Вид],"Проценты")&lt;&gt;1),COUNTIF(Cash[ID],A315)&gt;1,NOT(ISNUMBER(B315)),B315&lt;НачалоУчета,YEAR(B315)&lt;&gt;Год,NOT(ISNUMBER(E315)),E315&lt;=0,N315&lt;0,COUNTIF(Типы,C315)&lt;&gt;1,COUNTIF(Категории,D315)&lt;&gt;1,COUNTIF(Счета,F315)&lt;&gt;1,COUNTIF(Проекты,I315)&lt;&gt;1,AND(H315&lt;&gt;"",COUNTIF(Контрагенты,H315)&lt;&gt;1),AND(C315="Перевод",OR(F315=G315,COUNTIF(Счета,G315)&lt;&gt;1)),AND(S315&lt;&gt;0,COUNTIF(Docs[ID],J315)&lt;&gt;1),AND(Форма="ООО",C315="Вывод ИП"),AND(Форма="ИП",C315="Дивиденды"),AND(L315&lt;&gt;"Проведён",L315&lt;&gt;"Черновик")),"ОШИБКА","ОК"))</f>
        <v/>
      </c>
      <c r="W315" s="25" t="str">
        <f>IF(A315="","",SUMIF(Accounts[Счёт],F315,Accounts[Начальный])+SUMIFS($Q$7:Q315,$F$7:F315,F315)+SUMIFS($E$7:E315,$G$7:G315,F315,$C$7:C315,"Перевод",$L$7:L315,"Проведён"))</f>
        <v/>
      </c>
    </row>
    <row r="316" spans="1:23" x14ac:dyDescent="0.25">
      <c r="A316" s="22"/>
      <c r="B316" s="23"/>
      <c r="C316" s="22"/>
      <c r="D316" s="22"/>
      <c r="E316" s="27"/>
      <c r="F316" s="22"/>
      <c r="G316" s="22"/>
      <c r="H316" s="22"/>
      <c r="I316" s="22"/>
      <c r="J316" s="22"/>
      <c r="K316" s="22"/>
      <c r="L316" s="22"/>
      <c r="M316" s="22"/>
      <c r="N316" s="27"/>
      <c r="O316" s="22"/>
      <c r="P316" s="5" t="str">
        <f>IF(A316="","",IF(COUNTIF(Типы,C316)=0,0,VLOOKUP(C316,СПРАВОЧНИКИ!$A$7:$E$22,2,FALSE)))</f>
        <v/>
      </c>
      <c r="Q316" s="25" t="str">
        <f t="shared" si="4"/>
        <v/>
      </c>
      <c r="R316" s="5" t="str">
        <f>IF(A316="","",IF(COUNTIF(Типы,C316)=0,"НЕИЗВЕСТНЫЙ ТИП",VLOOKUP(C316,СПРАВОЧНИКИ!$A$7:$E$22,3,FALSE)))</f>
        <v/>
      </c>
      <c r="S316" s="26" t="str">
        <f>IF(A316="","",IF(L316="Проведён",E316*IF(COUNTIF(Типы,C316)=0,0,VLOOKUP(C316,СПРАВОЧНИКИ!$A$7:$E$22,4,FALSE)),0))</f>
        <v/>
      </c>
      <c r="T316" s="26" t="str">
        <f>IF(A316="","",IF(L316="Проведён",E316*IF(COUNTIF(Типы,C316)=0,0,VLOOKUP(C316,СПРАВОЧНИКИ!$A$7:$E$22,5,FALSE)),0))</f>
        <v/>
      </c>
      <c r="U316" s="5" t="str">
        <f>IF(A316="","",IF(COUNTIF(Контрагенты,H316)=0,"Не задан",VLOOKUP(H316,СПРАВОЧНИКИ!$G$7:$H$66,2,FALSE)))</f>
        <v/>
      </c>
      <c r="V316" s="4" t="str">
        <f>IF(A316="",IF(COUNTA(B316:O316)&gt;0,"НЕТ ID",""),IF(OR(AND(OR(C316="Оплата клиента",C316="Возврат клиенту"),COUNTIFS(Docs[ID],J316,Docs[Тип долга],"ДЗ")&lt;&gt;1),AND(OR(C316="Оплата поставщику",C316="Возврат поставщика"),COUNTIFS(Docs[ID],J316,Docs[Тип долга],"КЗ",Docs[Вид],"&lt;&gt;Дивиденды")&lt;&gt;1),AND(C316="Дивиденды",COUNTIFS(Docs[ID],J316,Docs[Вид],"Дивиденды")&lt;&gt;1),AND(C316="Проценты",COUNTIFS(Docs[ID],J316,Docs[Вид],"Проценты")&lt;&gt;1),COUNTIF(Cash[ID],A316)&gt;1,NOT(ISNUMBER(B316)),B316&lt;НачалоУчета,YEAR(B316)&lt;&gt;Год,NOT(ISNUMBER(E316)),E316&lt;=0,N316&lt;0,COUNTIF(Типы,C316)&lt;&gt;1,COUNTIF(Категории,D316)&lt;&gt;1,COUNTIF(Счета,F316)&lt;&gt;1,COUNTIF(Проекты,I316)&lt;&gt;1,AND(H316&lt;&gt;"",COUNTIF(Контрагенты,H316)&lt;&gt;1),AND(C316="Перевод",OR(F316=G316,COUNTIF(Счета,G316)&lt;&gt;1)),AND(S316&lt;&gt;0,COUNTIF(Docs[ID],J316)&lt;&gt;1),AND(Форма="ООО",C316="Вывод ИП"),AND(Форма="ИП",C316="Дивиденды"),AND(L316&lt;&gt;"Проведён",L316&lt;&gt;"Черновик")),"ОШИБКА","ОК"))</f>
        <v/>
      </c>
      <c r="W316" s="25" t="str">
        <f>IF(A316="","",SUMIF(Accounts[Счёт],F316,Accounts[Начальный])+SUMIFS($Q$7:Q316,$F$7:F316,F316)+SUMIFS($E$7:E316,$G$7:G316,F316,$C$7:C316,"Перевод",$L$7:L316,"Проведён"))</f>
        <v/>
      </c>
    </row>
    <row r="317" spans="1:23" x14ac:dyDescent="0.25">
      <c r="A317" s="22"/>
      <c r="B317" s="23"/>
      <c r="C317" s="22"/>
      <c r="D317" s="22"/>
      <c r="E317" s="27"/>
      <c r="F317" s="22"/>
      <c r="G317" s="22"/>
      <c r="H317" s="22"/>
      <c r="I317" s="22"/>
      <c r="J317" s="22"/>
      <c r="K317" s="22"/>
      <c r="L317" s="22"/>
      <c r="M317" s="22"/>
      <c r="N317" s="27"/>
      <c r="O317" s="22"/>
      <c r="P317" s="5" t="str">
        <f>IF(A317="","",IF(COUNTIF(Типы,C317)=0,0,VLOOKUP(C317,СПРАВОЧНИКИ!$A$7:$E$22,2,FALSE)))</f>
        <v/>
      </c>
      <c r="Q317" s="25" t="str">
        <f t="shared" si="4"/>
        <v/>
      </c>
      <c r="R317" s="5" t="str">
        <f>IF(A317="","",IF(COUNTIF(Типы,C317)=0,"НЕИЗВЕСТНЫЙ ТИП",VLOOKUP(C317,СПРАВОЧНИКИ!$A$7:$E$22,3,FALSE)))</f>
        <v/>
      </c>
      <c r="S317" s="26" t="str">
        <f>IF(A317="","",IF(L317="Проведён",E317*IF(COUNTIF(Типы,C317)=0,0,VLOOKUP(C317,СПРАВОЧНИКИ!$A$7:$E$22,4,FALSE)),0))</f>
        <v/>
      </c>
      <c r="T317" s="26" t="str">
        <f>IF(A317="","",IF(L317="Проведён",E317*IF(COUNTIF(Типы,C317)=0,0,VLOOKUP(C317,СПРАВОЧНИКИ!$A$7:$E$22,5,FALSE)),0))</f>
        <v/>
      </c>
      <c r="U317" s="5" t="str">
        <f>IF(A317="","",IF(COUNTIF(Контрагенты,H317)=0,"Не задан",VLOOKUP(H317,СПРАВОЧНИКИ!$G$7:$H$66,2,FALSE)))</f>
        <v/>
      </c>
      <c r="V317" s="4" t="str">
        <f>IF(A317="",IF(COUNTA(B317:O317)&gt;0,"НЕТ ID",""),IF(OR(AND(OR(C317="Оплата клиента",C317="Возврат клиенту"),COUNTIFS(Docs[ID],J317,Docs[Тип долга],"ДЗ")&lt;&gt;1),AND(OR(C317="Оплата поставщику",C317="Возврат поставщика"),COUNTIFS(Docs[ID],J317,Docs[Тип долга],"КЗ",Docs[Вид],"&lt;&gt;Дивиденды")&lt;&gt;1),AND(C317="Дивиденды",COUNTIFS(Docs[ID],J317,Docs[Вид],"Дивиденды")&lt;&gt;1),AND(C317="Проценты",COUNTIFS(Docs[ID],J317,Docs[Вид],"Проценты")&lt;&gt;1),COUNTIF(Cash[ID],A317)&gt;1,NOT(ISNUMBER(B317)),B317&lt;НачалоУчета,YEAR(B317)&lt;&gt;Год,NOT(ISNUMBER(E317)),E317&lt;=0,N317&lt;0,COUNTIF(Типы,C317)&lt;&gt;1,COUNTIF(Категории,D317)&lt;&gt;1,COUNTIF(Счета,F317)&lt;&gt;1,COUNTIF(Проекты,I317)&lt;&gt;1,AND(H317&lt;&gt;"",COUNTIF(Контрагенты,H317)&lt;&gt;1),AND(C317="Перевод",OR(F317=G317,COUNTIF(Счета,G317)&lt;&gt;1)),AND(S317&lt;&gt;0,COUNTIF(Docs[ID],J317)&lt;&gt;1),AND(Форма="ООО",C317="Вывод ИП"),AND(Форма="ИП",C317="Дивиденды"),AND(L317&lt;&gt;"Проведён",L317&lt;&gt;"Черновик")),"ОШИБКА","ОК"))</f>
        <v/>
      </c>
      <c r="W317" s="25" t="str">
        <f>IF(A317="","",SUMIF(Accounts[Счёт],F317,Accounts[Начальный])+SUMIFS($Q$7:Q317,$F$7:F317,F317)+SUMIFS($E$7:E317,$G$7:G317,F317,$C$7:C317,"Перевод",$L$7:L317,"Проведён"))</f>
        <v/>
      </c>
    </row>
    <row r="318" spans="1:23" x14ac:dyDescent="0.25">
      <c r="A318" s="22"/>
      <c r="B318" s="23"/>
      <c r="C318" s="22"/>
      <c r="D318" s="22"/>
      <c r="E318" s="27"/>
      <c r="F318" s="22"/>
      <c r="G318" s="22"/>
      <c r="H318" s="22"/>
      <c r="I318" s="22"/>
      <c r="J318" s="22"/>
      <c r="K318" s="22"/>
      <c r="L318" s="22"/>
      <c r="M318" s="22"/>
      <c r="N318" s="27"/>
      <c r="O318" s="22"/>
      <c r="P318" s="5" t="str">
        <f>IF(A318="","",IF(COUNTIF(Типы,C318)=0,0,VLOOKUP(C318,СПРАВОЧНИКИ!$A$7:$E$22,2,FALSE)))</f>
        <v/>
      </c>
      <c r="Q318" s="25" t="str">
        <f t="shared" si="4"/>
        <v/>
      </c>
      <c r="R318" s="5" t="str">
        <f>IF(A318="","",IF(COUNTIF(Типы,C318)=0,"НЕИЗВЕСТНЫЙ ТИП",VLOOKUP(C318,СПРАВОЧНИКИ!$A$7:$E$22,3,FALSE)))</f>
        <v/>
      </c>
      <c r="S318" s="26" t="str">
        <f>IF(A318="","",IF(L318="Проведён",E318*IF(COUNTIF(Типы,C318)=0,0,VLOOKUP(C318,СПРАВОЧНИКИ!$A$7:$E$22,4,FALSE)),0))</f>
        <v/>
      </c>
      <c r="T318" s="26" t="str">
        <f>IF(A318="","",IF(L318="Проведён",E318*IF(COUNTIF(Типы,C318)=0,0,VLOOKUP(C318,СПРАВОЧНИКИ!$A$7:$E$22,5,FALSE)),0))</f>
        <v/>
      </c>
      <c r="U318" s="5" t="str">
        <f>IF(A318="","",IF(COUNTIF(Контрагенты,H318)=0,"Не задан",VLOOKUP(H318,СПРАВОЧНИКИ!$G$7:$H$66,2,FALSE)))</f>
        <v/>
      </c>
      <c r="V318" s="4" t="str">
        <f>IF(A318="",IF(COUNTA(B318:O318)&gt;0,"НЕТ ID",""),IF(OR(AND(OR(C318="Оплата клиента",C318="Возврат клиенту"),COUNTIFS(Docs[ID],J318,Docs[Тип долга],"ДЗ")&lt;&gt;1),AND(OR(C318="Оплата поставщику",C318="Возврат поставщика"),COUNTIFS(Docs[ID],J318,Docs[Тип долга],"КЗ",Docs[Вид],"&lt;&gt;Дивиденды")&lt;&gt;1),AND(C318="Дивиденды",COUNTIFS(Docs[ID],J318,Docs[Вид],"Дивиденды")&lt;&gt;1),AND(C318="Проценты",COUNTIFS(Docs[ID],J318,Docs[Вид],"Проценты")&lt;&gt;1),COUNTIF(Cash[ID],A318)&gt;1,NOT(ISNUMBER(B318)),B318&lt;НачалоУчета,YEAR(B318)&lt;&gt;Год,NOT(ISNUMBER(E318)),E318&lt;=0,N318&lt;0,COUNTIF(Типы,C318)&lt;&gt;1,COUNTIF(Категории,D318)&lt;&gt;1,COUNTIF(Счета,F318)&lt;&gt;1,COUNTIF(Проекты,I318)&lt;&gt;1,AND(H318&lt;&gt;"",COUNTIF(Контрагенты,H318)&lt;&gt;1),AND(C318="Перевод",OR(F318=G318,COUNTIF(Счета,G318)&lt;&gt;1)),AND(S318&lt;&gt;0,COUNTIF(Docs[ID],J318)&lt;&gt;1),AND(Форма="ООО",C318="Вывод ИП"),AND(Форма="ИП",C318="Дивиденды"),AND(L318&lt;&gt;"Проведён",L318&lt;&gt;"Черновик")),"ОШИБКА","ОК"))</f>
        <v/>
      </c>
      <c r="W318" s="25" t="str">
        <f>IF(A318="","",SUMIF(Accounts[Счёт],F318,Accounts[Начальный])+SUMIFS($Q$7:Q318,$F$7:F318,F318)+SUMIFS($E$7:E318,$G$7:G318,F318,$C$7:C318,"Перевод",$L$7:L318,"Проведён"))</f>
        <v/>
      </c>
    </row>
    <row r="319" spans="1:23" x14ac:dyDescent="0.25">
      <c r="A319" s="22"/>
      <c r="B319" s="23"/>
      <c r="C319" s="22"/>
      <c r="D319" s="22"/>
      <c r="E319" s="27"/>
      <c r="F319" s="22"/>
      <c r="G319" s="22"/>
      <c r="H319" s="22"/>
      <c r="I319" s="22"/>
      <c r="J319" s="22"/>
      <c r="K319" s="22"/>
      <c r="L319" s="22"/>
      <c r="M319" s="22"/>
      <c r="N319" s="27"/>
      <c r="O319" s="22"/>
      <c r="P319" s="5" t="str">
        <f>IF(A319="","",IF(COUNTIF(Типы,C319)=0,0,VLOOKUP(C319,СПРАВОЧНИКИ!$A$7:$E$22,2,FALSE)))</f>
        <v/>
      </c>
      <c r="Q319" s="25" t="str">
        <f t="shared" si="4"/>
        <v/>
      </c>
      <c r="R319" s="5" t="str">
        <f>IF(A319="","",IF(COUNTIF(Типы,C319)=0,"НЕИЗВЕСТНЫЙ ТИП",VLOOKUP(C319,СПРАВОЧНИКИ!$A$7:$E$22,3,FALSE)))</f>
        <v/>
      </c>
      <c r="S319" s="26" t="str">
        <f>IF(A319="","",IF(L319="Проведён",E319*IF(COUNTIF(Типы,C319)=0,0,VLOOKUP(C319,СПРАВОЧНИКИ!$A$7:$E$22,4,FALSE)),0))</f>
        <v/>
      </c>
      <c r="T319" s="26" t="str">
        <f>IF(A319="","",IF(L319="Проведён",E319*IF(COUNTIF(Типы,C319)=0,0,VLOOKUP(C319,СПРАВОЧНИКИ!$A$7:$E$22,5,FALSE)),0))</f>
        <v/>
      </c>
      <c r="U319" s="5" t="str">
        <f>IF(A319="","",IF(COUNTIF(Контрагенты,H319)=0,"Не задан",VLOOKUP(H319,СПРАВОЧНИКИ!$G$7:$H$66,2,FALSE)))</f>
        <v/>
      </c>
      <c r="V319" s="4" t="str">
        <f>IF(A319="",IF(COUNTA(B319:O319)&gt;0,"НЕТ ID",""),IF(OR(AND(OR(C319="Оплата клиента",C319="Возврат клиенту"),COUNTIFS(Docs[ID],J319,Docs[Тип долга],"ДЗ")&lt;&gt;1),AND(OR(C319="Оплата поставщику",C319="Возврат поставщика"),COUNTIFS(Docs[ID],J319,Docs[Тип долга],"КЗ",Docs[Вид],"&lt;&gt;Дивиденды")&lt;&gt;1),AND(C319="Дивиденды",COUNTIFS(Docs[ID],J319,Docs[Вид],"Дивиденды")&lt;&gt;1),AND(C319="Проценты",COUNTIFS(Docs[ID],J319,Docs[Вид],"Проценты")&lt;&gt;1),COUNTIF(Cash[ID],A319)&gt;1,NOT(ISNUMBER(B319)),B319&lt;НачалоУчета,YEAR(B319)&lt;&gt;Год,NOT(ISNUMBER(E319)),E319&lt;=0,N319&lt;0,COUNTIF(Типы,C319)&lt;&gt;1,COUNTIF(Категории,D319)&lt;&gt;1,COUNTIF(Счета,F319)&lt;&gt;1,COUNTIF(Проекты,I319)&lt;&gt;1,AND(H319&lt;&gt;"",COUNTIF(Контрагенты,H319)&lt;&gt;1),AND(C319="Перевод",OR(F319=G319,COUNTIF(Счета,G319)&lt;&gt;1)),AND(S319&lt;&gt;0,COUNTIF(Docs[ID],J319)&lt;&gt;1),AND(Форма="ООО",C319="Вывод ИП"),AND(Форма="ИП",C319="Дивиденды"),AND(L319&lt;&gt;"Проведён",L319&lt;&gt;"Черновик")),"ОШИБКА","ОК"))</f>
        <v/>
      </c>
      <c r="W319" s="25" t="str">
        <f>IF(A319="","",SUMIF(Accounts[Счёт],F319,Accounts[Начальный])+SUMIFS($Q$7:Q319,$F$7:F319,F319)+SUMIFS($E$7:E319,$G$7:G319,F319,$C$7:C319,"Перевод",$L$7:L319,"Проведён"))</f>
        <v/>
      </c>
    </row>
    <row r="320" spans="1:23" x14ac:dyDescent="0.25">
      <c r="A320" s="22"/>
      <c r="B320" s="23"/>
      <c r="C320" s="22"/>
      <c r="D320" s="22"/>
      <c r="E320" s="27"/>
      <c r="F320" s="22"/>
      <c r="G320" s="22"/>
      <c r="H320" s="22"/>
      <c r="I320" s="22"/>
      <c r="J320" s="22"/>
      <c r="K320" s="22"/>
      <c r="L320" s="22"/>
      <c r="M320" s="22"/>
      <c r="N320" s="27"/>
      <c r="O320" s="22"/>
      <c r="P320" s="5" t="str">
        <f>IF(A320="","",IF(COUNTIF(Типы,C320)=0,0,VLOOKUP(C320,СПРАВОЧНИКИ!$A$7:$E$22,2,FALSE)))</f>
        <v/>
      </c>
      <c r="Q320" s="25" t="str">
        <f t="shared" si="4"/>
        <v/>
      </c>
      <c r="R320" s="5" t="str">
        <f>IF(A320="","",IF(COUNTIF(Типы,C320)=0,"НЕИЗВЕСТНЫЙ ТИП",VLOOKUP(C320,СПРАВОЧНИКИ!$A$7:$E$22,3,FALSE)))</f>
        <v/>
      </c>
      <c r="S320" s="26" t="str">
        <f>IF(A320="","",IF(L320="Проведён",E320*IF(COUNTIF(Типы,C320)=0,0,VLOOKUP(C320,СПРАВОЧНИКИ!$A$7:$E$22,4,FALSE)),0))</f>
        <v/>
      </c>
      <c r="T320" s="26" t="str">
        <f>IF(A320="","",IF(L320="Проведён",E320*IF(COUNTIF(Типы,C320)=0,0,VLOOKUP(C320,СПРАВОЧНИКИ!$A$7:$E$22,5,FALSE)),0))</f>
        <v/>
      </c>
      <c r="U320" s="5" t="str">
        <f>IF(A320="","",IF(COUNTIF(Контрагенты,H320)=0,"Не задан",VLOOKUP(H320,СПРАВОЧНИКИ!$G$7:$H$66,2,FALSE)))</f>
        <v/>
      </c>
      <c r="V320" s="4" t="str">
        <f>IF(A320="",IF(COUNTA(B320:O320)&gt;0,"НЕТ ID",""),IF(OR(AND(OR(C320="Оплата клиента",C320="Возврат клиенту"),COUNTIFS(Docs[ID],J320,Docs[Тип долга],"ДЗ")&lt;&gt;1),AND(OR(C320="Оплата поставщику",C320="Возврат поставщика"),COUNTIFS(Docs[ID],J320,Docs[Тип долга],"КЗ",Docs[Вид],"&lt;&gt;Дивиденды")&lt;&gt;1),AND(C320="Дивиденды",COUNTIFS(Docs[ID],J320,Docs[Вид],"Дивиденды")&lt;&gt;1),AND(C320="Проценты",COUNTIFS(Docs[ID],J320,Docs[Вид],"Проценты")&lt;&gt;1),COUNTIF(Cash[ID],A320)&gt;1,NOT(ISNUMBER(B320)),B320&lt;НачалоУчета,YEAR(B320)&lt;&gt;Год,NOT(ISNUMBER(E320)),E320&lt;=0,N320&lt;0,COUNTIF(Типы,C320)&lt;&gt;1,COUNTIF(Категории,D320)&lt;&gt;1,COUNTIF(Счета,F320)&lt;&gt;1,COUNTIF(Проекты,I320)&lt;&gt;1,AND(H320&lt;&gt;"",COUNTIF(Контрагенты,H320)&lt;&gt;1),AND(C320="Перевод",OR(F320=G320,COUNTIF(Счета,G320)&lt;&gt;1)),AND(S320&lt;&gt;0,COUNTIF(Docs[ID],J320)&lt;&gt;1),AND(Форма="ООО",C320="Вывод ИП"),AND(Форма="ИП",C320="Дивиденды"),AND(L320&lt;&gt;"Проведён",L320&lt;&gt;"Черновик")),"ОШИБКА","ОК"))</f>
        <v/>
      </c>
      <c r="W320" s="25" t="str">
        <f>IF(A320="","",SUMIF(Accounts[Счёт],F320,Accounts[Начальный])+SUMIFS($Q$7:Q320,$F$7:F320,F320)+SUMIFS($E$7:E320,$G$7:G320,F320,$C$7:C320,"Перевод",$L$7:L320,"Проведён"))</f>
        <v/>
      </c>
    </row>
    <row r="321" spans="1:23" x14ac:dyDescent="0.25">
      <c r="A321" s="22"/>
      <c r="B321" s="23"/>
      <c r="C321" s="22"/>
      <c r="D321" s="22"/>
      <c r="E321" s="27"/>
      <c r="F321" s="22"/>
      <c r="G321" s="22"/>
      <c r="H321" s="22"/>
      <c r="I321" s="22"/>
      <c r="J321" s="22"/>
      <c r="K321" s="22"/>
      <c r="L321" s="22"/>
      <c r="M321" s="22"/>
      <c r="N321" s="27"/>
      <c r="O321" s="22"/>
      <c r="P321" s="5" t="str">
        <f>IF(A321="","",IF(COUNTIF(Типы,C321)=0,0,VLOOKUP(C321,СПРАВОЧНИКИ!$A$7:$E$22,2,FALSE)))</f>
        <v/>
      </c>
      <c r="Q321" s="25" t="str">
        <f t="shared" si="4"/>
        <v/>
      </c>
      <c r="R321" s="5" t="str">
        <f>IF(A321="","",IF(COUNTIF(Типы,C321)=0,"НЕИЗВЕСТНЫЙ ТИП",VLOOKUP(C321,СПРАВОЧНИКИ!$A$7:$E$22,3,FALSE)))</f>
        <v/>
      </c>
      <c r="S321" s="26" t="str">
        <f>IF(A321="","",IF(L321="Проведён",E321*IF(COUNTIF(Типы,C321)=0,0,VLOOKUP(C321,СПРАВОЧНИКИ!$A$7:$E$22,4,FALSE)),0))</f>
        <v/>
      </c>
      <c r="T321" s="26" t="str">
        <f>IF(A321="","",IF(L321="Проведён",E321*IF(COUNTIF(Типы,C321)=0,0,VLOOKUP(C321,СПРАВОЧНИКИ!$A$7:$E$22,5,FALSE)),0))</f>
        <v/>
      </c>
      <c r="U321" s="5" t="str">
        <f>IF(A321="","",IF(COUNTIF(Контрагенты,H321)=0,"Не задан",VLOOKUP(H321,СПРАВОЧНИКИ!$G$7:$H$66,2,FALSE)))</f>
        <v/>
      </c>
      <c r="V321" s="4" t="str">
        <f>IF(A321="",IF(COUNTA(B321:O321)&gt;0,"НЕТ ID",""),IF(OR(AND(OR(C321="Оплата клиента",C321="Возврат клиенту"),COUNTIFS(Docs[ID],J321,Docs[Тип долга],"ДЗ")&lt;&gt;1),AND(OR(C321="Оплата поставщику",C321="Возврат поставщика"),COUNTIFS(Docs[ID],J321,Docs[Тип долга],"КЗ",Docs[Вид],"&lt;&gt;Дивиденды")&lt;&gt;1),AND(C321="Дивиденды",COUNTIFS(Docs[ID],J321,Docs[Вид],"Дивиденды")&lt;&gt;1),AND(C321="Проценты",COUNTIFS(Docs[ID],J321,Docs[Вид],"Проценты")&lt;&gt;1),COUNTIF(Cash[ID],A321)&gt;1,NOT(ISNUMBER(B321)),B321&lt;НачалоУчета,YEAR(B321)&lt;&gt;Год,NOT(ISNUMBER(E321)),E321&lt;=0,N321&lt;0,COUNTIF(Типы,C321)&lt;&gt;1,COUNTIF(Категории,D321)&lt;&gt;1,COUNTIF(Счета,F321)&lt;&gt;1,COUNTIF(Проекты,I321)&lt;&gt;1,AND(H321&lt;&gt;"",COUNTIF(Контрагенты,H321)&lt;&gt;1),AND(C321="Перевод",OR(F321=G321,COUNTIF(Счета,G321)&lt;&gt;1)),AND(S321&lt;&gt;0,COUNTIF(Docs[ID],J321)&lt;&gt;1),AND(Форма="ООО",C321="Вывод ИП"),AND(Форма="ИП",C321="Дивиденды"),AND(L321&lt;&gt;"Проведён",L321&lt;&gt;"Черновик")),"ОШИБКА","ОК"))</f>
        <v/>
      </c>
      <c r="W321" s="25" t="str">
        <f>IF(A321="","",SUMIF(Accounts[Счёт],F321,Accounts[Начальный])+SUMIFS($Q$7:Q321,$F$7:F321,F321)+SUMIFS($E$7:E321,$G$7:G321,F321,$C$7:C321,"Перевод",$L$7:L321,"Проведён"))</f>
        <v/>
      </c>
    </row>
    <row r="322" spans="1:23" x14ac:dyDescent="0.25">
      <c r="A322" s="22"/>
      <c r="B322" s="23"/>
      <c r="C322" s="22"/>
      <c r="D322" s="22"/>
      <c r="E322" s="27"/>
      <c r="F322" s="22"/>
      <c r="G322" s="22"/>
      <c r="H322" s="22"/>
      <c r="I322" s="22"/>
      <c r="J322" s="22"/>
      <c r="K322" s="22"/>
      <c r="L322" s="22"/>
      <c r="M322" s="22"/>
      <c r="N322" s="27"/>
      <c r="O322" s="22"/>
      <c r="P322" s="5" t="str">
        <f>IF(A322="","",IF(COUNTIF(Типы,C322)=0,0,VLOOKUP(C322,СПРАВОЧНИКИ!$A$7:$E$22,2,FALSE)))</f>
        <v/>
      </c>
      <c r="Q322" s="25" t="str">
        <f t="shared" si="4"/>
        <v/>
      </c>
      <c r="R322" s="5" t="str">
        <f>IF(A322="","",IF(COUNTIF(Типы,C322)=0,"НЕИЗВЕСТНЫЙ ТИП",VLOOKUP(C322,СПРАВОЧНИКИ!$A$7:$E$22,3,FALSE)))</f>
        <v/>
      </c>
      <c r="S322" s="26" t="str">
        <f>IF(A322="","",IF(L322="Проведён",E322*IF(COUNTIF(Типы,C322)=0,0,VLOOKUP(C322,СПРАВОЧНИКИ!$A$7:$E$22,4,FALSE)),0))</f>
        <v/>
      </c>
      <c r="T322" s="26" t="str">
        <f>IF(A322="","",IF(L322="Проведён",E322*IF(COUNTIF(Типы,C322)=0,0,VLOOKUP(C322,СПРАВОЧНИКИ!$A$7:$E$22,5,FALSE)),0))</f>
        <v/>
      </c>
      <c r="U322" s="5" t="str">
        <f>IF(A322="","",IF(COUNTIF(Контрагенты,H322)=0,"Не задан",VLOOKUP(H322,СПРАВОЧНИКИ!$G$7:$H$66,2,FALSE)))</f>
        <v/>
      </c>
      <c r="V322" s="4" t="str">
        <f>IF(A322="",IF(COUNTA(B322:O322)&gt;0,"НЕТ ID",""),IF(OR(AND(OR(C322="Оплата клиента",C322="Возврат клиенту"),COUNTIFS(Docs[ID],J322,Docs[Тип долга],"ДЗ")&lt;&gt;1),AND(OR(C322="Оплата поставщику",C322="Возврат поставщика"),COUNTIFS(Docs[ID],J322,Docs[Тип долга],"КЗ",Docs[Вид],"&lt;&gt;Дивиденды")&lt;&gt;1),AND(C322="Дивиденды",COUNTIFS(Docs[ID],J322,Docs[Вид],"Дивиденды")&lt;&gt;1),AND(C322="Проценты",COUNTIFS(Docs[ID],J322,Docs[Вид],"Проценты")&lt;&gt;1),COUNTIF(Cash[ID],A322)&gt;1,NOT(ISNUMBER(B322)),B322&lt;НачалоУчета,YEAR(B322)&lt;&gt;Год,NOT(ISNUMBER(E322)),E322&lt;=0,N322&lt;0,COUNTIF(Типы,C322)&lt;&gt;1,COUNTIF(Категории,D322)&lt;&gt;1,COUNTIF(Счета,F322)&lt;&gt;1,COUNTIF(Проекты,I322)&lt;&gt;1,AND(H322&lt;&gt;"",COUNTIF(Контрагенты,H322)&lt;&gt;1),AND(C322="Перевод",OR(F322=G322,COUNTIF(Счета,G322)&lt;&gt;1)),AND(S322&lt;&gt;0,COUNTIF(Docs[ID],J322)&lt;&gt;1),AND(Форма="ООО",C322="Вывод ИП"),AND(Форма="ИП",C322="Дивиденды"),AND(L322&lt;&gt;"Проведён",L322&lt;&gt;"Черновик")),"ОШИБКА","ОК"))</f>
        <v/>
      </c>
      <c r="W322" s="25" t="str">
        <f>IF(A322="","",SUMIF(Accounts[Счёт],F322,Accounts[Начальный])+SUMIFS($Q$7:Q322,$F$7:F322,F322)+SUMIFS($E$7:E322,$G$7:G322,F322,$C$7:C322,"Перевод",$L$7:L322,"Проведён"))</f>
        <v/>
      </c>
    </row>
    <row r="323" spans="1:23" x14ac:dyDescent="0.25">
      <c r="A323" s="22"/>
      <c r="B323" s="23"/>
      <c r="C323" s="22"/>
      <c r="D323" s="22"/>
      <c r="E323" s="27"/>
      <c r="F323" s="22"/>
      <c r="G323" s="22"/>
      <c r="H323" s="22"/>
      <c r="I323" s="22"/>
      <c r="J323" s="22"/>
      <c r="K323" s="22"/>
      <c r="L323" s="22"/>
      <c r="M323" s="22"/>
      <c r="N323" s="27"/>
      <c r="O323" s="22"/>
      <c r="P323" s="5" t="str">
        <f>IF(A323="","",IF(COUNTIF(Типы,C323)=0,0,VLOOKUP(C323,СПРАВОЧНИКИ!$A$7:$E$22,2,FALSE)))</f>
        <v/>
      </c>
      <c r="Q323" s="25" t="str">
        <f t="shared" si="4"/>
        <v/>
      </c>
      <c r="R323" s="5" t="str">
        <f>IF(A323="","",IF(COUNTIF(Типы,C323)=0,"НЕИЗВЕСТНЫЙ ТИП",VLOOKUP(C323,СПРАВОЧНИКИ!$A$7:$E$22,3,FALSE)))</f>
        <v/>
      </c>
      <c r="S323" s="26" t="str">
        <f>IF(A323="","",IF(L323="Проведён",E323*IF(COUNTIF(Типы,C323)=0,0,VLOOKUP(C323,СПРАВОЧНИКИ!$A$7:$E$22,4,FALSE)),0))</f>
        <v/>
      </c>
      <c r="T323" s="26" t="str">
        <f>IF(A323="","",IF(L323="Проведён",E323*IF(COUNTIF(Типы,C323)=0,0,VLOOKUP(C323,СПРАВОЧНИКИ!$A$7:$E$22,5,FALSE)),0))</f>
        <v/>
      </c>
      <c r="U323" s="5" t="str">
        <f>IF(A323="","",IF(COUNTIF(Контрагенты,H323)=0,"Не задан",VLOOKUP(H323,СПРАВОЧНИКИ!$G$7:$H$66,2,FALSE)))</f>
        <v/>
      </c>
      <c r="V323" s="4" t="str">
        <f>IF(A323="",IF(COUNTA(B323:O323)&gt;0,"НЕТ ID",""),IF(OR(AND(OR(C323="Оплата клиента",C323="Возврат клиенту"),COUNTIFS(Docs[ID],J323,Docs[Тип долга],"ДЗ")&lt;&gt;1),AND(OR(C323="Оплата поставщику",C323="Возврат поставщика"),COUNTIFS(Docs[ID],J323,Docs[Тип долга],"КЗ",Docs[Вид],"&lt;&gt;Дивиденды")&lt;&gt;1),AND(C323="Дивиденды",COUNTIFS(Docs[ID],J323,Docs[Вид],"Дивиденды")&lt;&gt;1),AND(C323="Проценты",COUNTIFS(Docs[ID],J323,Docs[Вид],"Проценты")&lt;&gt;1),COUNTIF(Cash[ID],A323)&gt;1,NOT(ISNUMBER(B323)),B323&lt;НачалоУчета,YEAR(B323)&lt;&gt;Год,NOT(ISNUMBER(E323)),E323&lt;=0,N323&lt;0,COUNTIF(Типы,C323)&lt;&gt;1,COUNTIF(Категории,D323)&lt;&gt;1,COUNTIF(Счета,F323)&lt;&gt;1,COUNTIF(Проекты,I323)&lt;&gt;1,AND(H323&lt;&gt;"",COUNTIF(Контрагенты,H323)&lt;&gt;1),AND(C323="Перевод",OR(F323=G323,COUNTIF(Счета,G323)&lt;&gt;1)),AND(S323&lt;&gt;0,COUNTIF(Docs[ID],J323)&lt;&gt;1),AND(Форма="ООО",C323="Вывод ИП"),AND(Форма="ИП",C323="Дивиденды"),AND(L323&lt;&gt;"Проведён",L323&lt;&gt;"Черновик")),"ОШИБКА","ОК"))</f>
        <v/>
      </c>
      <c r="W323" s="25" t="str">
        <f>IF(A323="","",SUMIF(Accounts[Счёт],F323,Accounts[Начальный])+SUMIFS($Q$7:Q323,$F$7:F323,F323)+SUMIFS($E$7:E323,$G$7:G323,F323,$C$7:C323,"Перевод",$L$7:L323,"Проведён"))</f>
        <v/>
      </c>
    </row>
    <row r="324" spans="1:23" x14ac:dyDescent="0.25">
      <c r="A324" s="22"/>
      <c r="B324" s="23"/>
      <c r="C324" s="22"/>
      <c r="D324" s="22"/>
      <c r="E324" s="27"/>
      <c r="F324" s="22"/>
      <c r="G324" s="22"/>
      <c r="H324" s="22"/>
      <c r="I324" s="22"/>
      <c r="J324" s="22"/>
      <c r="K324" s="22"/>
      <c r="L324" s="22"/>
      <c r="M324" s="22"/>
      <c r="N324" s="27"/>
      <c r="O324" s="22"/>
      <c r="P324" s="5" t="str">
        <f>IF(A324="","",IF(COUNTIF(Типы,C324)=0,0,VLOOKUP(C324,СПРАВОЧНИКИ!$A$7:$E$22,2,FALSE)))</f>
        <v/>
      </c>
      <c r="Q324" s="25" t="str">
        <f t="shared" si="4"/>
        <v/>
      </c>
      <c r="R324" s="5" t="str">
        <f>IF(A324="","",IF(COUNTIF(Типы,C324)=0,"НЕИЗВЕСТНЫЙ ТИП",VLOOKUP(C324,СПРАВОЧНИКИ!$A$7:$E$22,3,FALSE)))</f>
        <v/>
      </c>
      <c r="S324" s="26" t="str">
        <f>IF(A324="","",IF(L324="Проведён",E324*IF(COUNTIF(Типы,C324)=0,0,VLOOKUP(C324,СПРАВОЧНИКИ!$A$7:$E$22,4,FALSE)),0))</f>
        <v/>
      </c>
      <c r="T324" s="26" t="str">
        <f>IF(A324="","",IF(L324="Проведён",E324*IF(COUNTIF(Типы,C324)=0,0,VLOOKUP(C324,СПРАВОЧНИКИ!$A$7:$E$22,5,FALSE)),0))</f>
        <v/>
      </c>
      <c r="U324" s="5" t="str">
        <f>IF(A324="","",IF(COUNTIF(Контрагенты,H324)=0,"Не задан",VLOOKUP(H324,СПРАВОЧНИКИ!$G$7:$H$66,2,FALSE)))</f>
        <v/>
      </c>
      <c r="V324" s="4" t="str">
        <f>IF(A324="",IF(COUNTA(B324:O324)&gt;0,"НЕТ ID",""),IF(OR(AND(OR(C324="Оплата клиента",C324="Возврат клиенту"),COUNTIFS(Docs[ID],J324,Docs[Тип долга],"ДЗ")&lt;&gt;1),AND(OR(C324="Оплата поставщику",C324="Возврат поставщика"),COUNTIFS(Docs[ID],J324,Docs[Тип долга],"КЗ",Docs[Вид],"&lt;&gt;Дивиденды")&lt;&gt;1),AND(C324="Дивиденды",COUNTIFS(Docs[ID],J324,Docs[Вид],"Дивиденды")&lt;&gt;1),AND(C324="Проценты",COUNTIFS(Docs[ID],J324,Docs[Вид],"Проценты")&lt;&gt;1),COUNTIF(Cash[ID],A324)&gt;1,NOT(ISNUMBER(B324)),B324&lt;НачалоУчета,YEAR(B324)&lt;&gt;Год,NOT(ISNUMBER(E324)),E324&lt;=0,N324&lt;0,COUNTIF(Типы,C324)&lt;&gt;1,COUNTIF(Категории,D324)&lt;&gt;1,COUNTIF(Счета,F324)&lt;&gt;1,COUNTIF(Проекты,I324)&lt;&gt;1,AND(H324&lt;&gt;"",COUNTIF(Контрагенты,H324)&lt;&gt;1),AND(C324="Перевод",OR(F324=G324,COUNTIF(Счета,G324)&lt;&gt;1)),AND(S324&lt;&gt;0,COUNTIF(Docs[ID],J324)&lt;&gt;1),AND(Форма="ООО",C324="Вывод ИП"),AND(Форма="ИП",C324="Дивиденды"),AND(L324&lt;&gt;"Проведён",L324&lt;&gt;"Черновик")),"ОШИБКА","ОК"))</f>
        <v/>
      </c>
      <c r="W324" s="25" t="str">
        <f>IF(A324="","",SUMIF(Accounts[Счёт],F324,Accounts[Начальный])+SUMIFS($Q$7:Q324,$F$7:F324,F324)+SUMIFS($E$7:E324,$G$7:G324,F324,$C$7:C324,"Перевод",$L$7:L324,"Проведён"))</f>
        <v/>
      </c>
    </row>
    <row r="325" spans="1:23" x14ac:dyDescent="0.25">
      <c r="A325" s="22"/>
      <c r="B325" s="23"/>
      <c r="C325" s="22"/>
      <c r="D325" s="22"/>
      <c r="E325" s="27"/>
      <c r="F325" s="22"/>
      <c r="G325" s="22"/>
      <c r="H325" s="22"/>
      <c r="I325" s="22"/>
      <c r="J325" s="22"/>
      <c r="K325" s="22"/>
      <c r="L325" s="22"/>
      <c r="M325" s="22"/>
      <c r="N325" s="27"/>
      <c r="O325" s="22"/>
      <c r="P325" s="5" t="str">
        <f>IF(A325="","",IF(COUNTIF(Типы,C325)=0,0,VLOOKUP(C325,СПРАВОЧНИКИ!$A$7:$E$22,2,FALSE)))</f>
        <v/>
      </c>
      <c r="Q325" s="25" t="str">
        <f t="shared" si="4"/>
        <v/>
      </c>
      <c r="R325" s="5" t="str">
        <f>IF(A325="","",IF(COUNTIF(Типы,C325)=0,"НЕИЗВЕСТНЫЙ ТИП",VLOOKUP(C325,СПРАВОЧНИКИ!$A$7:$E$22,3,FALSE)))</f>
        <v/>
      </c>
      <c r="S325" s="26" t="str">
        <f>IF(A325="","",IF(L325="Проведён",E325*IF(COUNTIF(Типы,C325)=0,0,VLOOKUP(C325,СПРАВОЧНИКИ!$A$7:$E$22,4,FALSE)),0))</f>
        <v/>
      </c>
      <c r="T325" s="26" t="str">
        <f>IF(A325="","",IF(L325="Проведён",E325*IF(COUNTIF(Типы,C325)=0,0,VLOOKUP(C325,СПРАВОЧНИКИ!$A$7:$E$22,5,FALSE)),0))</f>
        <v/>
      </c>
      <c r="U325" s="5" t="str">
        <f>IF(A325="","",IF(COUNTIF(Контрагенты,H325)=0,"Не задан",VLOOKUP(H325,СПРАВОЧНИКИ!$G$7:$H$66,2,FALSE)))</f>
        <v/>
      </c>
      <c r="V325" s="4" t="str">
        <f>IF(A325="",IF(COUNTA(B325:O325)&gt;0,"НЕТ ID",""),IF(OR(AND(OR(C325="Оплата клиента",C325="Возврат клиенту"),COUNTIFS(Docs[ID],J325,Docs[Тип долга],"ДЗ")&lt;&gt;1),AND(OR(C325="Оплата поставщику",C325="Возврат поставщика"),COUNTIFS(Docs[ID],J325,Docs[Тип долга],"КЗ",Docs[Вид],"&lt;&gt;Дивиденды")&lt;&gt;1),AND(C325="Дивиденды",COUNTIFS(Docs[ID],J325,Docs[Вид],"Дивиденды")&lt;&gt;1),AND(C325="Проценты",COUNTIFS(Docs[ID],J325,Docs[Вид],"Проценты")&lt;&gt;1),COUNTIF(Cash[ID],A325)&gt;1,NOT(ISNUMBER(B325)),B325&lt;НачалоУчета,YEAR(B325)&lt;&gt;Год,NOT(ISNUMBER(E325)),E325&lt;=0,N325&lt;0,COUNTIF(Типы,C325)&lt;&gt;1,COUNTIF(Категории,D325)&lt;&gt;1,COUNTIF(Счета,F325)&lt;&gt;1,COUNTIF(Проекты,I325)&lt;&gt;1,AND(H325&lt;&gt;"",COUNTIF(Контрагенты,H325)&lt;&gt;1),AND(C325="Перевод",OR(F325=G325,COUNTIF(Счета,G325)&lt;&gt;1)),AND(S325&lt;&gt;0,COUNTIF(Docs[ID],J325)&lt;&gt;1),AND(Форма="ООО",C325="Вывод ИП"),AND(Форма="ИП",C325="Дивиденды"),AND(L325&lt;&gt;"Проведён",L325&lt;&gt;"Черновик")),"ОШИБКА","ОК"))</f>
        <v/>
      </c>
      <c r="W325" s="25" t="str">
        <f>IF(A325="","",SUMIF(Accounts[Счёт],F325,Accounts[Начальный])+SUMIFS($Q$7:Q325,$F$7:F325,F325)+SUMIFS($E$7:E325,$G$7:G325,F325,$C$7:C325,"Перевод",$L$7:L325,"Проведён"))</f>
        <v/>
      </c>
    </row>
    <row r="326" spans="1:23" x14ac:dyDescent="0.25">
      <c r="A326" s="22"/>
      <c r="B326" s="23"/>
      <c r="C326" s="22"/>
      <c r="D326" s="22"/>
      <c r="E326" s="27"/>
      <c r="F326" s="22"/>
      <c r="G326" s="22"/>
      <c r="H326" s="22"/>
      <c r="I326" s="22"/>
      <c r="J326" s="22"/>
      <c r="K326" s="22"/>
      <c r="L326" s="22"/>
      <c r="M326" s="22"/>
      <c r="N326" s="27"/>
      <c r="O326" s="22"/>
      <c r="P326" s="5" t="str">
        <f>IF(A326="","",IF(COUNTIF(Типы,C326)=0,0,VLOOKUP(C326,СПРАВОЧНИКИ!$A$7:$E$22,2,FALSE)))</f>
        <v/>
      </c>
      <c r="Q326" s="25" t="str">
        <f t="shared" si="4"/>
        <v/>
      </c>
      <c r="R326" s="5" t="str">
        <f>IF(A326="","",IF(COUNTIF(Типы,C326)=0,"НЕИЗВЕСТНЫЙ ТИП",VLOOKUP(C326,СПРАВОЧНИКИ!$A$7:$E$22,3,FALSE)))</f>
        <v/>
      </c>
      <c r="S326" s="26" t="str">
        <f>IF(A326="","",IF(L326="Проведён",E326*IF(COUNTIF(Типы,C326)=0,0,VLOOKUP(C326,СПРАВОЧНИКИ!$A$7:$E$22,4,FALSE)),0))</f>
        <v/>
      </c>
      <c r="T326" s="26" t="str">
        <f>IF(A326="","",IF(L326="Проведён",E326*IF(COUNTIF(Типы,C326)=0,0,VLOOKUP(C326,СПРАВОЧНИКИ!$A$7:$E$22,5,FALSE)),0))</f>
        <v/>
      </c>
      <c r="U326" s="5" t="str">
        <f>IF(A326="","",IF(COUNTIF(Контрагенты,H326)=0,"Не задан",VLOOKUP(H326,СПРАВОЧНИКИ!$G$7:$H$66,2,FALSE)))</f>
        <v/>
      </c>
      <c r="V326" s="4" t="str">
        <f>IF(A326="",IF(COUNTA(B326:O326)&gt;0,"НЕТ ID",""),IF(OR(AND(OR(C326="Оплата клиента",C326="Возврат клиенту"),COUNTIFS(Docs[ID],J326,Docs[Тип долга],"ДЗ")&lt;&gt;1),AND(OR(C326="Оплата поставщику",C326="Возврат поставщика"),COUNTIFS(Docs[ID],J326,Docs[Тип долга],"КЗ",Docs[Вид],"&lt;&gt;Дивиденды")&lt;&gt;1),AND(C326="Дивиденды",COUNTIFS(Docs[ID],J326,Docs[Вид],"Дивиденды")&lt;&gt;1),AND(C326="Проценты",COUNTIFS(Docs[ID],J326,Docs[Вид],"Проценты")&lt;&gt;1),COUNTIF(Cash[ID],A326)&gt;1,NOT(ISNUMBER(B326)),B326&lt;НачалоУчета,YEAR(B326)&lt;&gt;Год,NOT(ISNUMBER(E326)),E326&lt;=0,N326&lt;0,COUNTIF(Типы,C326)&lt;&gt;1,COUNTIF(Категории,D326)&lt;&gt;1,COUNTIF(Счета,F326)&lt;&gt;1,COUNTIF(Проекты,I326)&lt;&gt;1,AND(H326&lt;&gt;"",COUNTIF(Контрагенты,H326)&lt;&gt;1),AND(C326="Перевод",OR(F326=G326,COUNTIF(Счета,G326)&lt;&gt;1)),AND(S326&lt;&gt;0,COUNTIF(Docs[ID],J326)&lt;&gt;1),AND(Форма="ООО",C326="Вывод ИП"),AND(Форма="ИП",C326="Дивиденды"),AND(L326&lt;&gt;"Проведён",L326&lt;&gt;"Черновик")),"ОШИБКА","ОК"))</f>
        <v/>
      </c>
      <c r="W326" s="25" t="str">
        <f>IF(A326="","",SUMIF(Accounts[Счёт],F326,Accounts[Начальный])+SUMIFS($Q$7:Q326,$F$7:F326,F326)+SUMIFS($E$7:E326,$G$7:G326,F326,$C$7:C326,"Перевод",$L$7:L326,"Проведён"))</f>
        <v/>
      </c>
    </row>
    <row r="327" spans="1:23" x14ac:dyDescent="0.25">
      <c r="A327" s="22"/>
      <c r="B327" s="23"/>
      <c r="C327" s="22"/>
      <c r="D327" s="22"/>
      <c r="E327" s="27"/>
      <c r="F327" s="22"/>
      <c r="G327" s="22"/>
      <c r="H327" s="22"/>
      <c r="I327" s="22"/>
      <c r="J327" s="22"/>
      <c r="K327" s="22"/>
      <c r="L327" s="22"/>
      <c r="M327" s="22"/>
      <c r="N327" s="27"/>
      <c r="O327" s="22"/>
      <c r="P327" s="5" t="str">
        <f>IF(A327="","",IF(COUNTIF(Типы,C327)=0,0,VLOOKUP(C327,СПРАВОЧНИКИ!$A$7:$E$22,2,FALSE)))</f>
        <v/>
      </c>
      <c r="Q327" s="25" t="str">
        <f t="shared" ref="Q327:Q390" si="5">IF(A327="","",IF(L327="Проведён",E327*P327,0))</f>
        <v/>
      </c>
      <c r="R327" s="5" t="str">
        <f>IF(A327="","",IF(COUNTIF(Типы,C327)=0,"НЕИЗВЕСТНЫЙ ТИП",VLOOKUP(C327,СПРАВОЧНИКИ!$A$7:$E$22,3,FALSE)))</f>
        <v/>
      </c>
      <c r="S327" s="26" t="str">
        <f>IF(A327="","",IF(L327="Проведён",E327*IF(COUNTIF(Типы,C327)=0,0,VLOOKUP(C327,СПРАВОЧНИКИ!$A$7:$E$22,4,FALSE)),0))</f>
        <v/>
      </c>
      <c r="T327" s="26" t="str">
        <f>IF(A327="","",IF(L327="Проведён",E327*IF(COUNTIF(Типы,C327)=0,0,VLOOKUP(C327,СПРАВОЧНИКИ!$A$7:$E$22,5,FALSE)),0))</f>
        <v/>
      </c>
      <c r="U327" s="5" t="str">
        <f>IF(A327="","",IF(COUNTIF(Контрагенты,H327)=0,"Не задан",VLOOKUP(H327,СПРАВОЧНИКИ!$G$7:$H$66,2,FALSE)))</f>
        <v/>
      </c>
      <c r="V327" s="4" t="str">
        <f>IF(A327="",IF(COUNTA(B327:O327)&gt;0,"НЕТ ID",""),IF(OR(AND(OR(C327="Оплата клиента",C327="Возврат клиенту"),COUNTIFS(Docs[ID],J327,Docs[Тип долга],"ДЗ")&lt;&gt;1),AND(OR(C327="Оплата поставщику",C327="Возврат поставщика"),COUNTIFS(Docs[ID],J327,Docs[Тип долга],"КЗ",Docs[Вид],"&lt;&gt;Дивиденды")&lt;&gt;1),AND(C327="Дивиденды",COUNTIFS(Docs[ID],J327,Docs[Вид],"Дивиденды")&lt;&gt;1),AND(C327="Проценты",COUNTIFS(Docs[ID],J327,Docs[Вид],"Проценты")&lt;&gt;1),COUNTIF(Cash[ID],A327)&gt;1,NOT(ISNUMBER(B327)),B327&lt;НачалоУчета,YEAR(B327)&lt;&gt;Год,NOT(ISNUMBER(E327)),E327&lt;=0,N327&lt;0,COUNTIF(Типы,C327)&lt;&gt;1,COUNTIF(Категории,D327)&lt;&gt;1,COUNTIF(Счета,F327)&lt;&gt;1,COUNTIF(Проекты,I327)&lt;&gt;1,AND(H327&lt;&gt;"",COUNTIF(Контрагенты,H327)&lt;&gt;1),AND(C327="Перевод",OR(F327=G327,COUNTIF(Счета,G327)&lt;&gt;1)),AND(S327&lt;&gt;0,COUNTIF(Docs[ID],J327)&lt;&gt;1),AND(Форма="ООО",C327="Вывод ИП"),AND(Форма="ИП",C327="Дивиденды"),AND(L327&lt;&gt;"Проведён",L327&lt;&gt;"Черновик")),"ОШИБКА","ОК"))</f>
        <v/>
      </c>
      <c r="W327" s="25" t="str">
        <f>IF(A327="","",SUMIF(Accounts[Счёт],F327,Accounts[Начальный])+SUMIFS($Q$7:Q327,$F$7:F327,F327)+SUMIFS($E$7:E327,$G$7:G327,F327,$C$7:C327,"Перевод",$L$7:L327,"Проведён"))</f>
        <v/>
      </c>
    </row>
    <row r="328" spans="1:23" x14ac:dyDescent="0.25">
      <c r="A328" s="22"/>
      <c r="B328" s="23"/>
      <c r="C328" s="22"/>
      <c r="D328" s="22"/>
      <c r="E328" s="27"/>
      <c r="F328" s="22"/>
      <c r="G328" s="22"/>
      <c r="H328" s="22"/>
      <c r="I328" s="22"/>
      <c r="J328" s="22"/>
      <c r="K328" s="22"/>
      <c r="L328" s="22"/>
      <c r="M328" s="22"/>
      <c r="N328" s="27"/>
      <c r="O328" s="22"/>
      <c r="P328" s="5" t="str">
        <f>IF(A328="","",IF(COUNTIF(Типы,C328)=0,0,VLOOKUP(C328,СПРАВОЧНИКИ!$A$7:$E$22,2,FALSE)))</f>
        <v/>
      </c>
      <c r="Q328" s="25" t="str">
        <f t="shared" si="5"/>
        <v/>
      </c>
      <c r="R328" s="5" t="str">
        <f>IF(A328="","",IF(COUNTIF(Типы,C328)=0,"НЕИЗВЕСТНЫЙ ТИП",VLOOKUP(C328,СПРАВОЧНИКИ!$A$7:$E$22,3,FALSE)))</f>
        <v/>
      </c>
      <c r="S328" s="26" t="str">
        <f>IF(A328="","",IF(L328="Проведён",E328*IF(COUNTIF(Типы,C328)=0,0,VLOOKUP(C328,СПРАВОЧНИКИ!$A$7:$E$22,4,FALSE)),0))</f>
        <v/>
      </c>
      <c r="T328" s="26" t="str">
        <f>IF(A328="","",IF(L328="Проведён",E328*IF(COUNTIF(Типы,C328)=0,0,VLOOKUP(C328,СПРАВОЧНИКИ!$A$7:$E$22,5,FALSE)),0))</f>
        <v/>
      </c>
      <c r="U328" s="5" t="str">
        <f>IF(A328="","",IF(COUNTIF(Контрагенты,H328)=0,"Не задан",VLOOKUP(H328,СПРАВОЧНИКИ!$G$7:$H$66,2,FALSE)))</f>
        <v/>
      </c>
      <c r="V328" s="4" t="str">
        <f>IF(A328="",IF(COUNTA(B328:O328)&gt;0,"НЕТ ID",""),IF(OR(AND(OR(C328="Оплата клиента",C328="Возврат клиенту"),COUNTIFS(Docs[ID],J328,Docs[Тип долга],"ДЗ")&lt;&gt;1),AND(OR(C328="Оплата поставщику",C328="Возврат поставщика"),COUNTIFS(Docs[ID],J328,Docs[Тип долга],"КЗ",Docs[Вид],"&lt;&gt;Дивиденды")&lt;&gt;1),AND(C328="Дивиденды",COUNTIFS(Docs[ID],J328,Docs[Вид],"Дивиденды")&lt;&gt;1),AND(C328="Проценты",COUNTIFS(Docs[ID],J328,Docs[Вид],"Проценты")&lt;&gt;1),COUNTIF(Cash[ID],A328)&gt;1,NOT(ISNUMBER(B328)),B328&lt;НачалоУчета,YEAR(B328)&lt;&gt;Год,NOT(ISNUMBER(E328)),E328&lt;=0,N328&lt;0,COUNTIF(Типы,C328)&lt;&gt;1,COUNTIF(Категории,D328)&lt;&gt;1,COUNTIF(Счета,F328)&lt;&gt;1,COUNTIF(Проекты,I328)&lt;&gt;1,AND(H328&lt;&gt;"",COUNTIF(Контрагенты,H328)&lt;&gt;1),AND(C328="Перевод",OR(F328=G328,COUNTIF(Счета,G328)&lt;&gt;1)),AND(S328&lt;&gt;0,COUNTIF(Docs[ID],J328)&lt;&gt;1),AND(Форма="ООО",C328="Вывод ИП"),AND(Форма="ИП",C328="Дивиденды"),AND(L328&lt;&gt;"Проведён",L328&lt;&gt;"Черновик")),"ОШИБКА","ОК"))</f>
        <v/>
      </c>
      <c r="W328" s="25" t="str">
        <f>IF(A328="","",SUMIF(Accounts[Счёт],F328,Accounts[Начальный])+SUMIFS($Q$7:Q328,$F$7:F328,F328)+SUMIFS($E$7:E328,$G$7:G328,F328,$C$7:C328,"Перевод",$L$7:L328,"Проведён"))</f>
        <v/>
      </c>
    </row>
    <row r="329" spans="1:23" x14ac:dyDescent="0.25">
      <c r="A329" s="22"/>
      <c r="B329" s="23"/>
      <c r="C329" s="22"/>
      <c r="D329" s="22"/>
      <c r="E329" s="27"/>
      <c r="F329" s="22"/>
      <c r="G329" s="22"/>
      <c r="H329" s="22"/>
      <c r="I329" s="22"/>
      <c r="J329" s="22"/>
      <c r="K329" s="22"/>
      <c r="L329" s="22"/>
      <c r="M329" s="22"/>
      <c r="N329" s="27"/>
      <c r="O329" s="22"/>
      <c r="P329" s="5" t="str">
        <f>IF(A329="","",IF(COUNTIF(Типы,C329)=0,0,VLOOKUP(C329,СПРАВОЧНИКИ!$A$7:$E$22,2,FALSE)))</f>
        <v/>
      </c>
      <c r="Q329" s="25" t="str">
        <f t="shared" si="5"/>
        <v/>
      </c>
      <c r="R329" s="5" t="str">
        <f>IF(A329="","",IF(COUNTIF(Типы,C329)=0,"НЕИЗВЕСТНЫЙ ТИП",VLOOKUP(C329,СПРАВОЧНИКИ!$A$7:$E$22,3,FALSE)))</f>
        <v/>
      </c>
      <c r="S329" s="26" t="str">
        <f>IF(A329="","",IF(L329="Проведён",E329*IF(COUNTIF(Типы,C329)=0,0,VLOOKUP(C329,СПРАВОЧНИКИ!$A$7:$E$22,4,FALSE)),0))</f>
        <v/>
      </c>
      <c r="T329" s="26" t="str">
        <f>IF(A329="","",IF(L329="Проведён",E329*IF(COUNTIF(Типы,C329)=0,0,VLOOKUP(C329,СПРАВОЧНИКИ!$A$7:$E$22,5,FALSE)),0))</f>
        <v/>
      </c>
      <c r="U329" s="5" t="str">
        <f>IF(A329="","",IF(COUNTIF(Контрагенты,H329)=0,"Не задан",VLOOKUP(H329,СПРАВОЧНИКИ!$G$7:$H$66,2,FALSE)))</f>
        <v/>
      </c>
      <c r="V329" s="4" t="str">
        <f>IF(A329="",IF(COUNTA(B329:O329)&gt;0,"НЕТ ID",""),IF(OR(AND(OR(C329="Оплата клиента",C329="Возврат клиенту"),COUNTIFS(Docs[ID],J329,Docs[Тип долга],"ДЗ")&lt;&gt;1),AND(OR(C329="Оплата поставщику",C329="Возврат поставщика"),COUNTIFS(Docs[ID],J329,Docs[Тип долга],"КЗ",Docs[Вид],"&lt;&gt;Дивиденды")&lt;&gt;1),AND(C329="Дивиденды",COUNTIFS(Docs[ID],J329,Docs[Вид],"Дивиденды")&lt;&gt;1),AND(C329="Проценты",COUNTIFS(Docs[ID],J329,Docs[Вид],"Проценты")&lt;&gt;1),COUNTIF(Cash[ID],A329)&gt;1,NOT(ISNUMBER(B329)),B329&lt;НачалоУчета,YEAR(B329)&lt;&gt;Год,NOT(ISNUMBER(E329)),E329&lt;=0,N329&lt;0,COUNTIF(Типы,C329)&lt;&gt;1,COUNTIF(Категории,D329)&lt;&gt;1,COUNTIF(Счета,F329)&lt;&gt;1,COUNTIF(Проекты,I329)&lt;&gt;1,AND(H329&lt;&gt;"",COUNTIF(Контрагенты,H329)&lt;&gt;1),AND(C329="Перевод",OR(F329=G329,COUNTIF(Счета,G329)&lt;&gt;1)),AND(S329&lt;&gt;0,COUNTIF(Docs[ID],J329)&lt;&gt;1),AND(Форма="ООО",C329="Вывод ИП"),AND(Форма="ИП",C329="Дивиденды"),AND(L329&lt;&gt;"Проведён",L329&lt;&gt;"Черновик")),"ОШИБКА","ОК"))</f>
        <v/>
      </c>
      <c r="W329" s="25" t="str">
        <f>IF(A329="","",SUMIF(Accounts[Счёт],F329,Accounts[Начальный])+SUMIFS($Q$7:Q329,$F$7:F329,F329)+SUMIFS($E$7:E329,$G$7:G329,F329,$C$7:C329,"Перевод",$L$7:L329,"Проведён"))</f>
        <v/>
      </c>
    </row>
    <row r="330" spans="1:23" x14ac:dyDescent="0.25">
      <c r="A330" s="22"/>
      <c r="B330" s="23"/>
      <c r="C330" s="22"/>
      <c r="D330" s="22"/>
      <c r="E330" s="27"/>
      <c r="F330" s="22"/>
      <c r="G330" s="22"/>
      <c r="H330" s="22"/>
      <c r="I330" s="22"/>
      <c r="J330" s="22"/>
      <c r="K330" s="22"/>
      <c r="L330" s="22"/>
      <c r="M330" s="22"/>
      <c r="N330" s="27"/>
      <c r="O330" s="22"/>
      <c r="P330" s="5" t="str">
        <f>IF(A330="","",IF(COUNTIF(Типы,C330)=0,0,VLOOKUP(C330,СПРАВОЧНИКИ!$A$7:$E$22,2,FALSE)))</f>
        <v/>
      </c>
      <c r="Q330" s="25" t="str">
        <f t="shared" si="5"/>
        <v/>
      </c>
      <c r="R330" s="5" t="str">
        <f>IF(A330="","",IF(COUNTIF(Типы,C330)=0,"НЕИЗВЕСТНЫЙ ТИП",VLOOKUP(C330,СПРАВОЧНИКИ!$A$7:$E$22,3,FALSE)))</f>
        <v/>
      </c>
      <c r="S330" s="26" t="str">
        <f>IF(A330="","",IF(L330="Проведён",E330*IF(COUNTIF(Типы,C330)=0,0,VLOOKUP(C330,СПРАВОЧНИКИ!$A$7:$E$22,4,FALSE)),0))</f>
        <v/>
      </c>
      <c r="T330" s="26" t="str">
        <f>IF(A330="","",IF(L330="Проведён",E330*IF(COUNTIF(Типы,C330)=0,0,VLOOKUP(C330,СПРАВОЧНИКИ!$A$7:$E$22,5,FALSE)),0))</f>
        <v/>
      </c>
      <c r="U330" s="5" t="str">
        <f>IF(A330="","",IF(COUNTIF(Контрагенты,H330)=0,"Не задан",VLOOKUP(H330,СПРАВОЧНИКИ!$G$7:$H$66,2,FALSE)))</f>
        <v/>
      </c>
      <c r="V330" s="4" t="str">
        <f>IF(A330="",IF(COUNTA(B330:O330)&gt;0,"НЕТ ID",""),IF(OR(AND(OR(C330="Оплата клиента",C330="Возврат клиенту"),COUNTIFS(Docs[ID],J330,Docs[Тип долга],"ДЗ")&lt;&gt;1),AND(OR(C330="Оплата поставщику",C330="Возврат поставщика"),COUNTIFS(Docs[ID],J330,Docs[Тип долга],"КЗ",Docs[Вид],"&lt;&gt;Дивиденды")&lt;&gt;1),AND(C330="Дивиденды",COUNTIFS(Docs[ID],J330,Docs[Вид],"Дивиденды")&lt;&gt;1),AND(C330="Проценты",COUNTIFS(Docs[ID],J330,Docs[Вид],"Проценты")&lt;&gt;1),COUNTIF(Cash[ID],A330)&gt;1,NOT(ISNUMBER(B330)),B330&lt;НачалоУчета,YEAR(B330)&lt;&gt;Год,NOT(ISNUMBER(E330)),E330&lt;=0,N330&lt;0,COUNTIF(Типы,C330)&lt;&gt;1,COUNTIF(Категории,D330)&lt;&gt;1,COUNTIF(Счета,F330)&lt;&gt;1,COUNTIF(Проекты,I330)&lt;&gt;1,AND(H330&lt;&gt;"",COUNTIF(Контрагенты,H330)&lt;&gt;1),AND(C330="Перевод",OR(F330=G330,COUNTIF(Счета,G330)&lt;&gt;1)),AND(S330&lt;&gt;0,COUNTIF(Docs[ID],J330)&lt;&gt;1),AND(Форма="ООО",C330="Вывод ИП"),AND(Форма="ИП",C330="Дивиденды"),AND(L330&lt;&gt;"Проведён",L330&lt;&gt;"Черновик")),"ОШИБКА","ОК"))</f>
        <v/>
      </c>
      <c r="W330" s="25" t="str">
        <f>IF(A330="","",SUMIF(Accounts[Счёт],F330,Accounts[Начальный])+SUMIFS($Q$7:Q330,$F$7:F330,F330)+SUMIFS($E$7:E330,$G$7:G330,F330,$C$7:C330,"Перевод",$L$7:L330,"Проведён"))</f>
        <v/>
      </c>
    </row>
    <row r="331" spans="1:23" x14ac:dyDescent="0.25">
      <c r="A331" s="22"/>
      <c r="B331" s="23"/>
      <c r="C331" s="22"/>
      <c r="D331" s="22"/>
      <c r="E331" s="27"/>
      <c r="F331" s="22"/>
      <c r="G331" s="22"/>
      <c r="H331" s="22"/>
      <c r="I331" s="22"/>
      <c r="J331" s="22"/>
      <c r="K331" s="22"/>
      <c r="L331" s="22"/>
      <c r="M331" s="22"/>
      <c r="N331" s="27"/>
      <c r="O331" s="22"/>
      <c r="P331" s="5" t="str">
        <f>IF(A331="","",IF(COUNTIF(Типы,C331)=0,0,VLOOKUP(C331,СПРАВОЧНИКИ!$A$7:$E$22,2,FALSE)))</f>
        <v/>
      </c>
      <c r="Q331" s="25" t="str">
        <f t="shared" si="5"/>
        <v/>
      </c>
      <c r="R331" s="5" t="str">
        <f>IF(A331="","",IF(COUNTIF(Типы,C331)=0,"НЕИЗВЕСТНЫЙ ТИП",VLOOKUP(C331,СПРАВОЧНИКИ!$A$7:$E$22,3,FALSE)))</f>
        <v/>
      </c>
      <c r="S331" s="26" t="str">
        <f>IF(A331="","",IF(L331="Проведён",E331*IF(COUNTIF(Типы,C331)=0,0,VLOOKUP(C331,СПРАВОЧНИКИ!$A$7:$E$22,4,FALSE)),0))</f>
        <v/>
      </c>
      <c r="T331" s="26" t="str">
        <f>IF(A331="","",IF(L331="Проведён",E331*IF(COUNTIF(Типы,C331)=0,0,VLOOKUP(C331,СПРАВОЧНИКИ!$A$7:$E$22,5,FALSE)),0))</f>
        <v/>
      </c>
      <c r="U331" s="5" t="str">
        <f>IF(A331="","",IF(COUNTIF(Контрагенты,H331)=0,"Не задан",VLOOKUP(H331,СПРАВОЧНИКИ!$G$7:$H$66,2,FALSE)))</f>
        <v/>
      </c>
      <c r="V331" s="4" t="str">
        <f>IF(A331="",IF(COUNTA(B331:O331)&gt;0,"НЕТ ID",""),IF(OR(AND(OR(C331="Оплата клиента",C331="Возврат клиенту"),COUNTIFS(Docs[ID],J331,Docs[Тип долга],"ДЗ")&lt;&gt;1),AND(OR(C331="Оплата поставщику",C331="Возврат поставщика"),COUNTIFS(Docs[ID],J331,Docs[Тип долга],"КЗ",Docs[Вид],"&lt;&gt;Дивиденды")&lt;&gt;1),AND(C331="Дивиденды",COUNTIFS(Docs[ID],J331,Docs[Вид],"Дивиденды")&lt;&gt;1),AND(C331="Проценты",COUNTIFS(Docs[ID],J331,Docs[Вид],"Проценты")&lt;&gt;1),COUNTIF(Cash[ID],A331)&gt;1,NOT(ISNUMBER(B331)),B331&lt;НачалоУчета,YEAR(B331)&lt;&gt;Год,NOT(ISNUMBER(E331)),E331&lt;=0,N331&lt;0,COUNTIF(Типы,C331)&lt;&gt;1,COUNTIF(Категории,D331)&lt;&gt;1,COUNTIF(Счета,F331)&lt;&gt;1,COUNTIF(Проекты,I331)&lt;&gt;1,AND(H331&lt;&gt;"",COUNTIF(Контрагенты,H331)&lt;&gt;1),AND(C331="Перевод",OR(F331=G331,COUNTIF(Счета,G331)&lt;&gt;1)),AND(S331&lt;&gt;0,COUNTIF(Docs[ID],J331)&lt;&gt;1),AND(Форма="ООО",C331="Вывод ИП"),AND(Форма="ИП",C331="Дивиденды"),AND(L331&lt;&gt;"Проведён",L331&lt;&gt;"Черновик")),"ОШИБКА","ОК"))</f>
        <v/>
      </c>
      <c r="W331" s="25" t="str">
        <f>IF(A331="","",SUMIF(Accounts[Счёт],F331,Accounts[Начальный])+SUMIFS($Q$7:Q331,$F$7:F331,F331)+SUMIFS($E$7:E331,$G$7:G331,F331,$C$7:C331,"Перевод",$L$7:L331,"Проведён"))</f>
        <v/>
      </c>
    </row>
    <row r="332" spans="1:23" x14ac:dyDescent="0.25">
      <c r="A332" s="22"/>
      <c r="B332" s="23"/>
      <c r="C332" s="22"/>
      <c r="D332" s="22"/>
      <c r="E332" s="27"/>
      <c r="F332" s="22"/>
      <c r="G332" s="22"/>
      <c r="H332" s="22"/>
      <c r="I332" s="22"/>
      <c r="J332" s="22"/>
      <c r="K332" s="22"/>
      <c r="L332" s="22"/>
      <c r="M332" s="22"/>
      <c r="N332" s="27"/>
      <c r="O332" s="22"/>
      <c r="P332" s="5" t="str">
        <f>IF(A332="","",IF(COUNTIF(Типы,C332)=0,0,VLOOKUP(C332,СПРАВОЧНИКИ!$A$7:$E$22,2,FALSE)))</f>
        <v/>
      </c>
      <c r="Q332" s="25" t="str">
        <f t="shared" si="5"/>
        <v/>
      </c>
      <c r="R332" s="5" t="str">
        <f>IF(A332="","",IF(COUNTIF(Типы,C332)=0,"НЕИЗВЕСТНЫЙ ТИП",VLOOKUP(C332,СПРАВОЧНИКИ!$A$7:$E$22,3,FALSE)))</f>
        <v/>
      </c>
      <c r="S332" s="26" t="str">
        <f>IF(A332="","",IF(L332="Проведён",E332*IF(COUNTIF(Типы,C332)=0,0,VLOOKUP(C332,СПРАВОЧНИКИ!$A$7:$E$22,4,FALSE)),0))</f>
        <v/>
      </c>
      <c r="T332" s="26" t="str">
        <f>IF(A332="","",IF(L332="Проведён",E332*IF(COUNTIF(Типы,C332)=0,0,VLOOKUP(C332,СПРАВОЧНИКИ!$A$7:$E$22,5,FALSE)),0))</f>
        <v/>
      </c>
      <c r="U332" s="5" t="str">
        <f>IF(A332="","",IF(COUNTIF(Контрагенты,H332)=0,"Не задан",VLOOKUP(H332,СПРАВОЧНИКИ!$G$7:$H$66,2,FALSE)))</f>
        <v/>
      </c>
      <c r="V332" s="4" t="str">
        <f>IF(A332="",IF(COUNTA(B332:O332)&gt;0,"НЕТ ID",""),IF(OR(AND(OR(C332="Оплата клиента",C332="Возврат клиенту"),COUNTIFS(Docs[ID],J332,Docs[Тип долга],"ДЗ")&lt;&gt;1),AND(OR(C332="Оплата поставщику",C332="Возврат поставщика"),COUNTIFS(Docs[ID],J332,Docs[Тип долга],"КЗ",Docs[Вид],"&lt;&gt;Дивиденды")&lt;&gt;1),AND(C332="Дивиденды",COUNTIFS(Docs[ID],J332,Docs[Вид],"Дивиденды")&lt;&gt;1),AND(C332="Проценты",COUNTIFS(Docs[ID],J332,Docs[Вид],"Проценты")&lt;&gt;1),COUNTIF(Cash[ID],A332)&gt;1,NOT(ISNUMBER(B332)),B332&lt;НачалоУчета,YEAR(B332)&lt;&gt;Год,NOT(ISNUMBER(E332)),E332&lt;=0,N332&lt;0,COUNTIF(Типы,C332)&lt;&gt;1,COUNTIF(Категории,D332)&lt;&gt;1,COUNTIF(Счета,F332)&lt;&gt;1,COUNTIF(Проекты,I332)&lt;&gt;1,AND(H332&lt;&gt;"",COUNTIF(Контрагенты,H332)&lt;&gt;1),AND(C332="Перевод",OR(F332=G332,COUNTIF(Счета,G332)&lt;&gt;1)),AND(S332&lt;&gt;0,COUNTIF(Docs[ID],J332)&lt;&gt;1),AND(Форма="ООО",C332="Вывод ИП"),AND(Форма="ИП",C332="Дивиденды"),AND(L332&lt;&gt;"Проведён",L332&lt;&gt;"Черновик")),"ОШИБКА","ОК"))</f>
        <v/>
      </c>
      <c r="W332" s="25" t="str">
        <f>IF(A332="","",SUMIF(Accounts[Счёт],F332,Accounts[Начальный])+SUMIFS($Q$7:Q332,$F$7:F332,F332)+SUMIFS($E$7:E332,$G$7:G332,F332,$C$7:C332,"Перевод",$L$7:L332,"Проведён"))</f>
        <v/>
      </c>
    </row>
    <row r="333" spans="1:23" x14ac:dyDescent="0.25">
      <c r="A333" s="22"/>
      <c r="B333" s="23"/>
      <c r="C333" s="22"/>
      <c r="D333" s="22"/>
      <c r="E333" s="27"/>
      <c r="F333" s="22"/>
      <c r="G333" s="22"/>
      <c r="H333" s="22"/>
      <c r="I333" s="22"/>
      <c r="J333" s="22"/>
      <c r="K333" s="22"/>
      <c r="L333" s="22"/>
      <c r="M333" s="22"/>
      <c r="N333" s="27"/>
      <c r="O333" s="22"/>
      <c r="P333" s="5" t="str">
        <f>IF(A333="","",IF(COUNTIF(Типы,C333)=0,0,VLOOKUP(C333,СПРАВОЧНИКИ!$A$7:$E$22,2,FALSE)))</f>
        <v/>
      </c>
      <c r="Q333" s="25" t="str">
        <f t="shared" si="5"/>
        <v/>
      </c>
      <c r="R333" s="5" t="str">
        <f>IF(A333="","",IF(COUNTIF(Типы,C333)=0,"НЕИЗВЕСТНЫЙ ТИП",VLOOKUP(C333,СПРАВОЧНИКИ!$A$7:$E$22,3,FALSE)))</f>
        <v/>
      </c>
      <c r="S333" s="26" t="str">
        <f>IF(A333="","",IF(L333="Проведён",E333*IF(COUNTIF(Типы,C333)=0,0,VLOOKUP(C333,СПРАВОЧНИКИ!$A$7:$E$22,4,FALSE)),0))</f>
        <v/>
      </c>
      <c r="T333" s="26" t="str">
        <f>IF(A333="","",IF(L333="Проведён",E333*IF(COUNTIF(Типы,C333)=0,0,VLOOKUP(C333,СПРАВОЧНИКИ!$A$7:$E$22,5,FALSE)),0))</f>
        <v/>
      </c>
      <c r="U333" s="5" t="str">
        <f>IF(A333="","",IF(COUNTIF(Контрагенты,H333)=0,"Не задан",VLOOKUP(H333,СПРАВОЧНИКИ!$G$7:$H$66,2,FALSE)))</f>
        <v/>
      </c>
      <c r="V333" s="4" t="str">
        <f>IF(A333="",IF(COUNTA(B333:O333)&gt;0,"НЕТ ID",""),IF(OR(AND(OR(C333="Оплата клиента",C333="Возврат клиенту"),COUNTIFS(Docs[ID],J333,Docs[Тип долга],"ДЗ")&lt;&gt;1),AND(OR(C333="Оплата поставщику",C333="Возврат поставщика"),COUNTIFS(Docs[ID],J333,Docs[Тип долга],"КЗ",Docs[Вид],"&lt;&gt;Дивиденды")&lt;&gt;1),AND(C333="Дивиденды",COUNTIFS(Docs[ID],J333,Docs[Вид],"Дивиденды")&lt;&gt;1),AND(C333="Проценты",COUNTIFS(Docs[ID],J333,Docs[Вид],"Проценты")&lt;&gt;1),COUNTIF(Cash[ID],A333)&gt;1,NOT(ISNUMBER(B333)),B333&lt;НачалоУчета,YEAR(B333)&lt;&gt;Год,NOT(ISNUMBER(E333)),E333&lt;=0,N333&lt;0,COUNTIF(Типы,C333)&lt;&gt;1,COUNTIF(Категории,D333)&lt;&gt;1,COUNTIF(Счета,F333)&lt;&gt;1,COUNTIF(Проекты,I333)&lt;&gt;1,AND(H333&lt;&gt;"",COUNTIF(Контрагенты,H333)&lt;&gt;1),AND(C333="Перевод",OR(F333=G333,COUNTIF(Счета,G333)&lt;&gt;1)),AND(S333&lt;&gt;0,COUNTIF(Docs[ID],J333)&lt;&gt;1),AND(Форма="ООО",C333="Вывод ИП"),AND(Форма="ИП",C333="Дивиденды"),AND(L333&lt;&gt;"Проведён",L333&lt;&gt;"Черновик")),"ОШИБКА","ОК"))</f>
        <v/>
      </c>
      <c r="W333" s="25" t="str">
        <f>IF(A333="","",SUMIF(Accounts[Счёт],F333,Accounts[Начальный])+SUMIFS($Q$7:Q333,$F$7:F333,F333)+SUMIFS($E$7:E333,$G$7:G333,F333,$C$7:C333,"Перевод",$L$7:L333,"Проведён"))</f>
        <v/>
      </c>
    </row>
    <row r="334" spans="1:23" x14ac:dyDescent="0.25">
      <c r="A334" s="22"/>
      <c r="B334" s="23"/>
      <c r="C334" s="22"/>
      <c r="D334" s="22"/>
      <c r="E334" s="27"/>
      <c r="F334" s="22"/>
      <c r="G334" s="22"/>
      <c r="H334" s="22"/>
      <c r="I334" s="22"/>
      <c r="J334" s="22"/>
      <c r="K334" s="22"/>
      <c r="L334" s="22"/>
      <c r="M334" s="22"/>
      <c r="N334" s="27"/>
      <c r="O334" s="22"/>
      <c r="P334" s="5" t="str">
        <f>IF(A334="","",IF(COUNTIF(Типы,C334)=0,0,VLOOKUP(C334,СПРАВОЧНИКИ!$A$7:$E$22,2,FALSE)))</f>
        <v/>
      </c>
      <c r="Q334" s="25" t="str">
        <f t="shared" si="5"/>
        <v/>
      </c>
      <c r="R334" s="5" t="str">
        <f>IF(A334="","",IF(COUNTIF(Типы,C334)=0,"НЕИЗВЕСТНЫЙ ТИП",VLOOKUP(C334,СПРАВОЧНИКИ!$A$7:$E$22,3,FALSE)))</f>
        <v/>
      </c>
      <c r="S334" s="26" t="str">
        <f>IF(A334="","",IF(L334="Проведён",E334*IF(COUNTIF(Типы,C334)=0,0,VLOOKUP(C334,СПРАВОЧНИКИ!$A$7:$E$22,4,FALSE)),0))</f>
        <v/>
      </c>
      <c r="T334" s="26" t="str">
        <f>IF(A334="","",IF(L334="Проведён",E334*IF(COUNTIF(Типы,C334)=0,0,VLOOKUP(C334,СПРАВОЧНИКИ!$A$7:$E$22,5,FALSE)),0))</f>
        <v/>
      </c>
      <c r="U334" s="5" t="str">
        <f>IF(A334="","",IF(COUNTIF(Контрагенты,H334)=0,"Не задан",VLOOKUP(H334,СПРАВОЧНИКИ!$G$7:$H$66,2,FALSE)))</f>
        <v/>
      </c>
      <c r="V334" s="4" t="str">
        <f>IF(A334="",IF(COUNTA(B334:O334)&gt;0,"НЕТ ID",""),IF(OR(AND(OR(C334="Оплата клиента",C334="Возврат клиенту"),COUNTIFS(Docs[ID],J334,Docs[Тип долга],"ДЗ")&lt;&gt;1),AND(OR(C334="Оплата поставщику",C334="Возврат поставщика"),COUNTIFS(Docs[ID],J334,Docs[Тип долга],"КЗ",Docs[Вид],"&lt;&gt;Дивиденды")&lt;&gt;1),AND(C334="Дивиденды",COUNTIFS(Docs[ID],J334,Docs[Вид],"Дивиденды")&lt;&gt;1),AND(C334="Проценты",COUNTIFS(Docs[ID],J334,Docs[Вид],"Проценты")&lt;&gt;1),COUNTIF(Cash[ID],A334)&gt;1,NOT(ISNUMBER(B334)),B334&lt;НачалоУчета,YEAR(B334)&lt;&gt;Год,NOT(ISNUMBER(E334)),E334&lt;=0,N334&lt;0,COUNTIF(Типы,C334)&lt;&gt;1,COUNTIF(Категории,D334)&lt;&gt;1,COUNTIF(Счета,F334)&lt;&gt;1,COUNTIF(Проекты,I334)&lt;&gt;1,AND(H334&lt;&gt;"",COUNTIF(Контрагенты,H334)&lt;&gt;1),AND(C334="Перевод",OR(F334=G334,COUNTIF(Счета,G334)&lt;&gt;1)),AND(S334&lt;&gt;0,COUNTIF(Docs[ID],J334)&lt;&gt;1),AND(Форма="ООО",C334="Вывод ИП"),AND(Форма="ИП",C334="Дивиденды"),AND(L334&lt;&gt;"Проведён",L334&lt;&gt;"Черновик")),"ОШИБКА","ОК"))</f>
        <v/>
      </c>
      <c r="W334" s="25" t="str">
        <f>IF(A334="","",SUMIF(Accounts[Счёт],F334,Accounts[Начальный])+SUMIFS($Q$7:Q334,$F$7:F334,F334)+SUMIFS($E$7:E334,$G$7:G334,F334,$C$7:C334,"Перевод",$L$7:L334,"Проведён"))</f>
        <v/>
      </c>
    </row>
    <row r="335" spans="1:23" x14ac:dyDescent="0.25">
      <c r="A335" s="22"/>
      <c r="B335" s="23"/>
      <c r="C335" s="22"/>
      <c r="D335" s="22"/>
      <c r="E335" s="27"/>
      <c r="F335" s="22"/>
      <c r="G335" s="22"/>
      <c r="H335" s="22"/>
      <c r="I335" s="22"/>
      <c r="J335" s="22"/>
      <c r="K335" s="22"/>
      <c r="L335" s="22"/>
      <c r="M335" s="22"/>
      <c r="N335" s="27"/>
      <c r="O335" s="22"/>
      <c r="P335" s="5" t="str">
        <f>IF(A335="","",IF(COUNTIF(Типы,C335)=0,0,VLOOKUP(C335,СПРАВОЧНИКИ!$A$7:$E$22,2,FALSE)))</f>
        <v/>
      </c>
      <c r="Q335" s="25" t="str">
        <f t="shared" si="5"/>
        <v/>
      </c>
      <c r="R335" s="5" t="str">
        <f>IF(A335="","",IF(COUNTIF(Типы,C335)=0,"НЕИЗВЕСТНЫЙ ТИП",VLOOKUP(C335,СПРАВОЧНИКИ!$A$7:$E$22,3,FALSE)))</f>
        <v/>
      </c>
      <c r="S335" s="26" t="str">
        <f>IF(A335="","",IF(L335="Проведён",E335*IF(COUNTIF(Типы,C335)=0,0,VLOOKUP(C335,СПРАВОЧНИКИ!$A$7:$E$22,4,FALSE)),0))</f>
        <v/>
      </c>
      <c r="T335" s="26" t="str">
        <f>IF(A335="","",IF(L335="Проведён",E335*IF(COUNTIF(Типы,C335)=0,0,VLOOKUP(C335,СПРАВОЧНИКИ!$A$7:$E$22,5,FALSE)),0))</f>
        <v/>
      </c>
      <c r="U335" s="5" t="str">
        <f>IF(A335="","",IF(COUNTIF(Контрагенты,H335)=0,"Не задан",VLOOKUP(H335,СПРАВОЧНИКИ!$G$7:$H$66,2,FALSE)))</f>
        <v/>
      </c>
      <c r="V335" s="4" t="str">
        <f>IF(A335="",IF(COUNTA(B335:O335)&gt;0,"НЕТ ID",""),IF(OR(AND(OR(C335="Оплата клиента",C335="Возврат клиенту"),COUNTIFS(Docs[ID],J335,Docs[Тип долга],"ДЗ")&lt;&gt;1),AND(OR(C335="Оплата поставщику",C335="Возврат поставщика"),COUNTIFS(Docs[ID],J335,Docs[Тип долга],"КЗ",Docs[Вид],"&lt;&gt;Дивиденды")&lt;&gt;1),AND(C335="Дивиденды",COUNTIFS(Docs[ID],J335,Docs[Вид],"Дивиденды")&lt;&gt;1),AND(C335="Проценты",COUNTIFS(Docs[ID],J335,Docs[Вид],"Проценты")&lt;&gt;1),COUNTIF(Cash[ID],A335)&gt;1,NOT(ISNUMBER(B335)),B335&lt;НачалоУчета,YEAR(B335)&lt;&gt;Год,NOT(ISNUMBER(E335)),E335&lt;=0,N335&lt;0,COUNTIF(Типы,C335)&lt;&gt;1,COUNTIF(Категории,D335)&lt;&gt;1,COUNTIF(Счета,F335)&lt;&gt;1,COUNTIF(Проекты,I335)&lt;&gt;1,AND(H335&lt;&gt;"",COUNTIF(Контрагенты,H335)&lt;&gt;1),AND(C335="Перевод",OR(F335=G335,COUNTIF(Счета,G335)&lt;&gt;1)),AND(S335&lt;&gt;0,COUNTIF(Docs[ID],J335)&lt;&gt;1),AND(Форма="ООО",C335="Вывод ИП"),AND(Форма="ИП",C335="Дивиденды"),AND(L335&lt;&gt;"Проведён",L335&lt;&gt;"Черновик")),"ОШИБКА","ОК"))</f>
        <v/>
      </c>
      <c r="W335" s="25" t="str">
        <f>IF(A335="","",SUMIF(Accounts[Счёт],F335,Accounts[Начальный])+SUMIFS($Q$7:Q335,$F$7:F335,F335)+SUMIFS($E$7:E335,$G$7:G335,F335,$C$7:C335,"Перевод",$L$7:L335,"Проведён"))</f>
        <v/>
      </c>
    </row>
    <row r="336" spans="1:23" x14ac:dyDescent="0.25">
      <c r="A336" s="22"/>
      <c r="B336" s="23"/>
      <c r="C336" s="22"/>
      <c r="D336" s="22"/>
      <c r="E336" s="27"/>
      <c r="F336" s="22"/>
      <c r="G336" s="22"/>
      <c r="H336" s="22"/>
      <c r="I336" s="22"/>
      <c r="J336" s="22"/>
      <c r="K336" s="22"/>
      <c r="L336" s="22"/>
      <c r="M336" s="22"/>
      <c r="N336" s="27"/>
      <c r="O336" s="22"/>
      <c r="P336" s="5" t="str">
        <f>IF(A336="","",IF(COUNTIF(Типы,C336)=0,0,VLOOKUP(C336,СПРАВОЧНИКИ!$A$7:$E$22,2,FALSE)))</f>
        <v/>
      </c>
      <c r="Q336" s="25" t="str">
        <f t="shared" si="5"/>
        <v/>
      </c>
      <c r="R336" s="5" t="str">
        <f>IF(A336="","",IF(COUNTIF(Типы,C336)=0,"НЕИЗВЕСТНЫЙ ТИП",VLOOKUP(C336,СПРАВОЧНИКИ!$A$7:$E$22,3,FALSE)))</f>
        <v/>
      </c>
      <c r="S336" s="26" t="str">
        <f>IF(A336="","",IF(L336="Проведён",E336*IF(COUNTIF(Типы,C336)=0,0,VLOOKUP(C336,СПРАВОЧНИКИ!$A$7:$E$22,4,FALSE)),0))</f>
        <v/>
      </c>
      <c r="T336" s="26" t="str">
        <f>IF(A336="","",IF(L336="Проведён",E336*IF(COUNTIF(Типы,C336)=0,0,VLOOKUP(C336,СПРАВОЧНИКИ!$A$7:$E$22,5,FALSE)),0))</f>
        <v/>
      </c>
      <c r="U336" s="5" t="str">
        <f>IF(A336="","",IF(COUNTIF(Контрагенты,H336)=0,"Не задан",VLOOKUP(H336,СПРАВОЧНИКИ!$G$7:$H$66,2,FALSE)))</f>
        <v/>
      </c>
      <c r="V336" s="4" t="str">
        <f>IF(A336="",IF(COUNTA(B336:O336)&gt;0,"НЕТ ID",""),IF(OR(AND(OR(C336="Оплата клиента",C336="Возврат клиенту"),COUNTIFS(Docs[ID],J336,Docs[Тип долга],"ДЗ")&lt;&gt;1),AND(OR(C336="Оплата поставщику",C336="Возврат поставщика"),COUNTIFS(Docs[ID],J336,Docs[Тип долга],"КЗ",Docs[Вид],"&lt;&gt;Дивиденды")&lt;&gt;1),AND(C336="Дивиденды",COUNTIFS(Docs[ID],J336,Docs[Вид],"Дивиденды")&lt;&gt;1),AND(C336="Проценты",COUNTIFS(Docs[ID],J336,Docs[Вид],"Проценты")&lt;&gt;1),COUNTIF(Cash[ID],A336)&gt;1,NOT(ISNUMBER(B336)),B336&lt;НачалоУчета,YEAR(B336)&lt;&gt;Год,NOT(ISNUMBER(E336)),E336&lt;=0,N336&lt;0,COUNTIF(Типы,C336)&lt;&gt;1,COUNTIF(Категории,D336)&lt;&gt;1,COUNTIF(Счета,F336)&lt;&gt;1,COUNTIF(Проекты,I336)&lt;&gt;1,AND(H336&lt;&gt;"",COUNTIF(Контрагенты,H336)&lt;&gt;1),AND(C336="Перевод",OR(F336=G336,COUNTIF(Счета,G336)&lt;&gt;1)),AND(S336&lt;&gt;0,COUNTIF(Docs[ID],J336)&lt;&gt;1),AND(Форма="ООО",C336="Вывод ИП"),AND(Форма="ИП",C336="Дивиденды"),AND(L336&lt;&gt;"Проведён",L336&lt;&gt;"Черновик")),"ОШИБКА","ОК"))</f>
        <v/>
      </c>
      <c r="W336" s="25" t="str">
        <f>IF(A336="","",SUMIF(Accounts[Счёт],F336,Accounts[Начальный])+SUMIFS($Q$7:Q336,$F$7:F336,F336)+SUMIFS($E$7:E336,$G$7:G336,F336,$C$7:C336,"Перевод",$L$7:L336,"Проведён"))</f>
        <v/>
      </c>
    </row>
    <row r="337" spans="1:23" x14ac:dyDescent="0.25">
      <c r="A337" s="22"/>
      <c r="B337" s="23"/>
      <c r="C337" s="22"/>
      <c r="D337" s="22"/>
      <c r="E337" s="27"/>
      <c r="F337" s="22"/>
      <c r="G337" s="22"/>
      <c r="H337" s="22"/>
      <c r="I337" s="22"/>
      <c r="J337" s="22"/>
      <c r="K337" s="22"/>
      <c r="L337" s="22"/>
      <c r="M337" s="22"/>
      <c r="N337" s="27"/>
      <c r="O337" s="22"/>
      <c r="P337" s="5" t="str">
        <f>IF(A337="","",IF(COUNTIF(Типы,C337)=0,0,VLOOKUP(C337,СПРАВОЧНИКИ!$A$7:$E$22,2,FALSE)))</f>
        <v/>
      </c>
      <c r="Q337" s="25" t="str">
        <f t="shared" si="5"/>
        <v/>
      </c>
      <c r="R337" s="5" t="str">
        <f>IF(A337="","",IF(COUNTIF(Типы,C337)=0,"НЕИЗВЕСТНЫЙ ТИП",VLOOKUP(C337,СПРАВОЧНИКИ!$A$7:$E$22,3,FALSE)))</f>
        <v/>
      </c>
      <c r="S337" s="26" t="str">
        <f>IF(A337="","",IF(L337="Проведён",E337*IF(COUNTIF(Типы,C337)=0,0,VLOOKUP(C337,СПРАВОЧНИКИ!$A$7:$E$22,4,FALSE)),0))</f>
        <v/>
      </c>
      <c r="T337" s="26" t="str">
        <f>IF(A337="","",IF(L337="Проведён",E337*IF(COUNTIF(Типы,C337)=0,0,VLOOKUP(C337,СПРАВОЧНИКИ!$A$7:$E$22,5,FALSE)),0))</f>
        <v/>
      </c>
      <c r="U337" s="5" t="str">
        <f>IF(A337="","",IF(COUNTIF(Контрагенты,H337)=0,"Не задан",VLOOKUP(H337,СПРАВОЧНИКИ!$G$7:$H$66,2,FALSE)))</f>
        <v/>
      </c>
      <c r="V337" s="4" t="str">
        <f>IF(A337="",IF(COUNTA(B337:O337)&gt;0,"НЕТ ID",""),IF(OR(AND(OR(C337="Оплата клиента",C337="Возврат клиенту"),COUNTIFS(Docs[ID],J337,Docs[Тип долга],"ДЗ")&lt;&gt;1),AND(OR(C337="Оплата поставщику",C337="Возврат поставщика"),COUNTIFS(Docs[ID],J337,Docs[Тип долга],"КЗ",Docs[Вид],"&lt;&gt;Дивиденды")&lt;&gt;1),AND(C337="Дивиденды",COUNTIFS(Docs[ID],J337,Docs[Вид],"Дивиденды")&lt;&gt;1),AND(C337="Проценты",COUNTIFS(Docs[ID],J337,Docs[Вид],"Проценты")&lt;&gt;1),COUNTIF(Cash[ID],A337)&gt;1,NOT(ISNUMBER(B337)),B337&lt;НачалоУчета,YEAR(B337)&lt;&gt;Год,NOT(ISNUMBER(E337)),E337&lt;=0,N337&lt;0,COUNTIF(Типы,C337)&lt;&gt;1,COUNTIF(Категории,D337)&lt;&gt;1,COUNTIF(Счета,F337)&lt;&gt;1,COUNTIF(Проекты,I337)&lt;&gt;1,AND(H337&lt;&gt;"",COUNTIF(Контрагенты,H337)&lt;&gt;1),AND(C337="Перевод",OR(F337=G337,COUNTIF(Счета,G337)&lt;&gt;1)),AND(S337&lt;&gt;0,COUNTIF(Docs[ID],J337)&lt;&gt;1),AND(Форма="ООО",C337="Вывод ИП"),AND(Форма="ИП",C337="Дивиденды"),AND(L337&lt;&gt;"Проведён",L337&lt;&gt;"Черновик")),"ОШИБКА","ОК"))</f>
        <v/>
      </c>
      <c r="W337" s="25" t="str">
        <f>IF(A337="","",SUMIF(Accounts[Счёт],F337,Accounts[Начальный])+SUMIFS($Q$7:Q337,$F$7:F337,F337)+SUMIFS($E$7:E337,$G$7:G337,F337,$C$7:C337,"Перевод",$L$7:L337,"Проведён"))</f>
        <v/>
      </c>
    </row>
    <row r="338" spans="1:23" x14ac:dyDescent="0.25">
      <c r="A338" s="22"/>
      <c r="B338" s="23"/>
      <c r="C338" s="22"/>
      <c r="D338" s="22"/>
      <c r="E338" s="27"/>
      <c r="F338" s="22"/>
      <c r="G338" s="22"/>
      <c r="H338" s="22"/>
      <c r="I338" s="22"/>
      <c r="J338" s="22"/>
      <c r="K338" s="22"/>
      <c r="L338" s="22"/>
      <c r="M338" s="22"/>
      <c r="N338" s="27"/>
      <c r="O338" s="22"/>
      <c r="P338" s="5" t="str">
        <f>IF(A338="","",IF(COUNTIF(Типы,C338)=0,0,VLOOKUP(C338,СПРАВОЧНИКИ!$A$7:$E$22,2,FALSE)))</f>
        <v/>
      </c>
      <c r="Q338" s="25" t="str">
        <f t="shared" si="5"/>
        <v/>
      </c>
      <c r="R338" s="5" t="str">
        <f>IF(A338="","",IF(COUNTIF(Типы,C338)=0,"НЕИЗВЕСТНЫЙ ТИП",VLOOKUP(C338,СПРАВОЧНИКИ!$A$7:$E$22,3,FALSE)))</f>
        <v/>
      </c>
      <c r="S338" s="26" t="str">
        <f>IF(A338="","",IF(L338="Проведён",E338*IF(COUNTIF(Типы,C338)=0,0,VLOOKUP(C338,СПРАВОЧНИКИ!$A$7:$E$22,4,FALSE)),0))</f>
        <v/>
      </c>
      <c r="T338" s="26" t="str">
        <f>IF(A338="","",IF(L338="Проведён",E338*IF(COUNTIF(Типы,C338)=0,0,VLOOKUP(C338,СПРАВОЧНИКИ!$A$7:$E$22,5,FALSE)),0))</f>
        <v/>
      </c>
      <c r="U338" s="5" t="str">
        <f>IF(A338="","",IF(COUNTIF(Контрагенты,H338)=0,"Не задан",VLOOKUP(H338,СПРАВОЧНИКИ!$G$7:$H$66,2,FALSE)))</f>
        <v/>
      </c>
      <c r="V338" s="4" t="str">
        <f>IF(A338="",IF(COUNTA(B338:O338)&gt;0,"НЕТ ID",""),IF(OR(AND(OR(C338="Оплата клиента",C338="Возврат клиенту"),COUNTIFS(Docs[ID],J338,Docs[Тип долга],"ДЗ")&lt;&gt;1),AND(OR(C338="Оплата поставщику",C338="Возврат поставщика"),COUNTIFS(Docs[ID],J338,Docs[Тип долга],"КЗ",Docs[Вид],"&lt;&gt;Дивиденды")&lt;&gt;1),AND(C338="Дивиденды",COUNTIFS(Docs[ID],J338,Docs[Вид],"Дивиденды")&lt;&gt;1),AND(C338="Проценты",COUNTIFS(Docs[ID],J338,Docs[Вид],"Проценты")&lt;&gt;1),COUNTIF(Cash[ID],A338)&gt;1,NOT(ISNUMBER(B338)),B338&lt;НачалоУчета,YEAR(B338)&lt;&gt;Год,NOT(ISNUMBER(E338)),E338&lt;=0,N338&lt;0,COUNTIF(Типы,C338)&lt;&gt;1,COUNTIF(Категории,D338)&lt;&gt;1,COUNTIF(Счета,F338)&lt;&gt;1,COUNTIF(Проекты,I338)&lt;&gt;1,AND(H338&lt;&gt;"",COUNTIF(Контрагенты,H338)&lt;&gt;1),AND(C338="Перевод",OR(F338=G338,COUNTIF(Счета,G338)&lt;&gt;1)),AND(S338&lt;&gt;0,COUNTIF(Docs[ID],J338)&lt;&gt;1),AND(Форма="ООО",C338="Вывод ИП"),AND(Форма="ИП",C338="Дивиденды"),AND(L338&lt;&gt;"Проведён",L338&lt;&gt;"Черновик")),"ОШИБКА","ОК"))</f>
        <v/>
      </c>
      <c r="W338" s="25" t="str">
        <f>IF(A338="","",SUMIF(Accounts[Счёт],F338,Accounts[Начальный])+SUMIFS($Q$7:Q338,$F$7:F338,F338)+SUMIFS($E$7:E338,$G$7:G338,F338,$C$7:C338,"Перевод",$L$7:L338,"Проведён"))</f>
        <v/>
      </c>
    </row>
    <row r="339" spans="1:23" x14ac:dyDescent="0.25">
      <c r="A339" s="22"/>
      <c r="B339" s="23"/>
      <c r="C339" s="22"/>
      <c r="D339" s="22"/>
      <c r="E339" s="27"/>
      <c r="F339" s="22"/>
      <c r="G339" s="22"/>
      <c r="H339" s="22"/>
      <c r="I339" s="22"/>
      <c r="J339" s="22"/>
      <c r="K339" s="22"/>
      <c r="L339" s="22"/>
      <c r="M339" s="22"/>
      <c r="N339" s="27"/>
      <c r="O339" s="22"/>
      <c r="P339" s="5" t="str">
        <f>IF(A339="","",IF(COUNTIF(Типы,C339)=0,0,VLOOKUP(C339,СПРАВОЧНИКИ!$A$7:$E$22,2,FALSE)))</f>
        <v/>
      </c>
      <c r="Q339" s="25" t="str">
        <f t="shared" si="5"/>
        <v/>
      </c>
      <c r="R339" s="5" t="str">
        <f>IF(A339="","",IF(COUNTIF(Типы,C339)=0,"НЕИЗВЕСТНЫЙ ТИП",VLOOKUP(C339,СПРАВОЧНИКИ!$A$7:$E$22,3,FALSE)))</f>
        <v/>
      </c>
      <c r="S339" s="26" t="str">
        <f>IF(A339="","",IF(L339="Проведён",E339*IF(COUNTIF(Типы,C339)=0,0,VLOOKUP(C339,СПРАВОЧНИКИ!$A$7:$E$22,4,FALSE)),0))</f>
        <v/>
      </c>
      <c r="T339" s="26" t="str">
        <f>IF(A339="","",IF(L339="Проведён",E339*IF(COUNTIF(Типы,C339)=0,0,VLOOKUP(C339,СПРАВОЧНИКИ!$A$7:$E$22,5,FALSE)),0))</f>
        <v/>
      </c>
      <c r="U339" s="5" t="str">
        <f>IF(A339="","",IF(COUNTIF(Контрагенты,H339)=0,"Не задан",VLOOKUP(H339,СПРАВОЧНИКИ!$G$7:$H$66,2,FALSE)))</f>
        <v/>
      </c>
      <c r="V339" s="4" t="str">
        <f>IF(A339="",IF(COUNTA(B339:O339)&gt;0,"НЕТ ID",""),IF(OR(AND(OR(C339="Оплата клиента",C339="Возврат клиенту"),COUNTIFS(Docs[ID],J339,Docs[Тип долга],"ДЗ")&lt;&gt;1),AND(OR(C339="Оплата поставщику",C339="Возврат поставщика"),COUNTIFS(Docs[ID],J339,Docs[Тип долга],"КЗ",Docs[Вид],"&lt;&gt;Дивиденды")&lt;&gt;1),AND(C339="Дивиденды",COUNTIFS(Docs[ID],J339,Docs[Вид],"Дивиденды")&lt;&gt;1),AND(C339="Проценты",COUNTIFS(Docs[ID],J339,Docs[Вид],"Проценты")&lt;&gt;1),COUNTIF(Cash[ID],A339)&gt;1,NOT(ISNUMBER(B339)),B339&lt;НачалоУчета,YEAR(B339)&lt;&gt;Год,NOT(ISNUMBER(E339)),E339&lt;=0,N339&lt;0,COUNTIF(Типы,C339)&lt;&gt;1,COUNTIF(Категории,D339)&lt;&gt;1,COUNTIF(Счета,F339)&lt;&gt;1,COUNTIF(Проекты,I339)&lt;&gt;1,AND(H339&lt;&gt;"",COUNTIF(Контрагенты,H339)&lt;&gt;1),AND(C339="Перевод",OR(F339=G339,COUNTIF(Счета,G339)&lt;&gt;1)),AND(S339&lt;&gt;0,COUNTIF(Docs[ID],J339)&lt;&gt;1),AND(Форма="ООО",C339="Вывод ИП"),AND(Форма="ИП",C339="Дивиденды"),AND(L339&lt;&gt;"Проведён",L339&lt;&gt;"Черновик")),"ОШИБКА","ОК"))</f>
        <v/>
      </c>
      <c r="W339" s="25" t="str">
        <f>IF(A339="","",SUMIF(Accounts[Счёт],F339,Accounts[Начальный])+SUMIFS($Q$7:Q339,$F$7:F339,F339)+SUMIFS($E$7:E339,$G$7:G339,F339,$C$7:C339,"Перевод",$L$7:L339,"Проведён"))</f>
        <v/>
      </c>
    </row>
    <row r="340" spans="1:23" x14ac:dyDescent="0.25">
      <c r="A340" s="22"/>
      <c r="B340" s="23"/>
      <c r="C340" s="22"/>
      <c r="D340" s="22"/>
      <c r="E340" s="27"/>
      <c r="F340" s="22"/>
      <c r="G340" s="22"/>
      <c r="H340" s="22"/>
      <c r="I340" s="22"/>
      <c r="J340" s="22"/>
      <c r="K340" s="22"/>
      <c r="L340" s="22"/>
      <c r="M340" s="22"/>
      <c r="N340" s="27"/>
      <c r="O340" s="22"/>
      <c r="P340" s="5" t="str">
        <f>IF(A340="","",IF(COUNTIF(Типы,C340)=0,0,VLOOKUP(C340,СПРАВОЧНИКИ!$A$7:$E$22,2,FALSE)))</f>
        <v/>
      </c>
      <c r="Q340" s="25" t="str">
        <f t="shared" si="5"/>
        <v/>
      </c>
      <c r="R340" s="5" t="str">
        <f>IF(A340="","",IF(COUNTIF(Типы,C340)=0,"НЕИЗВЕСТНЫЙ ТИП",VLOOKUP(C340,СПРАВОЧНИКИ!$A$7:$E$22,3,FALSE)))</f>
        <v/>
      </c>
      <c r="S340" s="26" t="str">
        <f>IF(A340="","",IF(L340="Проведён",E340*IF(COUNTIF(Типы,C340)=0,0,VLOOKUP(C340,СПРАВОЧНИКИ!$A$7:$E$22,4,FALSE)),0))</f>
        <v/>
      </c>
      <c r="T340" s="26" t="str">
        <f>IF(A340="","",IF(L340="Проведён",E340*IF(COUNTIF(Типы,C340)=0,0,VLOOKUP(C340,СПРАВОЧНИКИ!$A$7:$E$22,5,FALSE)),0))</f>
        <v/>
      </c>
      <c r="U340" s="5" t="str">
        <f>IF(A340="","",IF(COUNTIF(Контрагенты,H340)=0,"Не задан",VLOOKUP(H340,СПРАВОЧНИКИ!$G$7:$H$66,2,FALSE)))</f>
        <v/>
      </c>
      <c r="V340" s="4" t="str">
        <f>IF(A340="",IF(COUNTA(B340:O340)&gt;0,"НЕТ ID",""),IF(OR(AND(OR(C340="Оплата клиента",C340="Возврат клиенту"),COUNTIFS(Docs[ID],J340,Docs[Тип долга],"ДЗ")&lt;&gt;1),AND(OR(C340="Оплата поставщику",C340="Возврат поставщика"),COUNTIFS(Docs[ID],J340,Docs[Тип долга],"КЗ",Docs[Вид],"&lt;&gt;Дивиденды")&lt;&gt;1),AND(C340="Дивиденды",COUNTIFS(Docs[ID],J340,Docs[Вид],"Дивиденды")&lt;&gt;1),AND(C340="Проценты",COUNTIFS(Docs[ID],J340,Docs[Вид],"Проценты")&lt;&gt;1),COUNTIF(Cash[ID],A340)&gt;1,NOT(ISNUMBER(B340)),B340&lt;НачалоУчета,YEAR(B340)&lt;&gt;Год,NOT(ISNUMBER(E340)),E340&lt;=0,N340&lt;0,COUNTIF(Типы,C340)&lt;&gt;1,COUNTIF(Категории,D340)&lt;&gt;1,COUNTIF(Счета,F340)&lt;&gt;1,COUNTIF(Проекты,I340)&lt;&gt;1,AND(H340&lt;&gt;"",COUNTIF(Контрагенты,H340)&lt;&gt;1),AND(C340="Перевод",OR(F340=G340,COUNTIF(Счета,G340)&lt;&gt;1)),AND(S340&lt;&gt;0,COUNTIF(Docs[ID],J340)&lt;&gt;1),AND(Форма="ООО",C340="Вывод ИП"),AND(Форма="ИП",C340="Дивиденды"),AND(L340&lt;&gt;"Проведён",L340&lt;&gt;"Черновик")),"ОШИБКА","ОК"))</f>
        <v/>
      </c>
      <c r="W340" s="25" t="str">
        <f>IF(A340="","",SUMIF(Accounts[Счёт],F340,Accounts[Начальный])+SUMIFS($Q$7:Q340,$F$7:F340,F340)+SUMIFS($E$7:E340,$G$7:G340,F340,$C$7:C340,"Перевод",$L$7:L340,"Проведён"))</f>
        <v/>
      </c>
    </row>
    <row r="341" spans="1:23" x14ac:dyDescent="0.25">
      <c r="A341" s="22"/>
      <c r="B341" s="23"/>
      <c r="C341" s="22"/>
      <c r="D341" s="22"/>
      <c r="E341" s="27"/>
      <c r="F341" s="22"/>
      <c r="G341" s="22"/>
      <c r="H341" s="22"/>
      <c r="I341" s="22"/>
      <c r="J341" s="22"/>
      <c r="K341" s="22"/>
      <c r="L341" s="22"/>
      <c r="M341" s="22"/>
      <c r="N341" s="27"/>
      <c r="O341" s="22"/>
      <c r="P341" s="5" t="str">
        <f>IF(A341="","",IF(COUNTIF(Типы,C341)=0,0,VLOOKUP(C341,СПРАВОЧНИКИ!$A$7:$E$22,2,FALSE)))</f>
        <v/>
      </c>
      <c r="Q341" s="25" t="str">
        <f t="shared" si="5"/>
        <v/>
      </c>
      <c r="R341" s="5" t="str">
        <f>IF(A341="","",IF(COUNTIF(Типы,C341)=0,"НЕИЗВЕСТНЫЙ ТИП",VLOOKUP(C341,СПРАВОЧНИКИ!$A$7:$E$22,3,FALSE)))</f>
        <v/>
      </c>
      <c r="S341" s="26" t="str">
        <f>IF(A341="","",IF(L341="Проведён",E341*IF(COUNTIF(Типы,C341)=0,0,VLOOKUP(C341,СПРАВОЧНИКИ!$A$7:$E$22,4,FALSE)),0))</f>
        <v/>
      </c>
      <c r="T341" s="26" t="str">
        <f>IF(A341="","",IF(L341="Проведён",E341*IF(COUNTIF(Типы,C341)=0,0,VLOOKUP(C341,СПРАВОЧНИКИ!$A$7:$E$22,5,FALSE)),0))</f>
        <v/>
      </c>
      <c r="U341" s="5" t="str">
        <f>IF(A341="","",IF(COUNTIF(Контрагенты,H341)=0,"Не задан",VLOOKUP(H341,СПРАВОЧНИКИ!$G$7:$H$66,2,FALSE)))</f>
        <v/>
      </c>
      <c r="V341" s="4" t="str">
        <f>IF(A341="",IF(COUNTA(B341:O341)&gt;0,"НЕТ ID",""),IF(OR(AND(OR(C341="Оплата клиента",C341="Возврат клиенту"),COUNTIFS(Docs[ID],J341,Docs[Тип долга],"ДЗ")&lt;&gt;1),AND(OR(C341="Оплата поставщику",C341="Возврат поставщика"),COUNTIFS(Docs[ID],J341,Docs[Тип долга],"КЗ",Docs[Вид],"&lt;&gt;Дивиденды")&lt;&gt;1),AND(C341="Дивиденды",COUNTIFS(Docs[ID],J341,Docs[Вид],"Дивиденды")&lt;&gt;1),AND(C341="Проценты",COUNTIFS(Docs[ID],J341,Docs[Вид],"Проценты")&lt;&gt;1),COUNTIF(Cash[ID],A341)&gt;1,NOT(ISNUMBER(B341)),B341&lt;НачалоУчета,YEAR(B341)&lt;&gt;Год,NOT(ISNUMBER(E341)),E341&lt;=0,N341&lt;0,COUNTIF(Типы,C341)&lt;&gt;1,COUNTIF(Категории,D341)&lt;&gt;1,COUNTIF(Счета,F341)&lt;&gt;1,COUNTIF(Проекты,I341)&lt;&gt;1,AND(H341&lt;&gt;"",COUNTIF(Контрагенты,H341)&lt;&gt;1),AND(C341="Перевод",OR(F341=G341,COUNTIF(Счета,G341)&lt;&gt;1)),AND(S341&lt;&gt;0,COUNTIF(Docs[ID],J341)&lt;&gt;1),AND(Форма="ООО",C341="Вывод ИП"),AND(Форма="ИП",C341="Дивиденды"),AND(L341&lt;&gt;"Проведён",L341&lt;&gt;"Черновик")),"ОШИБКА","ОК"))</f>
        <v/>
      </c>
      <c r="W341" s="25" t="str">
        <f>IF(A341="","",SUMIF(Accounts[Счёт],F341,Accounts[Начальный])+SUMIFS($Q$7:Q341,$F$7:F341,F341)+SUMIFS($E$7:E341,$G$7:G341,F341,$C$7:C341,"Перевод",$L$7:L341,"Проведён"))</f>
        <v/>
      </c>
    </row>
    <row r="342" spans="1:23" x14ac:dyDescent="0.25">
      <c r="A342" s="22"/>
      <c r="B342" s="23"/>
      <c r="C342" s="22"/>
      <c r="D342" s="22"/>
      <c r="E342" s="27"/>
      <c r="F342" s="22"/>
      <c r="G342" s="22"/>
      <c r="H342" s="22"/>
      <c r="I342" s="22"/>
      <c r="J342" s="22"/>
      <c r="K342" s="22"/>
      <c r="L342" s="22"/>
      <c r="M342" s="22"/>
      <c r="N342" s="27"/>
      <c r="O342" s="22"/>
      <c r="P342" s="5" t="str">
        <f>IF(A342="","",IF(COUNTIF(Типы,C342)=0,0,VLOOKUP(C342,СПРАВОЧНИКИ!$A$7:$E$22,2,FALSE)))</f>
        <v/>
      </c>
      <c r="Q342" s="25" t="str">
        <f t="shared" si="5"/>
        <v/>
      </c>
      <c r="R342" s="5" t="str">
        <f>IF(A342="","",IF(COUNTIF(Типы,C342)=0,"НЕИЗВЕСТНЫЙ ТИП",VLOOKUP(C342,СПРАВОЧНИКИ!$A$7:$E$22,3,FALSE)))</f>
        <v/>
      </c>
      <c r="S342" s="26" t="str">
        <f>IF(A342="","",IF(L342="Проведён",E342*IF(COUNTIF(Типы,C342)=0,0,VLOOKUP(C342,СПРАВОЧНИКИ!$A$7:$E$22,4,FALSE)),0))</f>
        <v/>
      </c>
      <c r="T342" s="26" t="str">
        <f>IF(A342="","",IF(L342="Проведён",E342*IF(COUNTIF(Типы,C342)=0,0,VLOOKUP(C342,СПРАВОЧНИКИ!$A$7:$E$22,5,FALSE)),0))</f>
        <v/>
      </c>
      <c r="U342" s="5" t="str">
        <f>IF(A342="","",IF(COUNTIF(Контрагенты,H342)=0,"Не задан",VLOOKUP(H342,СПРАВОЧНИКИ!$G$7:$H$66,2,FALSE)))</f>
        <v/>
      </c>
      <c r="V342" s="4" t="str">
        <f>IF(A342="",IF(COUNTA(B342:O342)&gt;0,"НЕТ ID",""),IF(OR(AND(OR(C342="Оплата клиента",C342="Возврат клиенту"),COUNTIFS(Docs[ID],J342,Docs[Тип долга],"ДЗ")&lt;&gt;1),AND(OR(C342="Оплата поставщику",C342="Возврат поставщика"),COUNTIFS(Docs[ID],J342,Docs[Тип долга],"КЗ",Docs[Вид],"&lt;&gt;Дивиденды")&lt;&gt;1),AND(C342="Дивиденды",COUNTIFS(Docs[ID],J342,Docs[Вид],"Дивиденды")&lt;&gt;1),AND(C342="Проценты",COUNTIFS(Docs[ID],J342,Docs[Вид],"Проценты")&lt;&gt;1),COUNTIF(Cash[ID],A342)&gt;1,NOT(ISNUMBER(B342)),B342&lt;НачалоУчета,YEAR(B342)&lt;&gt;Год,NOT(ISNUMBER(E342)),E342&lt;=0,N342&lt;0,COUNTIF(Типы,C342)&lt;&gt;1,COUNTIF(Категории,D342)&lt;&gt;1,COUNTIF(Счета,F342)&lt;&gt;1,COUNTIF(Проекты,I342)&lt;&gt;1,AND(H342&lt;&gt;"",COUNTIF(Контрагенты,H342)&lt;&gt;1),AND(C342="Перевод",OR(F342=G342,COUNTIF(Счета,G342)&lt;&gt;1)),AND(S342&lt;&gt;0,COUNTIF(Docs[ID],J342)&lt;&gt;1),AND(Форма="ООО",C342="Вывод ИП"),AND(Форма="ИП",C342="Дивиденды"),AND(L342&lt;&gt;"Проведён",L342&lt;&gt;"Черновик")),"ОШИБКА","ОК"))</f>
        <v/>
      </c>
      <c r="W342" s="25" t="str">
        <f>IF(A342="","",SUMIF(Accounts[Счёт],F342,Accounts[Начальный])+SUMIFS($Q$7:Q342,$F$7:F342,F342)+SUMIFS($E$7:E342,$G$7:G342,F342,$C$7:C342,"Перевод",$L$7:L342,"Проведён"))</f>
        <v/>
      </c>
    </row>
    <row r="343" spans="1:23" x14ac:dyDescent="0.25">
      <c r="A343" s="22"/>
      <c r="B343" s="23"/>
      <c r="C343" s="22"/>
      <c r="D343" s="22"/>
      <c r="E343" s="27"/>
      <c r="F343" s="22"/>
      <c r="G343" s="22"/>
      <c r="H343" s="22"/>
      <c r="I343" s="22"/>
      <c r="J343" s="22"/>
      <c r="K343" s="22"/>
      <c r="L343" s="22"/>
      <c r="M343" s="22"/>
      <c r="N343" s="27"/>
      <c r="O343" s="22"/>
      <c r="P343" s="5" t="str">
        <f>IF(A343="","",IF(COUNTIF(Типы,C343)=0,0,VLOOKUP(C343,СПРАВОЧНИКИ!$A$7:$E$22,2,FALSE)))</f>
        <v/>
      </c>
      <c r="Q343" s="25" t="str">
        <f t="shared" si="5"/>
        <v/>
      </c>
      <c r="R343" s="5" t="str">
        <f>IF(A343="","",IF(COUNTIF(Типы,C343)=0,"НЕИЗВЕСТНЫЙ ТИП",VLOOKUP(C343,СПРАВОЧНИКИ!$A$7:$E$22,3,FALSE)))</f>
        <v/>
      </c>
      <c r="S343" s="26" t="str">
        <f>IF(A343="","",IF(L343="Проведён",E343*IF(COUNTIF(Типы,C343)=0,0,VLOOKUP(C343,СПРАВОЧНИКИ!$A$7:$E$22,4,FALSE)),0))</f>
        <v/>
      </c>
      <c r="T343" s="26" t="str">
        <f>IF(A343="","",IF(L343="Проведён",E343*IF(COUNTIF(Типы,C343)=0,0,VLOOKUP(C343,СПРАВОЧНИКИ!$A$7:$E$22,5,FALSE)),0))</f>
        <v/>
      </c>
      <c r="U343" s="5" t="str">
        <f>IF(A343="","",IF(COUNTIF(Контрагенты,H343)=0,"Не задан",VLOOKUP(H343,СПРАВОЧНИКИ!$G$7:$H$66,2,FALSE)))</f>
        <v/>
      </c>
      <c r="V343" s="4" t="str">
        <f>IF(A343="",IF(COUNTA(B343:O343)&gt;0,"НЕТ ID",""),IF(OR(AND(OR(C343="Оплата клиента",C343="Возврат клиенту"),COUNTIFS(Docs[ID],J343,Docs[Тип долга],"ДЗ")&lt;&gt;1),AND(OR(C343="Оплата поставщику",C343="Возврат поставщика"),COUNTIFS(Docs[ID],J343,Docs[Тип долга],"КЗ",Docs[Вид],"&lt;&gt;Дивиденды")&lt;&gt;1),AND(C343="Дивиденды",COUNTIFS(Docs[ID],J343,Docs[Вид],"Дивиденды")&lt;&gt;1),AND(C343="Проценты",COUNTIFS(Docs[ID],J343,Docs[Вид],"Проценты")&lt;&gt;1),COUNTIF(Cash[ID],A343)&gt;1,NOT(ISNUMBER(B343)),B343&lt;НачалоУчета,YEAR(B343)&lt;&gt;Год,NOT(ISNUMBER(E343)),E343&lt;=0,N343&lt;0,COUNTIF(Типы,C343)&lt;&gt;1,COUNTIF(Категории,D343)&lt;&gt;1,COUNTIF(Счета,F343)&lt;&gt;1,COUNTIF(Проекты,I343)&lt;&gt;1,AND(H343&lt;&gt;"",COUNTIF(Контрагенты,H343)&lt;&gt;1),AND(C343="Перевод",OR(F343=G343,COUNTIF(Счета,G343)&lt;&gt;1)),AND(S343&lt;&gt;0,COUNTIF(Docs[ID],J343)&lt;&gt;1),AND(Форма="ООО",C343="Вывод ИП"),AND(Форма="ИП",C343="Дивиденды"),AND(L343&lt;&gt;"Проведён",L343&lt;&gt;"Черновик")),"ОШИБКА","ОК"))</f>
        <v/>
      </c>
      <c r="W343" s="25" t="str">
        <f>IF(A343="","",SUMIF(Accounts[Счёт],F343,Accounts[Начальный])+SUMIFS($Q$7:Q343,$F$7:F343,F343)+SUMIFS($E$7:E343,$G$7:G343,F343,$C$7:C343,"Перевод",$L$7:L343,"Проведён"))</f>
        <v/>
      </c>
    </row>
    <row r="344" spans="1:23" x14ac:dyDescent="0.25">
      <c r="A344" s="22"/>
      <c r="B344" s="23"/>
      <c r="C344" s="22"/>
      <c r="D344" s="22"/>
      <c r="E344" s="27"/>
      <c r="F344" s="22"/>
      <c r="G344" s="22"/>
      <c r="H344" s="22"/>
      <c r="I344" s="22"/>
      <c r="J344" s="22"/>
      <c r="K344" s="22"/>
      <c r="L344" s="22"/>
      <c r="M344" s="22"/>
      <c r="N344" s="27"/>
      <c r="O344" s="22"/>
      <c r="P344" s="5" t="str">
        <f>IF(A344="","",IF(COUNTIF(Типы,C344)=0,0,VLOOKUP(C344,СПРАВОЧНИКИ!$A$7:$E$22,2,FALSE)))</f>
        <v/>
      </c>
      <c r="Q344" s="25" t="str">
        <f t="shared" si="5"/>
        <v/>
      </c>
      <c r="R344" s="5" t="str">
        <f>IF(A344="","",IF(COUNTIF(Типы,C344)=0,"НЕИЗВЕСТНЫЙ ТИП",VLOOKUP(C344,СПРАВОЧНИКИ!$A$7:$E$22,3,FALSE)))</f>
        <v/>
      </c>
      <c r="S344" s="26" t="str">
        <f>IF(A344="","",IF(L344="Проведён",E344*IF(COUNTIF(Типы,C344)=0,0,VLOOKUP(C344,СПРАВОЧНИКИ!$A$7:$E$22,4,FALSE)),0))</f>
        <v/>
      </c>
      <c r="T344" s="26" t="str">
        <f>IF(A344="","",IF(L344="Проведён",E344*IF(COUNTIF(Типы,C344)=0,0,VLOOKUP(C344,СПРАВОЧНИКИ!$A$7:$E$22,5,FALSE)),0))</f>
        <v/>
      </c>
      <c r="U344" s="5" t="str">
        <f>IF(A344="","",IF(COUNTIF(Контрагенты,H344)=0,"Не задан",VLOOKUP(H344,СПРАВОЧНИКИ!$G$7:$H$66,2,FALSE)))</f>
        <v/>
      </c>
      <c r="V344" s="4" t="str">
        <f>IF(A344="",IF(COUNTA(B344:O344)&gt;0,"НЕТ ID",""),IF(OR(AND(OR(C344="Оплата клиента",C344="Возврат клиенту"),COUNTIFS(Docs[ID],J344,Docs[Тип долга],"ДЗ")&lt;&gt;1),AND(OR(C344="Оплата поставщику",C344="Возврат поставщика"),COUNTIFS(Docs[ID],J344,Docs[Тип долга],"КЗ",Docs[Вид],"&lt;&gt;Дивиденды")&lt;&gt;1),AND(C344="Дивиденды",COUNTIFS(Docs[ID],J344,Docs[Вид],"Дивиденды")&lt;&gt;1),AND(C344="Проценты",COUNTIFS(Docs[ID],J344,Docs[Вид],"Проценты")&lt;&gt;1),COUNTIF(Cash[ID],A344)&gt;1,NOT(ISNUMBER(B344)),B344&lt;НачалоУчета,YEAR(B344)&lt;&gt;Год,NOT(ISNUMBER(E344)),E344&lt;=0,N344&lt;0,COUNTIF(Типы,C344)&lt;&gt;1,COUNTIF(Категории,D344)&lt;&gt;1,COUNTIF(Счета,F344)&lt;&gt;1,COUNTIF(Проекты,I344)&lt;&gt;1,AND(H344&lt;&gt;"",COUNTIF(Контрагенты,H344)&lt;&gt;1),AND(C344="Перевод",OR(F344=G344,COUNTIF(Счета,G344)&lt;&gt;1)),AND(S344&lt;&gt;0,COUNTIF(Docs[ID],J344)&lt;&gt;1),AND(Форма="ООО",C344="Вывод ИП"),AND(Форма="ИП",C344="Дивиденды"),AND(L344&lt;&gt;"Проведён",L344&lt;&gt;"Черновик")),"ОШИБКА","ОК"))</f>
        <v/>
      </c>
      <c r="W344" s="25" t="str">
        <f>IF(A344="","",SUMIF(Accounts[Счёт],F344,Accounts[Начальный])+SUMIFS($Q$7:Q344,$F$7:F344,F344)+SUMIFS($E$7:E344,$G$7:G344,F344,$C$7:C344,"Перевод",$L$7:L344,"Проведён"))</f>
        <v/>
      </c>
    </row>
    <row r="345" spans="1:23" x14ac:dyDescent="0.25">
      <c r="A345" s="22"/>
      <c r="B345" s="23"/>
      <c r="C345" s="22"/>
      <c r="D345" s="22"/>
      <c r="E345" s="27"/>
      <c r="F345" s="22"/>
      <c r="G345" s="22"/>
      <c r="H345" s="22"/>
      <c r="I345" s="22"/>
      <c r="J345" s="22"/>
      <c r="K345" s="22"/>
      <c r="L345" s="22"/>
      <c r="M345" s="22"/>
      <c r="N345" s="27"/>
      <c r="O345" s="22"/>
      <c r="P345" s="5" t="str">
        <f>IF(A345="","",IF(COUNTIF(Типы,C345)=0,0,VLOOKUP(C345,СПРАВОЧНИКИ!$A$7:$E$22,2,FALSE)))</f>
        <v/>
      </c>
      <c r="Q345" s="25" t="str">
        <f t="shared" si="5"/>
        <v/>
      </c>
      <c r="R345" s="5" t="str">
        <f>IF(A345="","",IF(COUNTIF(Типы,C345)=0,"НЕИЗВЕСТНЫЙ ТИП",VLOOKUP(C345,СПРАВОЧНИКИ!$A$7:$E$22,3,FALSE)))</f>
        <v/>
      </c>
      <c r="S345" s="26" t="str">
        <f>IF(A345="","",IF(L345="Проведён",E345*IF(COUNTIF(Типы,C345)=0,0,VLOOKUP(C345,СПРАВОЧНИКИ!$A$7:$E$22,4,FALSE)),0))</f>
        <v/>
      </c>
      <c r="T345" s="26" t="str">
        <f>IF(A345="","",IF(L345="Проведён",E345*IF(COUNTIF(Типы,C345)=0,0,VLOOKUP(C345,СПРАВОЧНИКИ!$A$7:$E$22,5,FALSE)),0))</f>
        <v/>
      </c>
      <c r="U345" s="5" t="str">
        <f>IF(A345="","",IF(COUNTIF(Контрагенты,H345)=0,"Не задан",VLOOKUP(H345,СПРАВОЧНИКИ!$G$7:$H$66,2,FALSE)))</f>
        <v/>
      </c>
      <c r="V345" s="4" t="str">
        <f>IF(A345="",IF(COUNTA(B345:O345)&gt;0,"НЕТ ID",""),IF(OR(AND(OR(C345="Оплата клиента",C345="Возврат клиенту"),COUNTIFS(Docs[ID],J345,Docs[Тип долга],"ДЗ")&lt;&gt;1),AND(OR(C345="Оплата поставщику",C345="Возврат поставщика"),COUNTIFS(Docs[ID],J345,Docs[Тип долга],"КЗ",Docs[Вид],"&lt;&gt;Дивиденды")&lt;&gt;1),AND(C345="Дивиденды",COUNTIFS(Docs[ID],J345,Docs[Вид],"Дивиденды")&lt;&gt;1),AND(C345="Проценты",COUNTIFS(Docs[ID],J345,Docs[Вид],"Проценты")&lt;&gt;1),COUNTIF(Cash[ID],A345)&gt;1,NOT(ISNUMBER(B345)),B345&lt;НачалоУчета,YEAR(B345)&lt;&gt;Год,NOT(ISNUMBER(E345)),E345&lt;=0,N345&lt;0,COUNTIF(Типы,C345)&lt;&gt;1,COUNTIF(Категории,D345)&lt;&gt;1,COUNTIF(Счета,F345)&lt;&gt;1,COUNTIF(Проекты,I345)&lt;&gt;1,AND(H345&lt;&gt;"",COUNTIF(Контрагенты,H345)&lt;&gt;1),AND(C345="Перевод",OR(F345=G345,COUNTIF(Счета,G345)&lt;&gt;1)),AND(S345&lt;&gt;0,COUNTIF(Docs[ID],J345)&lt;&gt;1),AND(Форма="ООО",C345="Вывод ИП"),AND(Форма="ИП",C345="Дивиденды"),AND(L345&lt;&gt;"Проведён",L345&lt;&gt;"Черновик")),"ОШИБКА","ОК"))</f>
        <v/>
      </c>
      <c r="W345" s="25" t="str">
        <f>IF(A345="","",SUMIF(Accounts[Счёт],F345,Accounts[Начальный])+SUMIFS($Q$7:Q345,$F$7:F345,F345)+SUMIFS($E$7:E345,$G$7:G345,F345,$C$7:C345,"Перевод",$L$7:L345,"Проведён"))</f>
        <v/>
      </c>
    </row>
    <row r="346" spans="1:23" x14ac:dyDescent="0.25">
      <c r="A346" s="22"/>
      <c r="B346" s="23"/>
      <c r="C346" s="22"/>
      <c r="D346" s="22"/>
      <c r="E346" s="27"/>
      <c r="F346" s="22"/>
      <c r="G346" s="22"/>
      <c r="H346" s="22"/>
      <c r="I346" s="22"/>
      <c r="J346" s="22"/>
      <c r="K346" s="22"/>
      <c r="L346" s="22"/>
      <c r="M346" s="22"/>
      <c r="N346" s="27"/>
      <c r="O346" s="22"/>
      <c r="P346" s="5" t="str">
        <f>IF(A346="","",IF(COUNTIF(Типы,C346)=0,0,VLOOKUP(C346,СПРАВОЧНИКИ!$A$7:$E$22,2,FALSE)))</f>
        <v/>
      </c>
      <c r="Q346" s="25" t="str">
        <f t="shared" si="5"/>
        <v/>
      </c>
      <c r="R346" s="5" t="str">
        <f>IF(A346="","",IF(COUNTIF(Типы,C346)=0,"НЕИЗВЕСТНЫЙ ТИП",VLOOKUP(C346,СПРАВОЧНИКИ!$A$7:$E$22,3,FALSE)))</f>
        <v/>
      </c>
      <c r="S346" s="26" t="str">
        <f>IF(A346="","",IF(L346="Проведён",E346*IF(COUNTIF(Типы,C346)=0,0,VLOOKUP(C346,СПРАВОЧНИКИ!$A$7:$E$22,4,FALSE)),0))</f>
        <v/>
      </c>
      <c r="T346" s="26" t="str">
        <f>IF(A346="","",IF(L346="Проведён",E346*IF(COUNTIF(Типы,C346)=0,0,VLOOKUP(C346,СПРАВОЧНИКИ!$A$7:$E$22,5,FALSE)),0))</f>
        <v/>
      </c>
      <c r="U346" s="5" t="str">
        <f>IF(A346="","",IF(COUNTIF(Контрагенты,H346)=0,"Не задан",VLOOKUP(H346,СПРАВОЧНИКИ!$G$7:$H$66,2,FALSE)))</f>
        <v/>
      </c>
      <c r="V346" s="4" t="str">
        <f>IF(A346="",IF(COUNTA(B346:O346)&gt;0,"НЕТ ID",""),IF(OR(AND(OR(C346="Оплата клиента",C346="Возврат клиенту"),COUNTIFS(Docs[ID],J346,Docs[Тип долга],"ДЗ")&lt;&gt;1),AND(OR(C346="Оплата поставщику",C346="Возврат поставщика"),COUNTIFS(Docs[ID],J346,Docs[Тип долга],"КЗ",Docs[Вид],"&lt;&gt;Дивиденды")&lt;&gt;1),AND(C346="Дивиденды",COUNTIFS(Docs[ID],J346,Docs[Вид],"Дивиденды")&lt;&gt;1),AND(C346="Проценты",COUNTIFS(Docs[ID],J346,Docs[Вид],"Проценты")&lt;&gt;1),COUNTIF(Cash[ID],A346)&gt;1,NOT(ISNUMBER(B346)),B346&lt;НачалоУчета,YEAR(B346)&lt;&gt;Год,NOT(ISNUMBER(E346)),E346&lt;=0,N346&lt;0,COUNTIF(Типы,C346)&lt;&gt;1,COUNTIF(Категории,D346)&lt;&gt;1,COUNTIF(Счета,F346)&lt;&gt;1,COUNTIF(Проекты,I346)&lt;&gt;1,AND(H346&lt;&gt;"",COUNTIF(Контрагенты,H346)&lt;&gt;1),AND(C346="Перевод",OR(F346=G346,COUNTIF(Счета,G346)&lt;&gt;1)),AND(S346&lt;&gt;0,COUNTIF(Docs[ID],J346)&lt;&gt;1),AND(Форма="ООО",C346="Вывод ИП"),AND(Форма="ИП",C346="Дивиденды"),AND(L346&lt;&gt;"Проведён",L346&lt;&gt;"Черновик")),"ОШИБКА","ОК"))</f>
        <v/>
      </c>
      <c r="W346" s="25" t="str">
        <f>IF(A346="","",SUMIF(Accounts[Счёт],F346,Accounts[Начальный])+SUMIFS($Q$7:Q346,$F$7:F346,F346)+SUMIFS($E$7:E346,$G$7:G346,F346,$C$7:C346,"Перевод",$L$7:L346,"Проведён"))</f>
        <v/>
      </c>
    </row>
    <row r="347" spans="1:23" x14ac:dyDescent="0.25">
      <c r="A347" s="22"/>
      <c r="B347" s="23"/>
      <c r="C347" s="22"/>
      <c r="D347" s="22"/>
      <c r="E347" s="27"/>
      <c r="F347" s="22"/>
      <c r="G347" s="22"/>
      <c r="H347" s="22"/>
      <c r="I347" s="22"/>
      <c r="J347" s="22"/>
      <c r="K347" s="22"/>
      <c r="L347" s="22"/>
      <c r="M347" s="22"/>
      <c r="N347" s="27"/>
      <c r="O347" s="22"/>
      <c r="P347" s="5" t="str">
        <f>IF(A347="","",IF(COUNTIF(Типы,C347)=0,0,VLOOKUP(C347,СПРАВОЧНИКИ!$A$7:$E$22,2,FALSE)))</f>
        <v/>
      </c>
      <c r="Q347" s="25" t="str">
        <f t="shared" si="5"/>
        <v/>
      </c>
      <c r="R347" s="5" t="str">
        <f>IF(A347="","",IF(COUNTIF(Типы,C347)=0,"НЕИЗВЕСТНЫЙ ТИП",VLOOKUP(C347,СПРАВОЧНИКИ!$A$7:$E$22,3,FALSE)))</f>
        <v/>
      </c>
      <c r="S347" s="26" t="str">
        <f>IF(A347="","",IF(L347="Проведён",E347*IF(COUNTIF(Типы,C347)=0,0,VLOOKUP(C347,СПРАВОЧНИКИ!$A$7:$E$22,4,FALSE)),0))</f>
        <v/>
      </c>
      <c r="T347" s="26" t="str">
        <f>IF(A347="","",IF(L347="Проведён",E347*IF(COUNTIF(Типы,C347)=0,0,VLOOKUP(C347,СПРАВОЧНИКИ!$A$7:$E$22,5,FALSE)),0))</f>
        <v/>
      </c>
      <c r="U347" s="5" t="str">
        <f>IF(A347="","",IF(COUNTIF(Контрагенты,H347)=0,"Не задан",VLOOKUP(H347,СПРАВОЧНИКИ!$G$7:$H$66,2,FALSE)))</f>
        <v/>
      </c>
      <c r="V347" s="4" t="str">
        <f>IF(A347="",IF(COUNTA(B347:O347)&gt;0,"НЕТ ID",""),IF(OR(AND(OR(C347="Оплата клиента",C347="Возврат клиенту"),COUNTIFS(Docs[ID],J347,Docs[Тип долга],"ДЗ")&lt;&gt;1),AND(OR(C347="Оплата поставщику",C347="Возврат поставщика"),COUNTIFS(Docs[ID],J347,Docs[Тип долга],"КЗ",Docs[Вид],"&lt;&gt;Дивиденды")&lt;&gt;1),AND(C347="Дивиденды",COUNTIFS(Docs[ID],J347,Docs[Вид],"Дивиденды")&lt;&gt;1),AND(C347="Проценты",COUNTIFS(Docs[ID],J347,Docs[Вид],"Проценты")&lt;&gt;1),COUNTIF(Cash[ID],A347)&gt;1,NOT(ISNUMBER(B347)),B347&lt;НачалоУчета,YEAR(B347)&lt;&gt;Год,NOT(ISNUMBER(E347)),E347&lt;=0,N347&lt;0,COUNTIF(Типы,C347)&lt;&gt;1,COUNTIF(Категории,D347)&lt;&gt;1,COUNTIF(Счета,F347)&lt;&gt;1,COUNTIF(Проекты,I347)&lt;&gt;1,AND(H347&lt;&gt;"",COUNTIF(Контрагенты,H347)&lt;&gt;1),AND(C347="Перевод",OR(F347=G347,COUNTIF(Счета,G347)&lt;&gt;1)),AND(S347&lt;&gt;0,COUNTIF(Docs[ID],J347)&lt;&gt;1),AND(Форма="ООО",C347="Вывод ИП"),AND(Форма="ИП",C347="Дивиденды"),AND(L347&lt;&gt;"Проведён",L347&lt;&gt;"Черновик")),"ОШИБКА","ОК"))</f>
        <v/>
      </c>
      <c r="W347" s="25" t="str">
        <f>IF(A347="","",SUMIF(Accounts[Счёт],F347,Accounts[Начальный])+SUMIFS($Q$7:Q347,$F$7:F347,F347)+SUMIFS($E$7:E347,$G$7:G347,F347,$C$7:C347,"Перевод",$L$7:L347,"Проведён"))</f>
        <v/>
      </c>
    </row>
    <row r="348" spans="1:23" x14ac:dyDescent="0.25">
      <c r="A348" s="22"/>
      <c r="B348" s="23"/>
      <c r="C348" s="22"/>
      <c r="D348" s="22"/>
      <c r="E348" s="27"/>
      <c r="F348" s="22"/>
      <c r="G348" s="22"/>
      <c r="H348" s="22"/>
      <c r="I348" s="22"/>
      <c r="J348" s="22"/>
      <c r="K348" s="22"/>
      <c r="L348" s="22"/>
      <c r="M348" s="22"/>
      <c r="N348" s="27"/>
      <c r="O348" s="22"/>
      <c r="P348" s="5" t="str">
        <f>IF(A348="","",IF(COUNTIF(Типы,C348)=0,0,VLOOKUP(C348,СПРАВОЧНИКИ!$A$7:$E$22,2,FALSE)))</f>
        <v/>
      </c>
      <c r="Q348" s="25" t="str">
        <f t="shared" si="5"/>
        <v/>
      </c>
      <c r="R348" s="5" t="str">
        <f>IF(A348="","",IF(COUNTIF(Типы,C348)=0,"НЕИЗВЕСТНЫЙ ТИП",VLOOKUP(C348,СПРАВОЧНИКИ!$A$7:$E$22,3,FALSE)))</f>
        <v/>
      </c>
      <c r="S348" s="26" t="str">
        <f>IF(A348="","",IF(L348="Проведён",E348*IF(COUNTIF(Типы,C348)=0,0,VLOOKUP(C348,СПРАВОЧНИКИ!$A$7:$E$22,4,FALSE)),0))</f>
        <v/>
      </c>
      <c r="T348" s="26" t="str">
        <f>IF(A348="","",IF(L348="Проведён",E348*IF(COUNTIF(Типы,C348)=0,0,VLOOKUP(C348,СПРАВОЧНИКИ!$A$7:$E$22,5,FALSE)),0))</f>
        <v/>
      </c>
      <c r="U348" s="5" t="str">
        <f>IF(A348="","",IF(COUNTIF(Контрагенты,H348)=0,"Не задан",VLOOKUP(H348,СПРАВОЧНИКИ!$G$7:$H$66,2,FALSE)))</f>
        <v/>
      </c>
      <c r="V348" s="4" t="str">
        <f>IF(A348="",IF(COUNTA(B348:O348)&gt;0,"НЕТ ID",""),IF(OR(AND(OR(C348="Оплата клиента",C348="Возврат клиенту"),COUNTIFS(Docs[ID],J348,Docs[Тип долга],"ДЗ")&lt;&gt;1),AND(OR(C348="Оплата поставщику",C348="Возврат поставщика"),COUNTIFS(Docs[ID],J348,Docs[Тип долга],"КЗ",Docs[Вид],"&lt;&gt;Дивиденды")&lt;&gt;1),AND(C348="Дивиденды",COUNTIFS(Docs[ID],J348,Docs[Вид],"Дивиденды")&lt;&gt;1),AND(C348="Проценты",COUNTIFS(Docs[ID],J348,Docs[Вид],"Проценты")&lt;&gt;1),COUNTIF(Cash[ID],A348)&gt;1,NOT(ISNUMBER(B348)),B348&lt;НачалоУчета,YEAR(B348)&lt;&gt;Год,NOT(ISNUMBER(E348)),E348&lt;=0,N348&lt;0,COUNTIF(Типы,C348)&lt;&gt;1,COUNTIF(Категории,D348)&lt;&gt;1,COUNTIF(Счета,F348)&lt;&gt;1,COUNTIF(Проекты,I348)&lt;&gt;1,AND(H348&lt;&gt;"",COUNTIF(Контрагенты,H348)&lt;&gt;1),AND(C348="Перевод",OR(F348=G348,COUNTIF(Счета,G348)&lt;&gt;1)),AND(S348&lt;&gt;0,COUNTIF(Docs[ID],J348)&lt;&gt;1),AND(Форма="ООО",C348="Вывод ИП"),AND(Форма="ИП",C348="Дивиденды"),AND(L348&lt;&gt;"Проведён",L348&lt;&gt;"Черновик")),"ОШИБКА","ОК"))</f>
        <v/>
      </c>
      <c r="W348" s="25" t="str">
        <f>IF(A348="","",SUMIF(Accounts[Счёт],F348,Accounts[Начальный])+SUMIFS($Q$7:Q348,$F$7:F348,F348)+SUMIFS($E$7:E348,$G$7:G348,F348,$C$7:C348,"Перевод",$L$7:L348,"Проведён"))</f>
        <v/>
      </c>
    </row>
    <row r="349" spans="1:23" x14ac:dyDescent="0.25">
      <c r="A349" s="22"/>
      <c r="B349" s="23"/>
      <c r="C349" s="22"/>
      <c r="D349" s="22"/>
      <c r="E349" s="27"/>
      <c r="F349" s="22"/>
      <c r="G349" s="22"/>
      <c r="H349" s="22"/>
      <c r="I349" s="22"/>
      <c r="J349" s="22"/>
      <c r="K349" s="22"/>
      <c r="L349" s="22"/>
      <c r="M349" s="22"/>
      <c r="N349" s="27"/>
      <c r="O349" s="22"/>
      <c r="P349" s="5" t="str">
        <f>IF(A349="","",IF(COUNTIF(Типы,C349)=0,0,VLOOKUP(C349,СПРАВОЧНИКИ!$A$7:$E$22,2,FALSE)))</f>
        <v/>
      </c>
      <c r="Q349" s="25" t="str">
        <f t="shared" si="5"/>
        <v/>
      </c>
      <c r="R349" s="5" t="str">
        <f>IF(A349="","",IF(COUNTIF(Типы,C349)=0,"НЕИЗВЕСТНЫЙ ТИП",VLOOKUP(C349,СПРАВОЧНИКИ!$A$7:$E$22,3,FALSE)))</f>
        <v/>
      </c>
      <c r="S349" s="26" t="str">
        <f>IF(A349="","",IF(L349="Проведён",E349*IF(COUNTIF(Типы,C349)=0,0,VLOOKUP(C349,СПРАВОЧНИКИ!$A$7:$E$22,4,FALSE)),0))</f>
        <v/>
      </c>
      <c r="T349" s="26" t="str">
        <f>IF(A349="","",IF(L349="Проведён",E349*IF(COUNTIF(Типы,C349)=0,0,VLOOKUP(C349,СПРАВОЧНИКИ!$A$7:$E$22,5,FALSE)),0))</f>
        <v/>
      </c>
      <c r="U349" s="5" t="str">
        <f>IF(A349="","",IF(COUNTIF(Контрагенты,H349)=0,"Не задан",VLOOKUP(H349,СПРАВОЧНИКИ!$G$7:$H$66,2,FALSE)))</f>
        <v/>
      </c>
      <c r="V349" s="4" t="str">
        <f>IF(A349="",IF(COUNTA(B349:O349)&gt;0,"НЕТ ID",""),IF(OR(AND(OR(C349="Оплата клиента",C349="Возврат клиенту"),COUNTIFS(Docs[ID],J349,Docs[Тип долга],"ДЗ")&lt;&gt;1),AND(OR(C349="Оплата поставщику",C349="Возврат поставщика"),COUNTIFS(Docs[ID],J349,Docs[Тип долга],"КЗ",Docs[Вид],"&lt;&gt;Дивиденды")&lt;&gt;1),AND(C349="Дивиденды",COUNTIFS(Docs[ID],J349,Docs[Вид],"Дивиденды")&lt;&gt;1),AND(C349="Проценты",COUNTIFS(Docs[ID],J349,Docs[Вид],"Проценты")&lt;&gt;1),COUNTIF(Cash[ID],A349)&gt;1,NOT(ISNUMBER(B349)),B349&lt;НачалоУчета,YEAR(B349)&lt;&gt;Год,NOT(ISNUMBER(E349)),E349&lt;=0,N349&lt;0,COUNTIF(Типы,C349)&lt;&gt;1,COUNTIF(Категории,D349)&lt;&gt;1,COUNTIF(Счета,F349)&lt;&gt;1,COUNTIF(Проекты,I349)&lt;&gt;1,AND(H349&lt;&gt;"",COUNTIF(Контрагенты,H349)&lt;&gt;1),AND(C349="Перевод",OR(F349=G349,COUNTIF(Счета,G349)&lt;&gt;1)),AND(S349&lt;&gt;0,COUNTIF(Docs[ID],J349)&lt;&gt;1),AND(Форма="ООО",C349="Вывод ИП"),AND(Форма="ИП",C349="Дивиденды"),AND(L349&lt;&gt;"Проведён",L349&lt;&gt;"Черновик")),"ОШИБКА","ОК"))</f>
        <v/>
      </c>
      <c r="W349" s="25" t="str">
        <f>IF(A349="","",SUMIF(Accounts[Счёт],F349,Accounts[Начальный])+SUMIFS($Q$7:Q349,$F$7:F349,F349)+SUMIFS($E$7:E349,$G$7:G349,F349,$C$7:C349,"Перевод",$L$7:L349,"Проведён"))</f>
        <v/>
      </c>
    </row>
    <row r="350" spans="1:23" x14ac:dyDescent="0.25">
      <c r="A350" s="22"/>
      <c r="B350" s="23"/>
      <c r="C350" s="22"/>
      <c r="D350" s="22"/>
      <c r="E350" s="27"/>
      <c r="F350" s="22"/>
      <c r="G350" s="22"/>
      <c r="H350" s="22"/>
      <c r="I350" s="22"/>
      <c r="J350" s="22"/>
      <c r="K350" s="22"/>
      <c r="L350" s="22"/>
      <c r="M350" s="22"/>
      <c r="N350" s="27"/>
      <c r="O350" s="22"/>
      <c r="P350" s="5" t="str">
        <f>IF(A350="","",IF(COUNTIF(Типы,C350)=0,0,VLOOKUP(C350,СПРАВОЧНИКИ!$A$7:$E$22,2,FALSE)))</f>
        <v/>
      </c>
      <c r="Q350" s="25" t="str">
        <f t="shared" si="5"/>
        <v/>
      </c>
      <c r="R350" s="5" t="str">
        <f>IF(A350="","",IF(COUNTIF(Типы,C350)=0,"НЕИЗВЕСТНЫЙ ТИП",VLOOKUP(C350,СПРАВОЧНИКИ!$A$7:$E$22,3,FALSE)))</f>
        <v/>
      </c>
      <c r="S350" s="26" t="str">
        <f>IF(A350="","",IF(L350="Проведён",E350*IF(COUNTIF(Типы,C350)=0,0,VLOOKUP(C350,СПРАВОЧНИКИ!$A$7:$E$22,4,FALSE)),0))</f>
        <v/>
      </c>
      <c r="T350" s="26" t="str">
        <f>IF(A350="","",IF(L350="Проведён",E350*IF(COUNTIF(Типы,C350)=0,0,VLOOKUP(C350,СПРАВОЧНИКИ!$A$7:$E$22,5,FALSE)),0))</f>
        <v/>
      </c>
      <c r="U350" s="5" t="str">
        <f>IF(A350="","",IF(COUNTIF(Контрагенты,H350)=0,"Не задан",VLOOKUP(H350,СПРАВОЧНИКИ!$G$7:$H$66,2,FALSE)))</f>
        <v/>
      </c>
      <c r="V350" s="4" t="str">
        <f>IF(A350="",IF(COUNTA(B350:O350)&gt;0,"НЕТ ID",""),IF(OR(AND(OR(C350="Оплата клиента",C350="Возврат клиенту"),COUNTIFS(Docs[ID],J350,Docs[Тип долга],"ДЗ")&lt;&gt;1),AND(OR(C350="Оплата поставщику",C350="Возврат поставщика"),COUNTIFS(Docs[ID],J350,Docs[Тип долга],"КЗ",Docs[Вид],"&lt;&gt;Дивиденды")&lt;&gt;1),AND(C350="Дивиденды",COUNTIFS(Docs[ID],J350,Docs[Вид],"Дивиденды")&lt;&gt;1),AND(C350="Проценты",COUNTIFS(Docs[ID],J350,Docs[Вид],"Проценты")&lt;&gt;1),COUNTIF(Cash[ID],A350)&gt;1,NOT(ISNUMBER(B350)),B350&lt;НачалоУчета,YEAR(B350)&lt;&gt;Год,NOT(ISNUMBER(E350)),E350&lt;=0,N350&lt;0,COUNTIF(Типы,C350)&lt;&gt;1,COUNTIF(Категории,D350)&lt;&gt;1,COUNTIF(Счета,F350)&lt;&gt;1,COUNTIF(Проекты,I350)&lt;&gt;1,AND(H350&lt;&gt;"",COUNTIF(Контрагенты,H350)&lt;&gt;1),AND(C350="Перевод",OR(F350=G350,COUNTIF(Счета,G350)&lt;&gt;1)),AND(S350&lt;&gt;0,COUNTIF(Docs[ID],J350)&lt;&gt;1),AND(Форма="ООО",C350="Вывод ИП"),AND(Форма="ИП",C350="Дивиденды"),AND(L350&lt;&gt;"Проведён",L350&lt;&gt;"Черновик")),"ОШИБКА","ОК"))</f>
        <v/>
      </c>
      <c r="W350" s="25" t="str">
        <f>IF(A350="","",SUMIF(Accounts[Счёт],F350,Accounts[Начальный])+SUMIFS($Q$7:Q350,$F$7:F350,F350)+SUMIFS($E$7:E350,$G$7:G350,F350,$C$7:C350,"Перевод",$L$7:L350,"Проведён"))</f>
        <v/>
      </c>
    </row>
    <row r="351" spans="1:23" x14ac:dyDescent="0.25">
      <c r="A351" s="22"/>
      <c r="B351" s="23"/>
      <c r="C351" s="22"/>
      <c r="D351" s="22"/>
      <c r="E351" s="27"/>
      <c r="F351" s="22"/>
      <c r="G351" s="22"/>
      <c r="H351" s="22"/>
      <c r="I351" s="22"/>
      <c r="J351" s="22"/>
      <c r="K351" s="22"/>
      <c r="L351" s="22"/>
      <c r="M351" s="22"/>
      <c r="N351" s="27"/>
      <c r="O351" s="22"/>
      <c r="P351" s="5" t="str">
        <f>IF(A351="","",IF(COUNTIF(Типы,C351)=0,0,VLOOKUP(C351,СПРАВОЧНИКИ!$A$7:$E$22,2,FALSE)))</f>
        <v/>
      </c>
      <c r="Q351" s="25" t="str">
        <f t="shared" si="5"/>
        <v/>
      </c>
      <c r="R351" s="5" t="str">
        <f>IF(A351="","",IF(COUNTIF(Типы,C351)=0,"НЕИЗВЕСТНЫЙ ТИП",VLOOKUP(C351,СПРАВОЧНИКИ!$A$7:$E$22,3,FALSE)))</f>
        <v/>
      </c>
      <c r="S351" s="26" t="str">
        <f>IF(A351="","",IF(L351="Проведён",E351*IF(COUNTIF(Типы,C351)=0,0,VLOOKUP(C351,СПРАВОЧНИКИ!$A$7:$E$22,4,FALSE)),0))</f>
        <v/>
      </c>
      <c r="T351" s="26" t="str">
        <f>IF(A351="","",IF(L351="Проведён",E351*IF(COUNTIF(Типы,C351)=0,0,VLOOKUP(C351,СПРАВОЧНИКИ!$A$7:$E$22,5,FALSE)),0))</f>
        <v/>
      </c>
      <c r="U351" s="5" t="str">
        <f>IF(A351="","",IF(COUNTIF(Контрагенты,H351)=0,"Не задан",VLOOKUP(H351,СПРАВОЧНИКИ!$G$7:$H$66,2,FALSE)))</f>
        <v/>
      </c>
      <c r="V351" s="4" t="str">
        <f>IF(A351="",IF(COUNTA(B351:O351)&gt;0,"НЕТ ID",""),IF(OR(AND(OR(C351="Оплата клиента",C351="Возврат клиенту"),COUNTIFS(Docs[ID],J351,Docs[Тип долга],"ДЗ")&lt;&gt;1),AND(OR(C351="Оплата поставщику",C351="Возврат поставщика"),COUNTIFS(Docs[ID],J351,Docs[Тип долга],"КЗ",Docs[Вид],"&lt;&gt;Дивиденды")&lt;&gt;1),AND(C351="Дивиденды",COUNTIFS(Docs[ID],J351,Docs[Вид],"Дивиденды")&lt;&gt;1),AND(C351="Проценты",COUNTIFS(Docs[ID],J351,Docs[Вид],"Проценты")&lt;&gt;1),COUNTIF(Cash[ID],A351)&gt;1,NOT(ISNUMBER(B351)),B351&lt;НачалоУчета,YEAR(B351)&lt;&gt;Год,NOT(ISNUMBER(E351)),E351&lt;=0,N351&lt;0,COUNTIF(Типы,C351)&lt;&gt;1,COUNTIF(Категории,D351)&lt;&gt;1,COUNTIF(Счета,F351)&lt;&gt;1,COUNTIF(Проекты,I351)&lt;&gt;1,AND(H351&lt;&gt;"",COUNTIF(Контрагенты,H351)&lt;&gt;1),AND(C351="Перевод",OR(F351=G351,COUNTIF(Счета,G351)&lt;&gt;1)),AND(S351&lt;&gt;0,COUNTIF(Docs[ID],J351)&lt;&gt;1),AND(Форма="ООО",C351="Вывод ИП"),AND(Форма="ИП",C351="Дивиденды"),AND(L351&lt;&gt;"Проведён",L351&lt;&gt;"Черновик")),"ОШИБКА","ОК"))</f>
        <v/>
      </c>
      <c r="W351" s="25" t="str">
        <f>IF(A351="","",SUMIF(Accounts[Счёт],F351,Accounts[Начальный])+SUMIFS($Q$7:Q351,$F$7:F351,F351)+SUMIFS($E$7:E351,$G$7:G351,F351,$C$7:C351,"Перевод",$L$7:L351,"Проведён"))</f>
        <v/>
      </c>
    </row>
    <row r="352" spans="1:23" x14ac:dyDescent="0.25">
      <c r="A352" s="22"/>
      <c r="B352" s="23"/>
      <c r="C352" s="22"/>
      <c r="D352" s="22"/>
      <c r="E352" s="27"/>
      <c r="F352" s="22"/>
      <c r="G352" s="22"/>
      <c r="H352" s="22"/>
      <c r="I352" s="22"/>
      <c r="J352" s="22"/>
      <c r="K352" s="22"/>
      <c r="L352" s="22"/>
      <c r="M352" s="22"/>
      <c r="N352" s="27"/>
      <c r="O352" s="22"/>
      <c r="P352" s="5" t="str">
        <f>IF(A352="","",IF(COUNTIF(Типы,C352)=0,0,VLOOKUP(C352,СПРАВОЧНИКИ!$A$7:$E$22,2,FALSE)))</f>
        <v/>
      </c>
      <c r="Q352" s="25" t="str">
        <f t="shared" si="5"/>
        <v/>
      </c>
      <c r="R352" s="5" t="str">
        <f>IF(A352="","",IF(COUNTIF(Типы,C352)=0,"НЕИЗВЕСТНЫЙ ТИП",VLOOKUP(C352,СПРАВОЧНИКИ!$A$7:$E$22,3,FALSE)))</f>
        <v/>
      </c>
      <c r="S352" s="26" t="str">
        <f>IF(A352="","",IF(L352="Проведён",E352*IF(COUNTIF(Типы,C352)=0,0,VLOOKUP(C352,СПРАВОЧНИКИ!$A$7:$E$22,4,FALSE)),0))</f>
        <v/>
      </c>
      <c r="T352" s="26" t="str">
        <f>IF(A352="","",IF(L352="Проведён",E352*IF(COUNTIF(Типы,C352)=0,0,VLOOKUP(C352,СПРАВОЧНИКИ!$A$7:$E$22,5,FALSE)),0))</f>
        <v/>
      </c>
      <c r="U352" s="5" t="str">
        <f>IF(A352="","",IF(COUNTIF(Контрагенты,H352)=0,"Не задан",VLOOKUP(H352,СПРАВОЧНИКИ!$G$7:$H$66,2,FALSE)))</f>
        <v/>
      </c>
      <c r="V352" s="4" t="str">
        <f>IF(A352="",IF(COUNTA(B352:O352)&gt;0,"НЕТ ID",""),IF(OR(AND(OR(C352="Оплата клиента",C352="Возврат клиенту"),COUNTIFS(Docs[ID],J352,Docs[Тип долга],"ДЗ")&lt;&gt;1),AND(OR(C352="Оплата поставщику",C352="Возврат поставщика"),COUNTIFS(Docs[ID],J352,Docs[Тип долга],"КЗ",Docs[Вид],"&lt;&gt;Дивиденды")&lt;&gt;1),AND(C352="Дивиденды",COUNTIFS(Docs[ID],J352,Docs[Вид],"Дивиденды")&lt;&gt;1),AND(C352="Проценты",COUNTIFS(Docs[ID],J352,Docs[Вид],"Проценты")&lt;&gt;1),COUNTIF(Cash[ID],A352)&gt;1,NOT(ISNUMBER(B352)),B352&lt;НачалоУчета,YEAR(B352)&lt;&gt;Год,NOT(ISNUMBER(E352)),E352&lt;=0,N352&lt;0,COUNTIF(Типы,C352)&lt;&gt;1,COUNTIF(Категории,D352)&lt;&gt;1,COUNTIF(Счета,F352)&lt;&gt;1,COUNTIF(Проекты,I352)&lt;&gt;1,AND(H352&lt;&gt;"",COUNTIF(Контрагенты,H352)&lt;&gt;1),AND(C352="Перевод",OR(F352=G352,COUNTIF(Счета,G352)&lt;&gt;1)),AND(S352&lt;&gt;0,COUNTIF(Docs[ID],J352)&lt;&gt;1),AND(Форма="ООО",C352="Вывод ИП"),AND(Форма="ИП",C352="Дивиденды"),AND(L352&lt;&gt;"Проведён",L352&lt;&gt;"Черновик")),"ОШИБКА","ОК"))</f>
        <v/>
      </c>
      <c r="W352" s="25" t="str">
        <f>IF(A352="","",SUMIF(Accounts[Счёт],F352,Accounts[Начальный])+SUMIFS($Q$7:Q352,$F$7:F352,F352)+SUMIFS($E$7:E352,$G$7:G352,F352,$C$7:C352,"Перевод",$L$7:L352,"Проведён"))</f>
        <v/>
      </c>
    </row>
    <row r="353" spans="1:23" x14ac:dyDescent="0.25">
      <c r="A353" s="22"/>
      <c r="B353" s="23"/>
      <c r="C353" s="22"/>
      <c r="D353" s="22"/>
      <c r="E353" s="27"/>
      <c r="F353" s="22"/>
      <c r="G353" s="22"/>
      <c r="H353" s="22"/>
      <c r="I353" s="22"/>
      <c r="J353" s="22"/>
      <c r="K353" s="22"/>
      <c r="L353" s="22"/>
      <c r="M353" s="22"/>
      <c r="N353" s="27"/>
      <c r="O353" s="22"/>
      <c r="P353" s="5" t="str">
        <f>IF(A353="","",IF(COUNTIF(Типы,C353)=0,0,VLOOKUP(C353,СПРАВОЧНИКИ!$A$7:$E$22,2,FALSE)))</f>
        <v/>
      </c>
      <c r="Q353" s="25" t="str">
        <f t="shared" si="5"/>
        <v/>
      </c>
      <c r="R353" s="5" t="str">
        <f>IF(A353="","",IF(COUNTIF(Типы,C353)=0,"НЕИЗВЕСТНЫЙ ТИП",VLOOKUP(C353,СПРАВОЧНИКИ!$A$7:$E$22,3,FALSE)))</f>
        <v/>
      </c>
      <c r="S353" s="26" t="str">
        <f>IF(A353="","",IF(L353="Проведён",E353*IF(COUNTIF(Типы,C353)=0,0,VLOOKUP(C353,СПРАВОЧНИКИ!$A$7:$E$22,4,FALSE)),0))</f>
        <v/>
      </c>
      <c r="T353" s="26" t="str">
        <f>IF(A353="","",IF(L353="Проведён",E353*IF(COUNTIF(Типы,C353)=0,0,VLOOKUP(C353,СПРАВОЧНИКИ!$A$7:$E$22,5,FALSE)),0))</f>
        <v/>
      </c>
      <c r="U353" s="5" t="str">
        <f>IF(A353="","",IF(COUNTIF(Контрагенты,H353)=0,"Не задан",VLOOKUP(H353,СПРАВОЧНИКИ!$G$7:$H$66,2,FALSE)))</f>
        <v/>
      </c>
      <c r="V353" s="4" t="str">
        <f>IF(A353="",IF(COUNTA(B353:O353)&gt;0,"НЕТ ID",""),IF(OR(AND(OR(C353="Оплата клиента",C353="Возврат клиенту"),COUNTIFS(Docs[ID],J353,Docs[Тип долга],"ДЗ")&lt;&gt;1),AND(OR(C353="Оплата поставщику",C353="Возврат поставщика"),COUNTIFS(Docs[ID],J353,Docs[Тип долга],"КЗ",Docs[Вид],"&lt;&gt;Дивиденды")&lt;&gt;1),AND(C353="Дивиденды",COUNTIFS(Docs[ID],J353,Docs[Вид],"Дивиденды")&lt;&gt;1),AND(C353="Проценты",COUNTIFS(Docs[ID],J353,Docs[Вид],"Проценты")&lt;&gt;1),COUNTIF(Cash[ID],A353)&gt;1,NOT(ISNUMBER(B353)),B353&lt;НачалоУчета,YEAR(B353)&lt;&gt;Год,NOT(ISNUMBER(E353)),E353&lt;=0,N353&lt;0,COUNTIF(Типы,C353)&lt;&gt;1,COUNTIF(Категории,D353)&lt;&gt;1,COUNTIF(Счета,F353)&lt;&gt;1,COUNTIF(Проекты,I353)&lt;&gt;1,AND(H353&lt;&gt;"",COUNTIF(Контрагенты,H353)&lt;&gt;1),AND(C353="Перевод",OR(F353=G353,COUNTIF(Счета,G353)&lt;&gt;1)),AND(S353&lt;&gt;0,COUNTIF(Docs[ID],J353)&lt;&gt;1),AND(Форма="ООО",C353="Вывод ИП"),AND(Форма="ИП",C353="Дивиденды"),AND(L353&lt;&gt;"Проведён",L353&lt;&gt;"Черновик")),"ОШИБКА","ОК"))</f>
        <v/>
      </c>
      <c r="W353" s="25" t="str">
        <f>IF(A353="","",SUMIF(Accounts[Счёт],F353,Accounts[Начальный])+SUMIFS($Q$7:Q353,$F$7:F353,F353)+SUMIFS($E$7:E353,$G$7:G353,F353,$C$7:C353,"Перевод",$L$7:L353,"Проведён"))</f>
        <v/>
      </c>
    </row>
    <row r="354" spans="1:23" x14ac:dyDescent="0.25">
      <c r="A354" s="22"/>
      <c r="B354" s="23"/>
      <c r="C354" s="22"/>
      <c r="D354" s="22"/>
      <c r="E354" s="27"/>
      <c r="F354" s="22"/>
      <c r="G354" s="22"/>
      <c r="H354" s="22"/>
      <c r="I354" s="22"/>
      <c r="J354" s="22"/>
      <c r="K354" s="22"/>
      <c r="L354" s="22"/>
      <c r="M354" s="22"/>
      <c r="N354" s="27"/>
      <c r="O354" s="22"/>
      <c r="P354" s="5" t="str">
        <f>IF(A354="","",IF(COUNTIF(Типы,C354)=0,0,VLOOKUP(C354,СПРАВОЧНИКИ!$A$7:$E$22,2,FALSE)))</f>
        <v/>
      </c>
      <c r="Q354" s="25" t="str">
        <f t="shared" si="5"/>
        <v/>
      </c>
      <c r="R354" s="5" t="str">
        <f>IF(A354="","",IF(COUNTIF(Типы,C354)=0,"НЕИЗВЕСТНЫЙ ТИП",VLOOKUP(C354,СПРАВОЧНИКИ!$A$7:$E$22,3,FALSE)))</f>
        <v/>
      </c>
      <c r="S354" s="26" t="str">
        <f>IF(A354="","",IF(L354="Проведён",E354*IF(COUNTIF(Типы,C354)=0,0,VLOOKUP(C354,СПРАВОЧНИКИ!$A$7:$E$22,4,FALSE)),0))</f>
        <v/>
      </c>
      <c r="T354" s="26" t="str">
        <f>IF(A354="","",IF(L354="Проведён",E354*IF(COUNTIF(Типы,C354)=0,0,VLOOKUP(C354,СПРАВОЧНИКИ!$A$7:$E$22,5,FALSE)),0))</f>
        <v/>
      </c>
      <c r="U354" s="5" t="str">
        <f>IF(A354="","",IF(COUNTIF(Контрагенты,H354)=0,"Не задан",VLOOKUP(H354,СПРАВОЧНИКИ!$G$7:$H$66,2,FALSE)))</f>
        <v/>
      </c>
      <c r="V354" s="4" t="str">
        <f>IF(A354="",IF(COUNTA(B354:O354)&gt;0,"НЕТ ID",""),IF(OR(AND(OR(C354="Оплата клиента",C354="Возврат клиенту"),COUNTIFS(Docs[ID],J354,Docs[Тип долга],"ДЗ")&lt;&gt;1),AND(OR(C354="Оплата поставщику",C354="Возврат поставщика"),COUNTIFS(Docs[ID],J354,Docs[Тип долга],"КЗ",Docs[Вид],"&lt;&gt;Дивиденды")&lt;&gt;1),AND(C354="Дивиденды",COUNTIFS(Docs[ID],J354,Docs[Вид],"Дивиденды")&lt;&gt;1),AND(C354="Проценты",COUNTIFS(Docs[ID],J354,Docs[Вид],"Проценты")&lt;&gt;1),COUNTIF(Cash[ID],A354)&gt;1,NOT(ISNUMBER(B354)),B354&lt;НачалоУчета,YEAR(B354)&lt;&gt;Год,NOT(ISNUMBER(E354)),E354&lt;=0,N354&lt;0,COUNTIF(Типы,C354)&lt;&gt;1,COUNTIF(Категории,D354)&lt;&gt;1,COUNTIF(Счета,F354)&lt;&gt;1,COUNTIF(Проекты,I354)&lt;&gt;1,AND(H354&lt;&gt;"",COUNTIF(Контрагенты,H354)&lt;&gt;1),AND(C354="Перевод",OR(F354=G354,COUNTIF(Счета,G354)&lt;&gt;1)),AND(S354&lt;&gt;0,COUNTIF(Docs[ID],J354)&lt;&gt;1),AND(Форма="ООО",C354="Вывод ИП"),AND(Форма="ИП",C354="Дивиденды"),AND(L354&lt;&gt;"Проведён",L354&lt;&gt;"Черновик")),"ОШИБКА","ОК"))</f>
        <v/>
      </c>
      <c r="W354" s="25" t="str">
        <f>IF(A354="","",SUMIF(Accounts[Счёт],F354,Accounts[Начальный])+SUMIFS($Q$7:Q354,$F$7:F354,F354)+SUMIFS($E$7:E354,$G$7:G354,F354,$C$7:C354,"Перевод",$L$7:L354,"Проведён"))</f>
        <v/>
      </c>
    </row>
    <row r="355" spans="1:23" x14ac:dyDescent="0.25">
      <c r="A355" s="22"/>
      <c r="B355" s="23"/>
      <c r="C355" s="22"/>
      <c r="D355" s="22"/>
      <c r="E355" s="27"/>
      <c r="F355" s="22"/>
      <c r="G355" s="22"/>
      <c r="H355" s="22"/>
      <c r="I355" s="22"/>
      <c r="J355" s="22"/>
      <c r="K355" s="22"/>
      <c r="L355" s="22"/>
      <c r="M355" s="22"/>
      <c r="N355" s="27"/>
      <c r="O355" s="22"/>
      <c r="P355" s="5" t="str">
        <f>IF(A355="","",IF(COUNTIF(Типы,C355)=0,0,VLOOKUP(C355,СПРАВОЧНИКИ!$A$7:$E$22,2,FALSE)))</f>
        <v/>
      </c>
      <c r="Q355" s="25" t="str">
        <f t="shared" si="5"/>
        <v/>
      </c>
      <c r="R355" s="5" t="str">
        <f>IF(A355="","",IF(COUNTIF(Типы,C355)=0,"НЕИЗВЕСТНЫЙ ТИП",VLOOKUP(C355,СПРАВОЧНИКИ!$A$7:$E$22,3,FALSE)))</f>
        <v/>
      </c>
      <c r="S355" s="26" t="str">
        <f>IF(A355="","",IF(L355="Проведён",E355*IF(COUNTIF(Типы,C355)=0,0,VLOOKUP(C355,СПРАВОЧНИКИ!$A$7:$E$22,4,FALSE)),0))</f>
        <v/>
      </c>
      <c r="T355" s="26" t="str">
        <f>IF(A355="","",IF(L355="Проведён",E355*IF(COUNTIF(Типы,C355)=0,0,VLOOKUP(C355,СПРАВОЧНИКИ!$A$7:$E$22,5,FALSE)),0))</f>
        <v/>
      </c>
      <c r="U355" s="5" t="str">
        <f>IF(A355="","",IF(COUNTIF(Контрагенты,H355)=0,"Не задан",VLOOKUP(H355,СПРАВОЧНИКИ!$G$7:$H$66,2,FALSE)))</f>
        <v/>
      </c>
      <c r="V355" s="4" t="str">
        <f>IF(A355="",IF(COUNTA(B355:O355)&gt;0,"НЕТ ID",""),IF(OR(AND(OR(C355="Оплата клиента",C355="Возврат клиенту"),COUNTIFS(Docs[ID],J355,Docs[Тип долга],"ДЗ")&lt;&gt;1),AND(OR(C355="Оплата поставщику",C355="Возврат поставщика"),COUNTIFS(Docs[ID],J355,Docs[Тип долга],"КЗ",Docs[Вид],"&lt;&gt;Дивиденды")&lt;&gt;1),AND(C355="Дивиденды",COUNTIFS(Docs[ID],J355,Docs[Вид],"Дивиденды")&lt;&gt;1),AND(C355="Проценты",COUNTIFS(Docs[ID],J355,Docs[Вид],"Проценты")&lt;&gt;1),COUNTIF(Cash[ID],A355)&gt;1,NOT(ISNUMBER(B355)),B355&lt;НачалоУчета,YEAR(B355)&lt;&gt;Год,NOT(ISNUMBER(E355)),E355&lt;=0,N355&lt;0,COUNTIF(Типы,C355)&lt;&gt;1,COUNTIF(Категории,D355)&lt;&gt;1,COUNTIF(Счета,F355)&lt;&gt;1,COUNTIF(Проекты,I355)&lt;&gt;1,AND(H355&lt;&gt;"",COUNTIF(Контрагенты,H355)&lt;&gt;1),AND(C355="Перевод",OR(F355=G355,COUNTIF(Счета,G355)&lt;&gt;1)),AND(S355&lt;&gt;0,COUNTIF(Docs[ID],J355)&lt;&gt;1),AND(Форма="ООО",C355="Вывод ИП"),AND(Форма="ИП",C355="Дивиденды"),AND(L355&lt;&gt;"Проведён",L355&lt;&gt;"Черновик")),"ОШИБКА","ОК"))</f>
        <v/>
      </c>
      <c r="W355" s="25" t="str">
        <f>IF(A355="","",SUMIF(Accounts[Счёт],F355,Accounts[Начальный])+SUMIFS($Q$7:Q355,$F$7:F355,F355)+SUMIFS($E$7:E355,$G$7:G355,F355,$C$7:C355,"Перевод",$L$7:L355,"Проведён"))</f>
        <v/>
      </c>
    </row>
    <row r="356" spans="1:23" x14ac:dyDescent="0.25">
      <c r="A356" s="22"/>
      <c r="B356" s="23"/>
      <c r="C356" s="22"/>
      <c r="D356" s="22"/>
      <c r="E356" s="27"/>
      <c r="F356" s="22"/>
      <c r="G356" s="22"/>
      <c r="H356" s="22"/>
      <c r="I356" s="22"/>
      <c r="J356" s="22"/>
      <c r="K356" s="22"/>
      <c r="L356" s="22"/>
      <c r="M356" s="22"/>
      <c r="N356" s="27"/>
      <c r="O356" s="22"/>
      <c r="P356" s="5" t="str">
        <f>IF(A356="","",IF(COUNTIF(Типы,C356)=0,0,VLOOKUP(C356,СПРАВОЧНИКИ!$A$7:$E$22,2,FALSE)))</f>
        <v/>
      </c>
      <c r="Q356" s="25" t="str">
        <f t="shared" si="5"/>
        <v/>
      </c>
      <c r="R356" s="5" t="str">
        <f>IF(A356="","",IF(COUNTIF(Типы,C356)=0,"НЕИЗВЕСТНЫЙ ТИП",VLOOKUP(C356,СПРАВОЧНИКИ!$A$7:$E$22,3,FALSE)))</f>
        <v/>
      </c>
      <c r="S356" s="26" t="str">
        <f>IF(A356="","",IF(L356="Проведён",E356*IF(COUNTIF(Типы,C356)=0,0,VLOOKUP(C356,СПРАВОЧНИКИ!$A$7:$E$22,4,FALSE)),0))</f>
        <v/>
      </c>
      <c r="T356" s="26" t="str">
        <f>IF(A356="","",IF(L356="Проведён",E356*IF(COUNTIF(Типы,C356)=0,0,VLOOKUP(C356,СПРАВОЧНИКИ!$A$7:$E$22,5,FALSE)),0))</f>
        <v/>
      </c>
      <c r="U356" s="5" t="str">
        <f>IF(A356="","",IF(COUNTIF(Контрагенты,H356)=0,"Не задан",VLOOKUP(H356,СПРАВОЧНИКИ!$G$7:$H$66,2,FALSE)))</f>
        <v/>
      </c>
      <c r="V356" s="4" t="str">
        <f>IF(A356="",IF(COUNTA(B356:O356)&gt;0,"НЕТ ID",""),IF(OR(AND(OR(C356="Оплата клиента",C356="Возврат клиенту"),COUNTIFS(Docs[ID],J356,Docs[Тип долга],"ДЗ")&lt;&gt;1),AND(OR(C356="Оплата поставщику",C356="Возврат поставщика"),COUNTIFS(Docs[ID],J356,Docs[Тип долга],"КЗ",Docs[Вид],"&lt;&gt;Дивиденды")&lt;&gt;1),AND(C356="Дивиденды",COUNTIFS(Docs[ID],J356,Docs[Вид],"Дивиденды")&lt;&gt;1),AND(C356="Проценты",COUNTIFS(Docs[ID],J356,Docs[Вид],"Проценты")&lt;&gt;1),COUNTIF(Cash[ID],A356)&gt;1,NOT(ISNUMBER(B356)),B356&lt;НачалоУчета,YEAR(B356)&lt;&gt;Год,NOT(ISNUMBER(E356)),E356&lt;=0,N356&lt;0,COUNTIF(Типы,C356)&lt;&gt;1,COUNTIF(Категории,D356)&lt;&gt;1,COUNTIF(Счета,F356)&lt;&gt;1,COUNTIF(Проекты,I356)&lt;&gt;1,AND(H356&lt;&gt;"",COUNTIF(Контрагенты,H356)&lt;&gt;1),AND(C356="Перевод",OR(F356=G356,COUNTIF(Счета,G356)&lt;&gt;1)),AND(S356&lt;&gt;0,COUNTIF(Docs[ID],J356)&lt;&gt;1),AND(Форма="ООО",C356="Вывод ИП"),AND(Форма="ИП",C356="Дивиденды"),AND(L356&lt;&gt;"Проведён",L356&lt;&gt;"Черновик")),"ОШИБКА","ОК"))</f>
        <v/>
      </c>
      <c r="W356" s="25" t="str">
        <f>IF(A356="","",SUMIF(Accounts[Счёт],F356,Accounts[Начальный])+SUMIFS($Q$7:Q356,$F$7:F356,F356)+SUMIFS($E$7:E356,$G$7:G356,F356,$C$7:C356,"Перевод",$L$7:L356,"Проведён"))</f>
        <v/>
      </c>
    </row>
    <row r="357" spans="1:23" x14ac:dyDescent="0.25">
      <c r="A357" s="22"/>
      <c r="B357" s="23"/>
      <c r="C357" s="22"/>
      <c r="D357" s="22"/>
      <c r="E357" s="27"/>
      <c r="F357" s="22"/>
      <c r="G357" s="22"/>
      <c r="H357" s="22"/>
      <c r="I357" s="22"/>
      <c r="J357" s="22"/>
      <c r="K357" s="22"/>
      <c r="L357" s="22"/>
      <c r="M357" s="22"/>
      <c r="N357" s="27"/>
      <c r="O357" s="22"/>
      <c r="P357" s="5" t="str">
        <f>IF(A357="","",IF(COUNTIF(Типы,C357)=0,0,VLOOKUP(C357,СПРАВОЧНИКИ!$A$7:$E$22,2,FALSE)))</f>
        <v/>
      </c>
      <c r="Q357" s="25" t="str">
        <f t="shared" si="5"/>
        <v/>
      </c>
      <c r="R357" s="5" t="str">
        <f>IF(A357="","",IF(COUNTIF(Типы,C357)=0,"НЕИЗВЕСТНЫЙ ТИП",VLOOKUP(C357,СПРАВОЧНИКИ!$A$7:$E$22,3,FALSE)))</f>
        <v/>
      </c>
      <c r="S357" s="26" t="str">
        <f>IF(A357="","",IF(L357="Проведён",E357*IF(COUNTIF(Типы,C357)=0,0,VLOOKUP(C357,СПРАВОЧНИКИ!$A$7:$E$22,4,FALSE)),0))</f>
        <v/>
      </c>
      <c r="T357" s="26" t="str">
        <f>IF(A357="","",IF(L357="Проведён",E357*IF(COUNTIF(Типы,C357)=0,0,VLOOKUP(C357,СПРАВОЧНИКИ!$A$7:$E$22,5,FALSE)),0))</f>
        <v/>
      </c>
      <c r="U357" s="5" t="str">
        <f>IF(A357="","",IF(COUNTIF(Контрагенты,H357)=0,"Не задан",VLOOKUP(H357,СПРАВОЧНИКИ!$G$7:$H$66,2,FALSE)))</f>
        <v/>
      </c>
      <c r="V357" s="4" t="str">
        <f>IF(A357="",IF(COUNTA(B357:O357)&gt;0,"НЕТ ID",""),IF(OR(AND(OR(C357="Оплата клиента",C357="Возврат клиенту"),COUNTIFS(Docs[ID],J357,Docs[Тип долга],"ДЗ")&lt;&gt;1),AND(OR(C357="Оплата поставщику",C357="Возврат поставщика"),COUNTIFS(Docs[ID],J357,Docs[Тип долга],"КЗ",Docs[Вид],"&lt;&gt;Дивиденды")&lt;&gt;1),AND(C357="Дивиденды",COUNTIFS(Docs[ID],J357,Docs[Вид],"Дивиденды")&lt;&gt;1),AND(C357="Проценты",COUNTIFS(Docs[ID],J357,Docs[Вид],"Проценты")&lt;&gt;1),COUNTIF(Cash[ID],A357)&gt;1,NOT(ISNUMBER(B357)),B357&lt;НачалоУчета,YEAR(B357)&lt;&gt;Год,NOT(ISNUMBER(E357)),E357&lt;=0,N357&lt;0,COUNTIF(Типы,C357)&lt;&gt;1,COUNTIF(Категории,D357)&lt;&gt;1,COUNTIF(Счета,F357)&lt;&gt;1,COUNTIF(Проекты,I357)&lt;&gt;1,AND(H357&lt;&gt;"",COUNTIF(Контрагенты,H357)&lt;&gt;1),AND(C357="Перевод",OR(F357=G357,COUNTIF(Счета,G357)&lt;&gt;1)),AND(S357&lt;&gt;0,COUNTIF(Docs[ID],J357)&lt;&gt;1),AND(Форма="ООО",C357="Вывод ИП"),AND(Форма="ИП",C357="Дивиденды"),AND(L357&lt;&gt;"Проведён",L357&lt;&gt;"Черновик")),"ОШИБКА","ОК"))</f>
        <v/>
      </c>
      <c r="W357" s="25" t="str">
        <f>IF(A357="","",SUMIF(Accounts[Счёт],F357,Accounts[Начальный])+SUMIFS($Q$7:Q357,$F$7:F357,F357)+SUMIFS($E$7:E357,$G$7:G357,F357,$C$7:C357,"Перевод",$L$7:L357,"Проведён"))</f>
        <v/>
      </c>
    </row>
    <row r="358" spans="1:23" x14ac:dyDescent="0.25">
      <c r="A358" s="22"/>
      <c r="B358" s="23"/>
      <c r="C358" s="22"/>
      <c r="D358" s="22"/>
      <c r="E358" s="27"/>
      <c r="F358" s="22"/>
      <c r="G358" s="22"/>
      <c r="H358" s="22"/>
      <c r="I358" s="22"/>
      <c r="J358" s="22"/>
      <c r="K358" s="22"/>
      <c r="L358" s="22"/>
      <c r="M358" s="22"/>
      <c r="N358" s="27"/>
      <c r="O358" s="22"/>
      <c r="P358" s="5" t="str">
        <f>IF(A358="","",IF(COUNTIF(Типы,C358)=0,0,VLOOKUP(C358,СПРАВОЧНИКИ!$A$7:$E$22,2,FALSE)))</f>
        <v/>
      </c>
      <c r="Q358" s="25" t="str">
        <f t="shared" si="5"/>
        <v/>
      </c>
      <c r="R358" s="5" t="str">
        <f>IF(A358="","",IF(COUNTIF(Типы,C358)=0,"НЕИЗВЕСТНЫЙ ТИП",VLOOKUP(C358,СПРАВОЧНИКИ!$A$7:$E$22,3,FALSE)))</f>
        <v/>
      </c>
      <c r="S358" s="26" t="str">
        <f>IF(A358="","",IF(L358="Проведён",E358*IF(COUNTIF(Типы,C358)=0,0,VLOOKUP(C358,СПРАВОЧНИКИ!$A$7:$E$22,4,FALSE)),0))</f>
        <v/>
      </c>
      <c r="T358" s="26" t="str">
        <f>IF(A358="","",IF(L358="Проведён",E358*IF(COUNTIF(Типы,C358)=0,0,VLOOKUP(C358,СПРАВОЧНИКИ!$A$7:$E$22,5,FALSE)),0))</f>
        <v/>
      </c>
      <c r="U358" s="5" t="str">
        <f>IF(A358="","",IF(COUNTIF(Контрагенты,H358)=0,"Не задан",VLOOKUP(H358,СПРАВОЧНИКИ!$G$7:$H$66,2,FALSE)))</f>
        <v/>
      </c>
      <c r="V358" s="4" t="str">
        <f>IF(A358="",IF(COUNTA(B358:O358)&gt;0,"НЕТ ID",""),IF(OR(AND(OR(C358="Оплата клиента",C358="Возврат клиенту"),COUNTIFS(Docs[ID],J358,Docs[Тип долга],"ДЗ")&lt;&gt;1),AND(OR(C358="Оплата поставщику",C358="Возврат поставщика"),COUNTIFS(Docs[ID],J358,Docs[Тип долга],"КЗ",Docs[Вид],"&lt;&gt;Дивиденды")&lt;&gt;1),AND(C358="Дивиденды",COUNTIFS(Docs[ID],J358,Docs[Вид],"Дивиденды")&lt;&gt;1),AND(C358="Проценты",COUNTIFS(Docs[ID],J358,Docs[Вид],"Проценты")&lt;&gt;1),COUNTIF(Cash[ID],A358)&gt;1,NOT(ISNUMBER(B358)),B358&lt;НачалоУчета,YEAR(B358)&lt;&gt;Год,NOT(ISNUMBER(E358)),E358&lt;=0,N358&lt;0,COUNTIF(Типы,C358)&lt;&gt;1,COUNTIF(Категории,D358)&lt;&gt;1,COUNTIF(Счета,F358)&lt;&gt;1,COUNTIF(Проекты,I358)&lt;&gt;1,AND(H358&lt;&gt;"",COUNTIF(Контрагенты,H358)&lt;&gt;1),AND(C358="Перевод",OR(F358=G358,COUNTIF(Счета,G358)&lt;&gt;1)),AND(S358&lt;&gt;0,COUNTIF(Docs[ID],J358)&lt;&gt;1),AND(Форма="ООО",C358="Вывод ИП"),AND(Форма="ИП",C358="Дивиденды"),AND(L358&lt;&gt;"Проведён",L358&lt;&gt;"Черновик")),"ОШИБКА","ОК"))</f>
        <v/>
      </c>
      <c r="W358" s="25" t="str">
        <f>IF(A358="","",SUMIF(Accounts[Счёт],F358,Accounts[Начальный])+SUMIFS($Q$7:Q358,$F$7:F358,F358)+SUMIFS($E$7:E358,$G$7:G358,F358,$C$7:C358,"Перевод",$L$7:L358,"Проведён"))</f>
        <v/>
      </c>
    </row>
    <row r="359" spans="1:23" x14ac:dyDescent="0.25">
      <c r="A359" s="22"/>
      <c r="B359" s="23"/>
      <c r="C359" s="22"/>
      <c r="D359" s="22"/>
      <c r="E359" s="27"/>
      <c r="F359" s="22"/>
      <c r="G359" s="22"/>
      <c r="H359" s="22"/>
      <c r="I359" s="22"/>
      <c r="J359" s="22"/>
      <c r="K359" s="22"/>
      <c r="L359" s="22"/>
      <c r="M359" s="22"/>
      <c r="N359" s="27"/>
      <c r="O359" s="22"/>
      <c r="P359" s="5" t="str">
        <f>IF(A359="","",IF(COUNTIF(Типы,C359)=0,0,VLOOKUP(C359,СПРАВОЧНИКИ!$A$7:$E$22,2,FALSE)))</f>
        <v/>
      </c>
      <c r="Q359" s="25" t="str">
        <f t="shared" si="5"/>
        <v/>
      </c>
      <c r="R359" s="5" t="str">
        <f>IF(A359="","",IF(COUNTIF(Типы,C359)=0,"НЕИЗВЕСТНЫЙ ТИП",VLOOKUP(C359,СПРАВОЧНИКИ!$A$7:$E$22,3,FALSE)))</f>
        <v/>
      </c>
      <c r="S359" s="26" t="str">
        <f>IF(A359="","",IF(L359="Проведён",E359*IF(COUNTIF(Типы,C359)=0,0,VLOOKUP(C359,СПРАВОЧНИКИ!$A$7:$E$22,4,FALSE)),0))</f>
        <v/>
      </c>
      <c r="T359" s="26" t="str">
        <f>IF(A359="","",IF(L359="Проведён",E359*IF(COUNTIF(Типы,C359)=0,0,VLOOKUP(C359,СПРАВОЧНИКИ!$A$7:$E$22,5,FALSE)),0))</f>
        <v/>
      </c>
      <c r="U359" s="5" t="str">
        <f>IF(A359="","",IF(COUNTIF(Контрагенты,H359)=0,"Не задан",VLOOKUP(H359,СПРАВОЧНИКИ!$G$7:$H$66,2,FALSE)))</f>
        <v/>
      </c>
      <c r="V359" s="4" t="str">
        <f>IF(A359="",IF(COUNTA(B359:O359)&gt;0,"НЕТ ID",""),IF(OR(AND(OR(C359="Оплата клиента",C359="Возврат клиенту"),COUNTIFS(Docs[ID],J359,Docs[Тип долга],"ДЗ")&lt;&gt;1),AND(OR(C359="Оплата поставщику",C359="Возврат поставщика"),COUNTIFS(Docs[ID],J359,Docs[Тип долга],"КЗ",Docs[Вид],"&lt;&gt;Дивиденды")&lt;&gt;1),AND(C359="Дивиденды",COUNTIFS(Docs[ID],J359,Docs[Вид],"Дивиденды")&lt;&gt;1),AND(C359="Проценты",COUNTIFS(Docs[ID],J359,Docs[Вид],"Проценты")&lt;&gt;1),COUNTIF(Cash[ID],A359)&gt;1,NOT(ISNUMBER(B359)),B359&lt;НачалоУчета,YEAR(B359)&lt;&gt;Год,NOT(ISNUMBER(E359)),E359&lt;=0,N359&lt;0,COUNTIF(Типы,C359)&lt;&gt;1,COUNTIF(Категории,D359)&lt;&gt;1,COUNTIF(Счета,F359)&lt;&gt;1,COUNTIF(Проекты,I359)&lt;&gt;1,AND(H359&lt;&gt;"",COUNTIF(Контрагенты,H359)&lt;&gt;1),AND(C359="Перевод",OR(F359=G359,COUNTIF(Счета,G359)&lt;&gt;1)),AND(S359&lt;&gt;0,COUNTIF(Docs[ID],J359)&lt;&gt;1),AND(Форма="ООО",C359="Вывод ИП"),AND(Форма="ИП",C359="Дивиденды"),AND(L359&lt;&gt;"Проведён",L359&lt;&gt;"Черновик")),"ОШИБКА","ОК"))</f>
        <v/>
      </c>
      <c r="W359" s="25" t="str">
        <f>IF(A359="","",SUMIF(Accounts[Счёт],F359,Accounts[Начальный])+SUMIFS($Q$7:Q359,$F$7:F359,F359)+SUMIFS($E$7:E359,$G$7:G359,F359,$C$7:C359,"Перевод",$L$7:L359,"Проведён"))</f>
        <v/>
      </c>
    </row>
    <row r="360" spans="1:23" x14ac:dyDescent="0.25">
      <c r="A360" s="22"/>
      <c r="B360" s="23"/>
      <c r="C360" s="22"/>
      <c r="D360" s="22"/>
      <c r="E360" s="27"/>
      <c r="F360" s="22"/>
      <c r="G360" s="22"/>
      <c r="H360" s="22"/>
      <c r="I360" s="22"/>
      <c r="J360" s="22"/>
      <c r="K360" s="22"/>
      <c r="L360" s="22"/>
      <c r="M360" s="22"/>
      <c r="N360" s="27"/>
      <c r="O360" s="22"/>
      <c r="P360" s="5" t="str">
        <f>IF(A360="","",IF(COUNTIF(Типы,C360)=0,0,VLOOKUP(C360,СПРАВОЧНИКИ!$A$7:$E$22,2,FALSE)))</f>
        <v/>
      </c>
      <c r="Q360" s="25" t="str">
        <f t="shared" si="5"/>
        <v/>
      </c>
      <c r="R360" s="5" t="str">
        <f>IF(A360="","",IF(COUNTIF(Типы,C360)=0,"НЕИЗВЕСТНЫЙ ТИП",VLOOKUP(C360,СПРАВОЧНИКИ!$A$7:$E$22,3,FALSE)))</f>
        <v/>
      </c>
      <c r="S360" s="26" t="str">
        <f>IF(A360="","",IF(L360="Проведён",E360*IF(COUNTIF(Типы,C360)=0,0,VLOOKUP(C360,СПРАВОЧНИКИ!$A$7:$E$22,4,FALSE)),0))</f>
        <v/>
      </c>
      <c r="T360" s="26" t="str">
        <f>IF(A360="","",IF(L360="Проведён",E360*IF(COUNTIF(Типы,C360)=0,0,VLOOKUP(C360,СПРАВОЧНИКИ!$A$7:$E$22,5,FALSE)),0))</f>
        <v/>
      </c>
      <c r="U360" s="5" t="str">
        <f>IF(A360="","",IF(COUNTIF(Контрагенты,H360)=0,"Не задан",VLOOKUP(H360,СПРАВОЧНИКИ!$G$7:$H$66,2,FALSE)))</f>
        <v/>
      </c>
      <c r="V360" s="4" t="str">
        <f>IF(A360="",IF(COUNTA(B360:O360)&gt;0,"НЕТ ID",""),IF(OR(AND(OR(C360="Оплата клиента",C360="Возврат клиенту"),COUNTIFS(Docs[ID],J360,Docs[Тип долга],"ДЗ")&lt;&gt;1),AND(OR(C360="Оплата поставщику",C360="Возврат поставщика"),COUNTIFS(Docs[ID],J360,Docs[Тип долга],"КЗ",Docs[Вид],"&lt;&gt;Дивиденды")&lt;&gt;1),AND(C360="Дивиденды",COUNTIFS(Docs[ID],J360,Docs[Вид],"Дивиденды")&lt;&gt;1),AND(C360="Проценты",COUNTIFS(Docs[ID],J360,Docs[Вид],"Проценты")&lt;&gt;1),COUNTIF(Cash[ID],A360)&gt;1,NOT(ISNUMBER(B360)),B360&lt;НачалоУчета,YEAR(B360)&lt;&gt;Год,NOT(ISNUMBER(E360)),E360&lt;=0,N360&lt;0,COUNTIF(Типы,C360)&lt;&gt;1,COUNTIF(Категории,D360)&lt;&gt;1,COUNTIF(Счета,F360)&lt;&gt;1,COUNTIF(Проекты,I360)&lt;&gt;1,AND(H360&lt;&gt;"",COUNTIF(Контрагенты,H360)&lt;&gt;1),AND(C360="Перевод",OR(F360=G360,COUNTIF(Счета,G360)&lt;&gt;1)),AND(S360&lt;&gt;0,COUNTIF(Docs[ID],J360)&lt;&gt;1),AND(Форма="ООО",C360="Вывод ИП"),AND(Форма="ИП",C360="Дивиденды"),AND(L360&lt;&gt;"Проведён",L360&lt;&gt;"Черновик")),"ОШИБКА","ОК"))</f>
        <v/>
      </c>
      <c r="W360" s="25" t="str">
        <f>IF(A360="","",SUMIF(Accounts[Счёт],F360,Accounts[Начальный])+SUMIFS($Q$7:Q360,$F$7:F360,F360)+SUMIFS($E$7:E360,$G$7:G360,F360,$C$7:C360,"Перевод",$L$7:L360,"Проведён"))</f>
        <v/>
      </c>
    </row>
    <row r="361" spans="1:23" x14ac:dyDescent="0.25">
      <c r="A361" s="22"/>
      <c r="B361" s="23"/>
      <c r="C361" s="22"/>
      <c r="D361" s="22"/>
      <c r="E361" s="27"/>
      <c r="F361" s="22"/>
      <c r="G361" s="22"/>
      <c r="H361" s="22"/>
      <c r="I361" s="22"/>
      <c r="J361" s="22"/>
      <c r="K361" s="22"/>
      <c r="L361" s="22"/>
      <c r="M361" s="22"/>
      <c r="N361" s="27"/>
      <c r="O361" s="22"/>
      <c r="P361" s="5" t="str">
        <f>IF(A361="","",IF(COUNTIF(Типы,C361)=0,0,VLOOKUP(C361,СПРАВОЧНИКИ!$A$7:$E$22,2,FALSE)))</f>
        <v/>
      </c>
      <c r="Q361" s="25" t="str">
        <f t="shared" si="5"/>
        <v/>
      </c>
      <c r="R361" s="5" t="str">
        <f>IF(A361="","",IF(COUNTIF(Типы,C361)=0,"НЕИЗВЕСТНЫЙ ТИП",VLOOKUP(C361,СПРАВОЧНИКИ!$A$7:$E$22,3,FALSE)))</f>
        <v/>
      </c>
      <c r="S361" s="26" t="str">
        <f>IF(A361="","",IF(L361="Проведён",E361*IF(COUNTIF(Типы,C361)=0,0,VLOOKUP(C361,СПРАВОЧНИКИ!$A$7:$E$22,4,FALSE)),0))</f>
        <v/>
      </c>
      <c r="T361" s="26" t="str">
        <f>IF(A361="","",IF(L361="Проведён",E361*IF(COUNTIF(Типы,C361)=0,0,VLOOKUP(C361,СПРАВОЧНИКИ!$A$7:$E$22,5,FALSE)),0))</f>
        <v/>
      </c>
      <c r="U361" s="5" t="str">
        <f>IF(A361="","",IF(COUNTIF(Контрагенты,H361)=0,"Не задан",VLOOKUP(H361,СПРАВОЧНИКИ!$G$7:$H$66,2,FALSE)))</f>
        <v/>
      </c>
      <c r="V361" s="4" t="str">
        <f>IF(A361="",IF(COUNTA(B361:O361)&gt;0,"НЕТ ID",""),IF(OR(AND(OR(C361="Оплата клиента",C361="Возврат клиенту"),COUNTIFS(Docs[ID],J361,Docs[Тип долга],"ДЗ")&lt;&gt;1),AND(OR(C361="Оплата поставщику",C361="Возврат поставщика"),COUNTIFS(Docs[ID],J361,Docs[Тип долга],"КЗ",Docs[Вид],"&lt;&gt;Дивиденды")&lt;&gt;1),AND(C361="Дивиденды",COUNTIFS(Docs[ID],J361,Docs[Вид],"Дивиденды")&lt;&gt;1),AND(C361="Проценты",COUNTIFS(Docs[ID],J361,Docs[Вид],"Проценты")&lt;&gt;1),COUNTIF(Cash[ID],A361)&gt;1,NOT(ISNUMBER(B361)),B361&lt;НачалоУчета,YEAR(B361)&lt;&gt;Год,NOT(ISNUMBER(E361)),E361&lt;=0,N361&lt;0,COUNTIF(Типы,C361)&lt;&gt;1,COUNTIF(Категории,D361)&lt;&gt;1,COUNTIF(Счета,F361)&lt;&gt;1,COUNTIF(Проекты,I361)&lt;&gt;1,AND(H361&lt;&gt;"",COUNTIF(Контрагенты,H361)&lt;&gt;1),AND(C361="Перевод",OR(F361=G361,COUNTIF(Счета,G361)&lt;&gt;1)),AND(S361&lt;&gt;0,COUNTIF(Docs[ID],J361)&lt;&gt;1),AND(Форма="ООО",C361="Вывод ИП"),AND(Форма="ИП",C361="Дивиденды"),AND(L361&lt;&gt;"Проведён",L361&lt;&gt;"Черновик")),"ОШИБКА","ОК"))</f>
        <v/>
      </c>
      <c r="W361" s="25" t="str">
        <f>IF(A361="","",SUMIF(Accounts[Счёт],F361,Accounts[Начальный])+SUMIFS($Q$7:Q361,$F$7:F361,F361)+SUMIFS($E$7:E361,$G$7:G361,F361,$C$7:C361,"Перевод",$L$7:L361,"Проведён"))</f>
        <v/>
      </c>
    </row>
    <row r="362" spans="1:23" x14ac:dyDescent="0.25">
      <c r="A362" s="22"/>
      <c r="B362" s="23"/>
      <c r="C362" s="22"/>
      <c r="D362" s="22"/>
      <c r="E362" s="27"/>
      <c r="F362" s="22"/>
      <c r="G362" s="22"/>
      <c r="H362" s="22"/>
      <c r="I362" s="22"/>
      <c r="J362" s="22"/>
      <c r="K362" s="22"/>
      <c r="L362" s="22"/>
      <c r="M362" s="22"/>
      <c r="N362" s="27"/>
      <c r="O362" s="22"/>
      <c r="P362" s="5" t="str">
        <f>IF(A362="","",IF(COUNTIF(Типы,C362)=0,0,VLOOKUP(C362,СПРАВОЧНИКИ!$A$7:$E$22,2,FALSE)))</f>
        <v/>
      </c>
      <c r="Q362" s="25" t="str">
        <f t="shared" si="5"/>
        <v/>
      </c>
      <c r="R362" s="5" t="str">
        <f>IF(A362="","",IF(COUNTIF(Типы,C362)=0,"НЕИЗВЕСТНЫЙ ТИП",VLOOKUP(C362,СПРАВОЧНИКИ!$A$7:$E$22,3,FALSE)))</f>
        <v/>
      </c>
      <c r="S362" s="26" t="str">
        <f>IF(A362="","",IF(L362="Проведён",E362*IF(COUNTIF(Типы,C362)=0,0,VLOOKUP(C362,СПРАВОЧНИКИ!$A$7:$E$22,4,FALSE)),0))</f>
        <v/>
      </c>
      <c r="T362" s="26" t="str">
        <f>IF(A362="","",IF(L362="Проведён",E362*IF(COUNTIF(Типы,C362)=0,0,VLOOKUP(C362,СПРАВОЧНИКИ!$A$7:$E$22,5,FALSE)),0))</f>
        <v/>
      </c>
      <c r="U362" s="5" t="str">
        <f>IF(A362="","",IF(COUNTIF(Контрагенты,H362)=0,"Не задан",VLOOKUP(H362,СПРАВОЧНИКИ!$G$7:$H$66,2,FALSE)))</f>
        <v/>
      </c>
      <c r="V362" s="4" t="str">
        <f>IF(A362="",IF(COUNTA(B362:O362)&gt;0,"НЕТ ID",""),IF(OR(AND(OR(C362="Оплата клиента",C362="Возврат клиенту"),COUNTIFS(Docs[ID],J362,Docs[Тип долга],"ДЗ")&lt;&gt;1),AND(OR(C362="Оплата поставщику",C362="Возврат поставщика"),COUNTIFS(Docs[ID],J362,Docs[Тип долга],"КЗ",Docs[Вид],"&lt;&gt;Дивиденды")&lt;&gt;1),AND(C362="Дивиденды",COUNTIFS(Docs[ID],J362,Docs[Вид],"Дивиденды")&lt;&gt;1),AND(C362="Проценты",COUNTIFS(Docs[ID],J362,Docs[Вид],"Проценты")&lt;&gt;1),COUNTIF(Cash[ID],A362)&gt;1,NOT(ISNUMBER(B362)),B362&lt;НачалоУчета,YEAR(B362)&lt;&gt;Год,NOT(ISNUMBER(E362)),E362&lt;=0,N362&lt;0,COUNTIF(Типы,C362)&lt;&gt;1,COUNTIF(Категории,D362)&lt;&gt;1,COUNTIF(Счета,F362)&lt;&gt;1,COUNTIF(Проекты,I362)&lt;&gt;1,AND(H362&lt;&gt;"",COUNTIF(Контрагенты,H362)&lt;&gt;1),AND(C362="Перевод",OR(F362=G362,COUNTIF(Счета,G362)&lt;&gt;1)),AND(S362&lt;&gt;0,COUNTIF(Docs[ID],J362)&lt;&gt;1),AND(Форма="ООО",C362="Вывод ИП"),AND(Форма="ИП",C362="Дивиденды"),AND(L362&lt;&gt;"Проведён",L362&lt;&gt;"Черновик")),"ОШИБКА","ОК"))</f>
        <v/>
      </c>
      <c r="W362" s="25" t="str">
        <f>IF(A362="","",SUMIF(Accounts[Счёт],F362,Accounts[Начальный])+SUMIFS($Q$7:Q362,$F$7:F362,F362)+SUMIFS($E$7:E362,$G$7:G362,F362,$C$7:C362,"Перевод",$L$7:L362,"Проведён"))</f>
        <v/>
      </c>
    </row>
    <row r="363" spans="1:23" x14ac:dyDescent="0.25">
      <c r="A363" s="22"/>
      <c r="B363" s="23"/>
      <c r="C363" s="22"/>
      <c r="D363" s="22"/>
      <c r="E363" s="27"/>
      <c r="F363" s="22"/>
      <c r="G363" s="22"/>
      <c r="H363" s="22"/>
      <c r="I363" s="22"/>
      <c r="J363" s="22"/>
      <c r="K363" s="22"/>
      <c r="L363" s="22"/>
      <c r="M363" s="22"/>
      <c r="N363" s="27"/>
      <c r="O363" s="22"/>
      <c r="P363" s="5" t="str">
        <f>IF(A363="","",IF(COUNTIF(Типы,C363)=0,0,VLOOKUP(C363,СПРАВОЧНИКИ!$A$7:$E$22,2,FALSE)))</f>
        <v/>
      </c>
      <c r="Q363" s="25" t="str">
        <f t="shared" si="5"/>
        <v/>
      </c>
      <c r="R363" s="5" t="str">
        <f>IF(A363="","",IF(COUNTIF(Типы,C363)=0,"НЕИЗВЕСТНЫЙ ТИП",VLOOKUP(C363,СПРАВОЧНИКИ!$A$7:$E$22,3,FALSE)))</f>
        <v/>
      </c>
      <c r="S363" s="26" t="str">
        <f>IF(A363="","",IF(L363="Проведён",E363*IF(COUNTIF(Типы,C363)=0,0,VLOOKUP(C363,СПРАВОЧНИКИ!$A$7:$E$22,4,FALSE)),0))</f>
        <v/>
      </c>
      <c r="T363" s="26" t="str">
        <f>IF(A363="","",IF(L363="Проведён",E363*IF(COUNTIF(Типы,C363)=0,0,VLOOKUP(C363,СПРАВОЧНИКИ!$A$7:$E$22,5,FALSE)),0))</f>
        <v/>
      </c>
      <c r="U363" s="5" t="str">
        <f>IF(A363="","",IF(COUNTIF(Контрагенты,H363)=0,"Не задан",VLOOKUP(H363,СПРАВОЧНИКИ!$G$7:$H$66,2,FALSE)))</f>
        <v/>
      </c>
      <c r="V363" s="4" t="str">
        <f>IF(A363="",IF(COUNTA(B363:O363)&gt;0,"НЕТ ID",""),IF(OR(AND(OR(C363="Оплата клиента",C363="Возврат клиенту"),COUNTIFS(Docs[ID],J363,Docs[Тип долга],"ДЗ")&lt;&gt;1),AND(OR(C363="Оплата поставщику",C363="Возврат поставщика"),COUNTIFS(Docs[ID],J363,Docs[Тип долга],"КЗ",Docs[Вид],"&lt;&gt;Дивиденды")&lt;&gt;1),AND(C363="Дивиденды",COUNTIFS(Docs[ID],J363,Docs[Вид],"Дивиденды")&lt;&gt;1),AND(C363="Проценты",COUNTIFS(Docs[ID],J363,Docs[Вид],"Проценты")&lt;&gt;1),COUNTIF(Cash[ID],A363)&gt;1,NOT(ISNUMBER(B363)),B363&lt;НачалоУчета,YEAR(B363)&lt;&gt;Год,NOT(ISNUMBER(E363)),E363&lt;=0,N363&lt;0,COUNTIF(Типы,C363)&lt;&gt;1,COUNTIF(Категории,D363)&lt;&gt;1,COUNTIF(Счета,F363)&lt;&gt;1,COUNTIF(Проекты,I363)&lt;&gt;1,AND(H363&lt;&gt;"",COUNTIF(Контрагенты,H363)&lt;&gt;1),AND(C363="Перевод",OR(F363=G363,COUNTIF(Счета,G363)&lt;&gt;1)),AND(S363&lt;&gt;0,COUNTIF(Docs[ID],J363)&lt;&gt;1),AND(Форма="ООО",C363="Вывод ИП"),AND(Форма="ИП",C363="Дивиденды"),AND(L363&lt;&gt;"Проведён",L363&lt;&gt;"Черновик")),"ОШИБКА","ОК"))</f>
        <v/>
      </c>
      <c r="W363" s="25" t="str">
        <f>IF(A363="","",SUMIF(Accounts[Счёт],F363,Accounts[Начальный])+SUMIFS($Q$7:Q363,$F$7:F363,F363)+SUMIFS($E$7:E363,$G$7:G363,F363,$C$7:C363,"Перевод",$L$7:L363,"Проведён"))</f>
        <v/>
      </c>
    </row>
    <row r="364" spans="1:23" x14ac:dyDescent="0.25">
      <c r="A364" s="22"/>
      <c r="B364" s="23"/>
      <c r="C364" s="22"/>
      <c r="D364" s="22"/>
      <c r="E364" s="27"/>
      <c r="F364" s="22"/>
      <c r="G364" s="22"/>
      <c r="H364" s="22"/>
      <c r="I364" s="22"/>
      <c r="J364" s="22"/>
      <c r="K364" s="22"/>
      <c r="L364" s="22"/>
      <c r="M364" s="22"/>
      <c r="N364" s="27"/>
      <c r="O364" s="22"/>
      <c r="P364" s="5" t="str">
        <f>IF(A364="","",IF(COUNTIF(Типы,C364)=0,0,VLOOKUP(C364,СПРАВОЧНИКИ!$A$7:$E$22,2,FALSE)))</f>
        <v/>
      </c>
      <c r="Q364" s="25" t="str">
        <f t="shared" si="5"/>
        <v/>
      </c>
      <c r="R364" s="5" t="str">
        <f>IF(A364="","",IF(COUNTIF(Типы,C364)=0,"НЕИЗВЕСТНЫЙ ТИП",VLOOKUP(C364,СПРАВОЧНИКИ!$A$7:$E$22,3,FALSE)))</f>
        <v/>
      </c>
      <c r="S364" s="26" t="str">
        <f>IF(A364="","",IF(L364="Проведён",E364*IF(COUNTIF(Типы,C364)=0,0,VLOOKUP(C364,СПРАВОЧНИКИ!$A$7:$E$22,4,FALSE)),0))</f>
        <v/>
      </c>
      <c r="T364" s="26" t="str">
        <f>IF(A364="","",IF(L364="Проведён",E364*IF(COUNTIF(Типы,C364)=0,0,VLOOKUP(C364,СПРАВОЧНИКИ!$A$7:$E$22,5,FALSE)),0))</f>
        <v/>
      </c>
      <c r="U364" s="5" t="str">
        <f>IF(A364="","",IF(COUNTIF(Контрагенты,H364)=0,"Не задан",VLOOKUP(H364,СПРАВОЧНИКИ!$G$7:$H$66,2,FALSE)))</f>
        <v/>
      </c>
      <c r="V364" s="4" t="str">
        <f>IF(A364="",IF(COUNTA(B364:O364)&gt;0,"НЕТ ID",""),IF(OR(AND(OR(C364="Оплата клиента",C364="Возврат клиенту"),COUNTIFS(Docs[ID],J364,Docs[Тип долга],"ДЗ")&lt;&gt;1),AND(OR(C364="Оплата поставщику",C364="Возврат поставщика"),COUNTIFS(Docs[ID],J364,Docs[Тип долга],"КЗ",Docs[Вид],"&lt;&gt;Дивиденды")&lt;&gt;1),AND(C364="Дивиденды",COUNTIFS(Docs[ID],J364,Docs[Вид],"Дивиденды")&lt;&gt;1),AND(C364="Проценты",COUNTIFS(Docs[ID],J364,Docs[Вид],"Проценты")&lt;&gt;1),COUNTIF(Cash[ID],A364)&gt;1,NOT(ISNUMBER(B364)),B364&lt;НачалоУчета,YEAR(B364)&lt;&gt;Год,NOT(ISNUMBER(E364)),E364&lt;=0,N364&lt;0,COUNTIF(Типы,C364)&lt;&gt;1,COUNTIF(Категории,D364)&lt;&gt;1,COUNTIF(Счета,F364)&lt;&gt;1,COUNTIF(Проекты,I364)&lt;&gt;1,AND(H364&lt;&gt;"",COUNTIF(Контрагенты,H364)&lt;&gt;1),AND(C364="Перевод",OR(F364=G364,COUNTIF(Счета,G364)&lt;&gt;1)),AND(S364&lt;&gt;0,COUNTIF(Docs[ID],J364)&lt;&gt;1),AND(Форма="ООО",C364="Вывод ИП"),AND(Форма="ИП",C364="Дивиденды"),AND(L364&lt;&gt;"Проведён",L364&lt;&gt;"Черновик")),"ОШИБКА","ОК"))</f>
        <v/>
      </c>
      <c r="W364" s="25" t="str">
        <f>IF(A364="","",SUMIF(Accounts[Счёт],F364,Accounts[Начальный])+SUMIFS($Q$7:Q364,$F$7:F364,F364)+SUMIFS($E$7:E364,$G$7:G364,F364,$C$7:C364,"Перевод",$L$7:L364,"Проведён"))</f>
        <v/>
      </c>
    </row>
    <row r="365" spans="1:23" x14ac:dyDescent="0.25">
      <c r="A365" s="22"/>
      <c r="B365" s="23"/>
      <c r="C365" s="22"/>
      <c r="D365" s="22"/>
      <c r="E365" s="27"/>
      <c r="F365" s="22"/>
      <c r="G365" s="22"/>
      <c r="H365" s="22"/>
      <c r="I365" s="22"/>
      <c r="J365" s="22"/>
      <c r="K365" s="22"/>
      <c r="L365" s="22"/>
      <c r="M365" s="22"/>
      <c r="N365" s="27"/>
      <c r="O365" s="22"/>
      <c r="P365" s="5" t="str">
        <f>IF(A365="","",IF(COUNTIF(Типы,C365)=0,0,VLOOKUP(C365,СПРАВОЧНИКИ!$A$7:$E$22,2,FALSE)))</f>
        <v/>
      </c>
      <c r="Q365" s="25" t="str">
        <f t="shared" si="5"/>
        <v/>
      </c>
      <c r="R365" s="5" t="str">
        <f>IF(A365="","",IF(COUNTIF(Типы,C365)=0,"НЕИЗВЕСТНЫЙ ТИП",VLOOKUP(C365,СПРАВОЧНИКИ!$A$7:$E$22,3,FALSE)))</f>
        <v/>
      </c>
      <c r="S365" s="26" t="str">
        <f>IF(A365="","",IF(L365="Проведён",E365*IF(COUNTIF(Типы,C365)=0,0,VLOOKUP(C365,СПРАВОЧНИКИ!$A$7:$E$22,4,FALSE)),0))</f>
        <v/>
      </c>
      <c r="T365" s="26" t="str">
        <f>IF(A365="","",IF(L365="Проведён",E365*IF(COUNTIF(Типы,C365)=0,0,VLOOKUP(C365,СПРАВОЧНИКИ!$A$7:$E$22,5,FALSE)),0))</f>
        <v/>
      </c>
      <c r="U365" s="5" t="str">
        <f>IF(A365="","",IF(COUNTIF(Контрагенты,H365)=0,"Не задан",VLOOKUP(H365,СПРАВОЧНИКИ!$G$7:$H$66,2,FALSE)))</f>
        <v/>
      </c>
      <c r="V365" s="4" t="str">
        <f>IF(A365="",IF(COUNTA(B365:O365)&gt;0,"НЕТ ID",""),IF(OR(AND(OR(C365="Оплата клиента",C365="Возврат клиенту"),COUNTIFS(Docs[ID],J365,Docs[Тип долга],"ДЗ")&lt;&gt;1),AND(OR(C365="Оплата поставщику",C365="Возврат поставщика"),COUNTIFS(Docs[ID],J365,Docs[Тип долга],"КЗ",Docs[Вид],"&lt;&gt;Дивиденды")&lt;&gt;1),AND(C365="Дивиденды",COUNTIFS(Docs[ID],J365,Docs[Вид],"Дивиденды")&lt;&gt;1),AND(C365="Проценты",COUNTIFS(Docs[ID],J365,Docs[Вид],"Проценты")&lt;&gt;1),COUNTIF(Cash[ID],A365)&gt;1,NOT(ISNUMBER(B365)),B365&lt;НачалоУчета,YEAR(B365)&lt;&gt;Год,NOT(ISNUMBER(E365)),E365&lt;=0,N365&lt;0,COUNTIF(Типы,C365)&lt;&gt;1,COUNTIF(Категории,D365)&lt;&gt;1,COUNTIF(Счета,F365)&lt;&gt;1,COUNTIF(Проекты,I365)&lt;&gt;1,AND(H365&lt;&gt;"",COUNTIF(Контрагенты,H365)&lt;&gt;1),AND(C365="Перевод",OR(F365=G365,COUNTIF(Счета,G365)&lt;&gt;1)),AND(S365&lt;&gt;0,COUNTIF(Docs[ID],J365)&lt;&gt;1),AND(Форма="ООО",C365="Вывод ИП"),AND(Форма="ИП",C365="Дивиденды"),AND(L365&lt;&gt;"Проведён",L365&lt;&gt;"Черновик")),"ОШИБКА","ОК"))</f>
        <v/>
      </c>
      <c r="W365" s="25" t="str">
        <f>IF(A365="","",SUMIF(Accounts[Счёт],F365,Accounts[Начальный])+SUMIFS($Q$7:Q365,$F$7:F365,F365)+SUMIFS($E$7:E365,$G$7:G365,F365,$C$7:C365,"Перевод",$L$7:L365,"Проведён"))</f>
        <v/>
      </c>
    </row>
    <row r="366" spans="1:23" x14ac:dyDescent="0.25">
      <c r="A366" s="22"/>
      <c r="B366" s="23"/>
      <c r="C366" s="22"/>
      <c r="D366" s="22"/>
      <c r="E366" s="27"/>
      <c r="F366" s="22"/>
      <c r="G366" s="22"/>
      <c r="H366" s="22"/>
      <c r="I366" s="22"/>
      <c r="J366" s="22"/>
      <c r="K366" s="22"/>
      <c r="L366" s="22"/>
      <c r="M366" s="22"/>
      <c r="N366" s="27"/>
      <c r="O366" s="22"/>
      <c r="P366" s="5" t="str">
        <f>IF(A366="","",IF(COUNTIF(Типы,C366)=0,0,VLOOKUP(C366,СПРАВОЧНИКИ!$A$7:$E$22,2,FALSE)))</f>
        <v/>
      </c>
      <c r="Q366" s="25" t="str">
        <f t="shared" si="5"/>
        <v/>
      </c>
      <c r="R366" s="5" t="str">
        <f>IF(A366="","",IF(COUNTIF(Типы,C366)=0,"НЕИЗВЕСТНЫЙ ТИП",VLOOKUP(C366,СПРАВОЧНИКИ!$A$7:$E$22,3,FALSE)))</f>
        <v/>
      </c>
      <c r="S366" s="26" t="str">
        <f>IF(A366="","",IF(L366="Проведён",E366*IF(COUNTIF(Типы,C366)=0,0,VLOOKUP(C366,СПРАВОЧНИКИ!$A$7:$E$22,4,FALSE)),0))</f>
        <v/>
      </c>
      <c r="T366" s="26" t="str">
        <f>IF(A366="","",IF(L366="Проведён",E366*IF(COUNTIF(Типы,C366)=0,0,VLOOKUP(C366,СПРАВОЧНИКИ!$A$7:$E$22,5,FALSE)),0))</f>
        <v/>
      </c>
      <c r="U366" s="5" t="str">
        <f>IF(A366="","",IF(COUNTIF(Контрагенты,H366)=0,"Не задан",VLOOKUP(H366,СПРАВОЧНИКИ!$G$7:$H$66,2,FALSE)))</f>
        <v/>
      </c>
      <c r="V366" s="4" t="str">
        <f>IF(A366="",IF(COUNTA(B366:O366)&gt;0,"НЕТ ID",""),IF(OR(AND(OR(C366="Оплата клиента",C366="Возврат клиенту"),COUNTIFS(Docs[ID],J366,Docs[Тип долга],"ДЗ")&lt;&gt;1),AND(OR(C366="Оплата поставщику",C366="Возврат поставщика"),COUNTIFS(Docs[ID],J366,Docs[Тип долга],"КЗ",Docs[Вид],"&lt;&gt;Дивиденды")&lt;&gt;1),AND(C366="Дивиденды",COUNTIFS(Docs[ID],J366,Docs[Вид],"Дивиденды")&lt;&gt;1),AND(C366="Проценты",COUNTIFS(Docs[ID],J366,Docs[Вид],"Проценты")&lt;&gt;1),COUNTIF(Cash[ID],A366)&gt;1,NOT(ISNUMBER(B366)),B366&lt;НачалоУчета,YEAR(B366)&lt;&gt;Год,NOT(ISNUMBER(E366)),E366&lt;=0,N366&lt;0,COUNTIF(Типы,C366)&lt;&gt;1,COUNTIF(Категории,D366)&lt;&gt;1,COUNTIF(Счета,F366)&lt;&gt;1,COUNTIF(Проекты,I366)&lt;&gt;1,AND(H366&lt;&gt;"",COUNTIF(Контрагенты,H366)&lt;&gt;1),AND(C366="Перевод",OR(F366=G366,COUNTIF(Счета,G366)&lt;&gt;1)),AND(S366&lt;&gt;0,COUNTIF(Docs[ID],J366)&lt;&gt;1),AND(Форма="ООО",C366="Вывод ИП"),AND(Форма="ИП",C366="Дивиденды"),AND(L366&lt;&gt;"Проведён",L366&lt;&gt;"Черновик")),"ОШИБКА","ОК"))</f>
        <v/>
      </c>
      <c r="W366" s="25" t="str">
        <f>IF(A366="","",SUMIF(Accounts[Счёт],F366,Accounts[Начальный])+SUMIFS($Q$7:Q366,$F$7:F366,F366)+SUMIFS($E$7:E366,$G$7:G366,F366,$C$7:C366,"Перевод",$L$7:L366,"Проведён"))</f>
        <v/>
      </c>
    </row>
    <row r="367" spans="1:23" x14ac:dyDescent="0.25">
      <c r="A367" s="22"/>
      <c r="B367" s="23"/>
      <c r="C367" s="22"/>
      <c r="D367" s="22"/>
      <c r="E367" s="27"/>
      <c r="F367" s="22"/>
      <c r="G367" s="22"/>
      <c r="H367" s="22"/>
      <c r="I367" s="22"/>
      <c r="J367" s="22"/>
      <c r="K367" s="22"/>
      <c r="L367" s="22"/>
      <c r="M367" s="22"/>
      <c r="N367" s="27"/>
      <c r="O367" s="22"/>
      <c r="P367" s="5" t="str">
        <f>IF(A367="","",IF(COUNTIF(Типы,C367)=0,0,VLOOKUP(C367,СПРАВОЧНИКИ!$A$7:$E$22,2,FALSE)))</f>
        <v/>
      </c>
      <c r="Q367" s="25" t="str">
        <f t="shared" si="5"/>
        <v/>
      </c>
      <c r="R367" s="5" t="str">
        <f>IF(A367="","",IF(COUNTIF(Типы,C367)=0,"НЕИЗВЕСТНЫЙ ТИП",VLOOKUP(C367,СПРАВОЧНИКИ!$A$7:$E$22,3,FALSE)))</f>
        <v/>
      </c>
      <c r="S367" s="26" t="str">
        <f>IF(A367="","",IF(L367="Проведён",E367*IF(COUNTIF(Типы,C367)=0,0,VLOOKUP(C367,СПРАВОЧНИКИ!$A$7:$E$22,4,FALSE)),0))</f>
        <v/>
      </c>
      <c r="T367" s="26" t="str">
        <f>IF(A367="","",IF(L367="Проведён",E367*IF(COUNTIF(Типы,C367)=0,0,VLOOKUP(C367,СПРАВОЧНИКИ!$A$7:$E$22,5,FALSE)),0))</f>
        <v/>
      </c>
      <c r="U367" s="5" t="str">
        <f>IF(A367="","",IF(COUNTIF(Контрагенты,H367)=0,"Не задан",VLOOKUP(H367,СПРАВОЧНИКИ!$G$7:$H$66,2,FALSE)))</f>
        <v/>
      </c>
      <c r="V367" s="4" t="str">
        <f>IF(A367="",IF(COUNTA(B367:O367)&gt;0,"НЕТ ID",""),IF(OR(AND(OR(C367="Оплата клиента",C367="Возврат клиенту"),COUNTIFS(Docs[ID],J367,Docs[Тип долга],"ДЗ")&lt;&gt;1),AND(OR(C367="Оплата поставщику",C367="Возврат поставщика"),COUNTIFS(Docs[ID],J367,Docs[Тип долга],"КЗ",Docs[Вид],"&lt;&gt;Дивиденды")&lt;&gt;1),AND(C367="Дивиденды",COUNTIFS(Docs[ID],J367,Docs[Вид],"Дивиденды")&lt;&gt;1),AND(C367="Проценты",COUNTIFS(Docs[ID],J367,Docs[Вид],"Проценты")&lt;&gt;1),COUNTIF(Cash[ID],A367)&gt;1,NOT(ISNUMBER(B367)),B367&lt;НачалоУчета,YEAR(B367)&lt;&gt;Год,NOT(ISNUMBER(E367)),E367&lt;=0,N367&lt;0,COUNTIF(Типы,C367)&lt;&gt;1,COUNTIF(Категории,D367)&lt;&gt;1,COUNTIF(Счета,F367)&lt;&gt;1,COUNTIF(Проекты,I367)&lt;&gt;1,AND(H367&lt;&gt;"",COUNTIF(Контрагенты,H367)&lt;&gt;1),AND(C367="Перевод",OR(F367=G367,COUNTIF(Счета,G367)&lt;&gt;1)),AND(S367&lt;&gt;0,COUNTIF(Docs[ID],J367)&lt;&gt;1),AND(Форма="ООО",C367="Вывод ИП"),AND(Форма="ИП",C367="Дивиденды"),AND(L367&lt;&gt;"Проведён",L367&lt;&gt;"Черновик")),"ОШИБКА","ОК"))</f>
        <v/>
      </c>
      <c r="W367" s="25" t="str">
        <f>IF(A367="","",SUMIF(Accounts[Счёт],F367,Accounts[Начальный])+SUMIFS($Q$7:Q367,$F$7:F367,F367)+SUMIFS($E$7:E367,$G$7:G367,F367,$C$7:C367,"Перевод",$L$7:L367,"Проведён"))</f>
        <v/>
      </c>
    </row>
    <row r="368" spans="1:23" x14ac:dyDescent="0.25">
      <c r="A368" s="22"/>
      <c r="B368" s="23"/>
      <c r="C368" s="22"/>
      <c r="D368" s="22"/>
      <c r="E368" s="27"/>
      <c r="F368" s="22"/>
      <c r="G368" s="22"/>
      <c r="H368" s="22"/>
      <c r="I368" s="22"/>
      <c r="J368" s="22"/>
      <c r="K368" s="22"/>
      <c r="L368" s="22"/>
      <c r="M368" s="22"/>
      <c r="N368" s="27"/>
      <c r="O368" s="22"/>
      <c r="P368" s="5" t="str">
        <f>IF(A368="","",IF(COUNTIF(Типы,C368)=0,0,VLOOKUP(C368,СПРАВОЧНИКИ!$A$7:$E$22,2,FALSE)))</f>
        <v/>
      </c>
      <c r="Q368" s="25" t="str">
        <f t="shared" si="5"/>
        <v/>
      </c>
      <c r="R368" s="5" t="str">
        <f>IF(A368="","",IF(COUNTIF(Типы,C368)=0,"НЕИЗВЕСТНЫЙ ТИП",VLOOKUP(C368,СПРАВОЧНИКИ!$A$7:$E$22,3,FALSE)))</f>
        <v/>
      </c>
      <c r="S368" s="26" t="str">
        <f>IF(A368="","",IF(L368="Проведён",E368*IF(COUNTIF(Типы,C368)=0,0,VLOOKUP(C368,СПРАВОЧНИКИ!$A$7:$E$22,4,FALSE)),0))</f>
        <v/>
      </c>
      <c r="T368" s="26" t="str">
        <f>IF(A368="","",IF(L368="Проведён",E368*IF(COUNTIF(Типы,C368)=0,0,VLOOKUP(C368,СПРАВОЧНИКИ!$A$7:$E$22,5,FALSE)),0))</f>
        <v/>
      </c>
      <c r="U368" s="5" t="str">
        <f>IF(A368="","",IF(COUNTIF(Контрагенты,H368)=0,"Не задан",VLOOKUP(H368,СПРАВОЧНИКИ!$G$7:$H$66,2,FALSE)))</f>
        <v/>
      </c>
      <c r="V368" s="4" t="str">
        <f>IF(A368="",IF(COUNTA(B368:O368)&gt;0,"НЕТ ID",""),IF(OR(AND(OR(C368="Оплата клиента",C368="Возврат клиенту"),COUNTIFS(Docs[ID],J368,Docs[Тип долга],"ДЗ")&lt;&gt;1),AND(OR(C368="Оплата поставщику",C368="Возврат поставщика"),COUNTIFS(Docs[ID],J368,Docs[Тип долга],"КЗ",Docs[Вид],"&lt;&gt;Дивиденды")&lt;&gt;1),AND(C368="Дивиденды",COUNTIFS(Docs[ID],J368,Docs[Вид],"Дивиденды")&lt;&gt;1),AND(C368="Проценты",COUNTIFS(Docs[ID],J368,Docs[Вид],"Проценты")&lt;&gt;1),COUNTIF(Cash[ID],A368)&gt;1,NOT(ISNUMBER(B368)),B368&lt;НачалоУчета,YEAR(B368)&lt;&gt;Год,NOT(ISNUMBER(E368)),E368&lt;=0,N368&lt;0,COUNTIF(Типы,C368)&lt;&gt;1,COUNTIF(Категории,D368)&lt;&gt;1,COUNTIF(Счета,F368)&lt;&gt;1,COUNTIF(Проекты,I368)&lt;&gt;1,AND(H368&lt;&gt;"",COUNTIF(Контрагенты,H368)&lt;&gt;1),AND(C368="Перевод",OR(F368=G368,COUNTIF(Счета,G368)&lt;&gt;1)),AND(S368&lt;&gt;0,COUNTIF(Docs[ID],J368)&lt;&gt;1),AND(Форма="ООО",C368="Вывод ИП"),AND(Форма="ИП",C368="Дивиденды"),AND(L368&lt;&gt;"Проведён",L368&lt;&gt;"Черновик")),"ОШИБКА","ОК"))</f>
        <v/>
      </c>
      <c r="W368" s="25" t="str">
        <f>IF(A368="","",SUMIF(Accounts[Счёт],F368,Accounts[Начальный])+SUMIFS($Q$7:Q368,$F$7:F368,F368)+SUMIFS($E$7:E368,$G$7:G368,F368,$C$7:C368,"Перевод",$L$7:L368,"Проведён"))</f>
        <v/>
      </c>
    </row>
    <row r="369" spans="1:23" x14ac:dyDescent="0.25">
      <c r="A369" s="22"/>
      <c r="B369" s="23"/>
      <c r="C369" s="22"/>
      <c r="D369" s="22"/>
      <c r="E369" s="27"/>
      <c r="F369" s="22"/>
      <c r="G369" s="22"/>
      <c r="H369" s="22"/>
      <c r="I369" s="22"/>
      <c r="J369" s="22"/>
      <c r="K369" s="22"/>
      <c r="L369" s="22"/>
      <c r="M369" s="22"/>
      <c r="N369" s="27"/>
      <c r="O369" s="22"/>
      <c r="P369" s="5" t="str">
        <f>IF(A369="","",IF(COUNTIF(Типы,C369)=0,0,VLOOKUP(C369,СПРАВОЧНИКИ!$A$7:$E$22,2,FALSE)))</f>
        <v/>
      </c>
      <c r="Q369" s="25" t="str">
        <f t="shared" si="5"/>
        <v/>
      </c>
      <c r="R369" s="5" t="str">
        <f>IF(A369="","",IF(COUNTIF(Типы,C369)=0,"НЕИЗВЕСТНЫЙ ТИП",VLOOKUP(C369,СПРАВОЧНИКИ!$A$7:$E$22,3,FALSE)))</f>
        <v/>
      </c>
      <c r="S369" s="26" t="str">
        <f>IF(A369="","",IF(L369="Проведён",E369*IF(COUNTIF(Типы,C369)=0,0,VLOOKUP(C369,СПРАВОЧНИКИ!$A$7:$E$22,4,FALSE)),0))</f>
        <v/>
      </c>
      <c r="T369" s="26" t="str">
        <f>IF(A369="","",IF(L369="Проведён",E369*IF(COUNTIF(Типы,C369)=0,0,VLOOKUP(C369,СПРАВОЧНИКИ!$A$7:$E$22,5,FALSE)),0))</f>
        <v/>
      </c>
      <c r="U369" s="5" t="str">
        <f>IF(A369="","",IF(COUNTIF(Контрагенты,H369)=0,"Не задан",VLOOKUP(H369,СПРАВОЧНИКИ!$G$7:$H$66,2,FALSE)))</f>
        <v/>
      </c>
      <c r="V369" s="4" t="str">
        <f>IF(A369="",IF(COUNTA(B369:O369)&gt;0,"НЕТ ID",""),IF(OR(AND(OR(C369="Оплата клиента",C369="Возврат клиенту"),COUNTIFS(Docs[ID],J369,Docs[Тип долга],"ДЗ")&lt;&gt;1),AND(OR(C369="Оплата поставщику",C369="Возврат поставщика"),COUNTIFS(Docs[ID],J369,Docs[Тип долга],"КЗ",Docs[Вид],"&lt;&gt;Дивиденды")&lt;&gt;1),AND(C369="Дивиденды",COUNTIFS(Docs[ID],J369,Docs[Вид],"Дивиденды")&lt;&gt;1),AND(C369="Проценты",COUNTIFS(Docs[ID],J369,Docs[Вид],"Проценты")&lt;&gt;1),COUNTIF(Cash[ID],A369)&gt;1,NOT(ISNUMBER(B369)),B369&lt;НачалоУчета,YEAR(B369)&lt;&gt;Год,NOT(ISNUMBER(E369)),E369&lt;=0,N369&lt;0,COUNTIF(Типы,C369)&lt;&gt;1,COUNTIF(Категории,D369)&lt;&gt;1,COUNTIF(Счета,F369)&lt;&gt;1,COUNTIF(Проекты,I369)&lt;&gt;1,AND(H369&lt;&gt;"",COUNTIF(Контрагенты,H369)&lt;&gt;1),AND(C369="Перевод",OR(F369=G369,COUNTIF(Счета,G369)&lt;&gt;1)),AND(S369&lt;&gt;0,COUNTIF(Docs[ID],J369)&lt;&gt;1),AND(Форма="ООО",C369="Вывод ИП"),AND(Форма="ИП",C369="Дивиденды"),AND(L369&lt;&gt;"Проведён",L369&lt;&gt;"Черновик")),"ОШИБКА","ОК"))</f>
        <v/>
      </c>
      <c r="W369" s="25" t="str">
        <f>IF(A369="","",SUMIF(Accounts[Счёт],F369,Accounts[Начальный])+SUMIFS($Q$7:Q369,$F$7:F369,F369)+SUMIFS($E$7:E369,$G$7:G369,F369,$C$7:C369,"Перевод",$L$7:L369,"Проведён"))</f>
        <v/>
      </c>
    </row>
    <row r="370" spans="1:23" x14ac:dyDescent="0.25">
      <c r="A370" s="22"/>
      <c r="B370" s="23"/>
      <c r="C370" s="22"/>
      <c r="D370" s="22"/>
      <c r="E370" s="27"/>
      <c r="F370" s="22"/>
      <c r="G370" s="22"/>
      <c r="H370" s="22"/>
      <c r="I370" s="22"/>
      <c r="J370" s="22"/>
      <c r="K370" s="22"/>
      <c r="L370" s="22"/>
      <c r="M370" s="22"/>
      <c r="N370" s="27"/>
      <c r="O370" s="22"/>
      <c r="P370" s="5" t="str">
        <f>IF(A370="","",IF(COUNTIF(Типы,C370)=0,0,VLOOKUP(C370,СПРАВОЧНИКИ!$A$7:$E$22,2,FALSE)))</f>
        <v/>
      </c>
      <c r="Q370" s="25" t="str">
        <f t="shared" si="5"/>
        <v/>
      </c>
      <c r="R370" s="5" t="str">
        <f>IF(A370="","",IF(COUNTIF(Типы,C370)=0,"НЕИЗВЕСТНЫЙ ТИП",VLOOKUP(C370,СПРАВОЧНИКИ!$A$7:$E$22,3,FALSE)))</f>
        <v/>
      </c>
      <c r="S370" s="26" t="str">
        <f>IF(A370="","",IF(L370="Проведён",E370*IF(COUNTIF(Типы,C370)=0,0,VLOOKUP(C370,СПРАВОЧНИКИ!$A$7:$E$22,4,FALSE)),0))</f>
        <v/>
      </c>
      <c r="T370" s="26" t="str">
        <f>IF(A370="","",IF(L370="Проведён",E370*IF(COUNTIF(Типы,C370)=0,0,VLOOKUP(C370,СПРАВОЧНИКИ!$A$7:$E$22,5,FALSE)),0))</f>
        <v/>
      </c>
      <c r="U370" s="5" t="str">
        <f>IF(A370="","",IF(COUNTIF(Контрагенты,H370)=0,"Не задан",VLOOKUP(H370,СПРАВОЧНИКИ!$G$7:$H$66,2,FALSE)))</f>
        <v/>
      </c>
      <c r="V370" s="4" t="str">
        <f>IF(A370="",IF(COUNTA(B370:O370)&gt;0,"НЕТ ID",""),IF(OR(AND(OR(C370="Оплата клиента",C370="Возврат клиенту"),COUNTIFS(Docs[ID],J370,Docs[Тип долга],"ДЗ")&lt;&gt;1),AND(OR(C370="Оплата поставщику",C370="Возврат поставщика"),COUNTIFS(Docs[ID],J370,Docs[Тип долга],"КЗ",Docs[Вид],"&lt;&gt;Дивиденды")&lt;&gt;1),AND(C370="Дивиденды",COUNTIFS(Docs[ID],J370,Docs[Вид],"Дивиденды")&lt;&gt;1),AND(C370="Проценты",COUNTIFS(Docs[ID],J370,Docs[Вид],"Проценты")&lt;&gt;1),COUNTIF(Cash[ID],A370)&gt;1,NOT(ISNUMBER(B370)),B370&lt;НачалоУчета,YEAR(B370)&lt;&gt;Год,NOT(ISNUMBER(E370)),E370&lt;=0,N370&lt;0,COUNTIF(Типы,C370)&lt;&gt;1,COUNTIF(Категории,D370)&lt;&gt;1,COUNTIF(Счета,F370)&lt;&gt;1,COUNTIF(Проекты,I370)&lt;&gt;1,AND(H370&lt;&gt;"",COUNTIF(Контрагенты,H370)&lt;&gt;1),AND(C370="Перевод",OR(F370=G370,COUNTIF(Счета,G370)&lt;&gt;1)),AND(S370&lt;&gt;0,COUNTIF(Docs[ID],J370)&lt;&gt;1),AND(Форма="ООО",C370="Вывод ИП"),AND(Форма="ИП",C370="Дивиденды"),AND(L370&lt;&gt;"Проведён",L370&lt;&gt;"Черновик")),"ОШИБКА","ОК"))</f>
        <v/>
      </c>
      <c r="W370" s="25" t="str">
        <f>IF(A370="","",SUMIF(Accounts[Счёт],F370,Accounts[Начальный])+SUMIFS($Q$7:Q370,$F$7:F370,F370)+SUMIFS($E$7:E370,$G$7:G370,F370,$C$7:C370,"Перевод",$L$7:L370,"Проведён"))</f>
        <v/>
      </c>
    </row>
    <row r="371" spans="1:23" x14ac:dyDescent="0.25">
      <c r="A371" s="22"/>
      <c r="B371" s="23"/>
      <c r="C371" s="22"/>
      <c r="D371" s="22"/>
      <c r="E371" s="27"/>
      <c r="F371" s="22"/>
      <c r="G371" s="22"/>
      <c r="H371" s="22"/>
      <c r="I371" s="22"/>
      <c r="J371" s="22"/>
      <c r="K371" s="22"/>
      <c r="L371" s="22"/>
      <c r="M371" s="22"/>
      <c r="N371" s="27"/>
      <c r="O371" s="22"/>
      <c r="P371" s="5" t="str">
        <f>IF(A371="","",IF(COUNTIF(Типы,C371)=0,0,VLOOKUP(C371,СПРАВОЧНИКИ!$A$7:$E$22,2,FALSE)))</f>
        <v/>
      </c>
      <c r="Q371" s="25" t="str">
        <f t="shared" si="5"/>
        <v/>
      </c>
      <c r="R371" s="5" t="str">
        <f>IF(A371="","",IF(COUNTIF(Типы,C371)=0,"НЕИЗВЕСТНЫЙ ТИП",VLOOKUP(C371,СПРАВОЧНИКИ!$A$7:$E$22,3,FALSE)))</f>
        <v/>
      </c>
      <c r="S371" s="26" t="str">
        <f>IF(A371="","",IF(L371="Проведён",E371*IF(COUNTIF(Типы,C371)=0,0,VLOOKUP(C371,СПРАВОЧНИКИ!$A$7:$E$22,4,FALSE)),0))</f>
        <v/>
      </c>
      <c r="T371" s="26" t="str">
        <f>IF(A371="","",IF(L371="Проведён",E371*IF(COUNTIF(Типы,C371)=0,0,VLOOKUP(C371,СПРАВОЧНИКИ!$A$7:$E$22,5,FALSE)),0))</f>
        <v/>
      </c>
      <c r="U371" s="5" t="str">
        <f>IF(A371="","",IF(COUNTIF(Контрагенты,H371)=0,"Не задан",VLOOKUP(H371,СПРАВОЧНИКИ!$G$7:$H$66,2,FALSE)))</f>
        <v/>
      </c>
      <c r="V371" s="4" t="str">
        <f>IF(A371="",IF(COUNTA(B371:O371)&gt;0,"НЕТ ID",""),IF(OR(AND(OR(C371="Оплата клиента",C371="Возврат клиенту"),COUNTIFS(Docs[ID],J371,Docs[Тип долга],"ДЗ")&lt;&gt;1),AND(OR(C371="Оплата поставщику",C371="Возврат поставщика"),COUNTIFS(Docs[ID],J371,Docs[Тип долга],"КЗ",Docs[Вид],"&lt;&gt;Дивиденды")&lt;&gt;1),AND(C371="Дивиденды",COUNTIFS(Docs[ID],J371,Docs[Вид],"Дивиденды")&lt;&gt;1),AND(C371="Проценты",COUNTIFS(Docs[ID],J371,Docs[Вид],"Проценты")&lt;&gt;1),COUNTIF(Cash[ID],A371)&gt;1,NOT(ISNUMBER(B371)),B371&lt;НачалоУчета,YEAR(B371)&lt;&gt;Год,NOT(ISNUMBER(E371)),E371&lt;=0,N371&lt;0,COUNTIF(Типы,C371)&lt;&gt;1,COUNTIF(Категории,D371)&lt;&gt;1,COUNTIF(Счета,F371)&lt;&gt;1,COUNTIF(Проекты,I371)&lt;&gt;1,AND(H371&lt;&gt;"",COUNTIF(Контрагенты,H371)&lt;&gt;1),AND(C371="Перевод",OR(F371=G371,COUNTIF(Счета,G371)&lt;&gt;1)),AND(S371&lt;&gt;0,COUNTIF(Docs[ID],J371)&lt;&gt;1),AND(Форма="ООО",C371="Вывод ИП"),AND(Форма="ИП",C371="Дивиденды"),AND(L371&lt;&gt;"Проведён",L371&lt;&gt;"Черновик")),"ОШИБКА","ОК"))</f>
        <v/>
      </c>
      <c r="W371" s="25" t="str">
        <f>IF(A371="","",SUMIF(Accounts[Счёт],F371,Accounts[Начальный])+SUMIFS($Q$7:Q371,$F$7:F371,F371)+SUMIFS($E$7:E371,$G$7:G371,F371,$C$7:C371,"Перевод",$L$7:L371,"Проведён"))</f>
        <v/>
      </c>
    </row>
    <row r="372" spans="1:23" x14ac:dyDescent="0.25">
      <c r="A372" s="22"/>
      <c r="B372" s="23"/>
      <c r="C372" s="22"/>
      <c r="D372" s="22"/>
      <c r="E372" s="27"/>
      <c r="F372" s="22"/>
      <c r="G372" s="22"/>
      <c r="H372" s="22"/>
      <c r="I372" s="22"/>
      <c r="J372" s="22"/>
      <c r="K372" s="22"/>
      <c r="L372" s="22"/>
      <c r="M372" s="22"/>
      <c r="N372" s="27"/>
      <c r="O372" s="22"/>
      <c r="P372" s="5" t="str">
        <f>IF(A372="","",IF(COUNTIF(Типы,C372)=0,0,VLOOKUP(C372,СПРАВОЧНИКИ!$A$7:$E$22,2,FALSE)))</f>
        <v/>
      </c>
      <c r="Q372" s="25" t="str">
        <f t="shared" si="5"/>
        <v/>
      </c>
      <c r="R372" s="5" t="str">
        <f>IF(A372="","",IF(COUNTIF(Типы,C372)=0,"НЕИЗВЕСТНЫЙ ТИП",VLOOKUP(C372,СПРАВОЧНИКИ!$A$7:$E$22,3,FALSE)))</f>
        <v/>
      </c>
      <c r="S372" s="26" t="str">
        <f>IF(A372="","",IF(L372="Проведён",E372*IF(COUNTIF(Типы,C372)=0,0,VLOOKUP(C372,СПРАВОЧНИКИ!$A$7:$E$22,4,FALSE)),0))</f>
        <v/>
      </c>
      <c r="T372" s="26" t="str">
        <f>IF(A372="","",IF(L372="Проведён",E372*IF(COUNTIF(Типы,C372)=0,0,VLOOKUP(C372,СПРАВОЧНИКИ!$A$7:$E$22,5,FALSE)),0))</f>
        <v/>
      </c>
      <c r="U372" s="5" t="str">
        <f>IF(A372="","",IF(COUNTIF(Контрагенты,H372)=0,"Не задан",VLOOKUP(H372,СПРАВОЧНИКИ!$G$7:$H$66,2,FALSE)))</f>
        <v/>
      </c>
      <c r="V372" s="4" t="str">
        <f>IF(A372="",IF(COUNTA(B372:O372)&gt;0,"НЕТ ID",""),IF(OR(AND(OR(C372="Оплата клиента",C372="Возврат клиенту"),COUNTIFS(Docs[ID],J372,Docs[Тип долга],"ДЗ")&lt;&gt;1),AND(OR(C372="Оплата поставщику",C372="Возврат поставщика"),COUNTIFS(Docs[ID],J372,Docs[Тип долга],"КЗ",Docs[Вид],"&lt;&gt;Дивиденды")&lt;&gt;1),AND(C372="Дивиденды",COUNTIFS(Docs[ID],J372,Docs[Вид],"Дивиденды")&lt;&gt;1),AND(C372="Проценты",COUNTIFS(Docs[ID],J372,Docs[Вид],"Проценты")&lt;&gt;1),COUNTIF(Cash[ID],A372)&gt;1,NOT(ISNUMBER(B372)),B372&lt;НачалоУчета,YEAR(B372)&lt;&gt;Год,NOT(ISNUMBER(E372)),E372&lt;=0,N372&lt;0,COUNTIF(Типы,C372)&lt;&gt;1,COUNTIF(Категории,D372)&lt;&gt;1,COUNTIF(Счета,F372)&lt;&gt;1,COUNTIF(Проекты,I372)&lt;&gt;1,AND(H372&lt;&gt;"",COUNTIF(Контрагенты,H372)&lt;&gt;1),AND(C372="Перевод",OR(F372=G372,COUNTIF(Счета,G372)&lt;&gt;1)),AND(S372&lt;&gt;0,COUNTIF(Docs[ID],J372)&lt;&gt;1),AND(Форма="ООО",C372="Вывод ИП"),AND(Форма="ИП",C372="Дивиденды"),AND(L372&lt;&gt;"Проведён",L372&lt;&gt;"Черновик")),"ОШИБКА","ОК"))</f>
        <v/>
      </c>
      <c r="W372" s="25" t="str">
        <f>IF(A372="","",SUMIF(Accounts[Счёт],F372,Accounts[Начальный])+SUMIFS($Q$7:Q372,$F$7:F372,F372)+SUMIFS($E$7:E372,$G$7:G372,F372,$C$7:C372,"Перевод",$L$7:L372,"Проведён"))</f>
        <v/>
      </c>
    </row>
    <row r="373" spans="1:23" x14ac:dyDescent="0.25">
      <c r="A373" s="22"/>
      <c r="B373" s="23"/>
      <c r="C373" s="22"/>
      <c r="D373" s="22"/>
      <c r="E373" s="27"/>
      <c r="F373" s="22"/>
      <c r="G373" s="22"/>
      <c r="H373" s="22"/>
      <c r="I373" s="22"/>
      <c r="J373" s="22"/>
      <c r="K373" s="22"/>
      <c r="L373" s="22"/>
      <c r="M373" s="22"/>
      <c r="N373" s="27"/>
      <c r="O373" s="22"/>
      <c r="P373" s="5" t="str">
        <f>IF(A373="","",IF(COUNTIF(Типы,C373)=0,0,VLOOKUP(C373,СПРАВОЧНИКИ!$A$7:$E$22,2,FALSE)))</f>
        <v/>
      </c>
      <c r="Q373" s="25" t="str">
        <f t="shared" si="5"/>
        <v/>
      </c>
      <c r="R373" s="5" t="str">
        <f>IF(A373="","",IF(COUNTIF(Типы,C373)=0,"НЕИЗВЕСТНЫЙ ТИП",VLOOKUP(C373,СПРАВОЧНИКИ!$A$7:$E$22,3,FALSE)))</f>
        <v/>
      </c>
      <c r="S373" s="26" t="str">
        <f>IF(A373="","",IF(L373="Проведён",E373*IF(COUNTIF(Типы,C373)=0,0,VLOOKUP(C373,СПРАВОЧНИКИ!$A$7:$E$22,4,FALSE)),0))</f>
        <v/>
      </c>
      <c r="T373" s="26" t="str">
        <f>IF(A373="","",IF(L373="Проведён",E373*IF(COUNTIF(Типы,C373)=0,0,VLOOKUP(C373,СПРАВОЧНИКИ!$A$7:$E$22,5,FALSE)),0))</f>
        <v/>
      </c>
      <c r="U373" s="5" t="str">
        <f>IF(A373="","",IF(COUNTIF(Контрагенты,H373)=0,"Не задан",VLOOKUP(H373,СПРАВОЧНИКИ!$G$7:$H$66,2,FALSE)))</f>
        <v/>
      </c>
      <c r="V373" s="4" t="str">
        <f>IF(A373="",IF(COUNTA(B373:O373)&gt;0,"НЕТ ID",""),IF(OR(AND(OR(C373="Оплата клиента",C373="Возврат клиенту"),COUNTIFS(Docs[ID],J373,Docs[Тип долга],"ДЗ")&lt;&gt;1),AND(OR(C373="Оплата поставщику",C373="Возврат поставщика"),COUNTIFS(Docs[ID],J373,Docs[Тип долга],"КЗ",Docs[Вид],"&lt;&gt;Дивиденды")&lt;&gt;1),AND(C373="Дивиденды",COUNTIFS(Docs[ID],J373,Docs[Вид],"Дивиденды")&lt;&gt;1),AND(C373="Проценты",COUNTIFS(Docs[ID],J373,Docs[Вид],"Проценты")&lt;&gt;1),COUNTIF(Cash[ID],A373)&gt;1,NOT(ISNUMBER(B373)),B373&lt;НачалоУчета,YEAR(B373)&lt;&gt;Год,NOT(ISNUMBER(E373)),E373&lt;=0,N373&lt;0,COUNTIF(Типы,C373)&lt;&gt;1,COUNTIF(Категории,D373)&lt;&gt;1,COUNTIF(Счета,F373)&lt;&gt;1,COUNTIF(Проекты,I373)&lt;&gt;1,AND(H373&lt;&gt;"",COUNTIF(Контрагенты,H373)&lt;&gt;1),AND(C373="Перевод",OR(F373=G373,COUNTIF(Счета,G373)&lt;&gt;1)),AND(S373&lt;&gt;0,COUNTIF(Docs[ID],J373)&lt;&gt;1),AND(Форма="ООО",C373="Вывод ИП"),AND(Форма="ИП",C373="Дивиденды"),AND(L373&lt;&gt;"Проведён",L373&lt;&gt;"Черновик")),"ОШИБКА","ОК"))</f>
        <v/>
      </c>
      <c r="W373" s="25" t="str">
        <f>IF(A373="","",SUMIF(Accounts[Счёт],F373,Accounts[Начальный])+SUMIFS($Q$7:Q373,$F$7:F373,F373)+SUMIFS($E$7:E373,$G$7:G373,F373,$C$7:C373,"Перевод",$L$7:L373,"Проведён"))</f>
        <v/>
      </c>
    </row>
    <row r="374" spans="1:23" x14ac:dyDescent="0.25">
      <c r="A374" s="22"/>
      <c r="B374" s="23"/>
      <c r="C374" s="22"/>
      <c r="D374" s="22"/>
      <c r="E374" s="27"/>
      <c r="F374" s="22"/>
      <c r="G374" s="22"/>
      <c r="H374" s="22"/>
      <c r="I374" s="22"/>
      <c r="J374" s="22"/>
      <c r="K374" s="22"/>
      <c r="L374" s="22"/>
      <c r="M374" s="22"/>
      <c r="N374" s="27"/>
      <c r="O374" s="22"/>
      <c r="P374" s="5" t="str">
        <f>IF(A374="","",IF(COUNTIF(Типы,C374)=0,0,VLOOKUP(C374,СПРАВОЧНИКИ!$A$7:$E$22,2,FALSE)))</f>
        <v/>
      </c>
      <c r="Q374" s="25" t="str">
        <f t="shared" si="5"/>
        <v/>
      </c>
      <c r="R374" s="5" t="str">
        <f>IF(A374="","",IF(COUNTIF(Типы,C374)=0,"НЕИЗВЕСТНЫЙ ТИП",VLOOKUP(C374,СПРАВОЧНИКИ!$A$7:$E$22,3,FALSE)))</f>
        <v/>
      </c>
      <c r="S374" s="26" t="str">
        <f>IF(A374="","",IF(L374="Проведён",E374*IF(COUNTIF(Типы,C374)=0,0,VLOOKUP(C374,СПРАВОЧНИКИ!$A$7:$E$22,4,FALSE)),0))</f>
        <v/>
      </c>
      <c r="T374" s="26" t="str">
        <f>IF(A374="","",IF(L374="Проведён",E374*IF(COUNTIF(Типы,C374)=0,0,VLOOKUP(C374,СПРАВОЧНИКИ!$A$7:$E$22,5,FALSE)),0))</f>
        <v/>
      </c>
      <c r="U374" s="5" t="str">
        <f>IF(A374="","",IF(COUNTIF(Контрагенты,H374)=0,"Не задан",VLOOKUP(H374,СПРАВОЧНИКИ!$G$7:$H$66,2,FALSE)))</f>
        <v/>
      </c>
      <c r="V374" s="4" t="str">
        <f>IF(A374="",IF(COUNTA(B374:O374)&gt;0,"НЕТ ID",""),IF(OR(AND(OR(C374="Оплата клиента",C374="Возврат клиенту"),COUNTIFS(Docs[ID],J374,Docs[Тип долга],"ДЗ")&lt;&gt;1),AND(OR(C374="Оплата поставщику",C374="Возврат поставщика"),COUNTIFS(Docs[ID],J374,Docs[Тип долга],"КЗ",Docs[Вид],"&lt;&gt;Дивиденды")&lt;&gt;1),AND(C374="Дивиденды",COUNTIFS(Docs[ID],J374,Docs[Вид],"Дивиденды")&lt;&gt;1),AND(C374="Проценты",COUNTIFS(Docs[ID],J374,Docs[Вид],"Проценты")&lt;&gt;1),COUNTIF(Cash[ID],A374)&gt;1,NOT(ISNUMBER(B374)),B374&lt;НачалоУчета,YEAR(B374)&lt;&gt;Год,NOT(ISNUMBER(E374)),E374&lt;=0,N374&lt;0,COUNTIF(Типы,C374)&lt;&gt;1,COUNTIF(Категории,D374)&lt;&gt;1,COUNTIF(Счета,F374)&lt;&gt;1,COUNTIF(Проекты,I374)&lt;&gt;1,AND(H374&lt;&gt;"",COUNTIF(Контрагенты,H374)&lt;&gt;1),AND(C374="Перевод",OR(F374=G374,COUNTIF(Счета,G374)&lt;&gt;1)),AND(S374&lt;&gt;0,COUNTIF(Docs[ID],J374)&lt;&gt;1),AND(Форма="ООО",C374="Вывод ИП"),AND(Форма="ИП",C374="Дивиденды"),AND(L374&lt;&gt;"Проведён",L374&lt;&gt;"Черновик")),"ОШИБКА","ОК"))</f>
        <v/>
      </c>
      <c r="W374" s="25" t="str">
        <f>IF(A374="","",SUMIF(Accounts[Счёт],F374,Accounts[Начальный])+SUMIFS($Q$7:Q374,$F$7:F374,F374)+SUMIFS($E$7:E374,$G$7:G374,F374,$C$7:C374,"Перевод",$L$7:L374,"Проведён"))</f>
        <v/>
      </c>
    </row>
    <row r="375" spans="1:23" x14ac:dyDescent="0.25">
      <c r="A375" s="22"/>
      <c r="B375" s="23"/>
      <c r="C375" s="22"/>
      <c r="D375" s="22"/>
      <c r="E375" s="27"/>
      <c r="F375" s="22"/>
      <c r="G375" s="22"/>
      <c r="H375" s="22"/>
      <c r="I375" s="22"/>
      <c r="J375" s="22"/>
      <c r="K375" s="22"/>
      <c r="L375" s="22"/>
      <c r="M375" s="22"/>
      <c r="N375" s="27"/>
      <c r="O375" s="22"/>
      <c r="P375" s="5" t="str">
        <f>IF(A375="","",IF(COUNTIF(Типы,C375)=0,0,VLOOKUP(C375,СПРАВОЧНИКИ!$A$7:$E$22,2,FALSE)))</f>
        <v/>
      </c>
      <c r="Q375" s="25" t="str">
        <f t="shared" si="5"/>
        <v/>
      </c>
      <c r="R375" s="5" t="str">
        <f>IF(A375="","",IF(COUNTIF(Типы,C375)=0,"НЕИЗВЕСТНЫЙ ТИП",VLOOKUP(C375,СПРАВОЧНИКИ!$A$7:$E$22,3,FALSE)))</f>
        <v/>
      </c>
      <c r="S375" s="26" t="str">
        <f>IF(A375="","",IF(L375="Проведён",E375*IF(COUNTIF(Типы,C375)=0,0,VLOOKUP(C375,СПРАВОЧНИКИ!$A$7:$E$22,4,FALSE)),0))</f>
        <v/>
      </c>
      <c r="T375" s="26" t="str">
        <f>IF(A375="","",IF(L375="Проведён",E375*IF(COUNTIF(Типы,C375)=0,0,VLOOKUP(C375,СПРАВОЧНИКИ!$A$7:$E$22,5,FALSE)),0))</f>
        <v/>
      </c>
      <c r="U375" s="5" t="str">
        <f>IF(A375="","",IF(COUNTIF(Контрагенты,H375)=0,"Не задан",VLOOKUP(H375,СПРАВОЧНИКИ!$G$7:$H$66,2,FALSE)))</f>
        <v/>
      </c>
      <c r="V375" s="4" t="str">
        <f>IF(A375="",IF(COUNTA(B375:O375)&gt;0,"НЕТ ID",""),IF(OR(AND(OR(C375="Оплата клиента",C375="Возврат клиенту"),COUNTIFS(Docs[ID],J375,Docs[Тип долга],"ДЗ")&lt;&gt;1),AND(OR(C375="Оплата поставщику",C375="Возврат поставщика"),COUNTIFS(Docs[ID],J375,Docs[Тип долга],"КЗ",Docs[Вид],"&lt;&gt;Дивиденды")&lt;&gt;1),AND(C375="Дивиденды",COUNTIFS(Docs[ID],J375,Docs[Вид],"Дивиденды")&lt;&gt;1),AND(C375="Проценты",COUNTIFS(Docs[ID],J375,Docs[Вид],"Проценты")&lt;&gt;1),COUNTIF(Cash[ID],A375)&gt;1,NOT(ISNUMBER(B375)),B375&lt;НачалоУчета,YEAR(B375)&lt;&gt;Год,NOT(ISNUMBER(E375)),E375&lt;=0,N375&lt;0,COUNTIF(Типы,C375)&lt;&gt;1,COUNTIF(Категории,D375)&lt;&gt;1,COUNTIF(Счета,F375)&lt;&gt;1,COUNTIF(Проекты,I375)&lt;&gt;1,AND(H375&lt;&gt;"",COUNTIF(Контрагенты,H375)&lt;&gt;1),AND(C375="Перевод",OR(F375=G375,COUNTIF(Счета,G375)&lt;&gt;1)),AND(S375&lt;&gt;0,COUNTIF(Docs[ID],J375)&lt;&gt;1),AND(Форма="ООО",C375="Вывод ИП"),AND(Форма="ИП",C375="Дивиденды"),AND(L375&lt;&gt;"Проведён",L375&lt;&gt;"Черновик")),"ОШИБКА","ОК"))</f>
        <v/>
      </c>
      <c r="W375" s="25" t="str">
        <f>IF(A375="","",SUMIF(Accounts[Счёт],F375,Accounts[Начальный])+SUMIFS($Q$7:Q375,$F$7:F375,F375)+SUMIFS($E$7:E375,$G$7:G375,F375,$C$7:C375,"Перевод",$L$7:L375,"Проведён"))</f>
        <v/>
      </c>
    </row>
    <row r="376" spans="1:23" x14ac:dyDescent="0.25">
      <c r="A376" s="22"/>
      <c r="B376" s="23"/>
      <c r="C376" s="22"/>
      <c r="D376" s="22"/>
      <c r="E376" s="27"/>
      <c r="F376" s="22"/>
      <c r="G376" s="22"/>
      <c r="H376" s="22"/>
      <c r="I376" s="22"/>
      <c r="J376" s="22"/>
      <c r="K376" s="22"/>
      <c r="L376" s="22"/>
      <c r="M376" s="22"/>
      <c r="N376" s="27"/>
      <c r="O376" s="22"/>
      <c r="P376" s="5" t="str">
        <f>IF(A376="","",IF(COUNTIF(Типы,C376)=0,0,VLOOKUP(C376,СПРАВОЧНИКИ!$A$7:$E$22,2,FALSE)))</f>
        <v/>
      </c>
      <c r="Q376" s="25" t="str">
        <f t="shared" si="5"/>
        <v/>
      </c>
      <c r="R376" s="5" t="str">
        <f>IF(A376="","",IF(COUNTIF(Типы,C376)=0,"НЕИЗВЕСТНЫЙ ТИП",VLOOKUP(C376,СПРАВОЧНИКИ!$A$7:$E$22,3,FALSE)))</f>
        <v/>
      </c>
      <c r="S376" s="26" t="str">
        <f>IF(A376="","",IF(L376="Проведён",E376*IF(COUNTIF(Типы,C376)=0,0,VLOOKUP(C376,СПРАВОЧНИКИ!$A$7:$E$22,4,FALSE)),0))</f>
        <v/>
      </c>
      <c r="T376" s="26" t="str">
        <f>IF(A376="","",IF(L376="Проведён",E376*IF(COUNTIF(Типы,C376)=0,0,VLOOKUP(C376,СПРАВОЧНИКИ!$A$7:$E$22,5,FALSE)),0))</f>
        <v/>
      </c>
      <c r="U376" s="5" t="str">
        <f>IF(A376="","",IF(COUNTIF(Контрагенты,H376)=0,"Не задан",VLOOKUP(H376,СПРАВОЧНИКИ!$G$7:$H$66,2,FALSE)))</f>
        <v/>
      </c>
      <c r="V376" s="4" t="str">
        <f>IF(A376="",IF(COUNTA(B376:O376)&gt;0,"НЕТ ID",""),IF(OR(AND(OR(C376="Оплата клиента",C376="Возврат клиенту"),COUNTIFS(Docs[ID],J376,Docs[Тип долга],"ДЗ")&lt;&gt;1),AND(OR(C376="Оплата поставщику",C376="Возврат поставщика"),COUNTIFS(Docs[ID],J376,Docs[Тип долга],"КЗ",Docs[Вид],"&lt;&gt;Дивиденды")&lt;&gt;1),AND(C376="Дивиденды",COUNTIFS(Docs[ID],J376,Docs[Вид],"Дивиденды")&lt;&gt;1),AND(C376="Проценты",COUNTIFS(Docs[ID],J376,Docs[Вид],"Проценты")&lt;&gt;1),COUNTIF(Cash[ID],A376)&gt;1,NOT(ISNUMBER(B376)),B376&lt;НачалоУчета,YEAR(B376)&lt;&gt;Год,NOT(ISNUMBER(E376)),E376&lt;=0,N376&lt;0,COUNTIF(Типы,C376)&lt;&gt;1,COUNTIF(Категории,D376)&lt;&gt;1,COUNTIF(Счета,F376)&lt;&gt;1,COUNTIF(Проекты,I376)&lt;&gt;1,AND(H376&lt;&gt;"",COUNTIF(Контрагенты,H376)&lt;&gt;1),AND(C376="Перевод",OR(F376=G376,COUNTIF(Счета,G376)&lt;&gt;1)),AND(S376&lt;&gt;0,COUNTIF(Docs[ID],J376)&lt;&gt;1),AND(Форма="ООО",C376="Вывод ИП"),AND(Форма="ИП",C376="Дивиденды"),AND(L376&lt;&gt;"Проведён",L376&lt;&gt;"Черновик")),"ОШИБКА","ОК"))</f>
        <v/>
      </c>
      <c r="W376" s="25" t="str">
        <f>IF(A376="","",SUMIF(Accounts[Счёт],F376,Accounts[Начальный])+SUMIFS($Q$7:Q376,$F$7:F376,F376)+SUMIFS($E$7:E376,$G$7:G376,F376,$C$7:C376,"Перевод",$L$7:L376,"Проведён"))</f>
        <v/>
      </c>
    </row>
    <row r="377" spans="1:23" x14ac:dyDescent="0.25">
      <c r="A377" s="22"/>
      <c r="B377" s="23"/>
      <c r="C377" s="22"/>
      <c r="D377" s="22"/>
      <c r="E377" s="27"/>
      <c r="F377" s="22"/>
      <c r="G377" s="22"/>
      <c r="H377" s="22"/>
      <c r="I377" s="22"/>
      <c r="J377" s="22"/>
      <c r="K377" s="22"/>
      <c r="L377" s="22"/>
      <c r="M377" s="22"/>
      <c r="N377" s="27"/>
      <c r="O377" s="22"/>
      <c r="P377" s="5" t="str">
        <f>IF(A377="","",IF(COUNTIF(Типы,C377)=0,0,VLOOKUP(C377,СПРАВОЧНИКИ!$A$7:$E$22,2,FALSE)))</f>
        <v/>
      </c>
      <c r="Q377" s="25" t="str">
        <f t="shared" si="5"/>
        <v/>
      </c>
      <c r="R377" s="5" t="str">
        <f>IF(A377="","",IF(COUNTIF(Типы,C377)=0,"НЕИЗВЕСТНЫЙ ТИП",VLOOKUP(C377,СПРАВОЧНИКИ!$A$7:$E$22,3,FALSE)))</f>
        <v/>
      </c>
      <c r="S377" s="26" t="str">
        <f>IF(A377="","",IF(L377="Проведён",E377*IF(COUNTIF(Типы,C377)=0,0,VLOOKUP(C377,СПРАВОЧНИКИ!$A$7:$E$22,4,FALSE)),0))</f>
        <v/>
      </c>
      <c r="T377" s="26" t="str">
        <f>IF(A377="","",IF(L377="Проведён",E377*IF(COUNTIF(Типы,C377)=0,0,VLOOKUP(C377,СПРАВОЧНИКИ!$A$7:$E$22,5,FALSE)),0))</f>
        <v/>
      </c>
      <c r="U377" s="5" t="str">
        <f>IF(A377="","",IF(COUNTIF(Контрагенты,H377)=0,"Не задан",VLOOKUP(H377,СПРАВОЧНИКИ!$G$7:$H$66,2,FALSE)))</f>
        <v/>
      </c>
      <c r="V377" s="4" t="str">
        <f>IF(A377="",IF(COUNTA(B377:O377)&gt;0,"НЕТ ID",""),IF(OR(AND(OR(C377="Оплата клиента",C377="Возврат клиенту"),COUNTIFS(Docs[ID],J377,Docs[Тип долга],"ДЗ")&lt;&gt;1),AND(OR(C377="Оплата поставщику",C377="Возврат поставщика"),COUNTIFS(Docs[ID],J377,Docs[Тип долга],"КЗ",Docs[Вид],"&lt;&gt;Дивиденды")&lt;&gt;1),AND(C377="Дивиденды",COUNTIFS(Docs[ID],J377,Docs[Вид],"Дивиденды")&lt;&gt;1),AND(C377="Проценты",COUNTIFS(Docs[ID],J377,Docs[Вид],"Проценты")&lt;&gt;1),COUNTIF(Cash[ID],A377)&gt;1,NOT(ISNUMBER(B377)),B377&lt;НачалоУчета,YEAR(B377)&lt;&gt;Год,NOT(ISNUMBER(E377)),E377&lt;=0,N377&lt;0,COUNTIF(Типы,C377)&lt;&gt;1,COUNTIF(Категории,D377)&lt;&gt;1,COUNTIF(Счета,F377)&lt;&gt;1,COUNTIF(Проекты,I377)&lt;&gt;1,AND(H377&lt;&gt;"",COUNTIF(Контрагенты,H377)&lt;&gt;1),AND(C377="Перевод",OR(F377=G377,COUNTIF(Счета,G377)&lt;&gt;1)),AND(S377&lt;&gt;0,COUNTIF(Docs[ID],J377)&lt;&gt;1),AND(Форма="ООО",C377="Вывод ИП"),AND(Форма="ИП",C377="Дивиденды"),AND(L377&lt;&gt;"Проведён",L377&lt;&gt;"Черновик")),"ОШИБКА","ОК"))</f>
        <v/>
      </c>
      <c r="W377" s="25" t="str">
        <f>IF(A377="","",SUMIF(Accounts[Счёт],F377,Accounts[Начальный])+SUMIFS($Q$7:Q377,$F$7:F377,F377)+SUMIFS($E$7:E377,$G$7:G377,F377,$C$7:C377,"Перевод",$L$7:L377,"Проведён"))</f>
        <v/>
      </c>
    </row>
    <row r="378" spans="1:23" x14ac:dyDescent="0.25">
      <c r="A378" s="22"/>
      <c r="B378" s="23"/>
      <c r="C378" s="22"/>
      <c r="D378" s="22"/>
      <c r="E378" s="27"/>
      <c r="F378" s="22"/>
      <c r="G378" s="22"/>
      <c r="H378" s="22"/>
      <c r="I378" s="22"/>
      <c r="J378" s="22"/>
      <c r="K378" s="22"/>
      <c r="L378" s="22"/>
      <c r="M378" s="22"/>
      <c r="N378" s="27"/>
      <c r="O378" s="22"/>
      <c r="P378" s="5" t="str">
        <f>IF(A378="","",IF(COUNTIF(Типы,C378)=0,0,VLOOKUP(C378,СПРАВОЧНИКИ!$A$7:$E$22,2,FALSE)))</f>
        <v/>
      </c>
      <c r="Q378" s="25" t="str">
        <f t="shared" si="5"/>
        <v/>
      </c>
      <c r="R378" s="5" t="str">
        <f>IF(A378="","",IF(COUNTIF(Типы,C378)=0,"НЕИЗВЕСТНЫЙ ТИП",VLOOKUP(C378,СПРАВОЧНИКИ!$A$7:$E$22,3,FALSE)))</f>
        <v/>
      </c>
      <c r="S378" s="26" t="str">
        <f>IF(A378="","",IF(L378="Проведён",E378*IF(COUNTIF(Типы,C378)=0,0,VLOOKUP(C378,СПРАВОЧНИКИ!$A$7:$E$22,4,FALSE)),0))</f>
        <v/>
      </c>
      <c r="T378" s="26" t="str">
        <f>IF(A378="","",IF(L378="Проведён",E378*IF(COUNTIF(Типы,C378)=0,0,VLOOKUP(C378,СПРАВОЧНИКИ!$A$7:$E$22,5,FALSE)),0))</f>
        <v/>
      </c>
      <c r="U378" s="5" t="str">
        <f>IF(A378="","",IF(COUNTIF(Контрагенты,H378)=0,"Не задан",VLOOKUP(H378,СПРАВОЧНИКИ!$G$7:$H$66,2,FALSE)))</f>
        <v/>
      </c>
      <c r="V378" s="4" t="str">
        <f>IF(A378="",IF(COUNTA(B378:O378)&gt;0,"НЕТ ID",""),IF(OR(AND(OR(C378="Оплата клиента",C378="Возврат клиенту"),COUNTIFS(Docs[ID],J378,Docs[Тип долга],"ДЗ")&lt;&gt;1),AND(OR(C378="Оплата поставщику",C378="Возврат поставщика"),COUNTIFS(Docs[ID],J378,Docs[Тип долга],"КЗ",Docs[Вид],"&lt;&gt;Дивиденды")&lt;&gt;1),AND(C378="Дивиденды",COUNTIFS(Docs[ID],J378,Docs[Вид],"Дивиденды")&lt;&gt;1),AND(C378="Проценты",COUNTIFS(Docs[ID],J378,Docs[Вид],"Проценты")&lt;&gt;1),COUNTIF(Cash[ID],A378)&gt;1,NOT(ISNUMBER(B378)),B378&lt;НачалоУчета,YEAR(B378)&lt;&gt;Год,NOT(ISNUMBER(E378)),E378&lt;=0,N378&lt;0,COUNTIF(Типы,C378)&lt;&gt;1,COUNTIF(Категории,D378)&lt;&gt;1,COUNTIF(Счета,F378)&lt;&gt;1,COUNTIF(Проекты,I378)&lt;&gt;1,AND(H378&lt;&gt;"",COUNTIF(Контрагенты,H378)&lt;&gt;1),AND(C378="Перевод",OR(F378=G378,COUNTIF(Счета,G378)&lt;&gt;1)),AND(S378&lt;&gt;0,COUNTIF(Docs[ID],J378)&lt;&gt;1),AND(Форма="ООО",C378="Вывод ИП"),AND(Форма="ИП",C378="Дивиденды"),AND(L378&lt;&gt;"Проведён",L378&lt;&gt;"Черновик")),"ОШИБКА","ОК"))</f>
        <v/>
      </c>
      <c r="W378" s="25" t="str">
        <f>IF(A378="","",SUMIF(Accounts[Счёт],F378,Accounts[Начальный])+SUMIFS($Q$7:Q378,$F$7:F378,F378)+SUMIFS($E$7:E378,$G$7:G378,F378,$C$7:C378,"Перевод",$L$7:L378,"Проведён"))</f>
        <v/>
      </c>
    </row>
    <row r="379" spans="1:23" x14ac:dyDescent="0.25">
      <c r="A379" s="22"/>
      <c r="B379" s="23"/>
      <c r="C379" s="22"/>
      <c r="D379" s="22"/>
      <c r="E379" s="27"/>
      <c r="F379" s="22"/>
      <c r="G379" s="22"/>
      <c r="H379" s="22"/>
      <c r="I379" s="22"/>
      <c r="J379" s="22"/>
      <c r="K379" s="22"/>
      <c r="L379" s="22"/>
      <c r="M379" s="22"/>
      <c r="N379" s="27"/>
      <c r="O379" s="22"/>
      <c r="P379" s="5" t="str">
        <f>IF(A379="","",IF(COUNTIF(Типы,C379)=0,0,VLOOKUP(C379,СПРАВОЧНИКИ!$A$7:$E$22,2,FALSE)))</f>
        <v/>
      </c>
      <c r="Q379" s="25" t="str">
        <f t="shared" si="5"/>
        <v/>
      </c>
      <c r="R379" s="5" t="str">
        <f>IF(A379="","",IF(COUNTIF(Типы,C379)=0,"НЕИЗВЕСТНЫЙ ТИП",VLOOKUP(C379,СПРАВОЧНИКИ!$A$7:$E$22,3,FALSE)))</f>
        <v/>
      </c>
      <c r="S379" s="26" t="str">
        <f>IF(A379="","",IF(L379="Проведён",E379*IF(COUNTIF(Типы,C379)=0,0,VLOOKUP(C379,СПРАВОЧНИКИ!$A$7:$E$22,4,FALSE)),0))</f>
        <v/>
      </c>
      <c r="T379" s="26" t="str">
        <f>IF(A379="","",IF(L379="Проведён",E379*IF(COUNTIF(Типы,C379)=0,0,VLOOKUP(C379,СПРАВОЧНИКИ!$A$7:$E$22,5,FALSE)),0))</f>
        <v/>
      </c>
      <c r="U379" s="5" t="str">
        <f>IF(A379="","",IF(COUNTIF(Контрагенты,H379)=0,"Не задан",VLOOKUP(H379,СПРАВОЧНИКИ!$G$7:$H$66,2,FALSE)))</f>
        <v/>
      </c>
      <c r="V379" s="4" t="str">
        <f>IF(A379="",IF(COUNTA(B379:O379)&gt;0,"НЕТ ID",""),IF(OR(AND(OR(C379="Оплата клиента",C379="Возврат клиенту"),COUNTIFS(Docs[ID],J379,Docs[Тип долга],"ДЗ")&lt;&gt;1),AND(OR(C379="Оплата поставщику",C379="Возврат поставщика"),COUNTIFS(Docs[ID],J379,Docs[Тип долга],"КЗ",Docs[Вид],"&lt;&gt;Дивиденды")&lt;&gt;1),AND(C379="Дивиденды",COUNTIFS(Docs[ID],J379,Docs[Вид],"Дивиденды")&lt;&gt;1),AND(C379="Проценты",COUNTIFS(Docs[ID],J379,Docs[Вид],"Проценты")&lt;&gt;1),COUNTIF(Cash[ID],A379)&gt;1,NOT(ISNUMBER(B379)),B379&lt;НачалоУчета,YEAR(B379)&lt;&gt;Год,NOT(ISNUMBER(E379)),E379&lt;=0,N379&lt;0,COUNTIF(Типы,C379)&lt;&gt;1,COUNTIF(Категории,D379)&lt;&gt;1,COUNTIF(Счета,F379)&lt;&gt;1,COUNTIF(Проекты,I379)&lt;&gt;1,AND(H379&lt;&gt;"",COUNTIF(Контрагенты,H379)&lt;&gt;1),AND(C379="Перевод",OR(F379=G379,COUNTIF(Счета,G379)&lt;&gt;1)),AND(S379&lt;&gt;0,COUNTIF(Docs[ID],J379)&lt;&gt;1),AND(Форма="ООО",C379="Вывод ИП"),AND(Форма="ИП",C379="Дивиденды"),AND(L379&lt;&gt;"Проведён",L379&lt;&gt;"Черновик")),"ОШИБКА","ОК"))</f>
        <v/>
      </c>
      <c r="W379" s="25" t="str">
        <f>IF(A379="","",SUMIF(Accounts[Счёт],F379,Accounts[Начальный])+SUMIFS($Q$7:Q379,$F$7:F379,F379)+SUMIFS($E$7:E379,$G$7:G379,F379,$C$7:C379,"Перевод",$L$7:L379,"Проведён"))</f>
        <v/>
      </c>
    </row>
    <row r="380" spans="1:23" x14ac:dyDescent="0.25">
      <c r="A380" s="22"/>
      <c r="B380" s="23"/>
      <c r="C380" s="22"/>
      <c r="D380" s="22"/>
      <c r="E380" s="27"/>
      <c r="F380" s="22"/>
      <c r="G380" s="22"/>
      <c r="H380" s="22"/>
      <c r="I380" s="22"/>
      <c r="J380" s="22"/>
      <c r="K380" s="22"/>
      <c r="L380" s="22"/>
      <c r="M380" s="22"/>
      <c r="N380" s="27"/>
      <c r="O380" s="22"/>
      <c r="P380" s="5" t="str">
        <f>IF(A380="","",IF(COUNTIF(Типы,C380)=0,0,VLOOKUP(C380,СПРАВОЧНИКИ!$A$7:$E$22,2,FALSE)))</f>
        <v/>
      </c>
      <c r="Q380" s="25" t="str">
        <f t="shared" si="5"/>
        <v/>
      </c>
      <c r="R380" s="5" t="str">
        <f>IF(A380="","",IF(COUNTIF(Типы,C380)=0,"НЕИЗВЕСТНЫЙ ТИП",VLOOKUP(C380,СПРАВОЧНИКИ!$A$7:$E$22,3,FALSE)))</f>
        <v/>
      </c>
      <c r="S380" s="26" t="str">
        <f>IF(A380="","",IF(L380="Проведён",E380*IF(COUNTIF(Типы,C380)=0,0,VLOOKUP(C380,СПРАВОЧНИКИ!$A$7:$E$22,4,FALSE)),0))</f>
        <v/>
      </c>
      <c r="T380" s="26" t="str">
        <f>IF(A380="","",IF(L380="Проведён",E380*IF(COUNTIF(Типы,C380)=0,0,VLOOKUP(C380,СПРАВОЧНИКИ!$A$7:$E$22,5,FALSE)),0))</f>
        <v/>
      </c>
      <c r="U380" s="5" t="str">
        <f>IF(A380="","",IF(COUNTIF(Контрагенты,H380)=0,"Не задан",VLOOKUP(H380,СПРАВОЧНИКИ!$G$7:$H$66,2,FALSE)))</f>
        <v/>
      </c>
      <c r="V380" s="4" t="str">
        <f>IF(A380="",IF(COUNTA(B380:O380)&gt;0,"НЕТ ID",""),IF(OR(AND(OR(C380="Оплата клиента",C380="Возврат клиенту"),COUNTIFS(Docs[ID],J380,Docs[Тип долга],"ДЗ")&lt;&gt;1),AND(OR(C380="Оплата поставщику",C380="Возврат поставщика"),COUNTIFS(Docs[ID],J380,Docs[Тип долга],"КЗ",Docs[Вид],"&lt;&gt;Дивиденды")&lt;&gt;1),AND(C380="Дивиденды",COUNTIFS(Docs[ID],J380,Docs[Вид],"Дивиденды")&lt;&gt;1),AND(C380="Проценты",COUNTIFS(Docs[ID],J380,Docs[Вид],"Проценты")&lt;&gt;1),COUNTIF(Cash[ID],A380)&gt;1,NOT(ISNUMBER(B380)),B380&lt;НачалоУчета,YEAR(B380)&lt;&gt;Год,NOT(ISNUMBER(E380)),E380&lt;=0,N380&lt;0,COUNTIF(Типы,C380)&lt;&gt;1,COUNTIF(Категории,D380)&lt;&gt;1,COUNTIF(Счета,F380)&lt;&gt;1,COUNTIF(Проекты,I380)&lt;&gt;1,AND(H380&lt;&gt;"",COUNTIF(Контрагенты,H380)&lt;&gt;1),AND(C380="Перевод",OR(F380=G380,COUNTIF(Счета,G380)&lt;&gt;1)),AND(S380&lt;&gt;0,COUNTIF(Docs[ID],J380)&lt;&gt;1),AND(Форма="ООО",C380="Вывод ИП"),AND(Форма="ИП",C380="Дивиденды"),AND(L380&lt;&gt;"Проведён",L380&lt;&gt;"Черновик")),"ОШИБКА","ОК"))</f>
        <v/>
      </c>
      <c r="W380" s="25" t="str">
        <f>IF(A380="","",SUMIF(Accounts[Счёт],F380,Accounts[Начальный])+SUMIFS($Q$7:Q380,$F$7:F380,F380)+SUMIFS($E$7:E380,$G$7:G380,F380,$C$7:C380,"Перевод",$L$7:L380,"Проведён"))</f>
        <v/>
      </c>
    </row>
    <row r="381" spans="1:23" x14ac:dyDescent="0.25">
      <c r="A381" s="22"/>
      <c r="B381" s="23"/>
      <c r="C381" s="22"/>
      <c r="D381" s="22"/>
      <c r="E381" s="27"/>
      <c r="F381" s="22"/>
      <c r="G381" s="22"/>
      <c r="H381" s="22"/>
      <c r="I381" s="22"/>
      <c r="J381" s="22"/>
      <c r="K381" s="22"/>
      <c r="L381" s="22"/>
      <c r="M381" s="22"/>
      <c r="N381" s="27"/>
      <c r="O381" s="22"/>
      <c r="P381" s="5" t="str">
        <f>IF(A381="","",IF(COUNTIF(Типы,C381)=0,0,VLOOKUP(C381,СПРАВОЧНИКИ!$A$7:$E$22,2,FALSE)))</f>
        <v/>
      </c>
      <c r="Q381" s="25" t="str">
        <f t="shared" si="5"/>
        <v/>
      </c>
      <c r="R381" s="5" t="str">
        <f>IF(A381="","",IF(COUNTIF(Типы,C381)=0,"НЕИЗВЕСТНЫЙ ТИП",VLOOKUP(C381,СПРАВОЧНИКИ!$A$7:$E$22,3,FALSE)))</f>
        <v/>
      </c>
      <c r="S381" s="26" t="str">
        <f>IF(A381="","",IF(L381="Проведён",E381*IF(COUNTIF(Типы,C381)=0,0,VLOOKUP(C381,СПРАВОЧНИКИ!$A$7:$E$22,4,FALSE)),0))</f>
        <v/>
      </c>
      <c r="T381" s="26" t="str">
        <f>IF(A381="","",IF(L381="Проведён",E381*IF(COUNTIF(Типы,C381)=0,0,VLOOKUP(C381,СПРАВОЧНИКИ!$A$7:$E$22,5,FALSE)),0))</f>
        <v/>
      </c>
      <c r="U381" s="5" t="str">
        <f>IF(A381="","",IF(COUNTIF(Контрагенты,H381)=0,"Не задан",VLOOKUP(H381,СПРАВОЧНИКИ!$G$7:$H$66,2,FALSE)))</f>
        <v/>
      </c>
      <c r="V381" s="4" t="str">
        <f>IF(A381="",IF(COUNTA(B381:O381)&gt;0,"НЕТ ID",""),IF(OR(AND(OR(C381="Оплата клиента",C381="Возврат клиенту"),COUNTIFS(Docs[ID],J381,Docs[Тип долга],"ДЗ")&lt;&gt;1),AND(OR(C381="Оплата поставщику",C381="Возврат поставщика"),COUNTIFS(Docs[ID],J381,Docs[Тип долга],"КЗ",Docs[Вид],"&lt;&gt;Дивиденды")&lt;&gt;1),AND(C381="Дивиденды",COUNTIFS(Docs[ID],J381,Docs[Вид],"Дивиденды")&lt;&gt;1),AND(C381="Проценты",COUNTIFS(Docs[ID],J381,Docs[Вид],"Проценты")&lt;&gt;1),COUNTIF(Cash[ID],A381)&gt;1,NOT(ISNUMBER(B381)),B381&lt;НачалоУчета,YEAR(B381)&lt;&gt;Год,NOT(ISNUMBER(E381)),E381&lt;=0,N381&lt;0,COUNTIF(Типы,C381)&lt;&gt;1,COUNTIF(Категории,D381)&lt;&gt;1,COUNTIF(Счета,F381)&lt;&gt;1,COUNTIF(Проекты,I381)&lt;&gt;1,AND(H381&lt;&gt;"",COUNTIF(Контрагенты,H381)&lt;&gt;1),AND(C381="Перевод",OR(F381=G381,COUNTIF(Счета,G381)&lt;&gt;1)),AND(S381&lt;&gt;0,COUNTIF(Docs[ID],J381)&lt;&gt;1),AND(Форма="ООО",C381="Вывод ИП"),AND(Форма="ИП",C381="Дивиденды"),AND(L381&lt;&gt;"Проведён",L381&lt;&gt;"Черновик")),"ОШИБКА","ОК"))</f>
        <v/>
      </c>
      <c r="W381" s="25" t="str">
        <f>IF(A381="","",SUMIF(Accounts[Счёт],F381,Accounts[Начальный])+SUMIFS($Q$7:Q381,$F$7:F381,F381)+SUMIFS($E$7:E381,$G$7:G381,F381,$C$7:C381,"Перевод",$L$7:L381,"Проведён"))</f>
        <v/>
      </c>
    </row>
    <row r="382" spans="1:23" x14ac:dyDescent="0.25">
      <c r="A382" s="22"/>
      <c r="B382" s="23"/>
      <c r="C382" s="22"/>
      <c r="D382" s="22"/>
      <c r="E382" s="27"/>
      <c r="F382" s="22"/>
      <c r="G382" s="22"/>
      <c r="H382" s="22"/>
      <c r="I382" s="22"/>
      <c r="J382" s="22"/>
      <c r="K382" s="22"/>
      <c r="L382" s="22"/>
      <c r="M382" s="22"/>
      <c r="N382" s="27"/>
      <c r="O382" s="22"/>
      <c r="P382" s="5" t="str">
        <f>IF(A382="","",IF(COUNTIF(Типы,C382)=0,0,VLOOKUP(C382,СПРАВОЧНИКИ!$A$7:$E$22,2,FALSE)))</f>
        <v/>
      </c>
      <c r="Q382" s="25" t="str">
        <f t="shared" si="5"/>
        <v/>
      </c>
      <c r="R382" s="5" t="str">
        <f>IF(A382="","",IF(COUNTIF(Типы,C382)=0,"НЕИЗВЕСТНЫЙ ТИП",VLOOKUP(C382,СПРАВОЧНИКИ!$A$7:$E$22,3,FALSE)))</f>
        <v/>
      </c>
      <c r="S382" s="26" t="str">
        <f>IF(A382="","",IF(L382="Проведён",E382*IF(COUNTIF(Типы,C382)=0,0,VLOOKUP(C382,СПРАВОЧНИКИ!$A$7:$E$22,4,FALSE)),0))</f>
        <v/>
      </c>
      <c r="T382" s="26" t="str">
        <f>IF(A382="","",IF(L382="Проведён",E382*IF(COUNTIF(Типы,C382)=0,0,VLOOKUP(C382,СПРАВОЧНИКИ!$A$7:$E$22,5,FALSE)),0))</f>
        <v/>
      </c>
      <c r="U382" s="5" t="str">
        <f>IF(A382="","",IF(COUNTIF(Контрагенты,H382)=0,"Не задан",VLOOKUP(H382,СПРАВОЧНИКИ!$G$7:$H$66,2,FALSE)))</f>
        <v/>
      </c>
      <c r="V382" s="4" t="str">
        <f>IF(A382="",IF(COUNTA(B382:O382)&gt;0,"НЕТ ID",""),IF(OR(AND(OR(C382="Оплата клиента",C382="Возврат клиенту"),COUNTIFS(Docs[ID],J382,Docs[Тип долга],"ДЗ")&lt;&gt;1),AND(OR(C382="Оплата поставщику",C382="Возврат поставщика"),COUNTIFS(Docs[ID],J382,Docs[Тип долга],"КЗ",Docs[Вид],"&lt;&gt;Дивиденды")&lt;&gt;1),AND(C382="Дивиденды",COUNTIFS(Docs[ID],J382,Docs[Вид],"Дивиденды")&lt;&gt;1),AND(C382="Проценты",COUNTIFS(Docs[ID],J382,Docs[Вид],"Проценты")&lt;&gt;1),COUNTIF(Cash[ID],A382)&gt;1,NOT(ISNUMBER(B382)),B382&lt;НачалоУчета,YEAR(B382)&lt;&gt;Год,NOT(ISNUMBER(E382)),E382&lt;=0,N382&lt;0,COUNTIF(Типы,C382)&lt;&gt;1,COUNTIF(Категории,D382)&lt;&gt;1,COUNTIF(Счета,F382)&lt;&gt;1,COUNTIF(Проекты,I382)&lt;&gt;1,AND(H382&lt;&gt;"",COUNTIF(Контрагенты,H382)&lt;&gt;1),AND(C382="Перевод",OR(F382=G382,COUNTIF(Счета,G382)&lt;&gt;1)),AND(S382&lt;&gt;0,COUNTIF(Docs[ID],J382)&lt;&gt;1),AND(Форма="ООО",C382="Вывод ИП"),AND(Форма="ИП",C382="Дивиденды"),AND(L382&lt;&gt;"Проведён",L382&lt;&gt;"Черновик")),"ОШИБКА","ОК"))</f>
        <v/>
      </c>
      <c r="W382" s="25" t="str">
        <f>IF(A382="","",SUMIF(Accounts[Счёт],F382,Accounts[Начальный])+SUMIFS($Q$7:Q382,$F$7:F382,F382)+SUMIFS($E$7:E382,$G$7:G382,F382,$C$7:C382,"Перевод",$L$7:L382,"Проведён"))</f>
        <v/>
      </c>
    </row>
    <row r="383" spans="1:23" x14ac:dyDescent="0.25">
      <c r="A383" s="22"/>
      <c r="B383" s="23"/>
      <c r="C383" s="22"/>
      <c r="D383" s="22"/>
      <c r="E383" s="27"/>
      <c r="F383" s="22"/>
      <c r="G383" s="22"/>
      <c r="H383" s="22"/>
      <c r="I383" s="22"/>
      <c r="J383" s="22"/>
      <c r="K383" s="22"/>
      <c r="L383" s="22"/>
      <c r="M383" s="22"/>
      <c r="N383" s="27"/>
      <c r="O383" s="22"/>
      <c r="P383" s="5" t="str">
        <f>IF(A383="","",IF(COUNTIF(Типы,C383)=0,0,VLOOKUP(C383,СПРАВОЧНИКИ!$A$7:$E$22,2,FALSE)))</f>
        <v/>
      </c>
      <c r="Q383" s="25" t="str">
        <f t="shared" si="5"/>
        <v/>
      </c>
      <c r="R383" s="5" t="str">
        <f>IF(A383="","",IF(COUNTIF(Типы,C383)=0,"НЕИЗВЕСТНЫЙ ТИП",VLOOKUP(C383,СПРАВОЧНИКИ!$A$7:$E$22,3,FALSE)))</f>
        <v/>
      </c>
      <c r="S383" s="26" t="str">
        <f>IF(A383="","",IF(L383="Проведён",E383*IF(COUNTIF(Типы,C383)=0,0,VLOOKUP(C383,СПРАВОЧНИКИ!$A$7:$E$22,4,FALSE)),0))</f>
        <v/>
      </c>
      <c r="T383" s="26" t="str">
        <f>IF(A383="","",IF(L383="Проведён",E383*IF(COUNTIF(Типы,C383)=0,0,VLOOKUP(C383,СПРАВОЧНИКИ!$A$7:$E$22,5,FALSE)),0))</f>
        <v/>
      </c>
      <c r="U383" s="5" t="str">
        <f>IF(A383="","",IF(COUNTIF(Контрагенты,H383)=0,"Не задан",VLOOKUP(H383,СПРАВОЧНИКИ!$G$7:$H$66,2,FALSE)))</f>
        <v/>
      </c>
      <c r="V383" s="4" t="str">
        <f>IF(A383="",IF(COUNTA(B383:O383)&gt;0,"НЕТ ID",""),IF(OR(AND(OR(C383="Оплата клиента",C383="Возврат клиенту"),COUNTIFS(Docs[ID],J383,Docs[Тип долга],"ДЗ")&lt;&gt;1),AND(OR(C383="Оплата поставщику",C383="Возврат поставщика"),COUNTIFS(Docs[ID],J383,Docs[Тип долга],"КЗ",Docs[Вид],"&lt;&gt;Дивиденды")&lt;&gt;1),AND(C383="Дивиденды",COUNTIFS(Docs[ID],J383,Docs[Вид],"Дивиденды")&lt;&gt;1),AND(C383="Проценты",COUNTIFS(Docs[ID],J383,Docs[Вид],"Проценты")&lt;&gt;1),COUNTIF(Cash[ID],A383)&gt;1,NOT(ISNUMBER(B383)),B383&lt;НачалоУчета,YEAR(B383)&lt;&gt;Год,NOT(ISNUMBER(E383)),E383&lt;=0,N383&lt;0,COUNTIF(Типы,C383)&lt;&gt;1,COUNTIF(Категории,D383)&lt;&gt;1,COUNTIF(Счета,F383)&lt;&gt;1,COUNTIF(Проекты,I383)&lt;&gt;1,AND(H383&lt;&gt;"",COUNTIF(Контрагенты,H383)&lt;&gt;1),AND(C383="Перевод",OR(F383=G383,COUNTIF(Счета,G383)&lt;&gt;1)),AND(S383&lt;&gt;0,COUNTIF(Docs[ID],J383)&lt;&gt;1),AND(Форма="ООО",C383="Вывод ИП"),AND(Форма="ИП",C383="Дивиденды"),AND(L383&lt;&gt;"Проведён",L383&lt;&gt;"Черновик")),"ОШИБКА","ОК"))</f>
        <v/>
      </c>
      <c r="W383" s="25" t="str">
        <f>IF(A383="","",SUMIF(Accounts[Счёт],F383,Accounts[Начальный])+SUMIFS($Q$7:Q383,$F$7:F383,F383)+SUMIFS($E$7:E383,$G$7:G383,F383,$C$7:C383,"Перевод",$L$7:L383,"Проведён"))</f>
        <v/>
      </c>
    </row>
    <row r="384" spans="1:23" x14ac:dyDescent="0.25">
      <c r="A384" s="22"/>
      <c r="B384" s="23"/>
      <c r="C384" s="22"/>
      <c r="D384" s="22"/>
      <c r="E384" s="27"/>
      <c r="F384" s="22"/>
      <c r="G384" s="22"/>
      <c r="H384" s="22"/>
      <c r="I384" s="22"/>
      <c r="J384" s="22"/>
      <c r="K384" s="22"/>
      <c r="L384" s="22"/>
      <c r="M384" s="22"/>
      <c r="N384" s="27"/>
      <c r="O384" s="22"/>
      <c r="P384" s="5" t="str">
        <f>IF(A384="","",IF(COUNTIF(Типы,C384)=0,0,VLOOKUP(C384,СПРАВОЧНИКИ!$A$7:$E$22,2,FALSE)))</f>
        <v/>
      </c>
      <c r="Q384" s="25" t="str">
        <f t="shared" si="5"/>
        <v/>
      </c>
      <c r="R384" s="5" t="str">
        <f>IF(A384="","",IF(COUNTIF(Типы,C384)=0,"НЕИЗВЕСТНЫЙ ТИП",VLOOKUP(C384,СПРАВОЧНИКИ!$A$7:$E$22,3,FALSE)))</f>
        <v/>
      </c>
      <c r="S384" s="26" t="str">
        <f>IF(A384="","",IF(L384="Проведён",E384*IF(COUNTIF(Типы,C384)=0,0,VLOOKUP(C384,СПРАВОЧНИКИ!$A$7:$E$22,4,FALSE)),0))</f>
        <v/>
      </c>
      <c r="T384" s="26" t="str">
        <f>IF(A384="","",IF(L384="Проведён",E384*IF(COUNTIF(Типы,C384)=0,0,VLOOKUP(C384,СПРАВОЧНИКИ!$A$7:$E$22,5,FALSE)),0))</f>
        <v/>
      </c>
      <c r="U384" s="5" t="str">
        <f>IF(A384="","",IF(COUNTIF(Контрагенты,H384)=0,"Не задан",VLOOKUP(H384,СПРАВОЧНИКИ!$G$7:$H$66,2,FALSE)))</f>
        <v/>
      </c>
      <c r="V384" s="4" t="str">
        <f>IF(A384="",IF(COUNTA(B384:O384)&gt;0,"НЕТ ID",""),IF(OR(AND(OR(C384="Оплата клиента",C384="Возврат клиенту"),COUNTIFS(Docs[ID],J384,Docs[Тип долга],"ДЗ")&lt;&gt;1),AND(OR(C384="Оплата поставщику",C384="Возврат поставщика"),COUNTIFS(Docs[ID],J384,Docs[Тип долга],"КЗ",Docs[Вид],"&lt;&gt;Дивиденды")&lt;&gt;1),AND(C384="Дивиденды",COUNTIFS(Docs[ID],J384,Docs[Вид],"Дивиденды")&lt;&gt;1),AND(C384="Проценты",COUNTIFS(Docs[ID],J384,Docs[Вид],"Проценты")&lt;&gt;1),COUNTIF(Cash[ID],A384)&gt;1,NOT(ISNUMBER(B384)),B384&lt;НачалоУчета,YEAR(B384)&lt;&gt;Год,NOT(ISNUMBER(E384)),E384&lt;=0,N384&lt;0,COUNTIF(Типы,C384)&lt;&gt;1,COUNTIF(Категории,D384)&lt;&gt;1,COUNTIF(Счета,F384)&lt;&gt;1,COUNTIF(Проекты,I384)&lt;&gt;1,AND(H384&lt;&gt;"",COUNTIF(Контрагенты,H384)&lt;&gt;1),AND(C384="Перевод",OR(F384=G384,COUNTIF(Счета,G384)&lt;&gt;1)),AND(S384&lt;&gt;0,COUNTIF(Docs[ID],J384)&lt;&gt;1),AND(Форма="ООО",C384="Вывод ИП"),AND(Форма="ИП",C384="Дивиденды"),AND(L384&lt;&gt;"Проведён",L384&lt;&gt;"Черновик")),"ОШИБКА","ОК"))</f>
        <v/>
      </c>
      <c r="W384" s="25" t="str">
        <f>IF(A384="","",SUMIF(Accounts[Счёт],F384,Accounts[Начальный])+SUMIFS($Q$7:Q384,$F$7:F384,F384)+SUMIFS($E$7:E384,$G$7:G384,F384,$C$7:C384,"Перевод",$L$7:L384,"Проведён"))</f>
        <v/>
      </c>
    </row>
    <row r="385" spans="1:23" x14ac:dyDescent="0.25">
      <c r="A385" s="22"/>
      <c r="B385" s="23"/>
      <c r="C385" s="22"/>
      <c r="D385" s="22"/>
      <c r="E385" s="27"/>
      <c r="F385" s="22"/>
      <c r="G385" s="22"/>
      <c r="H385" s="22"/>
      <c r="I385" s="22"/>
      <c r="J385" s="22"/>
      <c r="K385" s="22"/>
      <c r="L385" s="22"/>
      <c r="M385" s="22"/>
      <c r="N385" s="27"/>
      <c r="O385" s="22"/>
      <c r="P385" s="5" t="str">
        <f>IF(A385="","",IF(COUNTIF(Типы,C385)=0,0,VLOOKUP(C385,СПРАВОЧНИКИ!$A$7:$E$22,2,FALSE)))</f>
        <v/>
      </c>
      <c r="Q385" s="25" t="str">
        <f t="shared" si="5"/>
        <v/>
      </c>
      <c r="R385" s="5" t="str">
        <f>IF(A385="","",IF(COUNTIF(Типы,C385)=0,"НЕИЗВЕСТНЫЙ ТИП",VLOOKUP(C385,СПРАВОЧНИКИ!$A$7:$E$22,3,FALSE)))</f>
        <v/>
      </c>
      <c r="S385" s="26" t="str">
        <f>IF(A385="","",IF(L385="Проведён",E385*IF(COUNTIF(Типы,C385)=0,0,VLOOKUP(C385,СПРАВОЧНИКИ!$A$7:$E$22,4,FALSE)),0))</f>
        <v/>
      </c>
      <c r="T385" s="26" t="str">
        <f>IF(A385="","",IF(L385="Проведён",E385*IF(COUNTIF(Типы,C385)=0,0,VLOOKUP(C385,СПРАВОЧНИКИ!$A$7:$E$22,5,FALSE)),0))</f>
        <v/>
      </c>
      <c r="U385" s="5" t="str">
        <f>IF(A385="","",IF(COUNTIF(Контрагенты,H385)=0,"Не задан",VLOOKUP(H385,СПРАВОЧНИКИ!$G$7:$H$66,2,FALSE)))</f>
        <v/>
      </c>
      <c r="V385" s="4" t="str">
        <f>IF(A385="",IF(COUNTA(B385:O385)&gt;0,"НЕТ ID",""),IF(OR(AND(OR(C385="Оплата клиента",C385="Возврат клиенту"),COUNTIFS(Docs[ID],J385,Docs[Тип долга],"ДЗ")&lt;&gt;1),AND(OR(C385="Оплата поставщику",C385="Возврат поставщика"),COUNTIFS(Docs[ID],J385,Docs[Тип долга],"КЗ",Docs[Вид],"&lt;&gt;Дивиденды")&lt;&gt;1),AND(C385="Дивиденды",COUNTIFS(Docs[ID],J385,Docs[Вид],"Дивиденды")&lt;&gt;1),AND(C385="Проценты",COUNTIFS(Docs[ID],J385,Docs[Вид],"Проценты")&lt;&gt;1),COUNTIF(Cash[ID],A385)&gt;1,NOT(ISNUMBER(B385)),B385&lt;НачалоУчета,YEAR(B385)&lt;&gt;Год,NOT(ISNUMBER(E385)),E385&lt;=0,N385&lt;0,COUNTIF(Типы,C385)&lt;&gt;1,COUNTIF(Категории,D385)&lt;&gt;1,COUNTIF(Счета,F385)&lt;&gt;1,COUNTIF(Проекты,I385)&lt;&gt;1,AND(H385&lt;&gt;"",COUNTIF(Контрагенты,H385)&lt;&gt;1),AND(C385="Перевод",OR(F385=G385,COUNTIF(Счета,G385)&lt;&gt;1)),AND(S385&lt;&gt;0,COUNTIF(Docs[ID],J385)&lt;&gt;1),AND(Форма="ООО",C385="Вывод ИП"),AND(Форма="ИП",C385="Дивиденды"),AND(L385&lt;&gt;"Проведён",L385&lt;&gt;"Черновик")),"ОШИБКА","ОК"))</f>
        <v/>
      </c>
      <c r="W385" s="25" t="str">
        <f>IF(A385="","",SUMIF(Accounts[Счёт],F385,Accounts[Начальный])+SUMIFS($Q$7:Q385,$F$7:F385,F385)+SUMIFS($E$7:E385,$G$7:G385,F385,$C$7:C385,"Перевод",$L$7:L385,"Проведён"))</f>
        <v/>
      </c>
    </row>
    <row r="386" spans="1:23" x14ac:dyDescent="0.25">
      <c r="A386" s="22"/>
      <c r="B386" s="23"/>
      <c r="C386" s="22"/>
      <c r="D386" s="22"/>
      <c r="E386" s="27"/>
      <c r="F386" s="22"/>
      <c r="G386" s="22"/>
      <c r="H386" s="22"/>
      <c r="I386" s="22"/>
      <c r="J386" s="22"/>
      <c r="K386" s="22"/>
      <c r="L386" s="22"/>
      <c r="M386" s="22"/>
      <c r="N386" s="27"/>
      <c r="O386" s="22"/>
      <c r="P386" s="5" t="str">
        <f>IF(A386="","",IF(COUNTIF(Типы,C386)=0,0,VLOOKUP(C386,СПРАВОЧНИКИ!$A$7:$E$22,2,FALSE)))</f>
        <v/>
      </c>
      <c r="Q386" s="25" t="str">
        <f t="shared" si="5"/>
        <v/>
      </c>
      <c r="R386" s="5" t="str">
        <f>IF(A386="","",IF(COUNTIF(Типы,C386)=0,"НЕИЗВЕСТНЫЙ ТИП",VLOOKUP(C386,СПРАВОЧНИКИ!$A$7:$E$22,3,FALSE)))</f>
        <v/>
      </c>
      <c r="S386" s="26" t="str">
        <f>IF(A386="","",IF(L386="Проведён",E386*IF(COUNTIF(Типы,C386)=0,0,VLOOKUP(C386,СПРАВОЧНИКИ!$A$7:$E$22,4,FALSE)),0))</f>
        <v/>
      </c>
      <c r="T386" s="26" t="str">
        <f>IF(A386="","",IF(L386="Проведён",E386*IF(COUNTIF(Типы,C386)=0,0,VLOOKUP(C386,СПРАВОЧНИКИ!$A$7:$E$22,5,FALSE)),0))</f>
        <v/>
      </c>
      <c r="U386" s="5" t="str">
        <f>IF(A386="","",IF(COUNTIF(Контрагенты,H386)=0,"Не задан",VLOOKUP(H386,СПРАВОЧНИКИ!$G$7:$H$66,2,FALSE)))</f>
        <v/>
      </c>
      <c r="V386" s="4" t="str">
        <f>IF(A386="",IF(COUNTA(B386:O386)&gt;0,"НЕТ ID",""),IF(OR(AND(OR(C386="Оплата клиента",C386="Возврат клиенту"),COUNTIFS(Docs[ID],J386,Docs[Тип долга],"ДЗ")&lt;&gt;1),AND(OR(C386="Оплата поставщику",C386="Возврат поставщика"),COUNTIFS(Docs[ID],J386,Docs[Тип долга],"КЗ",Docs[Вид],"&lt;&gt;Дивиденды")&lt;&gt;1),AND(C386="Дивиденды",COUNTIFS(Docs[ID],J386,Docs[Вид],"Дивиденды")&lt;&gt;1),AND(C386="Проценты",COUNTIFS(Docs[ID],J386,Docs[Вид],"Проценты")&lt;&gt;1),COUNTIF(Cash[ID],A386)&gt;1,NOT(ISNUMBER(B386)),B386&lt;НачалоУчета,YEAR(B386)&lt;&gt;Год,NOT(ISNUMBER(E386)),E386&lt;=0,N386&lt;0,COUNTIF(Типы,C386)&lt;&gt;1,COUNTIF(Категории,D386)&lt;&gt;1,COUNTIF(Счета,F386)&lt;&gt;1,COUNTIF(Проекты,I386)&lt;&gt;1,AND(H386&lt;&gt;"",COUNTIF(Контрагенты,H386)&lt;&gt;1),AND(C386="Перевод",OR(F386=G386,COUNTIF(Счета,G386)&lt;&gt;1)),AND(S386&lt;&gt;0,COUNTIF(Docs[ID],J386)&lt;&gt;1),AND(Форма="ООО",C386="Вывод ИП"),AND(Форма="ИП",C386="Дивиденды"),AND(L386&lt;&gt;"Проведён",L386&lt;&gt;"Черновик")),"ОШИБКА","ОК"))</f>
        <v/>
      </c>
      <c r="W386" s="25" t="str">
        <f>IF(A386="","",SUMIF(Accounts[Счёт],F386,Accounts[Начальный])+SUMIFS($Q$7:Q386,$F$7:F386,F386)+SUMIFS($E$7:E386,$G$7:G386,F386,$C$7:C386,"Перевод",$L$7:L386,"Проведён"))</f>
        <v/>
      </c>
    </row>
    <row r="387" spans="1:23" x14ac:dyDescent="0.25">
      <c r="A387" s="22"/>
      <c r="B387" s="23"/>
      <c r="C387" s="22"/>
      <c r="D387" s="22"/>
      <c r="E387" s="27"/>
      <c r="F387" s="22"/>
      <c r="G387" s="22"/>
      <c r="H387" s="22"/>
      <c r="I387" s="22"/>
      <c r="J387" s="22"/>
      <c r="K387" s="22"/>
      <c r="L387" s="22"/>
      <c r="M387" s="22"/>
      <c r="N387" s="27"/>
      <c r="O387" s="22"/>
      <c r="P387" s="5" t="str">
        <f>IF(A387="","",IF(COUNTIF(Типы,C387)=0,0,VLOOKUP(C387,СПРАВОЧНИКИ!$A$7:$E$22,2,FALSE)))</f>
        <v/>
      </c>
      <c r="Q387" s="25" t="str">
        <f t="shared" si="5"/>
        <v/>
      </c>
      <c r="R387" s="5" t="str">
        <f>IF(A387="","",IF(COUNTIF(Типы,C387)=0,"НЕИЗВЕСТНЫЙ ТИП",VLOOKUP(C387,СПРАВОЧНИКИ!$A$7:$E$22,3,FALSE)))</f>
        <v/>
      </c>
      <c r="S387" s="26" t="str">
        <f>IF(A387="","",IF(L387="Проведён",E387*IF(COUNTIF(Типы,C387)=0,0,VLOOKUP(C387,СПРАВОЧНИКИ!$A$7:$E$22,4,FALSE)),0))</f>
        <v/>
      </c>
      <c r="T387" s="26" t="str">
        <f>IF(A387="","",IF(L387="Проведён",E387*IF(COUNTIF(Типы,C387)=0,0,VLOOKUP(C387,СПРАВОЧНИКИ!$A$7:$E$22,5,FALSE)),0))</f>
        <v/>
      </c>
      <c r="U387" s="5" t="str">
        <f>IF(A387="","",IF(COUNTIF(Контрагенты,H387)=0,"Не задан",VLOOKUP(H387,СПРАВОЧНИКИ!$G$7:$H$66,2,FALSE)))</f>
        <v/>
      </c>
      <c r="V387" s="4" t="str">
        <f>IF(A387="",IF(COUNTA(B387:O387)&gt;0,"НЕТ ID",""),IF(OR(AND(OR(C387="Оплата клиента",C387="Возврат клиенту"),COUNTIFS(Docs[ID],J387,Docs[Тип долга],"ДЗ")&lt;&gt;1),AND(OR(C387="Оплата поставщику",C387="Возврат поставщика"),COUNTIFS(Docs[ID],J387,Docs[Тип долга],"КЗ",Docs[Вид],"&lt;&gt;Дивиденды")&lt;&gt;1),AND(C387="Дивиденды",COUNTIFS(Docs[ID],J387,Docs[Вид],"Дивиденды")&lt;&gt;1),AND(C387="Проценты",COUNTIFS(Docs[ID],J387,Docs[Вид],"Проценты")&lt;&gt;1),COUNTIF(Cash[ID],A387)&gt;1,NOT(ISNUMBER(B387)),B387&lt;НачалоУчета,YEAR(B387)&lt;&gt;Год,NOT(ISNUMBER(E387)),E387&lt;=0,N387&lt;0,COUNTIF(Типы,C387)&lt;&gt;1,COUNTIF(Категории,D387)&lt;&gt;1,COUNTIF(Счета,F387)&lt;&gt;1,COUNTIF(Проекты,I387)&lt;&gt;1,AND(H387&lt;&gt;"",COUNTIF(Контрагенты,H387)&lt;&gt;1),AND(C387="Перевод",OR(F387=G387,COUNTIF(Счета,G387)&lt;&gt;1)),AND(S387&lt;&gt;0,COUNTIF(Docs[ID],J387)&lt;&gt;1),AND(Форма="ООО",C387="Вывод ИП"),AND(Форма="ИП",C387="Дивиденды"),AND(L387&lt;&gt;"Проведён",L387&lt;&gt;"Черновик")),"ОШИБКА","ОК"))</f>
        <v/>
      </c>
      <c r="W387" s="25" t="str">
        <f>IF(A387="","",SUMIF(Accounts[Счёт],F387,Accounts[Начальный])+SUMIFS($Q$7:Q387,$F$7:F387,F387)+SUMIFS($E$7:E387,$G$7:G387,F387,$C$7:C387,"Перевод",$L$7:L387,"Проведён"))</f>
        <v/>
      </c>
    </row>
    <row r="388" spans="1:23" x14ac:dyDescent="0.25">
      <c r="A388" s="22"/>
      <c r="B388" s="23"/>
      <c r="C388" s="22"/>
      <c r="D388" s="22"/>
      <c r="E388" s="27"/>
      <c r="F388" s="22"/>
      <c r="G388" s="22"/>
      <c r="H388" s="22"/>
      <c r="I388" s="22"/>
      <c r="J388" s="22"/>
      <c r="K388" s="22"/>
      <c r="L388" s="22"/>
      <c r="M388" s="22"/>
      <c r="N388" s="27"/>
      <c r="O388" s="22"/>
      <c r="P388" s="5" t="str">
        <f>IF(A388="","",IF(COUNTIF(Типы,C388)=0,0,VLOOKUP(C388,СПРАВОЧНИКИ!$A$7:$E$22,2,FALSE)))</f>
        <v/>
      </c>
      <c r="Q388" s="25" t="str">
        <f t="shared" si="5"/>
        <v/>
      </c>
      <c r="R388" s="5" t="str">
        <f>IF(A388="","",IF(COUNTIF(Типы,C388)=0,"НЕИЗВЕСТНЫЙ ТИП",VLOOKUP(C388,СПРАВОЧНИКИ!$A$7:$E$22,3,FALSE)))</f>
        <v/>
      </c>
      <c r="S388" s="26" t="str">
        <f>IF(A388="","",IF(L388="Проведён",E388*IF(COUNTIF(Типы,C388)=0,0,VLOOKUP(C388,СПРАВОЧНИКИ!$A$7:$E$22,4,FALSE)),0))</f>
        <v/>
      </c>
      <c r="T388" s="26" t="str">
        <f>IF(A388="","",IF(L388="Проведён",E388*IF(COUNTIF(Типы,C388)=0,0,VLOOKUP(C388,СПРАВОЧНИКИ!$A$7:$E$22,5,FALSE)),0))</f>
        <v/>
      </c>
      <c r="U388" s="5" t="str">
        <f>IF(A388="","",IF(COUNTIF(Контрагенты,H388)=0,"Не задан",VLOOKUP(H388,СПРАВОЧНИКИ!$G$7:$H$66,2,FALSE)))</f>
        <v/>
      </c>
      <c r="V388" s="4" t="str">
        <f>IF(A388="",IF(COUNTA(B388:O388)&gt;0,"НЕТ ID",""),IF(OR(AND(OR(C388="Оплата клиента",C388="Возврат клиенту"),COUNTIFS(Docs[ID],J388,Docs[Тип долга],"ДЗ")&lt;&gt;1),AND(OR(C388="Оплата поставщику",C388="Возврат поставщика"),COUNTIFS(Docs[ID],J388,Docs[Тип долга],"КЗ",Docs[Вид],"&lt;&gt;Дивиденды")&lt;&gt;1),AND(C388="Дивиденды",COUNTIFS(Docs[ID],J388,Docs[Вид],"Дивиденды")&lt;&gt;1),AND(C388="Проценты",COUNTIFS(Docs[ID],J388,Docs[Вид],"Проценты")&lt;&gt;1),COUNTIF(Cash[ID],A388)&gt;1,NOT(ISNUMBER(B388)),B388&lt;НачалоУчета,YEAR(B388)&lt;&gt;Год,NOT(ISNUMBER(E388)),E388&lt;=0,N388&lt;0,COUNTIF(Типы,C388)&lt;&gt;1,COUNTIF(Категории,D388)&lt;&gt;1,COUNTIF(Счета,F388)&lt;&gt;1,COUNTIF(Проекты,I388)&lt;&gt;1,AND(H388&lt;&gt;"",COUNTIF(Контрагенты,H388)&lt;&gt;1),AND(C388="Перевод",OR(F388=G388,COUNTIF(Счета,G388)&lt;&gt;1)),AND(S388&lt;&gt;0,COUNTIF(Docs[ID],J388)&lt;&gt;1),AND(Форма="ООО",C388="Вывод ИП"),AND(Форма="ИП",C388="Дивиденды"),AND(L388&lt;&gt;"Проведён",L388&lt;&gt;"Черновик")),"ОШИБКА","ОК"))</f>
        <v/>
      </c>
      <c r="W388" s="25" t="str">
        <f>IF(A388="","",SUMIF(Accounts[Счёт],F388,Accounts[Начальный])+SUMIFS($Q$7:Q388,$F$7:F388,F388)+SUMIFS($E$7:E388,$G$7:G388,F388,$C$7:C388,"Перевод",$L$7:L388,"Проведён"))</f>
        <v/>
      </c>
    </row>
    <row r="389" spans="1:23" x14ac:dyDescent="0.25">
      <c r="A389" s="22"/>
      <c r="B389" s="23"/>
      <c r="C389" s="22"/>
      <c r="D389" s="22"/>
      <c r="E389" s="27"/>
      <c r="F389" s="22"/>
      <c r="G389" s="22"/>
      <c r="H389" s="22"/>
      <c r="I389" s="22"/>
      <c r="J389" s="22"/>
      <c r="K389" s="22"/>
      <c r="L389" s="22"/>
      <c r="M389" s="22"/>
      <c r="N389" s="27"/>
      <c r="O389" s="22"/>
      <c r="P389" s="5" t="str">
        <f>IF(A389="","",IF(COUNTIF(Типы,C389)=0,0,VLOOKUP(C389,СПРАВОЧНИКИ!$A$7:$E$22,2,FALSE)))</f>
        <v/>
      </c>
      <c r="Q389" s="25" t="str">
        <f t="shared" si="5"/>
        <v/>
      </c>
      <c r="R389" s="5" t="str">
        <f>IF(A389="","",IF(COUNTIF(Типы,C389)=0,"НЕИЗВЕСТНЫЙ ТИП",VLOOKUP(C389,СПРАВОЧНИКИ!$A$7:$E$22,3,FALSE)))</f>
        <v/>
      </c>
      <c r="S389" s="26" t="str">
        <f>IF(A389="","",IF(L389="Проведён",E389*IF(COUNTIF(Типы,C389)=0,0,VLOOKUP(C389,СПРАВОЧНИКИ!$A$7:$E$22,4,FALSE)),0))</f>
        <v/>
      </c>
      <c r="T389" s="26" t="str">
        <f>IF(A389="","",IF(L389="Проведён",E389*IF(COUNTIF(Типы,C389)=0,0,VLOOKUP(C389,СПРАВОЧНИКИ!$A$7:$E$22,5,FALSE)),0))</f>
        <v/>
      </c>
      <c r="U389" s="5" t="str">
        <f>IF(A389="","",IF(COUNTIF(Контрагенты,H389)=0,"Не задан",VLOOKUP(H389,СПРАВОЧНИКИ!$G$7:$H$66,2,FALSE)))</f>
        <v/>
      </c>
      <c r="V389" s="4" t="str">
        <f>IF(A389="",IF(COUNTA(B389:O389)&gt;0,"НЕТ ID",""),IF(OR(AND(OR(C389="Оплата клиента",C389="Возврат клиенту"),COUNTIFS(Docs[ID],J389,Docs[Тип долга],"ДЗ")&lt;&gt;1),AND(OR(C389="Оплата поставщику",C389="Возврат поставщика"),COUNTIFS(Docs[ID],J389,Docs[Тип долга],"КЗ",Docs[Вид],"&lt;&gt;Дивиденды")&lt;&gt;1),AND(C389="Дивиденды",COUNTIFS(Docs[ID],J389,Docs[Вид],"Дивиденды")&lt;&gt;1),AND(C389="Проценты",COUNTIFS(Docs[ID],J389,Docs[Вид],"Проценты")&lt;&gt;1),COUNTIF(Cash[ID],A389)&gt;1,NOT(ISNUMBER(B389)),B389&lt;НачалоУчета,YEAR(B389)&lt;&gt;Год,NOT(ISNUMBER(E389)),E389&lt;=0,N389&lt;0,COUNTIF(Типы,C389)&lt;&gt;1,COUNTIF(Категории,D389)&lt;&gt;1,COUNTIF(Счета,F389)&lt;&gt;1,COUNTIF(Проекты,I389)&lt;&gt;1,AND(H389&lt;&gt;"",COUNTIF(Контрагенты,H389)&lt;&gt;1),AND(C389="Перевод",OR(F389=G389,COUNTIF(Счета,G389)&lt;&gt;1)),AND(S389&lt;&gt;0,COUNTIF(Docs[ID],J389)&lt;&gt;1),AND(Форма="ООО",C389="Вывод ИП"),AND(Форма="ИП",C389="Дивиденды"),AND(L389&lt;&gt;"Проведён",L389&lt;&gt;"Черновик")),"ОШИБКА","ОК"))</f>
        <v/>
      </c>
      <c r="W389" s="25" t="str">
        <f>IF(A389="","",SUMIF(Accounts[Счёт],F389,Accounts[Начальный])+SUMIFS($Q$7:Q389,$F$7:F389,F389)+SUMIFS($E$7:E389,$G$7:G389,F389,$C$7:C389,"Перевод",$L$7:L389,"Проведён"))</f>
        <v/>
      </c>
    </row>
    <row r="390" spans="1:23" x14ac:dyDescent="0.25">
      <c r="A390" s="22"/>
      <c r="B390" s="23"/>
      <c r="C390" s="22"/>
      <c r="D390" s="22"/>
      <c r="E390" s="27"/>
      <c r="F390" s="22"/>
      <c r="G390" s="22"/>
      <c r="H390" s="22"/>
      <c r="I390" s="22"/>
      <c r="J390" s="22"/>
      <c r="K390" s="22"/>
      <c r="L390" s="22"/>
      <c r="M390" s="22"/>
      <c r="N390" s="27"/>
      <c r="O390" s="22"/>
      <c r="P390" s="5" t="str">
        <f>IF(A390="","",IF(COUNTIF(Типы,C390)=0,0,VLOOKUP(C390,СПРАВОЧНИКИ!$A$7:$E$22,2,FALSE)))</f>
        <v/>
      </c>
      <c r="Q390" s="25" t="str">
        <f t="shared" si="5"/>
        <v/>
      </c>
      <c r="R390" s="5" t="str">
        <f>IF(A390="","",IF(COUNTIF(Типы,C390)=0,"НЕИЗВЕСТНЫЙ ТИП",VLOOKUP(C390,СПРАВОЧНИКИ!$A$7:$E$22,3,FALSE)))</f>
        <v/>
      </c>
      <c r="S390" s="26" t="str">
        <f>IF(A390="","",IF(L390="Проведён",E390*IF(COUNTIF(Типы,C390)=0,0,VLOOKUP(C390,СПРАВОЧНИКИ!$A$7:$E$22,4,FALSE)),0))</f>
        <v/>
      </c>
      <c r="T390" s="26" t="str">
        <f>IF(A390="","",IF(L390="Проведён",E390*IF(COUNTIF(Типы,C390)=0,0,VLOOKUP(C390,СПРАВОЧНИКИ!$A$7:$E$22,5,FALSE)),0))</f>
        <v/>
      </c>
      <c r="U390" s="5" t="str">
        <f>IF(A390="","",IF(COUNTIF(Контрагенты,H390)=0,"Не задан",VLOOKUP(H390,СПРАВОЧНИКИ!$G$7:$H$66,2,FALSE)))</f>
        <v/>
      </c>
      <c r="V390" s="4" t="str">
        <f>IF(A390="",IF(COUNTA(B390:O390)&gt;0,"НЕТ ID",""),IF(OR(AND(OR(C390="Оплата клиента",C390="Возврат клиенту"),COUNTIFS(Docs[ID],J390,Docs[Тип долга],"ДЗ")&lt;&gt;1),AND(OR(C390="Оплата поставщику",C390="Возврат поставщика"),COUNTIFS(Docs[ID],J390,Docs[Тип долга],"КЗ",Docs[Вид],"&lt;&gt;Дивиденды")&lt;&gt;1),AND(C390="Дивиденды",COUNTIFS(Docs[ID],J390,Docs[Вид],"Дивиденды")&lt;&gt;1),AND(C390="Проценты",COUNTIFS(Docs[ID],J390,Docs[Вид],"Проценты")&lt;&gt;1),COUNTIF(Cash[ID],A390)&gt;1,NOT(ISNUMBER(B390)),B390&lt;НачалоУчета,YEAR(B390)&lt;&gt;Год,NOT(ISNUMBER(E390)),E390&lt;=0,N390&lt;0,COUNTIF(Типы,C390)&lt;&gt;1,COUNTIF(Категории,D390)&lt;&gt;1,COUNTIF(Счета,F390)&lt;&gt;1,COUNTIF(Проекты,I390)&lt;&gt;1,AND(H390&lt;&gt;"",COUNTIF(Контрагенты,H390)&lt;&gt;1),AND(C390="Перевод",OR(F390=G390,COUNTIF(Счета,G390)&lt;&gt;1)),AND(S390&lt;&gt;0,COUNTIF(Docs[ID],J390)&lt;&gt;1),AND(Форма="ООО",C390="Вывод ИП"),AND(Форма="ИП",C390="Дивиденды"),AND(L390&lt;&gt;"Проведён",L390&lt;&gt;"Черновик")),"ОШИБКА","ОК"))</f>
        <v/>
      </c>
      <c r="W390" s="25" t="str">
        <f>IF(A390="","",SUMIF(Accounts[Счёт],F390,Accounts[Начальный])+SUMIFS($Q$7:Q390,$F$7:F390,F390)+SUMIFS($E$7:E390,$G$7:G390,F390,$C$7:C390,"Перевод",$L$7:L390,"Проведён"))</f>
        <v/>
      </c>
    </row>
    <row r="391" spans="1:23" x14ac:dyDescent="0.25">
      <c r="A391" s="22"/>
      <c r="B391" s="23"/>
      <c r="C391" s="22"/>
      <c r="D391" s="22"/>
      <c r="E391" s="27"/>
      <c r="F391" s="22"/>
      <c r="G391" s="22"/>
      <c r="H391" s="22"/>
      <c r="I391" s="22"/>
      <c r="J391" s="22"/>
      <c r="K391" s="22"/>
      <c r="L391" s="22"/>
      <c r="M391" s="22"/>
      <c r="N391" s="27"/>
      <c r="O391" s="22"/>
      <c r="P391" s="5" t="str">
        <f>IF(A391="","",IF(COUNTIF(Типы,C391)=0,0,VLOOKUP(C391,СПРАВОЧНИКИ!$A$7:$E$22,2,FALSE)))</f>
        <v/>
      </c>
      <c r="Q391" s="25" t="str">
        <f t="shared" ref="Q391:Q454" si="6">IF(A391="","",IF(L391="Проведён",E391*P391,0))</f>
        <v/>
      </c>
      <c r="R391" s="5" t="str">
        <f>IF(A391="","",IF(COUNTIF(Типы,C391)=0,"НЕИЗВЕСТНЫЙ ТИП",VLOOKUP(C391,СПРАВОЧНИКИ!$A$7:$E$22,3,FALSE)))</f>
        <v/>
      </c>
      <c r="S391" s="26" t="str">
        <f>IF(A391="","",IF(L391="Проведён",E391*IF(COUNTIF(Типы,C391)=0,0,VLOOKUP(C391,СПРАВОЧНИКИ!$A$7:$E$22,4,FALSE)),0))</f>
        <v/>
      </c>
      <c r="T391" s="26" t="str">
        <f>IF(A391="","",IF(L391="Проведён",E391*IF(COUNTIF(Типы,C391)=0,0,VLOOKUP(C391,СПРАВОЧНИКИ!$A$7:$E$22,5,FALSE)),0))</f>
        <v/>
      </c>
      <c r="U391" s="5" t="str">
        <f>IF(A391="","",IF(COUNTIF(Контрагенты,H391)=0,"Не задан",VLOOKUP(H391,СПРАВОЧНИКИ!$G$7:$H$66,2,FALSE)))</f>
        <v/>
      </c>
      <c r="V391" s="4" t="str">
        <f>IF(A391="",IF(COUNTA(B391:O391)&gt;0,"НЕТ ID",""),IF(OR(AND(OR(C391="Оплата клиента",C391="Возврат клиенту"),COUNTIFS(Docs[ID],J391,Docs[Тип долга],"ДЗ")&lt;&gt;1),AND(OR(C391="Оплата поставщику",C391="Возврат поставщика"),COUNTIFS(Docs[ID],J391,Docs[Тип долга],"КЗ",Docs[Вид],"&lt;&gt;Дивиденды")&lt;&gt;1),AND(C391="Дивиденды",COUNTIFS(Docs[ID],J391,Docs[Вид],"Дивиденды")&lt;&gt;1),AND(C391="Проценты",COUNTIFS(Docs[ID],J391,Docs[Вид],"Проценты")&lt;&gt;1),COUNTIF(Cash[ID],A391)&gt;1,NOT(ISNUMBER(B391)),B391&lt;НачалоУчета,YEAR(B391)&lt;&gt;Год,NOT(ISNUMBER(E391)),E391&lt;=0,N391&lt;0,COUNTIF(Типы,C391)&lt;&gt;1,COUNTIF(Категории,D391)&lt;&gt;1,COUNTIF(Счета,F391)&lt;&gt;1,COUNTIF(Проекты,I391)&lt;&gt;1,AND(H391&lt;&gt;"",COUNTIF(Контрагенты,H391)&lt;&gt;1),AND(C391="Перевод",OR(F391=G391,COUNTIF(Счета,G391)&lt;&gt;1)),AND(S391&lt;&gt;0,COUNTIF(Docs[ID],J391)&lt;&gt;1),AND(Форма="ООО",C391="Вывод ИП"),AND(Форма="ИП",C391="Дивиденды"),AND(L391&lt;&gt;"Проведён",L391&lt;&gt;"Черновик")),"ОШИБКА","ОК"))</f>
        <v/>
      </c>
      <c r="W391" s="25" t="str">
        <f>IF(A391="","",SUMIF(Accounts[Счёт],F391,Accounts[Начальный])+SUMIFS($Q$7:Q391,$F$7:F391,F391)+SUMIFS($E$7:E391,$G$7:G391,F391,$C$7:C391,"Перевод",$L$7:L391,"Проведён"))</f>
        <v/>
      </c>
    </row>
    <row r="392" spans="1:23" x14ac:dyDescent="0.25">
      <c r="A392" s="22"/>
      <c r="B392" s="23"/>
      <c r="C392" s="22"/>
      <c r="D392" s="22"/>
      <c r="E392" s="27"/>
      <c r="F392" s="22"/>
      <c r="G392" s="22"/>
      <c r="H392" s="22"/>
      <c r="I392" s="22"/>
      <c r="J392" s="22"/>
      <c r="K392" s="22"/>
      <c r="L392" s="22"/>
      <c r="M392" s="22"/>
      <c r="N392" s="27"/>
      <c r="O392" s="22"/>
      <c r="P392" s="5" t="str">
        <f>IF(A392="","",IF(COUNTIF(Типы,C392)=0,0,VLOOKUP(C392,СПРАВОЧНИКИ!$A$7:$E$22,2,FALSE)))</f>
        <v/>
      </c>
      <c r="Q392" s="25" t="str">
        <f t="shared" si="6"/>
        <v/>
      </c>
      <c r="R392" s="5" t="str">
        <f>IF(A392="","",IF(COUNTIF(Типы,C392)=0,"НЕИЗВЕСТНЫЙ ТИП",VLOOKUP(C392,СПРАВОЧНИКИ!$A$7:$E$22,3,FALSE)))</f>
        <v/>
      </c>
      <c r="S392" s="26" t="str">
        <f>IF(A392="","",IF(L392="Проведён",E392*IF(COUNTIF(Типы,C392)=0,0,VLOOKUP(C392,СПРАВОЧНИКИ!$A$7:$E$22,4,FALSE)),0))</f>
        <v/>
      </c>
      <c r="T392" s="26" t="str">
        <f>IF(A392="","",IF(L392="Проведён",E392*IF(COUNTIF(Типы,C392)=0,0,VLOOKUP(C392,СПРАВОЧНИКИ!$A$7:$E$22,5,FALSE)),0))</f>
        <v/>
      </c>
      <c r="U392" s="5" t="str">
        <f>IF(A392="","",IF(COUNTIF(Контрагенты,H392)=0,"Не задан",VLOOKUP(H392,СПРАВОЧНИКИ!$G$7:$H$66,2,FALSE)))</f>
        <v/>
      </c>
      <c r="V392" s="4" t="str">
        <f>IF(A392="",IF(COUNTA(B392:O392)&gt;0,"НЕТ ID",""),IF(OR(AND(OR(C392="Оплата клиента",C392="Возврат клиенту"),COUNTIFS(Docs[ID],J392,Docs[Тип долга],"ДЗ")&lt;&gt;1),AND(OR(C392="Оплата поставщику",C392="Возврат поставщика"),COUNTIFS(Docs[ID],J392,Docs[Тип долга],"КЗ",Docs[Вид],"&lt;&gt;Дивиденды")&lt;&gt;1),AND(C392="Дивиденды",COUNTIFS(Docs[ID],J392,Docs[Вид],"Дивиденды")&lt;&gt;1),AND(C392="Проценты",COUNTIFS(Docs[ID],J392,Docs[Вид],"Проценты")&lt;&gt;1),COUNTIF(Cash[ID],A392)&gt;1,NOT(ISNUMBER(B392)),B392&lt;НачалоУчета,YEAR(B392)&lt;&gt;Год,NOT(ISNUMBER(E392)),E392&lt;=0,N392&lt;0,COUNTIF(Типы,C392)&lt;&gt;1,COUNTIF(Категории,D392)&lt;&gt;1,COUNTIF(Счета,F392)&lt;&gt;1,COUNTIF(Проекты,I392)&lt;&gt;1,AND(H392&lt;&gt;"",COUNTIF(Контрагенты,H392)&lt;&gt;1),AND(C392="Перевод",OR(F392=G392,COUNTIF(Счета,G392)&lt;&gt;1)),AND(S392&lt;&gt;0,COUNTIF(Docs[ID],J392)&lt;&gt;1),AND(Форма="ООО",C392="Вывод ИП"),AND(Форма="ИП",C392="Дивиденды"),AND(L392&lt;&gt;"Проведён",L392&lt;&gt;"Черновик")),"ОШИБКА","ОК"))</f>
        <v/>
      </c>
      <c r="W392" s="25" t="str">
        <f>IF(A392="","",SUMIF(Accounts[Счёт],F392,Accounts[Начальный])+SUMIFS($Q$7:Q392,$F$7:F392,F392)+SUMIFS($E$7:E392,$G$7:G392,F392,$C$7:C392,"Перевод",$L$7:L392,"Проведён"))</f>
        <v/>
      </c>
    </row>
    <row r="393" spans="1:23" x14ac:dyDescent="0.25">
      <c r="A393" s="22"/>
      <c r="B393" s="23"/>
      <c r="C393" s="22"/>
      <c r="D393" s="22"/>
      <c r="E393" s="27"/>
      <c r="F393" s="22"/>
      <c r="G393" s="22"/>
      <c r="H393" s="22"/>
      <c r="I393" s="22"/>
      <c r="J393" s="22"/>
      <c r="K393" s="22"/>
      <c r="L393" s="22"/>
      <c r="M393" s="22"/>
      <c r="N393" s="27"/>
      <c r="O393" s="22"/>
      <c r="P393" s="5" t="str">
        <f>IF(A393="","",IF(COUNTIF(Типы,C393)=0,0,VLOOKUP(C393,СПРАВОЧНИКИ!$A$7:$E$22,2,FALSE)))</f>
        <v/>
      </c>
      <c r="Q393" s="25" t="str">
        <f t="shared" si="6"/>
        <v/>
      </c>
      <c r="R393" s="5" t="str">
        <f>IF(A393="","",IF(COUNTIF(Типы,C393)=0,"НЕИЗВЕСТНЫЙ ТИП",VLOOKUP(C393,СПРАВОЧНИКИ!$A$7:$E$22,3,FALSE)))</f>
        <v/>
      </c>
      <c r="S393" s="26" t="str">
        <f>IF(A393="","",IF(L393="Проведён",E393*IF(COUNTIF(Типы,C393)=0,0,VLOOKUP(C393,СПРАВОЧНИКИ!$A$7:$E$22,4,FALSE)),0))</f>
        <v/>
      </c>
      <c r="T393" s="26" t="str">
        <f>IF(A393="","",IF(L393="Проведён",E393*IF(COUNTIF(Типы,C393)=0,0,VLOOKUP(C393,СПРАВОЧНИКИ!$A$7:$E$22,5,FALSE)),0))</f>
        <v/>
      </c>
      <c r="U393" s="5" t="str">
        <f>IF(A393="","",IF(COUNTIF(Контрагенты,H393)=0,"Не задан",VLOOKUP(H393,СПРАВОЧНИКИ!$G$7:$H$66,2,FALSE)))</f>
        <v/>
      </c>
      <c r="V393" s="4" t="str">
        <f>IF(A393="",IF(COUNTA(B393:O393)&gt;0,"НЕТ ID",""),IF(OR(AND(OR(C393="Оплата клиента",C393="Возврат клиенту"),COUNTIFS(Docs[ID],J393,Docs[Тип долга],"ДЗ")&lt;&gt;1),AND(OR(C393="Оплата поставщику",C393="Возврат поставщика"),COUNTIFS(Docs[ID],J393,Docs[Тип долга],"КЗ",Docs[Вид],"&lt;&gt;Дивиденды")&lt;&gt;1),AND(C393="Дивиденды",COUNTIFS(Docs[ID],J393,Docs[Вид],"Дивиденды")&lt;&gt;1),AND(C393="Проценты",COUNTIFS(Docs[ID],J393,Docs[Вид],"Проценты")&lt;&gt;1),COUNTIF(Cash[ID],A393)&gt;1,NOT(ISNUMBER(B393)),B393&lt;НачалоУчета,YEAR(B393)&lt;&gt;Год,NOT(ISNUMBER(E393)),E393&lt;=0,N393&lt;0,COUNTIF(Типы,C393)&lt;&gt;1,COUNTIF(Категории,D393)&lt;&gt;1,COUNTIF(Счета,F393)&lt;&gt;1,COUNTIF(Проекты,I393)&lt;&gt;1,AND(H393&lt;&gt;"",COUNTIF(Контрагенты,H393)&lt;&gt;1),AND(C393="Перевод",OR(F393=G393,COUNTIF(Счета,G393)&lt;&gt;1)),AND(S393&lt;&gt;0,COUNTIF(Docs[ID],J393)&lt;&gt;1),AND(Форма="ООО",C393="Вывод ИП"),AND(Форма="ИП",C393="Дивиденды"),AND(L393&lt;&gt;"Проведён",L393&lt;&gt;"Черновик")),"ОШИБКА","ОК"))</f>
        <v/>
      </c>
      <c r="W393" s="25" t="str">
        <f>IF(A393="","",SUMIF(Accounts[Счёт],F393,Accounts[Начальный])+SUMIFS($Q$7:Q393,$F$7:F393,F393)+SUMIFS($E$7:E393,$G$7:G393,F393,$C$7:C393,"Перевод",$L$7:L393,"Проведён"))</f>
        <v/>
      </c>
    </row>
    <row r="394" spans="1:23" x14ac:dyDescent="0.25">
      <c r="A394" s="22"/>
      <c r="B394" s="23"/>
      <c r="C394" s="22"/>
      <c r="D394" s="22"/>
      <c r="E394" s="27"/>
      <c r="F394" s="22"/>
      <c r="G394" s="22"/>
      <c r="H394" s="22"/>
      <c r="I394" s="22"/>
      <c r="J394" s="22"/>
      <c r="K394" s="22"/>
      <c r="L394" s="22"/>
      <c r="M394" s="22"/>
      <c r="N394" s="27"/>
      <c r="O394" s="22"/>
      <c r="P394" s="5" t="str">
        <f>IF(A394="","",IF(COUNTIF(Типы,C394)=0,0,VLOOKUP(C394,СПРАВОЧНИКИ!$A$7:$E$22,2,FALSE)))</f>
        <v/>
      </c>
      <c r="Q394" s="25" t="str">
        <f t="shared" si="6"/>
        <v/>
      </c>
      <c r="R394" s="5" t="str">
        <f>IF(A394="","",IF(COUNTIF(Типы,C394)=0,"НЕИЗВЕСТНЫЙ ТИП",VLOOKUP(C394,СПРАВОЧНИКИ!$A$7:$E$22,3,FALSE)))</f>
        <v/>
      </c>
      <c r="S394" s="26" t="str">
        <f>IF(A394="","",IF(L394="Проведён",E394*IF(COUNTIF(Типы,C394)=0,0,VLOOKUP(C394,СПРАВОЧНИКИ!$A$7:$E$22,4,FALSE)),0))</f>
        <v/>
      </c>
      <c r="T394" s="26" t="str">
        <f>IF(A394="","",IF(L394="Проведён",E394*IF(COUNTIF(Типы,C394)=0,0,VLOOKUP(C394,СПРАВОЧНИКИ!$A$7:$E$22,5,FALSE)),0))</f>
        <v/>
      </c>
      <c r="U394" s="5" t="str">
        <f>IF(A394="","",IF(COUNTIF(Контрагенты,H394)=0,"Не задан",VLOOKUP(H394,СПРАВОЧНИКИ!$G$7:$H$66,2,FALSE)))</f>
        <v/>
      </c>
      <c r="V394" s="4" t="str">
        <f>IF(A394="",IF(COUNTA(B394:O394)&gt;0,"НЕТ ID",""),IF(OR(AND(OR(C394="Оплата клиента",C394="Возврат клиенту"),COUNTIFS(Docs[ID],J394,Docs[Тип долга],"ДЗ")&lt;&gt;1),AND(OR(C394="Оплата поставщику",C394="Возврат поставщика"),COUNTIFS(Docs[ID],J394,Docs[Тип долга],"КЗ",Docs[Вид],"&lt;&gt;Дивиденды")&lt;&gt;1),AND(C394="Дивиденды",COUNTIFS(Docs[ID],J394,Docs[Вид],"Дивиденды")&lt;&gt;1),AND(C394="Проценты",COUNTIFS(Docs[ID],J394,Docs[Вид],"Проценты")&lt;&gt;1),COUNTIF(Cash[ID],A394)&gt;1,NOT(ISNUMBER(B394)),B394&lt;НачалоУчета,YEAR(B394)&lt;&gt;Год,NOT(ISNUMBER(E394)),E394&lt;=0,N394&lt;0,COUNTIF(Типы,C394)&lt;&gt;1,COUNTIF(Категории,D394)&lt;&gt;1,COUNTIF(Счета,F394)&lt;&gt;1,COUNTIF(Проекты,I394)&lt;&gt;1,AND(H394&lt;&gt;"",COUNTIF(Контрагенты,H394)&lt;&gt;1),AND(C394="Перевод",OR(F394=G394,COUNTIF(Счета,G394)&lt;&gt;1)),AND(S394&lt;&gt;0,COUNTIF(Docs[ID],J394)&lt;&gt;1),AND(Форма="ООО",C394="Вывод ИП"),AND(Форма="ИП",C394="Дивиденды"),AND(L394&lt;&gt;"Проведён",L394&lt;&gt;"Черновик")),"ОШИБКА","ОК"))</f>
        <v/>
      </c>
      <c r="W394" s="25" t="str">
        <f>IF(A394="","",SUMIF(Accounts[Счёт],F394,Accounts[Начальный])+SUMIFS($Q$7:Q394,$F$7:F394,F394)+SUMIFS($E$7:E394,$G$7:G394,F394,$C$7:C394,"Перевод",$L$7:L394,"Проведён"))</f>
        <v/>
      </c>
    </row>
    <row r="395" spans="1:23" x14ac:dyDescent="0.25">
      <c r="A395" s="22"/>
      <c r="B395" s="23"/>
      <c r="C395" s="22"/>
      <c r="D395" s="22"/>
      <c r="E395" s="27"/>
      <c r="F395" s="22"/>
      <c r="G395" s="22"/>
      <c r="H395" s="22"/>
      <c r="I395" s="22"/>
      <c r="J395" s="22"/>
      <c r="K395" s="22"/>
      <c r="L395" s="22"/>
      <c r="M395" s="22"/>
      <c r="N395" s="27"/>
      <c r="O395" s="22"/>
      <c r="P395" s="5" t="str">
        <f>IF(A395="","",IF(COUNTIF(Типы,C395)=0,0,VLOOKUP(C395,СПРАВОЧНИКИ!$A$7:$E$22,2,FALSE)))</f>
        <v/>
      </c>
      <c r="Q395" s="25" t="str">
        <f t="shared" si="6"/>
        <v/>
      </c>
      <c r="R395" s="5" t="str">
        <f>IF(A395="","",IF(COUNTIF(Типы,C395)=0,"НЕИЗВЕСТНЫЙ ТИП",VLOOKUP(C395,СПРАВОЧНИКИ!$A$7:$E$22,3,FALSE)))</f>
        <v/>
      </c>
      <c r="S395" s="26" t="str">
        <f>IF(A395="","",IF(L395="Проведён",E395*IF(COUNTIF(Типы,C395)=0,0,VLOOKUP(C395,СПРАВОЧНИКИ!$A$7:$E$22,4,FALSE)),0))</f>
        <v/>
      </c>
      <c r="T395" s="26" t="str">
        <f>IF(A395="","",IF(L395="Проведён",E395*IF(COUNTIF(Типы,C395)=0,0,VLOOKUP(C395,СПРАВОЧНИКИ!$A$7:$E$22,5,FALSE)),0))</f>
        <v/>
      </c>
      <c r="U395" s="5" t="str">
        <f>IF(A395="","",IF(COUNTIF(Контрагенты,H395)=0,"Не задан",VLOOKUP(H395,СПРАВОЧНИКИ!$G$7:$H$66,2,FALSE)))</f>
        <v/>
      </c>
      <c r="V395" s="4" t="str">
        <f>IF(A395="",IF(COUNTA(B395:O395)&gt;0,"НЕТ ID",""),IF(OR(AND(OR(C395="Оплата клиента",C395="Возврат клиенту"),COUNTIFS(Docs[ID],J395,Docs[Тип долга],"ДЗ")&lt;&gt;1),AND(OR(C395="Оплата поставщику",C395="Возврат поставщика"),COUNTIFS(Docs[ID],J395,Docs[Тип долга],"КЗ",Docs[Вид],"&lt;&gt;Дивиденды")&lt;&gt;1),AND(C395="Дивиденды",COUNTIFS(Docs[ID],J395,Docs[Вид],"Дивиденды")&lt;&gt;1),AND(C395="Проценты",COUNTIFS(Docs[ID],J395,Docs[Вид],"Проценты")&lt;&gt;1),COUNTIF(Cash[ID],A395)&gt;1,NOT(ISNUMBER(B395)),B395&lt;НачалоУчета,YEAR(B395)&lt;&gt;Год,NOT(ISNUMBER(E395)),E395&lt;=0,N395&lt;0,COUNTIF(Типы,C395)&lt;&gt;1,COUNTIF(Категории,D395)&lt;&gt;1,COUNTIF(Счета,F395)&lt;&gt;1,COUNTIF(Проекты,I395)&lt;&gt;1,AND(H395&lt;&gt;"",COUNTIF(Контрагенты,H395)&lt;&gt;1),AND(C395="Перевод",OR(F395=G395,COUNTIF(Счета,G395)&lt;&gt;1)),AND(S395&lt;&gt;0,COUNTIF(Docs[ID],J395)&lt;&gt;1),AND(Форма="ООО",C395="Вывод ИП"),AND(Форма="ИП",C395="Дивиденды"),AND(L395&lt;&gt;"Проведён",L395&lt;&gt;"Черновик")),"ОШИБКА","ОК"))</f>
        <v/>
      </c>
      <c r="W395" s="25" t="str">
        <f>IF(A395="","",SUMIF(Accounts[Счёт],F395,Accounts[Начальный])+SUMIFS($Q$7:Q395,$F$7:F395,F395)+SUMIFS($E$7:E395,$G$7:G395,F395,$C$7:C395,"Перевод",$L$7:L395,"Проведён"))</f>
        <v/>
      </c>
    </row>
    <row r="396" spans="1:23" x14ac:dyDescent="0.25">
      <c r="A396" s="22"/>
      <c r="B396" s="23"/>
      <c r="C396" s="22"/>
      <c r="D396" s="22"/>
      <c r="E396" s="27"/>
      <c r="F396" s="22"/>
      <c r="G396" s="22"/>
      <c r="H396" s="22"/>
      <c r="I396" s="22"/>
      <c r="J396" s="22"/>
      <c r="K396" s="22"/>
      <c r="L396" s="22"/>
      <c r="M396" s="22"/>
      <c r="N396" s="27"/>
      <c r="O396" s="22"/>
      <c r="P396" s="5" t="str">
        <f>IF(A396="","",IF(COUNTIF(Типы,C396)=0,0,VLOOKUP(C396,СПРАВОЧНИКИ!$A$7:$E$22,2,FALSE)))</f>
        <v/>
      </c>
      <c r="Q396" s="25" t="str">
        <f t="shared" si="6"/>
        <v/>
      </c>
      <c r="R396" s="5" t="str">
        <f>IF(A396="","",IF(COUNTIF(Типы,C396)=0,"НЕИЗВЕСТНЫЙ ТИП",VLOOKUP(C396,СПРАВОЧНИКИ!$A$7:$E$22,3,FALSE)))</f>
        <v/>
      </c>
      <c r="S396" s="26" t="str">
        <f>IF(A396="","",IF(L396="Проведён",E396*IF(COUNTIF(Типы,C396)=0,0,VLOOKUP(C396,СПРАВОЧНИКИ!$A$7:$E$22,4,FALSE)),0))</f>
        <v/>
      </c>
      <c r="T396" s="26" t="str">
        <f>IF(A396="","",IF(L396="Проведён",E396*IF(COUNTIF(Типы,C396)=0,0,VLOOKUP(C396,СПРАВОЧНИКИ!$A$7:$E$22,5,FALSE)),0))</f>
        <v/>
      </c>
      <c r="U396" s="5" t="str">
        <f>IF(A396="","",IF(COUNTIF(Контрагенты,H396)=0,"Не задан",VLOOKUP(H396,СПРАВОЧНИКИ!$G$7:$H$66,2,FALSE)))</f>
        <v/>
      </c>
      <c r="V396" s="4" t="str">
        <f>IF(A396="",IF(COUNTA(B396:O396)&gt;0,"НЕТ ID",""),IF(OR(AND(OR(C396="Оплата клиента",C396="Возврат клиенту"),COUNTIFS(Docs[ID],J396,Docs[Тип долга],"ДЗ")&lt;&gt;1),AND(OR(C396="Оплата поставщику",C396="Возврат поставщика"),COUNTIFS(Docs[ID],J396,Docs[Тип долга],"КЗ",Docs[Вид],"&lt;&gt;Дивиденды")&lt;&gt;1),AND(C396="Дивиденды",COUNTIFS(Docs[ID],J396,Docs[Вид],"Дивиденды")&lt;&gt;1),AND(C396="Проценты",COUNTIFS(Docs[ID],J396,Docs[Вид],"Проценты")&lt;&gt;1),COUNTIF(Cash[ID],A396)&gt;1,NOT(ISNUMBER(B396)),B396&lt;НачалоУчета,YEAR(B396)&lt;&gt;Год,NOT(ISNUMBER(E396)),E396&lt;=0,N396&lt;0,COUNTIF(Типы,C396)&lt;&gt;1,COUNTIF(Категории,D396)&lt;&gt;1,COUNTIF(Счета,F396)&lt;&gt;1,COUNTIF(Проекты,I396)&lt;&gt;1,AND(H396&lt;&gt;"",COUNTIF(Контрагенты,H396)&lt;&gt;1),AND(C396="Перевод",OR(F396=G396,COUNTIF(Счета,G396)&lt;&gt;1)),AND(S396&lt;&gt;0,COUNTIF(Docs[ID],J396)&lt;&gt;1),AND(Форма="ООО",C396="Вывод ИП"),AND(Форма="ИП",C396="Дивиденды"),AND(L396&lt;&gt;"Проведён",L396&lt;&gt;"Черновик")),"ОШИБКА","ОК"))</f>
        <v/>
      </c>
      <c r="W396" s="25" t="str">
        <f>IF(A396="","",SUMIF(Accounts[Счёт],F396,Accounts[Начальный])+SUMIFS($Q$7:Q396,$F$7:F396,F396)+SUMIFS($E$7:E396,$G$7:G396,F396,$C$7:C396,"Перевод",$L$7:L396,"Проведён"))</f>
        <v/>
      </c>
    </row>
    <row r="397" spans="1:23" x14ac:dyDescent="0.25">
      <c r="A397" s="22"/>
      <c r="B397" s="23"/>
      <c r="C397" s="22"/>
      <c r="D397" s="22"/>
      <c r="E397" s="27"/>
      <c r="F397" s="22"/>
      <c r="G397" s="22"/>
      <c r="H397" s="22"/>
      <c r="I397" s="22"/>
      <c r="J397" s="22"/>
      <c r="K397" s="22"/>
      <c r="L397" s="22"/>
      <c r="M397" s="22"/>
      <c r="N397" s="27"/>
      <c r="O397" s="22"/>
      <c r="P397" s="5" t="str">
        <f>IF(A397="","",IF(COUNTIF(Типы,C397)=0,0,VLOOKUP(C397,СПРАВОЧНИКИ!$A$7:$E$22,2,FALSE)))</f>
        <v/>
      </c>
      <c r="Q397" s="25" t="str">
        <f t="shared" si="6"/>
        <v/>
      </c>
      <c r="R397" s="5" t="str">
        <f>IF(A397="","",IF(COUNTIF(Типы,C397)=0,"НЕИЗВЕСТНЫЙ ТИП",VLOOKUP(C397,СПРАВОЧНИКИ!$A$7:$E$22,3,FALSE)))</f>
        <v/>
      </c>
      <c r="S397" s="26" t="str">
        <f>IF(A397="","",IF(L397="Проведён",E397*IF(COUNTIF(Типы,C397)=0,0,VLOOKUP(C397,СПРАВОЧНИКИ!$A$7:$E$22,4,FALSE)),0))</f>
        <v/>
      </c>
      <c r="T397" s="26" t="str">
        <f>IF(A397="","",IF(L397="Проведён",E397*IF(COUNTIF(Типы,C397)=0,0,VLOOKUP(C397,СПРАВОЧНИКИ!$A$7:$E$22,5,FALSE)),0))</f>
        <v/>
      </c>
      <c r="U397" s="5" t="str">
        <f>IF(A397="","",IF(COUNTIF(Контрагенты,H397)=0,"Не задан",VLOOKUP(H397,СПРАВОЧНИКИ!$G$7:$H$66,2,FALSE)))</f>
        <v/>
      </c>
      <c r="V397" s="4" t="str">
        <f>IF(A397="",IF(COUNTA(B397:O397)&gt;0,"НЕТ ID",""),IF(OR(AND(OR(C397="Оплата клиента",C397="Возврат клиенту"),COUNTIFS(Docs[ID],J397,Docs[Тип долга],"ДЗ")&lt;&gt;1),AND(OR(C397="Оплата поставщику",C397="Возврат поставщика"),COUNTIFS(Docs[ID],J397,Docs[Тип долга],"КЗ",Docs[Вид],"&lt;&gt;Дивиденды")&lt;&gt;1),AND(C397="Дивиденды",COUNTIFS(Docs[ID],J397,Docs[Вид],"Дивиденды")&lt;&gt;1),AND(C397="Проценты",COUNTIFS(Docs[ID],J397,Docs[Вид],"Проценты")&lt;&gt;1),COUNTIF(Cash[ID],A397)&gt;1,NOT(ISNUMBER(B397)),B397&lt;НачалоУчета,YEAR(B397)&lt;&gt;Год,NOT(ISNUMBER(E397)),E397&lt;=0,N397&lt;0,COUNTIF(Типы,C397)&lt;&gt;1,COUNTIF(Категории,D397)&lt;&gt;1,COUNTIF(Счета,F397)&lt;&gt;1,COUNTIF(Проекты,I397)&lt;&gt;1,AND(H397&lt;&gt;"",COUNTIF(Контрагенты,H397)&lt;&gt;1),AND(C397="Перевод",OR(F397=G397,COUNTIF(Счета,G397)&lt;&gt;1)),AND(S397&lt;&gt;0,COUNTIF(Docs[ID],J397)&lt;&gt;1),AND(Форма="ООО",C397="Вывод ИП"),AND(Форма="ИП",C397="Дивиденды"),AND(L397&lt;&gt;"Проведён",L397&lt;&gt;"Черновик")),"ОШИБКА","ОК"))</f>
        <v/>
      </c>
      <c r="W397" s="25" t="str">
        <f>IF(A397="","",SUMIF(Accounts[Счёт],F397,Accounts[Начальный])+SUMIFS($Q$7:Q397,$F$7:F397,F397)+SUMIFS($E$7:E397,$G$7:G397,F397,$C$7:C397,"Перевод",$L$7:L397,"Проведён"))</f>
        <v/>
      </c>
    </row>
    <row r="398" spans="1:23" x14ac:dyDescent="0.25">
      <c r="A398" s="22"/>
      <c r="B398" s="23"/>
      <c r="C398" s="22"/>
      <c r="D398" s="22"/>
      <c r="E398" s="27"/>
      <c r="F398" s="22"/>
      <c r="G398" s="22"/>
      <c r="H398" s="22"/>
      <c r="I398" s="22"/>
      <c r="J398" s="22"/>
      <c r="K398" s="22"/>
      <c r="L398" s="22"/>
      <c r="M398" s="22"/>
      <c r="N398" s="27"/>
      <c r="O398" s="22"/>
      <c r="P398" s="5" t="str">
        <f>IF(A398="","",IF(COUNTIF(Типы,C398)=0,0,VLOOKUP(C398,СПРАВОЧНИКИ!$A$7:$E$22,2,FALSE)))</f>
        <v/>
      </c>
      <c r="Q398" s="25" t="str">
        <f t="shared" si="6"/>
        <v/>
      </c>
      <c r="R398" s="5" t="str">
        <f>IF(A398="","",IF(COUNTIF(Типы,C398)=0,"НЕИЗВЕСТНЫЙ ТИП",VLOOKUP(C398,СПРАВОЧНИКИ!$A$7:$E$22,3,FALSE)))</f>
        <v/>
      </c>
      <c r="S398" s="26" t="str">
        <f>IF(A398="","",IF(L398="Проведён",E398*IF(COUNTIF(Типы,C398)=0,0,VLOOKUP(C398,СПРАВОЧНИКИ!$A$7:$E$22,4,FALSE)),0))</f>
        <v/>
      </c>
      <c r="T398" s="26" t="str">
        <f>IF(A398="","",IF(L398="Проведён",E398*IF(COUNTIF(Типы,C398)=0,0,VLOOKUP(C398,СПРАВОЧНИКИ!$A$7:$E$22,5,FALSE)),0))</f>
        <v/>
      </c>
      <c r="U398" s="5" t="str">
        <f>IF(A398="","",IF(COUNTIF(Контрагенты,H398)=0,"Не задан",VLOOKUP(H398,СПРАВОЧНИКИ!$G$7:$H$66,2,FALSE)))</f>
        <v/>
      </c>
      <c r="V398" s="4" t="str">
        <f>IF(A398="",IF(COUNTA(B398:O398)&gt;0,"НЕТ ID",""),IF(OR(AND(OR(C398="Оплата клиента",C398="Возврат клиенту"),COUNTIFS(Docs[ID],J398,Docs[Тип долга],"ДЗ")&lt;&gt;1),AND(OR(C398="Оплата поставщику",C398="Возврат поставщика"),COUNTIFS(Docs[ID],J398,Docs[Тип долга],"КЗ",Docs[Вид],"&lt;&gt;Дивиденды")&lt;&gt;1),AND(C398="Дивиденды",COUNTIFS(Docs[ID],J398,Docs[Вид],"Дивиденды")&lt;&gt;1),AND(C398="Проценты",COUNTIFS(Docs[ID],J398,Docs[Вид],"Проценты")&lt;&gt;1),COUNTIF(Cash[ID],A398)&gt;1,NOT(ISNUMBER(B398)),B398&lt;НачалоУчета,YEAR(B398)&lt;&gt;Год,NOT(ISNUMBER(E398)),E398&lt;=0,N398&lt;0,COUNTIF(Типы,C398)&lt;&gt;1,COUNTIF(Категории,D398)&lt;&gt;1,COUNTIF(Счета,F398)&lt;&gt;1,COUNTIF(Проекты,I398)&lt;&gt;1,AND(H398&lt;&gt;"",COUNTIF(Контрагенты,H398)&lt;&gt;1),AND(C398="Перевод",OR(F398=G398,COUNTIF(Счета,G398)&lt;&gt;1)),AND(S398&lt;&gt;0,COUNTIF(Docs[ID],J398)&lt;&gt;1),AND(Форма="ООО",C398="Вывод ИП"),AND(Форма="ИП",C398="Дивиденды"),AND(L398&lt;&gt;"Проведён",L398&lt;&gt;"Черновик")),"ОШИБКА","ОК"))</f>
        <v/>
      </c>
      <c r="W398" s="25" t="str">
        <f>IF(A398="","",SUMIF(Accounts[Счёт],F398,Accounts[Начальный])+SUMIFS($Q$7:Q398,$F$7:F398,F398)+SUMIFS($E$7:E398,$G$7:G398,F398,$C$7:C398,"Перевод",$L$7:L398,"Проведён"))</f>
        <v/>
      </c>
    </row>
    <row r="399" spans="1:23" x14ac:dyDescent="0.25">
      <c r="A399" s="22"/>
      <c r="B399" s="23"/>
      <c r="C399" s="22"/>
      <c r="D399" s="22"/>
      <c r="E399" s="27"/>
      <c r="F399" s="22"/>
      <c r="G399" s="22"/>
      <c r="H399" s="22"/>
      <c r="I399" s="22"/>
      <c r="J399" s="22"/>
      <c r="K399" s="22"/>
      <c r="L399" s="22"/>
      <c r="M399" s="22"/>
      <c r="N399" s="27"/>
      <c r="O399" s="22"/>
      <c r="P399" s="5" t="str">
        <f>IF(A399="","",IF(COUNTIF(Типы,C399)=0,0,VLOOKUP(C399,СПРАВОЧНИКИ!$A$7:$E$22,2,FALSE)))</f>
        <v/>
      </c>
      <c r="Q399" s="25" t="str">
        <f t="shared" si="6"/>
        <v/>
      </c>
      <c r="R399" s="5" t="str">
        <f>IF(A399="","",IF(COUNTIF(Типы,C399)=0,"НЕИЗВЕСТНЫЙ ТИП",VLOOKUP(C399,СПРАВОЧНИКИ!$A$7:$E$22,3,FALSE)))</f>
        <v/>
      </c>
      <c r="S399" s="26" t="str">
        <f>IF(A399="","",IF(L399="Проведён",E399*IF(COUNTIF(Типы,C399)=0,0,VLOOKUP(C399,СПРАВОЧНИКИ!$A$7:$E$22,4,FALSE)),0))</f>
        <v/>
      </c>
      <c r="T399" s="26" t="str">
        <f>IF(A399="","",IF(L399="Проведён",E399*IF(COUNTIF(Типы,C399)=0,0,VLOOKUP(C399,СПРАВОЧНИКИ!$A$7:$E$22,5,FALSE)),0))</f>
        <v/>
      </c>
      <c r="U399" s="5" t="str">
        <f>IF(A399="","",IF(COUNTIF(Контрагенты,H399)=0,"Не задан",VLOOKUP(H399,СПРАВОЧНИКИ!$G$7:$H$66,2,FALSE)))</f>
        <v/>
      </c>
      <c r="V399" s="4" t="str">
        <f>IF(A399="",IF(COUNTA(B399:O399)&gt;0,"НЕТ ID",""),IF(OR(AND(OR(C399="Оплата клиента",C399="Возврат клиенту"),COUNTIFS(Docs[ID],J399,Docs[Тип долга],"ДЗ")&lt;&gt;1),AND(OR(C399="Оплата поставщику",C399="Возврат поставщика"),COUNTIFS(Docs[ID],J399,Docs[Тип долга],"КЗ",Docs[Вид],"&lt;&gt;Дивиденды")&lt;&gt;1),AND(C399="Дивиденды",COUNTIFS(Docs[ID],J399,Docs[Вид],"Дивиденды")&lt;&gt;1),AND(C399="Проценты",COUNTIFS(Docs[ID],J399,Docs[Вид],"Проценты")&lt;&gt;1),COUNTIF(Cash[ID],A399)&gt;1,NOT(ISNUMBER(B399)),B399&lt;НачалоУчета,YEAR(B399)&lt;&gt;Год,NOT(ISNUMBER(E399)),E399&lt;=0,N399&lt;0,COUNTIF(Типы,C399)&lt;&gt;1,COUNTIF(Категории,D399)&lt;&gt;1,COUNTIF(Счета,F399)&lt;&gt;1,COUNTIF(Проекты,I399)&lt;&gt;1,AND(H399&lt;&gt;"",COUNTIF(Контрагенты,H399)&lt;&gt;1),AND(C399="Перевод",OR(F399=G399,COUNTIF(Счета,G399)&lt;&gt;1)),AND(S399&lt;&gt;0,COUNTIF(Docs[ID],J399)&lt;&gt;1),AND(Форма="ООО",C399="Вывод ИП"),AND(Форма="ИП",C399="Дивиденды"),AND(L399&lt;&gt;"Проведён",L399&lt;&gt;"Черновик")),"ОШИБКА","ОК"))</f>
        <v/>
      </c>
      <c r="W399" s="25" t="str">
        <f>IF(A399="","",SUMIF(Accounts[Счёт],F399,Accounts[Начальный])+SUMIFS($Q$7:Q399,$F$7:F399,F399)+SUMIFS($E$7:E399,$G$7:G399,F399,$C$7:C399,"Перевод",$L$7:L399,"Проведён"))</f>
        <v/>
      </c>
    </row>
    <row r="400" spans="1:23" x14ac:dyDescent="0.25">
      <c r="A400" s="22"/>
      <c r="B400" s="23"/>
      <c r="C400" s="22"/>
      <c r="D400" s="22"/>
      <c r="E400" s="27"/>
      <c r="F400" s="22"/>
      <c r="G400" s="22"/>
      <c r="H400" s="22"/>
      <c r="I400" s="22"/>
      <c r="J400" s="22"/>
      <c r="K400" s="22"/>
      <c r="L400" s="22"/>
      <c r="M400" s="22"/>
      <c r="N400" s="27"/>
      <c r="O400" s="22"/>
      <c r="P400" s="5" t="str">
        <f>IF(A400="","",IF(COUNTIF(Типы,C400)=0,0,VLOOKUP(C400,СПРАВОЧНИКИ!$A$7:$E$22,2,FALSE)))</f>
        <v/>
      </c>
      <c r="Q400" s="25" t="str">
        <f t="shared" si="6"/>
        <v/>
      </c>
      <c r="R400" s="5" t="str">
        <f>IF(A400="","",IF(COUNTIF(Типы,C400)=0,"НЕИЗВЕСТНЫЙ ТИП",VLOOKUP(C400,СПРАВОЧНИКИ!$A$7:$E$22,3,FALSE)))</f>
        <v/>
      </c>
      <c r="S400" s="26" t="str">
        <f>IF(A400="","",IF(L400="Проведён",E400*IF(COUNTIF(Типы,C400)=0,0,VLOOKUP(C400,СПРАВОЧНИКИ!$A$7:$E$22,4,FALSE)),0))</f>
        <v/>
      </c>
      <c r="T400" s="26" t="str">
        <f>IF(A400="","",IF(L400="Проведён",E400*IF(COUNTIF(Типы,C400)=0,0,VLOOKUP(C400,СПРАВОЧНИКИ!$A$7:$E$22,5,FALSE)),0))</f>
        <v/>
      </c>
      <c r="U400" s="5" t="str">
        <f>IF(A400="","",IF(COUNTIF(Контрагенты,H400)=0,"Не задан",VLOOKUP(H400,СПРАВОЧНИКИ!$G$7:$H$66,2,FALSE)))</f>
        <v/>
      </c>
      <c r="V400" s="4" t="str">
        <f>IF(A400="",IF(COUNTA(B400:O400)&gt;0,"НЕТ ID",""),IF(OR(AND(OR(C400="Оплата клиента",C400="Возврат клиенту"),COUNTIFS(Docs[ID],J400,Docs[Тип долга],"ДЗ")&lt;&gt;1),AND(OR(C400="Оплата поставщику",C400="Возврат поставщика"),COUNTIFS(Docs[ID],J400,Docs[Тип долга],"КЗ",Docs[Вид],"&lt;&gt;Дивиденды")&lt;&gt;1),AND(C400="Дивиденды",COUNTIFS(Docs[ID],J400,Docs[Вид],"Дивиденды")&lt;&gt;1),AND(C400="Проценты",COUNTIFS(Docs[ID],J400,Docs[Вид],"Проценты")&lt;&gt;1),COUNTIF(Cash[ID],A400)&gt;1,NOT(ISNUMBER(B400)),B400&lt;НачалоУчета,YEAR(B400)&lt;&gt;Год,NOT(ISNUMBER(E400)),E400&lt;=0,N400&lt;0,COUNTIF(Типы,C400)&lt;&gt;1,COUNTIF(Категории,D400)&lt;&gt;1,COUNTIF(Счета,F400)&lt;&gt;1,COUNTIF(Проекты,I400)&lt;&gt;1,AND(H400&lt;&gt;"",COUNTIF(Контрагенты,H400)&lt;&gt;1),AND(C400="Перевод",OR(F400=G400,COUNTIF(Счета,G400)&lt;&gt;1)),AND(S400&lt;&gt;0,COUNTIF(Docs[ID],J400)&lt;&gt;1),AND(Форма="ООО",C400="Вывод ИП"),AND(Форма="ИП",C400="Дивиденды"),AND(L400&lt;&gt;"Проведён",L400&lt;&gt;"Черновик")),"ОШИБКА","ОК"))</f>
        <v/>
      </c>
      <c r="W400" s="25" t="str">
        <f>IF(A400="","",SUMIF(Accounts[Счёт],F400,Accounts[Начальный])+SUMIFS($Q$7:Q400,$F$7:F400,F400)+SUMIFS($E$7:E400,$G$7:G400,F400,$C$7:C400,"Перевод",$L$7:L400,"Проведён"))</f>
        <v/>
      </c>
    </row>
    <row r="401" spans="1:23" x14ac:dyDescent="0.25">
      <c r="A401" s="22"/>
      <c r="B401" s="23"/>
      <c r="C401" s="22"/>
      <c r="D401" s="22"/>
      <c r="E401" s="27"/>
      <c r="F401" s="22"/>
      <c r="G401" s="22"/>
      <c r="H401" s="22"/>
      <c r="I401" s="22"/>
      <c r="J401" s="22"/>
      <c r="K401" s="22"/>
      <c r="L401" s="22"/>
      <c r="M401" s="22"/>
      <c r="N401" s="27"/>
      <c r="O401" s="22"/>
      <c r="P401" s="5" t="str">
        <f>IF(A401="","",IF(COUNTIF(Типы,C401)=0,0,VLOOKUP(C401,СПРАВОЧНИКИ!$A$7:$E$22,2,FALSE)))</f>
        <v/>
      </c>
      <c r="Q401" s="25" t="str">
        <f t="shared" si="6"/>
        <v/>
      </c>
      <c r="R401" s="5" t="str">
        <f>IF(A401="","",IF(COUNTIF(Типы,C401)=0,"НЕИЗВЕСТНЫЙ ТИП",VLOOKUP(C401,СПРАВОЧНИКИ!$A$7:$E$22,3,FALSE)))</f>
        <v/>
      </c>
      <c r="S401" s="26" t="str">
        <f>IF(A401="","",IF(L401="Проведён",E401*IF(COUNTIF(Типы,C401)=0,0,VLOOKUP(C401,СПРАВОЧНИКИ!$A$7:$E$22,4,FALSE)),0))</f>
        <v/>
      </c>
      <c r="T401" s="26" t="str">
        <f>IF(A401="","",IF(L401="Проведён",E401*IF(COUNTIF(Типы,C401)=0,0,VLOOKUP(C401,СПРАВОЧНИКИ!$A$7:$E$22,5,FALSE)),0))</f>
        <v/>
      </c>
      <c r="U401" s="5" t="str">
        <f>IF(A401="","",IF(COUNTIF(Контрагенты,H401)=0,"Не задан",VLOOKUP(H401,СПРАВОЧНИКИ!$G$7:$H$66,2,FALSE)))</f>
        <v/>
      </c>
      <c r="V401" s="4" t="str">
        <f>IF(A401="",IF(COUNTA(B401:O401)&gt;0,"НЕТ ID",""),IF(OR(AND(OR(C401="Оплата клиента",C401="Возврат клиенту"),COUNTIFS(Docs[ID],J401,Docs[Тип долга],"ДЗ")&lt;&gt;1),AND(OR(C401="Оплата поставщику",C401="Возврат поставщика"),COUNTIFS(Docs[ID],J401,Docs[Тип долга],"КЗ",Docs[Вид],"&lt;&gt;Дивиденды")&lt;&gt;1),AND(C401="Дивиденды",COUNTIFS(Docs[ID],J401,Docs[Вид],"Дивиденды")&lt;&gt;1),AND(C401="Проценты",COUNTIFS(Docs[ID],J401,Docs[Вид],"Проценты")&lt;&gt;1),COUNTIF(Cash[ID],A401)&gt;1,NOT(ISNUMBER(B401)),B401&lt;НачалоУчета,YEAR(B401)&lt;&gt;Год,NOT(ISNUMBER(E401)),E401&lt;=0,N401&lt;0,COUNTIF(Типы,C401)&lt;&gt;1,COUNTIF(Категории,D401)&lt;&gt;1,COUNTIF(Счета,F401)&lt;&gt;1,COUNTIF(Проекты,I401)&lt;&gt;1,AND(H401&lt;&gt;"",COUNTIF(Контрагенты,H401)&lt;&gt;1),AND(C401="Перевод",OR(F401=G401,COUNTIF(Счета,G401)&lt;&gt;1)),AND(S401&lt;&gt;0,COUNTIF(Docs[ID],J401)&lt;&gt;1),AND(Форма="ООО",C401="Вывод ИП"),AND(Форма="ИП",C401="Дивиденды"),AND(L401&lt;&gt;"Проведён",L401&lt;&gt;"Черновик")),"ОШИБКА","ОК"))</f>
        <v/>
      </c>
      <c r="W401" s="25" t="str">
        <f>IF(A401="","",SUMIF(Accounts[Счёт],F401,Accounts[Начальный])+SUMIFS($Q$7:Q401,$F$7:F401,F401)+SUMIFS($E$7:E401,$G$7:G401,F401,$C$7:C401,"Перевод",$L$7:L401,"Проведён"))</f>
        <v/>
      </c>
    </row>
    <row r="402" spans="1:23" x14ac:dyDescent="0.25">
      <c r="A402" s="22"/>
      <c r="B402" s="23"/>
      <c r="C402" s="22"/>
      <c r="D402" s="22"/>
      <c r="E402" s="27"/>
      <c r="F402" s="22"/>
      <c r="G402" s="22"/>
      <c r="H402" s="22"/>
      <c r="I402" s="22"/>
      <c r="J402" s="22"/>
      <c r="K402" s="22"/>
      <c r="L402" s="22"/>
      <c r="M402" s="22"/>
      <c r="N402" s="27"/>
      <c r="O402" s="22"/>
      <c r="P402" s="5" t="str">
        <f>IF(A402="","",IF(COUNTIF(Типы,C402)=0,0,VLOOKUP(C402,СПРАВОЧНИКИ!$A$7:$E$22,2,FALSE)))</f>
        <v/>
      </c>
      <c r="Q402" s="25" t="str">
        <f t="shared" si="6"/>
        <v/>
      </c>
      <c r="R402" s="5" t="str">
        <f>IF(A402="","",IF(COUNTIF(Типы,C402)=0,"НЕИЗВЕСТНЫЙ ТИП",VLOOKUP(C402,СПРАВОЧНИКИ!$A$7:$E$22,3,FALSE)))</f>
        <v/>
      </c>
      <c r="S402" s="26" t="str">
        <f>IF(A402="","",IF(L402="Проведён",E402*IF(COUNTIF(Типы,C402)=0,0,VLOOKUP(C402,СПРАВОЧНИКИ!$A$7:$E$22,4,FALSE)),0))</f>
        <v/>
      </c>
      <c r="T402" s="26" t="str">
        <f>IF(A402="","",IF(L402="Проведён",E402*IF(COUNTIF(Типы,C402)=0,0,VLOOKUP(C402,СПРАВОЧНИКИ!$A$7:$E$22,5,FALSE)),0))</f>
        <v/>
      </c>
      <c r="U402" s="5" t="str">
        <f>IF(A402="","",IF(COUNTIF(Контрагенты,H402)=0,"Не задан",VLOOKUP(H402,СПРАВОЧНИКИ!$G$7:$H$66,2,FALSE)))</f>
        <v/>
      </c>
      <c r="V402" s="4" t="str">
        <f>IF(A402="",IF(COUNTA(B402:O402)&gt;0,"НЕТ ID",""),IF(OR(AND(OR(C402="Оплата клиента",C402="Возврат клиенту"),COUNTIFS(Docs[ID],J402,Docs[Тип долга],"ДЗ")&lt;&gt;1),AND(OR(C402="Оплата поставщику",C402="Возврат поставщика"),COUNTIFS(Docs[ID],J402,Docs[Тип долга],"КЗ",Docs[Вид],"&lt;&gt;Дивиденды")&lt;&gt;1),AND(C402="Дивиденды",COUNTIFS(Docs[ID],J402,Docs[Вид],"Дивиденды")&lt;&gt;1),AND(C402="Проценты",COUNTIFS(Docs[ID],J402,Docs[Вид],"Проценты")&lt;&gt;1),COUNTIF(Cash[ID],A402)&gt;1,NOT(ISNUMBER(B402)),B402&lt;НачалоУчета,YEAR(B402)&lt;&gt;Год,NOT(ISNUMBER(E402)),E402&lt;=0,N402&lt;0,COUNTIF(Типы,C402)&lt;&gt;1,COUNTIF(Категории,D402)&lt;&gt;1,COUNTIF(Счета,F402)&lt;&gt;1,COUNTIF(Проекты,I402)&lt;&gt;1,AND(H402&lt;&gt;"",COUNTIF(Контрагенты,H402)&lt;&gt;1),AND(C402="Перевод",OR(F402=G402,COUNTIF(Счета,G402)&lt;&gt;1)),AND(S402&lt;&gt;0,COUNTIF(Docs[ID],J402)&lt;&gt;1),AND(Форма="ООО",C402="Вывод ИП"),AND(Форма="ИП",C402="Дивиденды"),AND(L402&lt;&gt;"Проведён",L402&lt;&gt;"Черновик")),"ОШИБКА","ОК"))</f>
        <v/>
      </c>
      <c r="W402" s="25" t="str">
        <f>IF(A402="","",SUMIF(Accounts[Счёт],F402,Accounts[Начальный])+SUMIFS($Q$7:Q402,$F$7:F402,F402)+SUMIFS($E$7:E402,$G$7:G402,F402,$C$7:C402,"Перевод",$L$7:L402,"Проведён"))</f>
        <v/>
      </c>
    </row>
    <row r="403" spans="1:23" x14ac:dyDescent="0.25">
      <c r="A403" s="22"/>
      <c r="B403" s="23"/>
      <c r="C403" s="22"/>
      <c r="D403" s="22"/>
      <c r="E403" s="27"/>
      <c r="F403" s="22"/>
      <c r="G403" s="22"/>
      <c r="H403" s="22"/>
      <c r="I403" s="22"/>
      <c r="J403" s="22"/>
      <c r="K403" s="22"/>
      <c r="L403" s="22"/>
      <c r="M403" s="22"/>
      <c r="N403" s="27"/>
      <c r="O403" s="22"/>
      <c r="P403" s="5" t="str">
        <f>IF(A403="","",IF(COUNTIF(Типы,C403)=0,0,VLOOKUP(C403,СПРАВОЧНИКИ!$A$7:$E$22,2,FALSE)))</f>
        <v/>
      </c>
      <c r="Q403" s="25" t="str">
        <f t="shared" si="6"/>
        <v/>
      </c>
      <c r="R403" s="5" t="str">
        <f>IF(A403="","",IF(COUNTIF(Типы,C403)=0,"НЕИЗВЕСТНЫЙ ТИП",VLOOKUP(C403,СПРАВОЧНИКИ!$A$7:$E$22,3,FALSE)))</f>
        <v/>
      </c>
      <c r="S403" s="26" t="str">
        <f>IF(A403="","",IF(L403="Проведён",E403*IF(COUNTIF(Типы,C403)=0,0,VLOOKUP(C403,СПРАВОЧНИКИ!$A$7:$E$22,4,FALSE)),0))</f>
        <v/>
      </c>
      <c r="T403" s="26" t="str">
        <f>IF(A403="","",IF(L403="Проведён",E403*IF(COUNTIF(Типы,C403)=0,0,VLOOKUP(C403,СПРАВОЧНИКИ!$A$7:$E$22,5,FALSE)),0))</f>
        <v/>
      </c>
      <c r="U403" s="5" t="str">
        <f>IF(A403="","",IF(COUNTIF(Контрагенты,H403)=0,"Не задан",VLOOKUP(H403,СПРАВОЧНИКИ!$G$7:$H$66,2,FALSE)))</f>
        <v/>
      </c>
      <c r="V403" s="4" t="str">
        <f>IF(A403="",IF(COUNTA(B403:O403)&gt;0,"НЕТ ID",""),IF(OR(AND(OR(C403="Оплата клиента",C403="Возврат клиенту"),COUNTIFS(Docs[ID],J403,Docs[Тип долга],"ДЗ")&lt;&gt;1),AND(OR(C403="Оплата поставщику",C403="Возврат поставщика"),COUNTIFS(Docs[ID],J403,Docs[Тип долга],"КЗ",Docs[Вид],"&lt;&gt;Дивиденды")&lt;&gt;1),AND(C403="Дивиденды",COUNTIFS(Docs[ID],J403,Docs[Вид],"Дивиденды")&lt;&gt;1),AND(C403="Проценты",COUNTIFS(Docs[ID],J403,Docs[Вид],"Проценты")&lt;&gt;1),COUNTIF(Cash[ID],A403)&gt;1,NOT(ISNUMBER(B403)),B403&lt;НачалоУчета,YEAR(B403)&lt;&gt;Год,NOT(ISNUMBER(E403)),E403&lt;=0,N403&lt;0,COUNTIF(Типы,C403)&lt;&gt;1,COUNTIF(Категории,D403)&lt;&gt;1,COUNTIF(Счета,F403)&lt;&gt;1,COUNTIF(Проекты,I403)&lt;&gt;1,AND(H403&lt;&gt;"",COUNTIF(Контрагенты,H403)&lt;&gt;1),AND(C403="Перевод",OR(F403=G403,COUNTIF(Счета,G403)&lt;&gt;1)),AND(S403&lt;&gt;0,COUNTIF(Docs[ID],J403)&lt;&gt;1),AND(Форма="ООО",C403="Вывод ИП"),AND(Форма="ИП",C403="Дивиденды"),AND(L403&lt;&gt;"Проведён",L403&lt;&gt;"Черновик")),"ОШИБКА","ОК"))</f>
        <v/>
      </c>
      <c r="W403" s="25" t="str">
        <f>IF(A403="","",SUMIF(Accounts[Счёт],F403,Accounts[Начальный])+SUMIFS($Q$7:Q403,$F$7:F403,F403)+SUMIFS($E$7:E403,$G$7:G403,F403,$C$7:C403,"Перевод",$L$7:L403,"Проведён"))</f>
        <v/>
      </c>
    </row>
    <row r="404" spans="1:23" x14ac:dyDescent="0.25">
      <c r="A404" s="22"/>
      <c r="B404" s="23"/>
      <c r="C404" s="22"/>
      <c r="D404" s="22"/>
      <c r="E404" s="27"/>
      <c r="F404" s="22"/>
      <c r="G404" s="22"/>
      <c r="H404" s="22"/>
      <c r="I404" s="22"/>
      <c r="J404" s="22"/>
      <c r="K404" s="22"/>
      <c r="L404" s="22"/>
      <c r="M404" s="22"/>
      <c r="N404" s="27"/>
      <c r="O404" s="22"/>
      <c r="P404" s="5" t="str">
        <f>IF(A404="","",IF(COUNTIF(Типы,C404)=0,0,VLOOKUP(C404,СПРАВОЧНИКИ!$A$7:$E$22,2,FALSE)))</f>
        <v/>
      </c>
      <c r="Q404" s="25" t="str">
        <f t="shared" si="6"/>
        <v/>
      </c>
      <c r="R404" s="5" t="str">
        <f>IF(A404="","",IF(COUNTIF(Типы,C404)=0,"НЕИЗВЕСТНЫЙ ТИП",VLOOKUP(C404,СПРАВОЧНИКИ!$A$7:$E$22,3,FALSE)))</f>
        <v/>
      </c>
      <c r="S404" s="26" t="str">
        <f>IF(A404="","",IF(L404="Проведён",E404*IF(COUNTIF(Типы,C404)=0,0,VLOOKUP(C404,СПРАВОЧНИКИ!$A$7:$E$22,4,FALSE)),0))</f>
        <v/>
      </c>
      <c r="T404" s="26" t="str">
        <f>IF(A404="","",IF(L404="Проведён",E404*IF(COUNTIF(Типы,C404)=0,0,VLOOKUP(C404,СПРАВОЧНИКИ!$A$7:$E$22,5,FALSE)),0))</f>
        <v/>
      </c>
      <c r="U404" s="5" t="str">
        <f>IF(A404="","",IF(COUNTIF(Контрагенты,H404)=0,"Не задан",VLOOKUP(H404,СПРАВОЧНИКИ!$G$7:$H$66,2,FALSE)))</f>
        <v/>
      </c>
      <c r="V404" s="4" t="str">
        <f>IF(A404="",IF(COUNTA(B404:O404)&gt;0,"НЕТ ID",""),IF(OR(AND(OR(C404="Оплата клиента",C404="Возврат клиенту"),COUNTIFS(Docs[ID],J404,Docs[Тип долга],"ДЗ")&lt;&gt;1),AND(OR(C404="Оплата поставщику",C404="Возврат поставщика"),COUNTIFS(Docs[ID],J404,Docs[Тип долга],"КЗ",Docs[Вид],"&lt;&gt;Дивиденды")&lt;&gt;1),AND(C404="Дивиденды",COUNTIFS(Docs[ID],J404,Docs[Вид],"Дивиденды")&lt;&gt;1),AND(C404="Проценты",COUNTIFS(Docs[ID],J404,Docs[Вид],"Проценты")&lt;&gt;1),COUNTIF(Cash[ID],A404)&gt;1,NOT(ISNUMBER(B404)),B404&lt;НачалоУчета,YEAR(B404)&lt;&gt;Год,NOT(ISNUMBER(E404)),E404&lt;=0,N404&lt;0,COUNTIF(Типы,C404)&lt;&gt;1,COUNTIF(Категории,D404)&lt;&gt;1,COUNTIF(Счета,F404)&lt;&gt;1,COUNTIF(Проекты,I404)&lt;&gt;1,AND(H404&lt;&gt;"",COUNTIF(Контрагенты,H404)&lt;&gt;1),AND(C404="Перевод",OR(F404=G404,COUNTIF(Счета,G404)&lt;&gt;1)),AND(S404&lt;&gt;0,COUNTIF(Docs[ID],J404)&lt;&gt;1),AND(Форма="ООО",C404="Вывод ИП"),AND(Форма="ИП",C404="Дивиденды"),AND(L404&lt;&gt;"Проведён",L404&lt;&gt;"Черновик")),"ОШИБКА","ОК"))</f>
        <v/>
      </c>
      <c r="W404" s="25" t="str">
        <f>IF(A404="","",SUMIF(Accounts[Счёт],F404,Accounts[Начальный])+SUMIFS($Q$7:Q404,$F$7:F404,F404)+SUMIFS($E$7:E404,$G$7:G404,F404,$C$7:C404,"Перевод",$L$7:L404,"Проведён"))</f>
        <v/>
      </c>
    </row>
    <row r="405" spans="1:23" x14ac:dyDescent="0.25">
      <c r="A405" s="22"/>
      <c r="B405" s="23"/>
      <c r="C405" s="22"/>
      <c r="D405" s="22"/>
      <c r="E405" s="27"/>
      <c r="F405" s="22"/>
      <c r="G405" s="22"/>
      <c r="H405" s="22"/>
      <c r="I405" s="22"/>
      <c r="J405" s="22"/>
      <c r="K405" s="22"/>
      <c r="L405" s="22"/>
      <c r="M405" s="22"/>
      <c r="N405" s="27"/>
      <c r="O405" s="22"/>
      <c r="P405" s="5" t="str">
        <f>IF(A405="","",IF(COUNTIF(Типы,C405)=0,0,VLOOKUP(C405,СПРАВОЧНИКИ!$A$7:$E$22,2,FALSE)))</f>
        <v/>
      </c>
      <c r="Q405" s="25" t="str">
        <f t="shared" si="6"/>
        <v/>
      </c>
      <c r="R405" s="5" t="str">
        <f>IF(A405="","",IF(COUNTIF(Типы,C405)=0,"НЕИЗВЕСТНЫЙ ТИП",VLOOKUP(C405,СПРАВОЧНИКИ!$A$7:$E$22,3,FALSE)))</f>
        <v/>
      </c>
      <c r="S405" s="26" t="str">
        <f>IF(A405="","",IF(L405="Проведён",E405*IF(COUNTIF(Типы,C405)=0,0,VLOOKUP(C405,СПРАВОЧНИКИ!$A$7:$E$22,4,FALSE)),0))</f>
        <v/>
      </c>
      <c r="T405" s="26" t="str">
        <f>IF(A405="","",IF(L405="Проведён",E405*IF(COUNTIF(Типы,C405)=0,0,VLOOKUP(C405,СПРАВОЧНИКИ!$A$7:$E$22,5,FALSE)),0))</f>
        <v/>
      </c>
      <c r="U405" s="5" t="str">
        <f>IF(A405="","",IF(COUNTIF(Контрагенты,H405)=0,"Не задан",VLOOKUP(H405,СПРАВОЧНИКИ!$G$7:$H$66,2,FALSE)))</f>
        <v/>
      </c>
      <c r="V405" s="4" t="str">
        <f>IF(A405="",IF(COUNTA(B405:O405)&gt;0,"НЕТ ID",""),IF(OR(AND(OR(C405="Оплата клиента",C405="Возврат клиенту"),COUNTIFS(Docs[ID],J405,Docs[Тип долга],"ДЗ")&lt;&gt;1),AND(OR(C405="Оплата поставщику",C405="Возврат поставщика"),COUNTIFS(Docs[ID],J405,Docs[Тип долга],"КЗ",Docs[Вид],"&lt;&gt;Дивиденды")&lt;&gt;1),AND(C405="Дивиденды",COUNTIFS(Docs[ID],J405,Docs[Вид],"Дивиденды")&lt;&gt;1),AND(C405="Проценты",COUNTIFS(Docs[ID],J405,Docs[Вид],"Проценты")&lt;&gt;1),COUNTIF(Cash[ID],A405)&gt;1,NOT(ISNUMBER(B405)),B405&lt;НачалоУчета,YEAR(B405)&lt;&gt;Год,NOT(ISNUMBER(E405)),E405&lt;=0,N405&lt;0,COUNTIF(Типы,C405)&lt;&gt;1,COUNTIF(Категории,D405)&lt;&gt;1,COUNTIF(Счета,F405)&lt;&gt;1,COUNTIF(Проекты,I405)&lt;&gt;1,AND(H405&lt;&gt;"",COUNTIF(Контрагенты,H405)&lt;&gt;1),AND(C405="Перевод",OR(F405=G405,COUNTIF(Счета,G405)&lt;&gt;1)),AND(S405&lt;&gt;0,COUNTIF(Docs[ID],J405)&lt;&gt;1),AND(Форма="ООО",C405="Вывод ИП"),AND(Форма="ИП",C405="Дивиденды"),AND(L405&lt;&gt;"Проведён",L405&lt;&gt;"Черновик")),"ОШИБКА","ОК"))</f>
        <v/>
      </c>
      <c r="W405" s="25" t="str">
        <f>IF(A405="","",SUMIF(Accounts[Счёт],F405,Accounts[Начальный])+SUMIFS($Q$7:Q405,$F$7:F405,F405)+SUMIFS($E$7:E405,$G$7:G405,F405,$C$7:C405,"Перевод",$L$7:L405,"Проведён"))</f>
        <v/>
      </c>
    </row>
    <row r="406" spans="1:23" x14ac:dyDescent="0.25">
      <c r="A406" s="22"/>
      <c r="B406" s="23"/>
      <c r="C406" s="22"/>
      <c r="D406" s="22"/>
      <c r="E406" s="27"/>
      <c r="F406" s="22"/>
      <c r="G406" s="22"/>
      <c r="H406" s="22"/>
      <c r="I406" s="22"/>
      <c r="J406" s="22"/>
      <c r="K406" s="22"/>
      <c r="L406" s="22"/>
      <c r="M406" s="22"/>
      <c r="N406" s="27"/>
      <c r="O406" s="22"/>
      <c r="P406" s="5" t="str">
        <f>IF(A406="","",IF(COUNTIF(Типы,C406)=0,0,VLOOKUP(C406,СПРАВОЧНИКИ!$A$7:$E$22,2,FALSE)))</f>
        <v/>
      </c>
      <c r="Q406" s="25" t="str">
        <f t="shared" si="6"/>
        <v/>
      </c>
      <c r="R406" s="5" t="str">
        <f>IF(A406="","",IF(COUNTIF(Типы,C406)=0,"НЕИЗВЕСТНЫЙ ТИП",VLOOKUP(C406,СПРАВОЧНИКИ!$A$7:$E$22,3,FALSE)))</f>
        <v/>
      </c>
      <c r="S406" s="26" t="str">
        <f>IF(A406="","",IF(L406="Проведён",E406*IF(COUNTIF(Типы,C406)=0,0,VLOOKUP(C406,СПРАВОЧНИКИ!$A$7:$E$22,4,FALSE)),0))</f>
        <v/>
      </c>
      <c r="T406" s="26" t="str">
        <f>IF(A406="","",IF(L406="Проведён",E406*IF(COUNTIF(Типы,C406)=0,0,VLOOKUP(C406,СПРАВОЧНИКИ!$A$7:$E$22,5,FALSE)),0))</f>
        <v/>
      </c>
      <c r="U406" s="5" t="str">
        <f>IF(A406="","",IF(COUNTIF(Контрагенты,H406)=0,"Не задан",VLOOKUP(H406,СПРАВОЧНИКИ!$G$7:$H$66,2,FALSE)))</f>
        <v/>
      </c>
      <c r="V406" s="4" t="str">
        <f>IF(A406="",IF(COUNTA(B406:O406)&gt;0,"НЕТ ID",""),IF(OR(AND(OR(C406="Оплата клиента",C406="Возврат клиенту"),COUNTIFS(Docs[ID],J406,Docs[Тип долга],"ДЗ")&lt;&gt;1),AND(OR(C406="Оплата поставщику",C406="Возврат поставщика"),COUNTIFS(Docs[ID],J406,Docs[Тип долга],"КЗ",Docs[Вид],"&lt;&gt;Дивиденды")&lt;&gt;1),AND(C406="Дивиденды",COUNTIFS(Docs[ID],J406,Docs[Вид],"Дивиденды")&lt;&gt;1),AND(C406="Проценты",COUNTIFS(Docs[ID],J406,Docs[Вид],"Проценты")&lt;&gt;1),COUNTIF(Cash[ID],A406)&gt;1,NOT(ISNUMBER(B406)),B406&lt;НачалоУчета,YEAR(B406)&lt;&gt;Год,NOT(ISNUMBER(E406)),E406&lt;=0,N406&lt;0,COUNTIF(Типы,C406)&lt;&gt;1,COUNTIF(Категории,D406)&lt;&gt;1,COUNTIF(Счета,F406)&lt;&gt;1,COUNTIF(Проекты,I406)&lt;&gt;1,AND(H406&lt;&gt;"",COUNTIF(Контрагенты,H406)&lt;&gt;1),AND(C406="Перевод",OR(F406=G406,COUNTIF(Счета,G406)&lt;&gt;1)),AND(S406&lt;&gt;0,COUNTIF(Docs[ID],J406)&lt;&gt;1),AND(Форма="ООО",C406="Вывод ИП"),AND(Форма="ИП",C406="Дивиденды"),AND(L406&lt;&gt;"Проведён",L406&lt;&gt;"Черновик")),"ОШИБКА","ОК"))</f>
        <v/>
      </c>
      <c r="W406" s="25" t="str">
        <f>IF(A406="","",SUMIF(Accounts[Счёт],F406,Accounts[Начальный])+SUMIFS($Q$7:Q406,$F$7:F406,F406)+SUMIFS($E$7:E406,$G$7:G406,F406,$C$7:C406,"Перевод",$L$7:L406,"Проведён"))</f>
        <v/>
      </c>
    </row>
    <row r="407" spans="1:23" x14ac:dyDescent="0.25">
      <c r="A407" s="22"/>
      <c r="B407" s="23"/>
      <c r="C407" s="22"/>
      <c r="D407" s="22"/>
      <c r="E407" s="27"/>
      <c r="F407" s="22"/>
      <c r="G407" s="22"/>
      <c r="H407" s="22"/>
      <c r="I407" s="22"/>
      <c r="J407" s="22"/>
      <c r="K407" s="22"/>
      <c r="L407" s="22"/>
      <c r="M407" s="22"/>
      <c r="N407" s="27"/>
      <c r="O407" s="22"/>
      <c r="P407" s="5" t="str">
        <f>IF(A407="","",IF(COUNTIF(Типы,C407)=0,0,VLOOKUP(C407,СПРАВОЧНИКИ!$A$7:$E$22,2,FALSE)))</f>
        <v/>
      </c>
      <c r="Q407" s="25" t="str">
        <f t="shared" si="6"/>
        <v/>
      </c>
      <c r="R407" s="5" t="str">
        <f>IF(A407="","",IF(COUNTIF(Типы,C407)=0,"НЕИЗВЕСТНЫЙ ТИП",VLOOKUP(C407,СПРАВОЧНИКИ!$A$7:$E$22,3,FALSE)))</f>
        <v/>
      </c>
      <c r="S407" s="26" t="str">
        <f>IF(A407="","",IF(L407="Проведён",E407*IF(COUNTIF(Типы,C407)=0,0,VLOOKUP(C407,СПРАВОЧНИКИ!$A$7:$E$22,4,FALSE)),0))</f>
        <v/>
      </c>
      <c r="T407" s="26" t="str">
        <f>IF(A407="","",IF(L407="Проведён",E407*IF(COUNTIF(Типы,C407)=0,0,VLOOKUP(C407,СПРАВОЧНИКИ!$A$7:$E$22,5,FALSE)),0))</f>
        <v/>
      </c>
      <c r="U407" s="5" t="str">
        <f>IF(A407="","",IF(COUNTIF(Контрагенты,H407)=0,"Не задан",VLOOKUP(H407,СПРАВОЧНИКИ!$G$7:$H$66,2,FALSE)))</f>
        <v/>
      </c>
      <c r="V407" s="4" t="str">
        <f>IF(A407="",IF(COUNTA(B407:O407)&gt;0,"НЕТ ID",""),IF(OR(AND(OR(C407="Оплата клиента",C407="Возврат клиенту"),COUNTIFS(Docs[ID],J407,Docs[Тип долга],"ДЗ")&lt;&gt;1),AND(OR(C407="Оплата поставщику",C407="Возврат поставщика"),COUNTIFS(Docs[ID],J407,Docs[Тип долга],"КЗ",Docs[Вид],"&lt;&gt;Дивиденды")&lt;&gt;1),AND(C407="Дивиденды",COUNTIFS(Docs[ID],J407,Docs[Вид],"Дивиденды")&lt;&gt;1),AND(C407="Проценты",COUNTIFS(Docs[ID],J407,Docs[Вид],"Проценты")&lt;&gt;1),COUNTIF(Cash[ID],A407)&gt;1,NOT(ISNUMBER(B407)),B407&lt;НачалоУчета,YEAR(B407)&lt;&gt;Год,NOT(ISNUMBER(E407)),E407&lt;=0,N407&lt;0,COUNTIF(Типы,C407)&lt;&gt;1,COUNTIF(Категории,D407)&lt;&gt;1,COUNTIF(Счета,F407)&lt;&gt;1,COUNTIF(Проекты,I407)&lt;&gt;1,AND(H407&lt;&gt;"",COUNTIF(Контрагенты,H407)&lt;&gt;1),AND(C407="Перевод",OR(F407=G407,COUNTIF(Счета,G407)&lt;&gt;1)),AND(S407&lt;&gt;0,COUNTIF(Docs[ID],J407)&lt;&gt;1),AND(Форма="ООО",C407="Вывод ИП"),AND(Форма="ИП",C407="Дивиденды"),AND(L407&lt;&gt;"Проведён",L407&lt;&gt;"Черновик")),"ОШИБКА","ОК"))</f>
        <v/>
      </c>
      <c r="W407" s="25" t="str">
        <f>IF(A407="","",SUMIF(Accounts[Счёт],F407,Accounts[Начальный])+SUMIFS($Q$7:Q407,$F$7:F407,F407)+SUMIFS($E$7:E407,$G$7:G407,F407,$C$7:C407,"Перевод",$L$7:L407,"Проведён"))</f>
        <v/>
      </c>
    </row>
    <row r="408" spans="1:23" x14ac:dyDescent="0.25">
      <c r="A408" s="22"/>
      <c r="B408" s="23"/>
      <c r="C408" s="22"/>
      <c r="D408" s="22"/>
      <c r="E408" s="27"/>
      <c r="F408" s="22"/>
      <c r="G408" s="22"/>
      <c r="H408" s="22"/>
      <c r="I408" s="22"/>
      <c r="J408" s="22"/>
      <c r="K408" s="22"/>
      <c r="L408" s="22"/>
      <c r="M408" s="22"/>
      <c r="N408" s="27"/>
      <c r="O408" s="22"/>
      <c r="P408" s="5" t="str">
        <f>IF(A408="","",IF(COUNTIF(Типы,C408)=0,0,VLOOKUP(C408,СПРАВОЧНИКИ!$A$7:$E$22,2,FALSE)))</f>
        <v/>
      </c>
      <c r="Q408" s="25" t="str">
        <f t="shared" si="6"/>
        <v/>
      </c>
      <c r="R408" s="5" t="str">
        <f>IF(A408="","",IF(COUNTIF(Типы,C408)=0,"НЕИЗВЕСТНЫЙ ТИП",VLOOKUP(C408,СПРАВОЧНИКИ!$A$7:$E$22,3,FALSE)))</f>
        <v/>
      </c>
      <c r="S408" s="26" t="str">
        <f>IF(A408="","",IF(L408="Проведён",E408*IF(COUNTIF(Типы,C408)=0,0,VLOOKUP(C408,СПРАВОЧНИКИ!$A$7:$E$22,4,FALSE)),0))</f>
        <v/>
      </c>
      <c r="T408" s="26" t="str">
        <f>IF(A408="","",IF(L408="Проведён",E408*IF(COUNTIF(Типы,C408)=0,0,VLOOKUP(C408,СПРАВОЧНИКИ!$A$7:$E$22,5,FALSE)),0))</f>
        <v/>
      </c>
      <c r="U408" s="5" t="str">
        <f>IF(A408="","",IF(COUNTIF(Контрагенты,H408)=0,"Не задан",VLOOKUP(H408,СПРАВОЧНИКИ!$G$7:$H$66,2,FALSE)))</f>
        <v/>
      </c>
      <c r="V408" s="4" t="str">
        <f>IF(A408="",IF(COUNTA(B408:O408)&gt;0,"НЕТ ID",""),IF(OR(AND(OR(C408="Оплата клиента",C408="Возврат клиенту"),COUNTIFS(Docs[ID],J408,Docs[Тип долга],"ДЗ")&lt;&gt;1),AND(OR(C408="Оплата поставщику",C408="Возврат поставщика"),COUNTIFS(Docs[ID],J408,Docs[Тип долга],"КЗ",Docs[Вид],"&lt;&gt;Дивиденды")&lt;&gt;1),AND(C408="Дивиденды",COUNTIFS(Docs[ID],J408,Docs[Вид],"Дивиденды")&lt;&gt;1),AND(C408="Проценты",COUNTIFS(Docs[ID],J408,Docs[Вид],"Проценты")&lt;&gt;1),COUNTIF(Cash[ID],A408)&gt;1,NOT(ISNUMBER(B408)),B408&lt;НачалоУчета,YEAR(B408)&lt;&gt;Год,NOT(ISNUMBER(E408)),E408&lt;=0,N408&lt;0,COUNTIF(Типы,C408)&lt;&gt;1,COUNTIF(Категории,D408)&lt;&gt;1,COUNTIF(Счета,F408)&lt;&gt;1,COUNTIF(Проекты,I408)&lt;&gt;1,AND(H408&lt;&gt;"",COUNTIF(Контрагенты,H408)&lt;&gt;1),AND(C408="Перевод",OR(F408=G408,COUNTIF(Счета,G408)&lt;&gt;1)),AND(S408&lt;&gt;0,COUNTIF(Docs[ID],J408)&lt;&gt;1),AND(Форма="ООО",C408="Вывод ИП"),AND(Форма="ИП",C408="Дивиденды"),AND(L408&lt;&gt;"Проведён",L408&lt;&gt;"Черновик")),"ОШИБКА","ОК"))</f>
        <v/>
      </c>
      <c r="W408" s="25" t="str">
        <f>IF(A408="","",SUMIF(Accounts[Счёт],F408,Accounts[Начальный])+SUMIFS($Q$7:Q408,$F$7:F408,F408)+SUMIFS($E$7:E408,$G$7:G408,F408,$C$7:C408,"Перевод",$L$7:L408,"Проведён"))</f>
        <v/>
      </c>
    </row>
    <row r="409" spans="1:23" x14ac:dyDescent="0.25">
      <c r="A409" s="22"/>
      <c r="B409" s="23"/>
      <c r="C409" s="22"/>
      <c r="D409" s="22"/>
      <c r="E409" s="27"/>
      <c r="F409" s="22"/>
      <c r="G409" s="22"/>
      <c r="H409" s="22"/>
      <c r="I409" s="22"/>
      <c r="J409" s="22"/>
      <c r="K409" s="22"/>
      <c r="L409" s="22"/>
      <c r="M409" s="22"/>
      <c r="N409" s="27"/>
      <c r="O409" s="22"/>
      <c r="P409" s="5" t="str">
        <f>IF(A409="","",IF(COUNTIF(Типы,C409)=0,0,VLOOKUP(C409,СПРАВОЧНИКИ!$A$7:$E$22,2,FALSE)))</f>
        <v/>
      </c>
      <c r="Q409" s="25" t="str">
        <f t="shared" si="6"/>
        <v/>
      </c>
      <c r="R409" s="5" t="str">
        <f>IF(A409="","",IF(COUNTIF(Типы,C409)=0,"НЕИЗВЕСТНЫЙ ТИП",VLOOKUP(C409,СПРАВОЧНИКИ!$A$7:$E$22,3,FALSE)))</f>
        <v/>
      </c>
      <c r="S409" s="26" t="str">
        <f>IF(A409="","",IF(L409="Проведён",E409*IF(COUNTIF(Типы,C409)=0,0,VLOOKUP(C409,СПРАВОЧНИКИ!$A$7:$E$22,4,FALSE)),0))</f>
        <v/>
      </c>
      <c r="T409" s="26" t="str">
        <f>IF(A409="","",IF(L409="Проведён",E409*IF(COUNTIF(Типы,C409)=0,0,VLOOKUP(C409,СПРАВОЧНИКИ!$A$7:$E$22,5,FALSE)),0))</f>
        <v/>
      </c>
      <c r="U409" s="5" t="str">
        <f>IF(A409="","",IF(COUNTIF(Контрагенты,H409)=0,"Не задан",VLOOKUP(H409,СПРАВОЧНИКИ!$G$7:$H$66,2,FALSE)))</f>
        <v/>
      </c>
      <c r="V409" s="4" t="str">
        <f>IF(A409="",IF(COUNTA(B409:O409)&gt;0,"НЕТ ID",""),IF(OR(AND(OR(C409="Оплата клиента",C409="Возврат клиенту"),COUNTIFS(Docs[ID],J409,Docs[Тип долга],"ДЗ")&lt;&gt;1),AND(OR(C409="Оплата поставщику",C409="Возврат поставщика"),COUNTIFS(Docs[ID],J409,Docs[Тип долга],"КЗ",Docs[Вид],"&lt;&gt;Дивиденды")&lt;&gt;1),AND(C409="Дивиденды",COUNTIFS(Docs[ID],J409,Docs[Вид],"Дивиденды")&lt;&gt;1),AND(C409="Проценты",COUNTIFS(Docs[ID],J409,Docs[Вид],"Проценты")&lt;&gt;1),COUNTIF(Cash[ID],A409)&gt;1,NOT(ISNUMBER(B409)),B409&lt;НачалоУчета,YEAR(B409)&lt;&gt;Год,NOT(ISNUMBER(E409)),E409&lt;=0,N409&lt;0,COUNTIF(Типы,C409)&lt;&gt;1,COUNTIF(Категории,D409)&lt;&gt;1,COUNTIF(Счета,F409)&lt;&gt;1,COUNTIF(Проекты,I409)&lt;&gt;1,AND(H409&lt;&gt;"",COUNTIF(Контрагенты,H409)&lt;&gt;1),AND(C409="Перевод",OR(F409=G409,COUNTIF(Счета,G409)&lt;&gt;1)),AND(S409&lt;&gt;0,COUNTIF(Docs[ID],J409)&lt;&gt;1),AND(Форма="ООО",C409="Вывод ИП"),AND(Форма="ИП",C409="Дивиденды"),AND(L409&lt;&gt;"Проведён",L409&lt;&gt;"Черновик")),"ОШИБКА","ОК"))</f>
        <v/>
      </c>
      <c r="W409" s="25" t="str">
        <f>IF(A409="","",SUMIF(Accounts[Счёт],F409,Accounts[Начальный])+SUMIFS($Q$7:Q409,$F$7:F409,F409)+SUMIFS($E$7:E409,$G$7:G409,F409,$C$7:C409,"Перевод",$L$7:L409,"Проведён"))</f>
        <v/>
      </c>
    </row>
    <row r="410" spans="1:23" x14ac:dyDescent="0.25">
      <c r="A410" s="22"/>
      <c r="B410" s="23"/>
      <c r="C410" s="22"/>
      <c r="D410" s="22"/>
      <c r="E410" s="27"/>
      <c r="F410" s="22"/>
      <c r="G410" s="22"/>
      <c r="H410" s="22"/>
      <c r="I410" s="22"/>
      <c r="J410" s="22"/>
      <c r="K410" s="22"/>
      <c r="L410" s="22"/>
      <c r="M410" s="22"/>
      <c r="N410" s="27"/>
      <c r="O410" s="22"/>
      <c r="P410" s="5" t="str">
        <f>IF(A410="","",IF(COUNTIF(Типы,C410)=0,0,VLOOKUP(C410,СПРАВОЧНИКИ!$A$7:$E$22,2,FALSE)))</f>
        <v/>
      </c>
      <c r="Q410" s="25" t="str">
        <f t="shared" si="6"/>
        <v/>
      </c>
      <c r="R410" s="5" t="str">
        <f>IF(A410="","",IF(COUNTIF(Типы,C410)=0,"НЕИЗВЕСТНЫЙ ТИП",VLOOKUP(C410,СПРАВОЧНИКИ!$A$7:$E$22,3,FALSE)))</f>
        <v/>
      </c>
      <c r="S410" s="26" t="str">
        <f>IF(A410="","",IF(L410="Проведён",E410*IF(COUNTIF(Типы,C410)=0,0,VLOOKUP(C410,СПРАВОЧНИКИ!$A$7:$E$22,4,FALSE)),0))</f>
        <v/>
      </c>
      <c r="T410" s="26" t="str">
        <f>IF(A410="","",IF(L410="Проведён",E410*IF(COUNTIF(Типы,C410)=0,0,VLOOKUP(C410,СПРАВОЧНИКИ!$A$7:$E$22,5,FALSE)),0))</f>
        <v/>
      </c>
      <c r="U410" s="5" t="str">
        <f>IF(A410="","",IF(COUNTIF(Контрагенты,H410)=0,"Не задан",VLOOKUP(H410,СПРАВОЧНИКИ!$G$7:$H$66,2,FALSE)))</f>
        <v/>
      </c>
      <c r="V410" s="4" t="str">
        <f>IF(A410="",IF(COUNTA(B410:O410)&gt;0,"НЕТ ID",""),IF(OR(AND(OR(C410="Оплата клиента",C410="Возврат клиенту"),COUNTIFS(Docs[ID],J410,Docs[Тип долга],"ДЗ")&lt;&gt;1),AND(OR(C410="Оплата поставщику",C410="Возврат поставщика"),COUNTIFS(Docs[ID],J410,Docs[Тип долга],"КЗ",Docs[Вид],"&lt;&gt;Дивиденды")&lt;&gt;1),AND(C410="Дивиденды",COUNTIFS(Docs[ID],J410,Docs[Вид],"Дивиденды")&lt;&gt;1),AND(C410="Проценты",COUNTIFS(Docs[ID],J410,Docs[Вид],"Проценты")&lt;&gt;1),COUNTIF(Cash[ID],A410)&gt;1,NOT(ISNUMBER(B410)),B410&lt;НачалоУчета,YEAR(B410)&lt;&gt;Год,NOT(ISNUMBER(E410)),E410&lt;=0,N410&lt;0,COUNTIF(Типы,C410)&lt;&gt;1,COUNTIF(Категории,D410)&lt;&gt;1,COUNTIF(Счета,F410)&lt;&gt;1,COUNTIF(Проекты,I410)&lt;&gt;1,AND(H410&lt;&gt;"",COUNTIF(Контрагенты,H410)&lt;&gt;1),AND(C410="Перевод",OR(F410=G410,COUNTIF(Счета,G410)&lt;&gt;1)),AND(S410&lt;&gt;0,COUNTIF(Docs[ID],J410)&lt;&gt;1),AND(Форма="ООО",C410="Вывод ИП"),AND(Форма="ИП",C410="Дивиденды"),AND(L410&lt;&gt;"Проведён",L410&lt;&gt;"Черновик")),"ОШИБКА","ОК"))</f>
        <v/>
      </c>
      <c r="W410" s="25" t="str">
        <f>IF(A410="","",SUMIF(Accounts[Счёт],F410,Accounts[Начальный])+SUMIFS($Q$7:Q410,$F$7:F410,F410)+SUMIFS($E$7:E410,$G$7:G410,F410,$C$7:C410,"Перевод",$L$7:L410,"Проведён"))</f>
        <v/>
      </c>
    </row>
    <row r="411" spans="1:23" x14ac:dyDescent="0.25">
      <c r="A411" s="22"/>
      <c r="B411" s="23"/>
      <c r="C411" s="22"/>
      <c r="D411" s="22"/>
      <c r="E411" s="27"/>
      <c r="F411" s="22"/>
      <c r="G411" s="22"/>
      <c r="H411" s="22"/>
      <c r="I411" s="22"/>
      <c r="J411" s="22"/>
      <c r="K411" s="22"/>
      <c r="L411" s="22"/>
      <c r="M411" s="22"/>
      <c r="N411" s="27"/>
      <c r="O411" s="22"/>
      <c r="P411" s="5" t="str">
        <f>IF(A411="","",IF(COUNTIF(Типы,C411)=0,0,VLOOKUP(C411,СПРАВОЧНИКИ!$A$7:$E$22,2,FALSE)))</f>
        <v/>
      </c>
      <c r="Q411" s="25" t="str">
        <f t="shared" si="6"/>
        <v/>
      </c>
      <c r="R411" s="5" t="str">
        <f>IF(A411="","",IF(COUNTIF(Типы,C411)=0,"НЕИЗВЕСТНЫЙ ТИП",VLOOKUP(C411,СПРАВОЧНИКИ!$A$7:$E$22,3,FALSE)))</f>
        <v/>
      </c>
      <c r="S411" s="26" t="str">
        <f>IF(A411="","",IF(L411="Проведён",E411*IF(COUNTIF(Типы,C411)=0,0,VLOOKUP(C411,СПРАВОЧНИКИ!$A$7:$E$22,4,FALSE)),0))</f>
        <v/>
      </c>
      <c r="T411" s="26" t="str">
        <f>IF(A411="","",IF(L411="Проведён",E411*IF(COUNTIF(Типы,C411)=0,0,VLOOKUP(C411,СПРАВОЧНИКИ!$A$7:$E$22,5,FALSE)),0))</f>
        <v/>
      </c>
      <c r="U411" s="5" t="str">
        <f>IF(A411="","",IF(COUNTIF(Контрагенты,H411)=0,"Не задан",VLOOKUP(H411,СПРАВОЧНИКИ!$G$7:$H$66,2,FALSE)))</f>
        <v/>
      </c>
      <c r="V411" s="4" t="str">
        <f>IF(A411="",IF(COUNTA(B411:O411)&gt;0,"НЕТ ID",""),IF(OR(AND(OR(C411="Оплата клиента",C411="Возврат клиенту"),COUNTIFS(Docs[ID],J411,Docs[Тип долга],"ДЗ")&lt;&gt;1),AND(OR(C411="Оплата поставщику",C411="Возврат поставщика"),COUNTIFS(Docs[ID],J411,Docs[Тип долга],"КЗ",Docs[Вид],"&lt;&gt;Дивиденды")&lt;&gt;1),AND(C411="Дивиденды",COUNTIFS(Docs[ID],J411,Docs[Вид],"Дивиденды")&lt;&gt;1),AND(C411="Проценты",COUNTIFS(Docs[ID],J411,Docs[Вид],"Проценты")&lt;&gt;1),COUNTIF(Cash[ID],A411)&gt;1,NOT(ISNUMBER(B411)),B411&lt;НачалоУчета,YEAR(B411)&lt;&gt;Год,NOT(ISNUMBER(E411)),E411&lt;=0,N411&lt;0,COUNTIF(Типы,C411)&lt;&gt;1,COUNTIF(Категории,D411)&lt;&gt;1,COUNTIF(Счета,F411)&lt;&gt;1,COUNTIF(Проекты,I411)&lt;&gt;1,AND(H411&lt;&gt;"",COUNTIF(Контрагенты,H411)&lt;&gt;1),AND(C411="Перевод",OR(F411=G411,COUNTIF(Счета,G411)&lt;&gt;1)),AND(S411&lt;&gt;0,COUNTIF(Docs[ID],J411)&lt;&gt;1),AND(Форма="ООО",C411="Вывод ИП"),AND(Форма="ИП",C411="Дивиденды"),AND(L411&lt;&gt;"Проведён",L411&lt;&gt;"Черновик")),"ОШИБКА","ОК"))</f>
        <v/>
      </c>
      <c r="W411" s="25" t="str">
        <f>IF(A411="","",SUMIF(Accounts[Счёт],F411,Accounts[Начальный])+SUMIFS($Q$7:Q411,$F$7:F411,F411)+SUMIFS($E$7:E411,$G$7:G411,F411,$C$7:C411,"Перевод",$L$7:L411,"Проведён"))</f>
        <v/>
      </c>
    </row>
    <row r="412" spans="1:23" x14ac:dyDescent="0.25">
      <c r="A412" s="22"/>
      <c r="B412" s="23"/>
      <c r="C412" s="22"/>
      <c r="D412" s="22"/>
      <c r="E412" s="27"/>
      <c r="F412" s="22"/>
      <c r="G412" s="22"/>
      <c r="H412" s="22"/>
      <c r="I412" s="22"/>
      <c r="J412" s="22"/>
      <c r="K412" s="22"/>
      <c r="L412" s="22"/>
      <c r="M412" s="22"/>
      <c r="N412" s="27"/>
      <c r="O412" s="22"/>
      <c r="P412" s="5" t="str">
        <f>IF(A412="","",IF(COUNTIF(Типы,C412)=0,0,VLOOKUP(C412,СПРАВОЧНИКИ!$A$7:$E$22,2,FALSE)))</f>
        <v/>
      </c>
      <c r="Q412" s="25" t="str">
        <f t="shared" si="6"/>
        <v/>
      </c>
      <c r="R412" s="5" t="str">
        <f>IF(A412="","",IF(COUNTIF(Типы,C412)=0,"НЕИЗВЕСТНЫЙ ТИП",VLOOKUP(C412,СПРАВОЧНИКИ!$A$7:$E$22,3,FALSE)))</f>
        <v/>
      </c>
      <c r="S412" s="26" t="str">
        <f>IF(A412="","",IF(L412="Проведён",E412*IF(COUNTIF(Типы,C412)=0,0,VLOOKUP(C412,СПРАВОЧНИКИ!$A$7:$E$22,4,FALSE)),0))</f>
        <v/>
      </c>
      <c r="T412" s="26" t="str">
        <f>IF(A412="","",IF(L412="Проведён",E412*IF(COUNTIF(Типы,C412)=0,0,VLOOKUP(C412,СПРАВОЧНИКИ!$A$7:$E$22,5,FALSE)),0))</f>
        <v/>
      </c>
      <c r="U412" s="5" t="str">
        <f>IF(A412="","",IF(COUNTIF(Контрагенты,H412)=0,"Не задан",VLOOKUP(H412,СПРАВОЧНИКИ!$G$7:$H$66,2,FALSE)))</f>
        <v/>
      </c>
      <c r="V412" s="4" t="str">
        <f>IF(A412="",IF(COUNTA(B412:O412)&gt;0,"НЕТ ID",""),IF(OR(AND(OR(C412="Оплата клиента",C412="Возврат клиенту"),COUNTIFS(Docs[ID],J412,Docs[Тип долга],"ДЗ")&lt;&gt;1),AND(OR(C412="Оплата поставщику",C412="Возврат поставщика"),COUNTIFS(Docs[ID],J412,Docs[Тип долга],"КЗ",Docs[Вид],"&lt;&gt;Дивиденды")&lt;&gt;1),AND(C412="Дивиденды",COUNTIFS(Docs[ID],J412,Docs[Вид],"Дивиденды")&lt;&gt;1),AND(C412="Проценты",COUNTIFS(Docs[ID],J412,Docs[Вид],"Проценты")&lt;&gt;1),COUNTIF(Cash[ID],A412)&gt;1,NOT(ISNUMBER(B412)),B412&lt;НачалоУчета,YEAR(B412)&lt;&gt;Год,NOT(ISNUMBER(E412)),E412&lt;=0,N412&lt;0,COUNTIF(Типы,C412)&lt;&gt;1,COUNTIF(Категории,D412)&lt;&gt;1,COUNTIF(Счета,F412)&lt;&gt;1,COUNTIF(Проекты,I412)&lt;&gt;1,AND(H412&lt;&gt;"",COUNTIF(Контрагенты,H412)&lt;&gt;1),AND(C412="Перевод",OR(F412=G412,COUNTIF(Счета,G412)&lt;&gt;1)),AND(S412&lt;&gt;0,COUNTIF(Docs[ID],J412)&lt;&gt;1),AND(Форма="ООО",C412="Вывод ИП"),AND(Форма="ИП",C412="Дивиденды"),AND(L412&lt;&gt;"Проведён",L412&lt;&gt;"Черновик")),"ОШИБКА","ОК"))</f>
        <v/>
      </c>
      <c r="W412" s="25" t="str">
        <f>IF(A412="","",SUMIF(Accounts[Счёт],F412,Accounts[Начальный])+SUMIFS($Q$7:Q412,$F$7:F412,F412)+SUMIFS($E$7:E412,$G$7:G412,F412,$C$7:C412,"Перевод",$L$7:L412,"Проведён"))</f>
        <v/>
      </c>
    </row>
    <row r="413" spans="1:23" x14ac:dyDescent="0.25">
      <c r="A413" s="22"/>
      <c r="B413" s="23"/>
      <c r="C413" s="22"/>
      <c r="D413" s="22"/>
      <c r="E413" s="27"/>
      <c r="F413" s="22"/>
      <c r="G413" s="22"/>
      <c r="H413" s="22"/>
      <c r="I413" s="22"/>
      <c r="J413" s="22"/>
      <c r="K413" s="22"/>
      <c r="L413" s="22"/>
      <c r="M413" s="22"/>
      <c r="N413" s="27"/>
      <c r="O413" s="22"/>
      <c r="P413" s="5" t="str">
        <f>IF(A413="","",IF(COUNTIF(Типы,C413)=0,0,VLOOKUP(C413,СПРАВОЧНИКИ!$A$7:$E$22,2,FALSE)))</f>
        <v/>
      </c>
      <c r="Q413" s="25" t="str">
        <f t="shared" si="6"/>
        <v/>
      </c>
      <c r="R413" s="5" t="str">
        <f>IF(A413="","",IF(COUNTIF(Типы,C413)=0,"НЕИЗВЕСТНЫЙ ТИП",VLOOKUP(C413,СПРАВОЧНИКИ!$A$7:$E$22,3,FALSE)))</f>
        <v/>
      </c>
      <c r="S413" s="26" t="str">
        <f>IF(A413="","",IF(L413="Проведён",E413*IF(COUNTIF(Типы,C413)=0,0,VLOOKUP(C413,СПРАВОЧНИКИ!$A$7:$E$22,4,FALSE)),0))</f>
        <v/>
      </c>
      <c r="T413" s="26" t="str">
        <f>IF(A413="","",IF(L413="Проведён",E413*IF(COUNTIF(Типы,C413)=0,0,VLOOKUP(C413,СПРАВОЧНИКИ!$A$7:$E$22,5,FALSE)),0))</f>
        <v/>
      </c>
      <c r="U413" s="5" t="str">
        <f>IF(A413="","",IF(COUNTIF(Контрагенты,H413)=0,"Не задан",VLOOKUP(H413,СПРАВОЧНИКИ!$G$7:$H$66,2,FALSE)))</f>
        <v/>
      </c>
      <c r="V413" s="4" t="str">
        <f>IF(A413="",IF(COUNTA(B413:O413)&gt;0,"НЕТ ID",""),IF(OR(AND(OR(C413="Оплата клиента",C413="Возврат клиенту"),COUNTIFS(Docs[ID],J413,Docs[Тип долга],"ДЗ")&lt;&gt;1),AND(OR(C413="Оплата поставщику",C413="Возврат поставщика"),COUNTIFS(Docs[ID],J413,Docs[Тип долга],"КЗ",Docs[Вид],"&lt;&gt;Дивиденды")&lt;&gt;1),AND(C413="Дивиденды",COUNTIFS(Docs[ID],J413,Docs[Вид],"Дивиденды")&lt;&gt;1),AND(C413="Проценты",COUNTIFS(Docs[ID],J413,Docs[Вид],"Проценты")&lt;&gt;1),COUNTIF(Cash[ID],A413)&gt;1,NOT(ISNUMBER(B413)),B413&lt;НачалоУчета,YEAR(B413)&lt;&gt;Год,NOT(ISNUMBER(E413)),E413&lt;=0,N413&lt;0,COUNTIF(Типы,C413)&lt;&gt;1,COUNTIF(Категории,D413)&lt;&gt;1,COUNTIF(Счета,F413)&lt;&gt;1,COUNTIF(Проекты,I413)&lt;&gt;1,AND(H413&lt;&gt;"",COUNTIF(Контрагенты,H413)&lt;&gt;1),AND(C413="Перевод",OR(F413=G413,COUNTIF(Счета,G413)&lt;&gt;1)),AND(S413&lt;&gt;0,COUNTIF(Docs[ID],J413)&lt;&gt;1),AND(Форма="ООО",C413="Вывод ИП"),AND(Форма="ИП",C413="Дивиденды"),AND(L413&lt;&gt;"Проведён",L413&lt;&gt;"Черновик")),"ОШИБКА","ОК"))</f>
        <v/>
      </c>
      <c r="W413" s="25" t="str">
        <f>IF(A413="","",SUMIF(Accounts[Счёт],F413,Accounts[Начальный])+SUMIFS($Q$7:Q413,$F$7:F413,F413)+SUMIFS($E$7:E413,$G$7:G413,F413,$C$7:C413,"Перевод",$L$7:L413,"Проведён"))</f>
        <v/>
      </c>
    </row>
    <row r="414" spans="1:23" x14ac:dyDescent="0.25">
      <c r="A414" s="22"/>
      <c r="B414" s="23"/>
      <c r="C414" s="22"/>
      <c r="D414" s="22"/>
      <c r="E414" s="27"/>
      <c r="F414" s="22"/>
      <c r="G414" s="22"/>
      <c r="H414" s="22"/>
      <c r="I414" s="22"/>
      <c r="J414" s="22"/>
      <c r="K414" s="22"/>
      <c r="L414" s="22"/>
      <c r="M414" s="22"/>
      <c r="N414" s="27"/>
      <c r="O414" s="22"/>
      <c r="P414" s="5" t="str">
        <f>IF(A414="","",IF(COUNTIF(Типы,C414)=0,0,VLOOKUP(C414,СПРАВОЧНИКИ!$A$7:$E$22,2,FALSE)))</f>
        <v/>
      </c>
      <c r="Q414" s="25" t="str">
        <f t="shared" si="6"/>
        <v/>
      </c>
      <c r="R414" s="5" t="str">
        <f>IF(A414="","",IF(COUNTIF(Типы,C414)=0,"НЕИЗВЕСТНЫЙ ТИП",VLOOKUP(C414,СПРАВОЧНИКИ!$A$7:$E$22,3,FALSE)))</f>
        <v/>
      </c>
      <c r="S414" s="26" t="str">
        <f>IF(A414="","",IF(L414="Проведён",E414*IF(COUNTIF(Типы,C414)=0,0,VLOOKUP(C414,СПРАВОЧНИКИ!$A$7:$E$22,4,FALSE)),0))</f>
        <v/>
      </c>
      <c r="T414" s="26" t="str">
        <f>IF(A414="","",IF(L414="Проведён",E414*IF(COUNTIF(Типы,C414)=0,0,VLOOKUP(C414,СПРАВОЧНИКИ!$A$7:$E$22,5,FALSE)),0))</f>
        <v/>
      </c>
      <c r="U414" s="5" t="str">
        <f>IF(A414="","",IF(COUNTIF(Контрагенты,H414)=0,"Не задан",VLOOKUP(H414,СПРАВОЧНИКИ!$G$7:$H$66,2,FALSE)))</f>
        <v/>
      </c>
      <c r="V414" s="4" t="str">
        <f>IF(A414="",IF(COUNTA(B414:O414)&gt;0,"НЕТ ID",""),IF(OR(AND(OR(C414="Оплата клиента",C414="Возврат клиенту"),COUNTIFS(Docs[ID],J414,Docs[Тип долга],"ДЗ")&lt;&gt;1),AND(OR(C414="Оплата поставщику",C414="Возврат поставщика"),COUNTIFS(Docs[ID],J414,Docs[Тип долга],"КЗ",Docs[Вид],"&lt;&gt;Дивиденды")&lt;&gt;1),AND(C414="Дивиденды",COUNTIFS(Docs[ID],J414,Docs[Вид],"Дивиденды")&lt;&gt;1),AND(C414="Проценты",COUNTIFS(Docs[ID],J414,Docs[Вид],"Проценты")&lt;&gt;1),COUNTIF(Cash[ID],A414)&gt;1,NOT(ISNUMBER(B414)),B414&lt;НачалоУчета,YEAR(B414)&lt;&gt;Год,NOT(ISNUMBER(E414)),E414&lt;=0,N414&lt;0,COUNTIF(Типы,C414)&lt;&gt;1,COUNTIF(Категории,D414)&lt;&gt;1,COUNTIF(Счета,F414)&lt;&gt;1,COUNTIF(Проекты,I414)&lt;&gt;1,AND(H414&lt;&gt;"",COUNTIF(Контрагенты,H414)&lt;&gt;1),AND(C414="Перевод",OR(F414=G414,COUNTIF(Счета,G414)&lt;&gt;1)),AND(S414&lt;&gt;0,COUNTIF(Docs[ID],J414)&lt;&gt;1),AND(Форма="ООО",C414="Вывод ИП"),AND(Форма="ИП",C414="Дивиденды"),AND(L414&lt;&gt;"Проведён",L414&lt;&gt;"Черновик")),"ОШИБКА","ОК"))</f>
        <v/>
      </c>
      <c r="W414" s="25" t="str">
        <f>IF(A414="","",SUMIF(Accounts[Счёт],F414,Accounts[Начальный])+SUMIFS($Q$7:Q414,$F$7:F414,F414)+SUMIFS($E$7:E414,$G$7:G414,F414,$C$7:C414,"Перевод",$L$7:L414,"Проведён"))</f>
        <v/>
      </c>
    </row>
    <row r="415" spans="1:23" x14ac:dyDescent="0.25">
      <c r="A415" s="22"/>
      <c r="B415" s="23"/>
      <c r="C415" s="22"/>
      <c r="D415" s="22"/>
      <c r="E415" s="27"/>
      <c r="F415" s="22"/>
      <c r="G415" s="22"/>
      <c r="H415" s="22"/>
      <c r="I415" s="22"/>
      <c r="J415" s="22"/>
      <c r="K415" s="22"/>
      <c r="L415" s="22"/>
      <c r="M415" s="22"/>
      <c r="N415" s="27"/>
      <c r="O415" s="22"/>
      <c r="P415" s="5" t="str">
        <f>IF(A415="","",IF(COUNTIF(Типы,C415)=0,0,VLOOKUP(C415,СПРАВОЧНИКИ!$A$7:$E$22,2,FALSE)))</f>
        <v/>
      </c>
      <c r="Q415" s="25" t="str">
        <f t="shared" si="6"/>
        <v/>
      </c>
      <c r="R415" s="5" t="str">
        <f>IF(A415="","",IF(COUNTIF(Типы,C415)=0,"НЕИЗВЕСТНЫЙ ТИП",VLOOKUP(C415,СПРАВОЧНИКИ!$A$7:$E$22,3,FALSE)))</f>
        <v/>
      </c>
      <c r="S415" s="26" t="str">
        <f>IF(A415="","",IF(L415="Проведён",E415*IF(COUNTIF(Типы,C415)=0,0,VLOOKUP(C415,СПРАВОЧНИКИ!$A$7:$E$22,4,FALSE)),0))</f>
        <v/>
      </c>
      <c r="T415" s="26" t="str">
        <f>IF(A415="","",IF(L415="Проведён",E415*IF(COUNTIF(Типы,C415)=0,0,VLOOKUP(C415,СПРАВОЧНИКИ!$A$7:$E$22,5,FALSE)),0))</f>
        <v/>
      </c>
      <c r="U415" s="5" t="str">
        <f>IF(A415="","",IF(COUNTIF(Контрагенты,H415)=0,"Не задан",VLOOKUP(H415,СПРАВОЧНИКИ!$G$7:$H$66,2,FALSE)))</f>
        <v/>
      </c>
      <c r="V415" s="4" t="str">
        <f>IF(A415="",IF(COUNTA(B415:O415)&gt;0,"НЕТ ID",""),IF(OR(AND(OR(C415="Оплата клиента",C415="Возврат клиенту"),COUNTIFS(Docs[ID],J415,Docs[Тип долга],"ДЗ")&lt;&gt;1),AND(OR(C415="Оплата поставщику",C415="Возврат поставщика"),COUNTIFS(Docs[ID],J415,Docs[Тип долга],"КЗ",Docs[Вид],"&lt;&gt;Дивиденды")&lt;&gt;1),AND(C415="Дивиденды",COUNTIFS(Docs[ID],J415,Docs[Вид],"Дивиденды")&lt;&gt;1),AND(C415="Проценты",COUNTIFS(Docs[ID],J415,Docs[Вид],"Проценты")&lt;&gt;1),COUNTIF(Cash[ID],A415)&gt;1,NOT(ISNUMBER(B415)),B415&lt;НачалоУчета,YEAR(B415)&lt;&gt;Год,NOT(ISNUMBER(E415)),E415&lt;=0,N415&lt;0,COUNTIF(Типы,C415)&lt;&gt;1,COUNTIF(Категории,D415)&lt;&gt;1,COUNTIF(Счета,F415)&lt;&gt;1,COUNTIF(Проекты,I415)&lt;&gt;1,AND(H415&lt;&gt;"",COUNTIF(Контрагенты,H415)&lt;&gt;1),AND(C415="Перевод",OR(F415=G415,COUNTIF(Счета,G415)&lt;&gt;1)),AND(S415&lt;&gt;0,COUNTIF(Docs[ID],J415)&lt;&gt;1),AND(Форма="ООО",C415="Вывод ИП"),AND(Форма="ИП",C415="Дивиденды"),AND(L415&lt;&gt;"Проведён",L415&lt;&gt;"Черновик")),"ОШИБКА","ОК"))</f>
        <v/>
      </c>
      <c r="W415" s="25" t="str">
        <f>IF(A415="","",SUMIF(Accounts[Счёт],F415,Accounts[Начальный])+SUMIFS($Q$7:Q415,$F$7:F415,F415)+SUMIFS($E$7:E415,$G$7:G415,F415,$C$7:C415,"Перевод",$L$7:L415,"Проведён"))</f>
        <v/>
      </c>
    </row>
    <row r="416" spans="1:23" x14ac:dyDescent="0.25">
      <c r="A416" s="22"/>
      <c r="B416" s="23"/>
      <c r="C416" s="22"/>
      <c r="D416" s="22"/>
      <c r="E416" s="27"/>
      <c r="F416" s="22"/>
      <c r="G416" s="22"/>
      <c r="H416" s="22"/>
      <c r="I416" s="22"/>
      <c r="J416" s="22"/>
      <c r="K416" s="22"/>
      <c r="L416" s="22"/>
      <c r="M416" s="22"/>
      <c r="N416" s="27"/>
      <c r="O416" s="22"/>
      <c r="P416" s="5" t="str">
        <f>IF(A416="","",IF(COUNTIF(Типы,C416)=0,0,VLOOKUP(C416,СПРАВОЧНИКИ!$A$7:$E$22,2,FALSE)))</f>
        <v/>
      </c>
      <c r="Q416" s="25" t="str">
        <f t="shared" si="6"/>
        <v/>
      </c>
      <c r="R416" s="5" t="str">
        <f>IF(A416="","",IF(COUNTIF(Типы,C416)=0,"НЕИЗВЕСТНЫЙ ТИП",VLOOKUP(C416,СПРАВОЧНИКИ!$A$7:$E$22,3,FALSE)))</f>
        <v/>
      </c>
      <c r="S416" s="26" t="str">
        <f>IF(A416="","",IF(L416="Проведён",E416*IF(COUNTIF(Типы,C416)=0,0,VLOOKUP(C416,СПРАВОЧНИКИ!$A$7:$E$22,4,FALSE)),0))</f>
        <v/>
      </c>
      <c r="T416" s="26" t="str">
        <f>IF(A416="","",IF(L416="Проведён",E416*IF(COUNTIF(Типы,C416)=0,0,VLOOKUP(C416,СПРАВОЧНИКИ!$A$7:$E$22,5,FALSE)),0))</f>
        <v/>
      </c>
      <c r="U416" s="5" t="str">
        <f>IF(A416="","",IF(COUNTIF(Контрагенты,H416)=0,"Не задан",VLOOKUP(H416,СПРАВОЧНИКИ!$G$7:$H$66,2,FALSE)))</f>
        <v/>
      </c>
      <c r="V416" s="4" t="str">
        <f>IF(A416="",IF(COUNTA(B416:O416)&gt;0,"НЕТ ID",""),IF(OR(AND(OR(C416="Оплата клиента",C416="Возврат клиенту"),COUNTIFS(Docs[ID],J416,Docs[Тип долга],"ДЗ")&lt;&gt;1),AND(OR(C416="Оплата поставщику",C416="Возврат поставщика"),COUNTIFS(Docs[ID],J416,Docs[Тип долга],"КЗ",Docs[Вид],"&lt;&gt;Дивиденды")&lt;&gt;1),AND(C416="Дивиденды",COUNTIFS(Docs[ID],J416,Docs[Вид],"Дивиденды")&lt;&gt;1),AND(C416="Проценты",COUNTIFS(Docs[ID],J416,Docs[Вид],"Проценты")&lt;&gt;1),COUNTIF(Cash[ID],A416)&gt;1,NOT(ISNUMBER(B416)),B416&lt;НачалоУчета,YEAR(B416)&lt;&gt;Год,NOT(ISNUMBER(E416)),E416&lt;=0,N416&lt;0,COUNTIF(Типы,C416)&lt;&gt;1,COUNTIF(Категории,D416)&lt;&gt;1,COUNTIF(Счета,F416)&lt;&gt;1,COUNTIF(Проекты,I416)&lt;&gt;1,AND(H416&lt;&gt;"",COUNTIF(Контрагенты,H416)&lt;&gt;1),AND(C416="Перевод",OR(F416=G416,COUNTIF(Счета,G416)&lt;&gt;1)),AND(S416&lt;&gt;0,COUNTIF(Docs[ID],J416)&lt;&gt;1),AND(Форма="ООО",C416="Вывод ИП"),AND(Форма="ИП",C416="Дивиденды"),AND(L416&lt;&gt;"Проведён",L416&lt;&gt;"Черновик")),"ОШИБКА","ОК"))</f>
        <v/>
      </c>
      <c r="W416" s="25" t="str">
        <f>IF(A416="","",SUMIF(Accounts[Счёт],F416,Accounts[Начальный])+SUMIFS($Q$7:Q416,$F$7:F416,F416)+SUMIFS($E$7:E416,$G$7:G416,F416,$C$7:C416,"Перевод",$L$7:L416,"Проведён"))</f>
        <v/>
      </c>
    </row>
    <row r="417" spans="1:23" x14ac:dyDescent="0.25">
      <c r="A417" s="22"/>
      <c r="B417" s="23"/>
      <c r="C417" s="22"/>
      <c r="D417" s="22"/>
      <c r="E417" s="27"/>
      <c r="F417" s="22"/>
      <c r="G417" s="22"/>
      <c r="H417" s="22"/>
      <c r="I417" s="22"/>
      <c r="J417" s="22"/>
      <c r="K417" s="22"/>
      <c r="L417" s="22"/>
      <c r="M417" s="22"/>
      <c r="N417" s="27"/>
      <c r="O417" s="22"/>
      <c r="P417" s="5" t="str">
        <f>IF(A417="","",IF(COUNTIF(Типы,C417)=0,0,VLOOKUP(C417,СПРАВОЧНИКИ!$A$7:$E$22,2,FALSE)))</f>
        <v/>
      </c>
      <c r="Q417" s="25" t="str">
        <f t="shared" si="6"/>
        <v/>
      </c>
      <c r="R417" s="5" t="str">
        <f>IF(A417="","",IF(COUNTIF(Типы,C417)=0,"НЕИЗВЕСТНЫЙ ТИП",VLOOKUP(C417,СПРАВОЧНИКИ!$A$7:$E$22,3,FALSE)))</f>
        <v/>
      </c>
      <c r="S417" s="26" t="str">
        <f>IF(A417="","",IF(L417="Проведён",E417*IF(COUNTIF(Типы,C417)=0,0,VLOOKUP(C417,СПРАВОЧНИКИ!$A$7:$E$22,4,FALSE)),0))</f>
        <v/>
      </c>
      <c r="T417" s="26" t="str">
        <f>IF(A417="","",IF(L417="Проведён",E417*IF(COUNTIF(Типы,C417)=0,0,VLOOKUP(C417,СПРАВОЧНИКИ!$A$7:$E$22,5,FALSE)),0))</f>
        <v/>
      </c>
      <c r="U417" s="5" t="str">
        <f>IF(A417="","",IF(COUNTIF(Контрагенты,H417)=0,"Не задан",VLOOKUP(H417,СПРАВОЧНИКИ!$G$7:$H$66,2,FALSE)))</f>
        <v/>
      </c>
      <c r="V417" s="4" t="str">
        <f>IF(A417="",IF(COUNTA(B417:O417)&gt;0,"НЕТ ID",""),IF(OR(AND(OR(C417="Оплата клиента",C417="Возврат клиенту"),COUNTIFS(Docs[ID],J417,Docs[Тип долга],"ДЗ")&lt;&gt;1),AND(OR(C417="Оплата поставщику",C417="Возврат поставщика"),COUNTIFS(Docs[ID],J417,Docs[Тип долга],"КЗ",Docs[Вид],"&lt;&gt;Дивиденды")&lt;&gt;1),AND(C417="Дивиденды",COUNTIFS(Docs[ID],J417,Docs[Вид],"Дивиденды")&lt;&gt;1),AND(C417="Проценты",COUNTIFS(Docs[ID],J417,Docs[Вид],"Проценты")&lt;&gt;1),COUNTIF(Cash[ID],A417)&gt;1,NOT(ISNUMBER(B417)),B417&lt;НачалоУчета,YEAR(B417)&lt;&gt;Год,NOT(ISNUMBER(E417)),E417&lt;=0,N417&lt;0,COUNTIF(Типы,C417)&lt;&gt;1,COUNTIF(Категории,D417)&lt;&gt;1,COUNTIF(Счета,F417)&lt;&gt;1,COUNTIF(Проекты,I417)&lt;&gt;1,AND(H417&lt;&gt;"",COUNTIF(Контрагенты,H417)&lt;&gt;1),AND(C417="Перевод",OR(F417=G417,COUNTIF(Счета,G417)&lt;&gt;1)),AND(S417&lt;&gt;0,COUNTIF(Docs[ID],J417)&lt;&gt;1),AND(Форма="ООО",C417="Вывод ИП"),AND(Форма="ИП",C417="Дивиденды"),AND(L417&lt;&gt;"Проведён",L417&lt;&gt;"Черновик")),"ОШИБКА","ОК"))</f>
        <v/>
      </c>
      <c r="W417" s="25" t="str">
        <f>IF(A417="","",SUMIF(Accounts[Счёт],F417,Accounts[Начальный])+SUMIFS($Q$7:Q417,$F$7:F417,F417)+SUMIFS($E$7:E417,$G$7:G417,F417,$C$7:C417,"Перевод",$L$7:L417,"Проведён"))</f>
        <v/>
      </c>
    </row>
    <row r="418" spans="1:23" x14ac:dyDescent="0.25">
      <c r="A418" s="22"/>
      <c r="B418" s="23"/>
      <c r="C418" s="22"/>
      <c r="D418" s="22"/>
      <c r="E418" s="27"/>
      <c r="F418" s="22"/>
      <c r="G418" s="22"/>
      <c r="H418" s="22"/>
      <c r="I418" s="22"/>
      <c r="J418" s="22"/>
      <c r="K418" s="22"/>
      <c r="L418" s="22"/>
      <c r="M418" s="22"/>
      <c r="N418" s="27"/>
      <c r="O418" s="22"/>
      <c r="P418" s="5" t="str">
        <f>IF(A418="","",IF(COUNTIF(Типы,C418)=0,0,VLOOKUP(C418,СПРАВОЧНИКИ!$A$7:$E$22,2,FALSE)))</f>
        <v/>
      </c>
      <c r="Q418" s="25" t="str">
        <f t="shared" si="6"/>
        <v/>
      </c>
      <c r="R418" s="5" t="str">
        <f>IF(A418="","",IF(COUNTIF(Типы,C418)=0,"НЕИЗВЕСТНЫЙ ТИП",VLOOKUP(C418,СПРАВОЧНИКИ!$A$7:$E$22,3,FALSE)))</f>
        <v/>
      </c>
      <c r="S418" s="26" t="str">
        <f>IF(A418="","",IF(L418="Проведён",E418*IF(COUNTIF(Типы,C418)=0,0,VLOOKUP(C418,СПРАВОЧНИКИ!$A$7:$E$22,4,FALSE)),0))</f>
        <v/>
      </c>
      <c r="T418" s="26" t="str">
        <f>IF(A418="","",IF(L418="Проведён",E418*IF(COUNTIF(Типы,C418)=0,0,VLOOKUP(C418,СПРАВОЧНИКИ!$A$7:$E$22,5,FALSE)),0))</f>
        <v/>
      </c>
      <c r="U418" s="5" t="str">
        <f>IF(A418="","",IF(COUNTIF(Контрагенты,H418)=0,"Не задан",VLOOKUP(H418,СПРАВОЧНИКИ!$G$7:$H$66,2,FALSE)))</f>
        <v/>
      </c>
      <c r="V418" s="4" t="str">
        <f>IF(A418="",IF(COUNTA(B418:O418)&gt;0,"НЕТ ID",""),IF(OR(AND(OR(C418="Оплата клиента",C418="Возврат клиенту"),COUNTIFS(Docs[ID],J418,Docs[Тип долга],"ДЗ")&lt;&gt;1),AND(OR(C418="Оплата поставщику",C418="Возврат поставщика"),COUNTIFS(Docs[ID],J418,Docs[Тип долга],"КЗ",Docs[Вид],"&lt;&gt;Дивиденды")&lt;&gt;1),AND(C418="Дивиденды",COUNTIFS(Docs[ID],J418,Docs[Вид],"Дивиденды")&lt;&gt;1),AND(C418="Проценты",COUNTIFS(Docs[ID],J418,Docs[Вид],"Проценты")&lt;&gt;1),COUNTIF(Cash[ID],A418)&gt;1,NOT(ISNUMBER(B418)),B418&lt;НачалоУчета,YEAR(B418)&lt;&gt;Год,NOT(ISNUMBER(E418)),E418&lt;=0,N418&lt;0,COUNTIF(Типы,C418)&lt;&gt;1,COUNTIF(Категории,D418)&lt;&gt;1,COUNTIF(Счета,F418)&lt;&gt;1,COUNTIF(Проекты,I418)&lt;&gt;1,AND(H418&lt;&gt;"",COUNTIF(Контрагенты,H418)&lt;&gt;1),AND(C418="Перевод",OR(F418=G418,COUNTIF(Счета,G418)&lt;&gt;1)),AND(S418&lt;&gt;0,COUNTIF(Docs[ID],J418)&lt;&gt;1),AND(Форма="ООО",C418="Вывод ИП"),AND(Форма="ИП",C418="Дивиденды"),AND(L418&lt;&gt;"Проведён",L418&lt;&gt;"Черновик")),"ОШИБКА","ОК"))</f>
        <v/>
      </c>
      <c r="W418" s="25" t="str">
        <f>IF(A418="","",SUMIF(Accounts[Счёт],F418,Accounts[Начальный])+SUMIFS($Q$7:Q418,$F$7:F418,F418)+SUMIFS($E$7:E418,$G$7:G418,F418,$C$7:C418,"Перевод",$L$7:L418,"Проведён"))</f>
        <v/>
      </c>
    </row>
    <row r="419" spans="1:23" x14ac:dyDescent="0.25">
      <c r="A419" s="22"/>
      <c r="B419" s="23"/>
      <c r="C419" s="22"/>
      <c r="D419" s="22"/>
      <c r="E419" s="27"/>
      <c r="F419" s="22"/>
      <c r="G419" s="22"/>
      <c r="H419" s="22"/>
      <c r="I419" s="22"/>
      <c r="J419" s="22"/>
      <c r="K419" s="22"/>
      <c r="L419" s="22"/>
      <c r="M419" s="22"/>
      <c r="N419" s="27"/>
      <c r="O419" s="22"/>
      <c r="P419" s="5" t="str">
        <f>IF(A419="","",IF(COUNTIF(Типы,C419)=0,0,VLOOKUP(C419,СПРАВОЧНИКИ!$A$7:$E$22,2,FALSE)))</f>
        <v/>
      </c>
      <c r="Q419" s="25" t="str">
        <f t="shared" si="6"/>
        <v/>
      </c>
      <c r="R419" s="5" t="str">
        <f>IF(A419="","",IF(COUNTIF(Типы,C419)=0,"НЕИЗВЕСТНЫЙ ТИП",VLOOKUP(C419,СПРАВОЧНИКИ!$A$7:$E$22,3,FALSE)))</f>
        <v/>
      </c>
      <c r="S419" s="26" t="str">
        <f>IF(A419="","",IF(L419="Проведён",E419*IF(COUNTIF(Типы,C419)=0,0,VLOOKUP(C419,СПРАВОЧНИКИ!$A$7:$E$22,4,FALSE)),0))</f>
        <v/>
      </c>
      <c r="T419" s="26" t="str">
        <f>IF(A419="","",IF(L419="Проведён",E419*IF(COUNTIF(Типы,C419)=0,0,VLOOKUP(C419,СПРАВОЧНИКИ!$A$7:$E$22,5,FALSE)),0))</f>
        <v/>
      </c>
      <c r="U419" s="5" t="str">
        <f>IF(A419="","",IF(COUNTIF(Контрагенты,H419)=0,"Не задан",VLOOKUP(H419,СПРАВОЧНИКИ!$G$7:$H$66,2,FALSE)))</f>
        <v/>
      </c>
      <c r="V419" s="4" t="str">
        <f>IF(A419="",IF(COUNTA(B419:O419)&gt;0,"НЕТ ID",""),IF(OR(AND(OR(C419="Оплата клиента",C419="Возврат клиенту"),COUNTIFS(Docs[ID],J419,Docs[Тип долга],"ДЗ")&lt;&gt;1),AND(OR(C419="Оплата поставщику",C419="Возврат поставщика"),COUNTIFS(Docs[ID],J419,Docs[Тип долга],"КЗ",Docs[Вид],"&lt;&gt;Дивиденды")&lt;&gt;1),AND(C419="Дивиденды",COUNTIFS(Docs[ID],J419,Docs[Вид],"Дивиденды")&lt;&gt;1),AND(C419="Проценты",COUNTIFS(Docs[ID],J419,Docs[Вид],"Проценты")&lt;&gt;1),COUNTIF(Cash[ID],A419)&gt;1,NOT(ISNUMBER(B419)),B419&lt;НачалоУчета,YEAR(B419)&lt;&gt;Год,NOT(ISNUMBER(E419)),E419&lt;=0,N419&lt;0,COUNTIF(Типы,C419)&lt;&gt;1,COUNTIF(Категории,D419)&lt;&gt;1,COUNTIF(Счета,F419)&lt;&gt;1,COUNTIF(Проекты,I419)&lt;&gt;1,AND(H419&lt;&gt;"",COUNTIF(Контрагенты,H419)&lt;&gt;1),AND(C419="Перевод",OR(F419=G419,COUNTIF(Счета,G419)&lt;&gt;1)),AND(S419&lt;&gt;0,COUNTIF(Docs[ID],J419)&lt;&gt;1),AND(Форма="ООО",C419="Вывод ИП"),AND(Форма="ИП",C419="Дивиденды"),AND(L419&lt;&gt;"Проведён",L419&lt;&gt;"Черновик")),"ОШИБКА","ОК"))</f>
        <v/>
      </c>
      <c r="W419" s="25" t="str">
        <f>IF(A419="","",SUMIF(Accounts[Счёт],F419,Accounts[Начальный])+SUMIFS($Q$7:Q419,$F$7:F419,F419)+SUMIFS($E$7:E419,$G$7:G419,F419,$C$7:C419,"Перевод",$L$7:L419,"Проведён"))</f>
        <v/>
      </c>
    </row>
    <row r="420" spans="1:23" x14ac:dyDescent="0.25">
      <c r="A420" s="22"/>
      <c r="B420" s="23"/>
      <c r="C420" s="22"/>
      <c r="D420" s="22"/>
      <c r="E420" s="27"/>
      <c r="F420" s="22"/>
      <c r="G420" s="22"/>
      <c r="H420" s="22"/>
      <c r="I420" s="22"/>
      <c r="J420" s="22"/>
      <c r="K420" s="22"/>
      <c r="L420" s="22"/>
      <c r="M420" s="22"/>
      <c r="N420" s="27"/>
      <c r="O420" s="22"/>
      <c r="P420" s="5" t="str">
        <f>IF(A420="","",IF(COUNTIF(Типы,C420)=0,0,VLOOKUP(C420,СПРАВОЧНИКИ!$A$7:$E$22,2,FALSE)))</f>
        <v/>
      </c>
      <c r="Q420" s="25" t="str">
        <f t="shared" si="6"/>
        <v/>
      </c>
      <c r="R420" s="5" t="str">
        <f>IF(A420="","",IF(COUNTIF(Типы,C420)=0,"НЕИЗВЕСТНЫЙ ТИП",VLOOKUP(C420,СПРАВОЧНИКИ!$A$7:$E$22,3,FALSE)))</f>
        <v/>
      </c>
      <c r="S420" s="26" t="str">
        <f>IF(A420="","",IF(L420="Проведён",E420*IF(COUNTIF(Типы,C420)=0,0,VLOOKUP(C420,СПРАВОЧНИКИ!$A$7:$E$22,4,FALSE)),0))</f>
        <v/>
      </c>
      <c r="T420" s="26" t="str">
        <f>IF(A420="","",IF(L420="Проведён",E420*IF(COUNTIF(Типы,C420)=0,0,VLOOKUP(C420,СПРАВОЧНИКИ!$A$7:$E$22,5,FALSE)),0))</f>
        <v/>
      </c>
      <c r="U420" s="5" t="str">
        <f>IF(A420="","",IF(COUNTIF(Контрагенты,H420)=0,"Не задан",VLOOKUP(H420,СПРАВОЧНИКИ!$G$7:$H$66,2,FALSE)))</f>
        <v/>
      </c>
      <c r="V420" s="4" t="str">
        <f>IF(A420="",IF(COUNTA(B420:O420)&gt;0,"НЕТ ID",""),IF(OR(AND(OR(C420="Оплата клиента",C420="Возврат клиенту"),COUNTIFS(Docs[ID],J420,Docs[Тип долга],"ДЗ")&lt;&gt;1),AND(OR(C420="Оплата поставщику",C420="Возврат поставщика"),COUNTIFS(Docs[ID],J420,Docs[Тип долга],"КЗ",Docs[Вид],"&lt;&gt;Дивиденды")&lt;&gt;1),AND(C420="Дивиденды",COUNTIFS(Docs[ID],J420,Docs[Вид],"Дивиденды")&lt;&gt;1),AND(C420="Проценты",COUNTIFS(Docs[ID],J420,Docs[Вид],"Проценты")&lt;&gt;1),COUNTIF(Cash[ID],A420)&gt;1,NOT(ISNUMBER(B420)),B420&lt;НачалоУчета,YEAR(B420)&lt;&gt;Год,NOT(ISNUMBER(E420)),E420&lt;=0,N420&lt;0,COUNTIF(Типы,C420)&lt;&gt;1,COUNTIF(Категории,D420)&lt;&gt;1,COUNTIF(Счета,F420)&lt;&gt;1,COUNTIF(Проекты,I420)&lt;&gt;1,AND(H420&lt;&gt;"",COUNTIF(Контрагенты,H420)&lt;&gt;1),AND(C420="Перевод",OR(F420=G420,COUNTIF(Счета,G420)&lt;&gt;1)),AND(S420&lt;&gt;0,COUNTIF(Docs[ID],J420)&lt;&gt;1),AND(Форма="ООО",C420="Вывод ИП"),AND(Форма="ИП",C420="Дивиденды"),AND(L420&lt;&gt;"Проведён",L420&lt;&gt;"Черновик")),"ОШИБКА","ОК"))</f>
        <v/>
      </c>
      <c r="W420" s="25" t="str">
        <f>IF(A420="","",SUMIF(Accounts[Счёт],F420,Accounts[Начальный])+SUMIFS($Q$7:Q420,$F$7:F420,F420)+SUMIFS($E$7:E420,$G$7:G420,F420,$C$7:C420,"Перевод",$L$7:L420,"Проведён"))</f>
        <v/>
      </c>
    </row>
    <row r="421" spans="1:23" x14ac:dyDescent="0.25">
      <c r="A421" s="22"/>
      <c r="B421" s="23"/>
      <c r="C421" s="22"/>
      <c r="D421" s="22"/>
      <c r="E421" s="27"/>
      <c r="F421" s="22"/>
      <c r="G421" s="22"/>
      <c r="H421" s="22"/>
      <c r="I421" s="22"/>
      <c r="J421" s="22"/>
      <c r="K421" s="22"/>
      <c r="L421" s="22"/>
      <c r="M421" s="22"/>
      <c r="N421" s="27"/>
      <c r="O421" s="22"/>
      <c r="P421" s="5" t="str">
        <f>IF(A421="","",IF(COUNTIF(Типы,C421)=0,0,VLOOKUP(C421,СПРАВОЧНИКИ!$A$7:$E$22,2,FALSE)))</f>
        <v/>
      </c>
      <c r="Q421" s="25" t="str">
        <f t="shared" si="6"/>
        <v/>
      </c>
      <c r="R421" s="5" t="str">
        <f>IF(A421="","",IF(COUNTIF(Типы,C421)=0,"НЕИЗВЕСТНЫЙ ТИП",VLOOKUP(C421,СПРАВОЧНИКИ!$A$7:$E$22,3,FALSE)))</f>
        <v/>
      </c>
      <c r="S421" s="26" t="str">
        <f>IF(A421="","",IF(L421="Проведён",E421*IF(COUNTIF(Типы,C421)=0,0,VLOOKUP(C421,СПРАВОЧНИКИ!$A$7:$E$22,4,FALSE)),0))</f>
        <v/>
      </c>
      <c r="T421" s="26" t="str">
        <f>IF(A421="","",IF(L421="Проведён",E421*IF(COUNTIF(Типы,C421)=0,0,VLOOKUP(C421,СПРАВОЧНИКИ!$A$7:$E$22,5,FALSE)),0))</f>
        <v/>
      </c>
      <c r="U421" s="5" t="str">
        <f>IF(A421="","",IF(COUNTIF(Контрагенты,H421)=0,"Не задан",VLOOKUP(H421,СПРАВОЧНИКИ!$G$7:$H$66,2,FALSE)))</f>
        <v/>
      </c>
      <c r="V421" s="4" t="str">
        <f>IF(A421="",IF(COUNTA(B421:O421)&gt;0,"НЕТ ID",""),IF(OR(AND(OR(C421="Оплата клиента",C421="Возврат клиенту"),COUNTIFS(Docs[ID],J421,Docs[Тип долга],"ДЗ")&lt;&gt;1),AND(OR(C421="Оплата поставщику",C421="Возврат поставщика"),COUNTIFS(Docs[ID],J421,Docs[Тип долга],"КЗ",Docs[Вид],"&lt;&gt;Дивиденды")&lt;&gt;1),AND(C421="Дивиденды",COUNTIFS(Docs[ID],J421,Docs[Вид],"Дивиденды")&lt;&gt;1),AND(C421="Проценты",COUNTIFS(Docs[ID],J421,Docs[Вид],"Проценты")&lt;&gt;1),COUNTIF(Cash[ID],A421)&gt;1,NOT(ISNUMBER(B421)),B421&lt;НачалоУчета,YEAR(B421)&lt;&gt;Год,NOT(ISNUMBER(E421)),E421&lt;=0,N421&lt;0,COUNTIF(Типы,C421)&lt;&gt;1,COUNTIF(Категории,D421)&lt;&gt;1,COUNTIF(Счета,F421)&lt;&gt;1,COUNTIF(Проекты,I421)&lt;&gt;1,AND(H421&lt;&gt;"",COUNTIF(Контрагенты,H421)&lt;&gt;1),AND(C421="Перевод",OR(F421=G421,COUNTIF(Счета,G421)&lt;&gt;1)),AND(S421&lt;&gt;0,COUNTIF(Docs[ID],J421)&lt;&gt;1),AND(Форма="ООО",C421="Вывод ИП"),AND(Форма="ИП",C421="Дивиденды"),AND(L421&lt;&gt;"Проведён",L421&lt;&gt;"Черновик")),"ОШИБКА","ОК"))</f>
        <v/>
      </c>
      <c r="W421" s="25" t="str">
        <f>IF(A421="","",SUMIF(Accounts[Счёт],F421,Accounts[Начальный])+SUMIFS($Q$7:Q421,$F$7:F421,F421)+SUMIFS($E$7:E421,$G$7:G421,F421,$C$7:C421,"Перевод",$L$7:L421,"Проведён"))</f>
        <v/>
      </c>
    </row>
    <row r="422" spans="1:23" x14ac:dyDescent="0.25">
      <c r="A422" s="22"/>
      <c r="B422" s="23"/>
      <c r="C422" s="22"/>
      <c r="D422" s="22"/>
      <c r="E422" s="27"/>
      <c r="F422" s="22"/>
      <c r="G422" s="22"/>
      <c r="H422" s="22"/>
      <c r="I422" s="22"/>
      <c r="J422" s="22"/>
      <c r="K422" s="22"/>
      <c r="L422" s="22"/>
      <c r="M422" s="22"/>
      <c r="N422" s="27"/>
      <c r="O422" s="22"/>
      <c r="P422" s="5" t="str">
        <f>IF(A422="","",IF(COUNTIF(Типы,C422)=0,0,VLOOKUP(C422,СПРАВОЧНИКИ!$A$7:$E$22,2,FALSE)))</f>
        <v/>
      </c>
      <c r="Q422" s="25" t="str">
        <f t="shared" si="6"/>
        <v/>
      </c>
      <c r="R422" s="5" t="str">
        <f>IF(A422="","",IF(COUNTIF(Типы,C422)=0,"НЕИЗВЕСТНЫЙ ТИП",VLOOKUP(C422,СПРАВОЧНИКИ!$A$7:$E$22,3,FALSE)))</f>
        <v/>
      </c>
      <c r="S422" s="26" t="str">
        <f>IF(A422="","",IF(L422="Проведён",E422*IF(COUNTIF(Типы,C422)=0,0,VLOOKUP(C422,СПРАВОЧНИКИ!$A$7:$E$22,4,FALSE)),0))</f>
        <v/>
      </c>
      <c r="T422" s="26" t="str">
        <f>IF(A422="","",IF(L422="Проведён",E422*IF(COUNTIF(Типы,C422)=0,0,VLOOKUP(C422,СПРАВОЧНИКИ!$A$7:$E$22,5,FALSE)),0))</f>
        <v/>
      </c>
      <c r="U422" s="5" t="str">
        <f>IF(A422="","",IF(COUNTIF(Контрагенты,H422)=0,"Не задан",VLOOKUP(H422,СПРАВОЧНИКИ!$G$7:$H$66,2,FALSE)))</f>
        <v/>
      </c>
      <c r="V422" s="4" t="str">
        <f>IF(A422="",IF(COUNTA(B422:O422)&gt;0,"НЕТ ID",""),IF(OR(AND(OR(C422="Оплата клиента",C422="Возврат клиенту"),COUNTIFS(Docs[ID],J422,Docs[Тип долга],"ДЗ")&lt;&gt;1),AND(OR(C422="Оплата поставщику",C422="Возврат поставщика"),COUNTIFS(Docs[ID],J422,Docs[Тип долга],"КЗ",Docs[Вид],"&lt;&gt;Дивиденды")&lt;&gt;1),AND(C422="Дивиденды",COUNTIFS(Docs[ID],J422,Docs[Вид],"Дивиденды")&lt;&gt;1),AND(C422="Проценты",COUNTIFS(Docs[ID],J422,Docs[Вид],"Проценты")&lt;&gt;1),COUNTIF(Cash[ID],A422)&gt;1,NOT(ISNUMBER(B422)),B422&lt;НачалоУчета,YEAR(B422)&lt;&gt;Год,NOT(ISNUMBER(E422)),E422&lt;=0,N422&lt;0,COUNTIF(Типы,C422)&lt;&gt;1,COUNTIF(Категории,D422)&lt;&gt;1,COUNTIF(Счета,F422)&lt;&gt;1,COUNTIF(Проекты,I422)&lt;&gt;1,AND(H422&lt;&gt;"",COUNTIF(Контрагенты,H422)&lt;&gt;1),AND(C422="Перевод",OR(F422=G422,COUNTIF(Счета,G422)&lt;&gt;1)),AND(S422&lt;&gt;0,COUNTIF(Docs[ID],J422)&lt;&gt;1),AND(Форма="ООО",C422="Вывод ИП"),AND(Форма="ИП",C422="Дивиденды"),AND(L422&lt;&gt;"Проведён",L422&lt;&gt;"Черновик")),"ОШИБКА","ОК"))</f>
        <v/>
      </c>
      <c r="W422" s="25" t="str">
        <f>IF(A422="","",SUMIF(Accounts[Счёт],F422,Accounts[Начальный])+SUMIFS($Q$7:Q422,$F$7:F422,F422)+SUMIFS($E$7:E422,$G$7:G422,F422,$C$7:C422,"Перевод",$L$7:L422,"Проведён"))</f>
        <v/>
      </c>
    </row>
    <row r="423" spans="1:23" x14ac:dyDescent="0.25">
      <c r="A423" s="22"/>
      <c r="B423" s="23"/>
      <c r="C423" s="22"/>
      <c r="D423" s="22"/>
      <c r="E423" s="27"/>
      <c r="F423" s="22"/>
      <c r="G423" s="22"/>
      <c r="H423" s="22"/>
      <c r="I423" s="22"/>
      <c r="J423" s="22"/>
      <c r="K423" s="22"/>
      <c r="L423" s="22"/>
      <c r="M423" s="22"/>
      <c r="N423" s="27"/>
      <c r="O423" s="22"/>
      <c r="P423" s="5" t="str">
        <f>IF(A423="","",IF(COUNTIF(Типы,C423)=0,0,VLOOKUP(C423,СПРАВОЧНИКИ!$A$7:$E$22,2,FALSE)))</f>
        <v/>
      </c>
      <c r="Q423" s="25" t="str">
        <f t="shared" si="6"/>
        <v/>
      </c>
      <c r="R423" s="5" t="str">
        <f>IF(A423="","",IF(COUNTIF(Типы,C423)=0,"НЕИЗВЕСТНЫЙ ТИП",VLOOKUP(C423,СПРАВОЧНИКИ!$A$7:$E$22,3,FALSE)))</f>
        <v/>
      </c>
      <c r="S423" s="26" t="str">
        <f>IF(A423="","",IF(L423="Проведён",E423*IF(COUNTIF(Типы,C423)=0,0,VLOOKUP(C423,СПРАВОЧНИКИ!$A$7:$E$22,4,FALSE)),0))</f>
        <v/>
      </c>
      <c r="T423" s="26" t="str">
        <f>IF(A423="","",IF(L423="Проведён",E423*IF(COUNTIF(Типы,C423)=0,0,VLOOKUP(C423,СПРАВОЧНИКИ!$A$7:$E$22,5,FALSE)),0))</f>
        <v/>
      </c>
      <c r="U423" s="5" t="str">
        <f>IF(A423="","",IF(COUNTIF(Контрагенты,H423)=0,"Не задан",VLOOKUP(H423,СПРАВОЧНИКИ!$G$7:$H$66,2,FALSE)))</f>
        <v/>
      </c>
      <c r="V423" s="4" t="str">
        <f>IF(A423="",IF(COUNTA(B423:O423)&gt;0,"НЕТ ID",""),IF(OR(AND(OR(C423="Оплата клиента",C423="Возврат клиенту"),COUNTIFS(Docs[ID],J423,Docs[Тип долга],"ДЗ")&lt;&gt;1),AND(OR(C423="Оплата поставщику",C423="Возврат поставщика"),COUNTIFS(Docs[ID],J423,Docs[Тип долга],"КЗ",Docs[Вид],"&lt;&gt;Дивиденды")&lt;&gt;1),AND(C423="Дивиденды",COUNTIFS(Docs[ID],J423,Docs[Вид],"Дивиденды")&lt;&gt;1),AND(C423="Проценты",COUNTIFS(Docs[ID],J423,Docs[Вид],"Проценты")&lt;&gt;1),COUNTIF(Cash[ID],A423)&gt;1,NOT(ISNUMBER(B423)),B423&lt;НачалоУчета,YEAR(B423)&lt;&gt;Год,NOT(ISNUMBER(E423)),E423&lt;=0,N423&lt;0,COUNTIF(Типы,C423)&lt;&gt;1,COUNTIF(Категории,D423)&lt;&gt;1,COUNTIF(Счета,F423)&lt;&gt;1,COUNTIF(Проекты,I423)&lt;&gt;1,AND(H423&lt;&gt;"",COUNTIF(Контрагенты,H423)&lt;&gt;1),AND(C423="Перевод",OR(F423=G423,COUNTIF(Счета,G423)&lt;&gt;1)),AND(S423&lt;&gt;0,COUNTIF(Docs[ID],J423)&lt;&gt;1),AND(Форма="ООО",C423="Вывод ИП"),AND(Форма="ИП",C423="Дивиденды"),AND(L423&lt;&gt;"Проведён",L423&lt;&gt;"Черновик")),"ОШИБКА","ОК"))</f>
        <v/>
      </c>
      <c r="W423" s="25" t="str">
        <f>IF(A423="","",SUMIF(Accounts[Счёт],F423,Accounts[Начальный])+SUMIFS($Q$7:Q423,$F$7:F423,F423)+SUMIFS($E$7:E423,$G$7:G423,F423,$C$7:C423,"Перевод",$L$7:L423,"Проведён"))</f>
        <v/>
      </c>
    </row>
    <row r="424" spans="1:23" x14ac:dyDescent="0.25">
      <c r="A424" s="22"/>
      <c r="B424" s="23"/>
      <c r="C424" s="22"/>
      <c r="D424" s="22"/>
      <c r="E424" s="27"/>
      <c r="F424" s="22"/>
      <c r="G424" s="22"/>
      <c r="H424" s="22"/>
      <c r="I424" s="22"/>
      <c r="J424" s="22"/>
      <c r="K424" s="22"/>
      <c r="L424" s="22"/>
      <c r="M424" s="22"/>
      <c r="N424" s="27"/>
      <c r="O424" s="22"/>
      <c r="P424" s="5" t="str">
        <f>IF(A424="","",IF(COUNTIF(Типы,C424)=0,0,VLOOKUP(C424,СПРАВОЧНИКИ!$A$7:$E$22,2,FALSE)))</f>
        <v/>
      </c>
      <c r="Q424" s="25" t="str">
        <f t="shared" si="6"/>
        <v/>
      </c>
      <c r="R424" s="5" t="str">
        <f>IF(A424="","",IF(COUNTIF(Типы,C424)=0,"НЕИЗВЕСТНЫЙ ТИП",VLOOKUP(C424,СПРАВОЧНИКИ!$A$7:$E$22,3,FALSE)))</f>
        <v/>
      </c>
      <c r="S424" s="26" t="str">
        <f>IF(A424="","",IF(L424="Проведён",E424*IF(COUNTIF(Типы,C424)=0,0,VLOOKUP(C424,СПРАВОЧНИКИ!$A$7:$E$22,4,FALSE)),0))</f>
        <v/>
      </c>
      <c r="T424" s="26" t="str">
        <f>IF(A424="","",IF(L424="Проведён",E424*IF(COUNTIF(Типы,C424)=0,0,VLOOKUP(C424,СПРАВОЧНИКИ!$A$7:$E$22,5,FALSE)),0))</f>
        <v/>
      </c>
      <c r="U424" s="5" t="str">
        <f>IF(A424="","",IF(COUNTIF(Контрагенты,H424)=0,"Не задан",VLOOKUP(H424,СПРАВОЧНИКИ!$G$7:$H$66,2,FALSE)))</f>
        <v/>
      </c>
      <c r="V424" s="4" t="str">
        <f>IF(A424="",IF(COUNTA(B424:O424)&gt;0,"НЕТ ID",""),IF(OR(AND(OR(C424="Оплата клиента",C424="Возврат клиенту"),COUNTIFS(Docs[ID],J424,Docs[Тип долга],"ДЗ")&lt;&gt;1),AND(OR(C424="Оплата поставщику",C424="Возврат поставщика"),COUNTIFS(Docs[ID],J424,Docs[Тип долга],"КЗ",Docs[Вид],"&lt;&gt;Дивиденды")&lt;&gt;1),AND(C424="Дивиденды",COUNTIFS(Docs[ID],J424,Docs[Вид],"Дивиденды")&lt;&gt;1),AND(C424="Проценты",COUNTIFS(Docs[ID],J424,Docs[Вид],"Проценты")&lt;&gt;1),COUNTIF(Cash[ID],A424)&gt;1,NOT(ISNUMBER(B424)),B424&lt;НачалоУчета,YEAR(B424)&lt;&gt;Год,NOT(ISNUMBER(E424)),E424&lt;=0,N424&lt;0,COUNTIF(Типы,C424)&lt;&gt;1,COUNTIF(Категории,D424)&lt;&gt;1,COUNTIF(Счета,F424)&lt;&gt;1,COUNTIF(Проекты,I424)&lt;&gt;1,AND(H424&lt;&gt;"",COUNTIF(Контрагенты,H424)&lt;&gt;1),AND(C424="Перевод",OR(F424=G424,COUNTIF(Счета,G424)&lt;&gt;1)),AND(S424&lt;&gt;0,COUNTIF(Docs[ID],J424)&lt;&gt;1),AND(Форма="ООО",C424="Вывод ИП"),AND(Форма="ИП",C424="Дивиденды"),AND(L424&lt;&gt;"Проведён",L424&lt;&gt;"Черновик")),"ОШИБКА","ОК"))</f>
        <v/>
      </c>
      <c r="W424" s="25" t="str">
        <f>IF(A424="","",SUMIF(Accounts[Счёт],F424,Accounts[Начальный])+SUMIFS($Q$7:Q424,$F$7:F424,F424)+SUMIFS($E$7:E424,$G$7:G424,F424,$C$7:C424,"Перевод",$L$7:L424,"Проведён"))</f>
        <v/>
      </c>
    </row>
    <row r="425" spans="1:23" x14ac:dyDescent="0.25">
      <c r="A425" s="22"/>
      <c r="B425" s="23"/>
      <c r="C425" s="22"/>
      <c r="D425" s="22"/>
      <c r="E425" s="27"/>
      <c r="F425" s="22"/>
      <c r="G425" s="22"/>
      <c r="H425" s="22"/>
      <c r="I425" s="22"/>
      <c r="J425" s="22"/>
      <c r="K425" s="22"/>
      <c r="L425" s="22"/>
      <c r="M425" s="22"/>
      <c r="N425" s="27"/>
      <c r="O425" s="22"/>
      <c r="P425" s="5" t="str">
        <f>IF(A425="","",IF(COUNTIF(Типы,C425)=0,0,VLOOKUP(C425,СПРАВОЧНИКИ!$A$7:$E$22,2,FALSE)))</f>
        <v/>
      </c>
      <c r="Q425" s="25" t="str">
        <f t="shared" si="6"/>
        <v/>
      </c>
      <c r="R425" s="5" t="str">
        <f>IF(A425="","",IF(COUNTIF(Типы,C425)=0,"НЕИЗВЕСТНЫЙ ТИП",VLOOKUP(C425,СПРАВОЧНИКИ!$A$7:$E$22,3,FALSE)))</f>
        <v/>
      </c>
      <c r="S425" s="26" t="str">
        <f>IF(A425="","",IF(L425="Проведён",E425*IF(COUNTIF(Типы,C425)=0,0,VLOOKUP(C425,СПРАВОЧНИКИ!$A$7:$E$22,4,FALSE)),0))</f>
        <v/>
      </c>
      <c r="T425" s="26" t="str">
        <f>IF(A425="","",IF(L425="Проведён",E425*IF(COUNTIF(Типы,C425)=0,0,VLOOKUP(C425,СПРАВОЧНИКИ!$A$7:$E$22,5,FALSE)),0))</f>
        <v/>
      </c>
      <c r="U425" s="5" t="str">
        <f>IF(A425="","",IF(COUNTIF(Контрагенты,H425)=0,"Не задан",VLOOKUP(H425,СПРАВОЧНИКИ!$G$7:$H$66,2,FALSE)))</f>
        <v/>
      </c>
      <c r="V425" s="4" t="str">
        <f>IF(A425="",IF(COUNTA(B425:O425)&gt;0,"НЕТ ID",""),IF(OR(AND(OR(C425="Оплата клиента",C425="Возврат клиенту"),COUNTIFS(Docs[ID],J425,Docs[Тип долга],"ДЗ")&lt;&gt;1),AND(OR(C425="Оплата поставщику",C425="Возврат поставщика"),COUNTIFS(Docs[ID],J425,Docs[Тип долга],"КЗ",Docs[Вид],"&lt;&gt;Дивиденды")&lt;&gt;1),AND(C425="Дивиденды",COUNTIFS(Docs[ID],J425,Docs[Вид],"Дивиденды")&lt;&gt;1),AND(C425="Проценты",COUNTIFS(Docs[ID],J425,Docs[Вид],"Проценты")&lt;&gt;1),COUNTIF(Cash[ID],A425)&gt;1,NOT(ISNUMBER(B425)),B425&lt;НачалоУчета,YEAR(B425)&lt;&gt;Год,NOT(ISNUMBER(E425)),E425&lt;=0,N425&lt;0,COUNTIF(Типы,C425)&lt;&gt;1,COUNTIF(Категории,D425)&lt;&gt;1,COUNTIF(Счета,F425)&lt;&gt;1,COUNTIF(Проекты,I425)&lt;&gt;1,AND(H425&lt;&gt;"",COUNTIF(Контрагенты,H425)&lt;&gt;1),AND(C425="Перевод",OR(F425=G425,COUNTIF(Счета,G425)&lt;&gt;1)),AND(S425&lt;&gt;0,COUNTIF(Docs[ID],J425)&lt;&gt;1),AND(Форма="ООО",C425="Вывод ИП"),AND(Форма="ИП",C425="Дивиденды"),AND(L425&lt;&gt;"Проведён",L425&lt;&gt;"Черновик")),"ОШИБКА","ОК"))</f>
        <v/>
      </c>
      <c r="W425" s="25" t="str">
        <f>IF(A425="","",SUMIF(Accounts[Счёт],F425,Accounts[Начальный])+SUMIFS($Q$7:Q425,$F$7:F425,F425)+SUMIFS($E$7:E425,$G$7:G425,F425,$C$7:C425,"Перевод",$L$7:L425,"Проведён"))</f>
        <v/>
      </c>
    </row>
    <row r="426" spans="1:23" x14ac:dyDescent="0.25">
      <c r="A426" s="22"/>
      <c r="B426" s="23"/>
      <c r="C426" s="22"/>
      <c r="D426" s="22"/>
      <c r="E426" s="27"/>
      <c r="F426" s="22"/>
      <c r="G426" s="22"/>
      <c r="H426" s="22"/>
      <c r="I426" s="22"/>
      <c r="J426" s="22"/>
      <c r="K426" s="22"/>
      <c r="L426" s="22"/>
      <c r="M426" s="22"/>
      <c r="N426" s="27"/>
      <c r="O426" s="22"/>
      <c r="P426" s="5" t="str">
        <f>IF(A426="","",IF(COUNTIF(Типы,C426)=0,0,VLOOKUP(C426,СПРАВОЧНИКИ!$A$7:$E$22,2,FALSE)))</f>
        <v/>
      </c>
      <c r="Q426" s="25" t="str">
        <f t="shared" si="6"/>
        <v/>
      </c>
      <c r="R426" s="5" t="str">
        <f>IF(A426="","",IF(COUNTIF(Типы,C426)=0,"НЕИЗВЕСТНЫЙ ТИП",VLOOKUP(C426,СПРАВОЧНИКИ!$A$7:$E$22,3,FALSE)))</f>
        <v/>
      </c>
      <c r="S426" s="26" t="str">
        <f>IF(A426="","",IF(L426="Проведён",E426*IF(COUNTIF(Типы,C426)=0,0,VLOOKUP(C426,СПРАВОЧНИКИ!$A$7:$E$22,4,FALSE)),0))</f>
        <v/>
      </c>
      <c r="T426" s="26" t="str">
        <f>IF(A426="","",IF(L426="Проведён",E426*IF(COUNTIF(Типы,C426)=0,0,VLOOKUP(C426,СПРАВОЧНИКИ!$A$7:$E$22,5,FALSE)),0))</f>
        <v/>
      </c>
      <c r="U426" s="5" t="str">
        <f>IF(A426="","",IF(COUNTIF(Контрагенты,H426)=0,"Не задан",VLOOKUP(H426,СПРАВОЧНИКИ!$G$7:$H$66,2,FALSE)))</f>
        <v/>
      </c>
      <c r="V426" s="4" t="str">
        <f>IF(A426="",IF(COUNTA(B426:O426)&gt;0,"НЕТ ID",""),IF(OR(AND(OR(C426="Оплата клиента",C426="Возврат клиенту"),COUNTIFS(Docs[ID],J426,Docs[Тип долга],"ДЗ")&lt;&gt;1),AND(OR(C426="Оплата поставщику",C426="Возврат поставщика"),COUNTIFS(Docs[ID],J426,Docs[Тип долга],"КЗ",Docs[Вид],"&lt;&gt;Дивиденды")&lt;&gt;1),AND(C426="Дивиденды",COUNTIFS(Docs[ID],J426,Docs[Вид],"Дивиденды")&lt;&gt;1),AND(C426="Проценты",COUNTIFS(Docs[ID],J426,Docs[Вид],"Проценты")&lt;&gt;1),COUNTIF(Cash[ID],A426)&gt;1,NOT(ISNUMBER(B426)),B426&lt;НачалоУчета,YEAR(B426)&lt;&gt;Год,NOT(ISNUMBER(E426)),E426&lt;=0,N426&lt;0,COUNTIF(Типы,C426)&lt;&gt;1,COUNTIF(Категории,D426)&lt;&gt;1,COUNTIF(Счета,F426)&lt;&gt;1,COUNTIF(Проекты,I426)&lt;&gt;1,AND(H426&lt;&gt;"",COUNTIF(Контрагенты,H426)&lt;&gt;1),AND(C426="Перевод",OR(F426=G426,COUNTIF(Счета,G426)&lt;&gt;1)),AND(S426&lt;&gt;0,COUNTIF(Docs[ID],J426)&lt;&gt;1),AND(Форма="ООО",C426="Вывод ИП"),AND(Форма="ИП",C426="Дивиденды"),AND(L426&lt;&gt;"Проведён",L426&lt;&gt;"Черновик")),"ОШИБКА","ОК"))</f>
        <v/>
      </c>
      <c r="W426" s="25" t="str">
        <f>IF(A426="","",SUMIF(Accounts[Счёт],F426,Accounts[Начальный])+SUMIFS($Q$7:Q426,$F$7:F426,F426)+SUMIFS($E$7:E426,$G$7:G426,F426,$C$7:C426,"Перевод",$L$7:L426,"Проведён"))</f>
        <v/>
      </c>
    </row>
    <row r="427" spans="1:23" x14ac:dyDescent="0.25">
      <c r="A427" s="22"/>
      <c r="B427" s="23"/>
      <c r="C427" s="22"/>
      <c r="D427" s="22"/>
      <c r="E427" s="27"/>
      <c r="F427" s="22"/>
      <c r="G427" s="22"/>
      <c r="H427" s="22"/>
      <c r="I427" s="22"/>
      <c r="J427" s="22"/>
      <c r="K427" s="22"/>
      <c r="L427" s="22"/>
      <c r="M427" s="22"/>
      <c r="N427" s="27"/>
      <c r="O427" s="22"/>
      <c r="P427" s="5" t="str">
        <f>IF(A427="","",IF(COUNTIF(Типы,C427)=0,0,VLOOKUP(C427,СПРАВОЧНИКИ!$A$7:$E$22,2,FALSE)))</f>
        <v/>
      </c>
      <c r="Q427" s="25" t="str">
        <f t="shared" si="6"/>
        <v/>
      </c>
      <c r="R427" s="5" t="str">
        <f>IF(A427="","",IF(COUNTIF(Типы,C427)=0,"НЕИЗВЕСТНЫЙ ТИП",VLOOKUP(C427,СПРАВОЧНИКИ!$A$7:$E$22,3,FALSE)))</f>
        <v/>
      </c>
      <c r="S427" s="26" t="str">
        <f>IF(A427="","",IF(L427="Проведён",E427*IF(COUNTIF(Типы,C427)=0,0,VLOOKUP(C427,СПРАВОЧНИКИ!$A$7:$E$22,4,FALSE)),0))</f>
        <v/>
      </c>
      <c r="T427" s="26" t="str">
        <f>IF(A427="","",IF(L427="Проведён",E427*IF(COUNTIF(Типы,C427)=0,0,VLOOKUP(C427,СПРАВОЧНИКИ!$A$7:$E$22,5,FALSE)),0))</f>
        <v/>
      </c>
      <c r="U427" s="5" t="str">
        <f>IF(A427="","",IF(COUNTIF(Контрагенты,H427)=0,"Не задан",VLOOKUP(H427,СПРАВОЧНИКИ!$G$7:$H$66,2,FALSE)))</f>
        <v/>
      </c>
      <c r="V427" s="4" t="str">
        <f>IF(A427="",IF(COUNTA(B427:O427)&gt;0,"НЕТ ID",""),IF(OR(AND(OR(C427="Оплата клиента",C427="Возврат клиенту"),COUNTIFS(Docs[ID],J427,Docs[Тип долга],"ДЗ")&lt;&gt;1),AND(OR(C427="Оплата поставщику",C427="Возврат поставщика"),COUNTIFS(Docs[ID],J427,Docs[Тип долга],"КЗ",Docs[Вид],"&lt;&gt;Дивиденды")&lt;&gt;1),AND(C427="Дивиденды",COUNTIFS(Docs[ID],J427,Docs[Вид],"Дивиденды")&lt;&gt;1),AND(C427="Проценты",COUNTIFS(Docs[ID],J427,Docs[Вид],"Проценты")&lt;&gt;1),COUNTIF(Cash[ID],A427)&gt;1,NOT(ISNUMBER(B427)),B427&lt;НачалоУчета,YEAR(B427)&lt;&gt;Год,NOT(ISNUMBER(E427)),E427&lt;=0,N427&lt;0,COUNTIF(Типы,C427)&lt;&gt;1,COUNTIF(Категории,D427)&lt;&gt;1,COUNTIF(Счета,F427)&lt;&gt;1,COUNTIF(Проекты,I427)&lt;&gt;1,AND(H427&lt;&gt;"",COUNTIF(Контрагенты,H427)&lt;&gt;1),AND(C427="Перевод",OR(F427=G427,COUNTIF(Счета,G427)&lt;&gt;1)),AND(S427&lt;&gt;0,COUNTIF(Docs[ID],J427)&lt;&gt;1),AND(Форма="ООО",C427="Вывод ИП"),AND(Форма="ИП",C427="Дивиденды"),AND(L427&lt;&gt;"Проведён",L427&lt;&gt;"Черновик")),"ОШИБКА","ОК"))</f>
        <v/>
      </c>
      <c r="W427" s="25" t="str">
        <f>IF(A427="","",SUMIF(Accounts[Счёт],F427,Accounts[Начальный])+SUMIFS($Q$7:Q427,$F$7:F427,F427)+SUMIFS($E$7:E427,$G$7:G427,F427,$C$7:C427,"Перевод",$L$7:L427,"Проведён"))</f>
        <v/>
      </c>
    </row>
    <row r="428" spans="1:23" x14ac:dyDescent="0.25">
      <c r="A428" s="22"/>
      <c r="B428" s="23"/>
      <c r="C428" s="22"/>
      <c r="D428" s="22"/>
      <c r="E428" s="27"/>
      <c r="F428" s="22"/>
      <c r="G428" s="22"/>
      <c r="H428" s="22"/>
      <c r="I428" s="22"/>
      <c r="J428" s="22"/>
      <c r="K428" s="22"/>
      <c r="L428" s="22"/>
      <c r="M428" s="22"/>
      <c r="N428" s="27"/>
      <c r="O428" s="22"/>
      <c r="P428" s="5" t="str">
        <f>IF(A428="","",IF(COUNTIF(Типы,C428)=0,0,VLOOKUP(C428,СПРАВОЧНИКИ!$A$7:$E$22,2,FALSE)))</f>
        <v/>
      </c>
      <c r="Q428" s="25" t="str">
        <f t="shared" si="6"/>
        <v/>
      </c>
      <c r="R428" s="5" t="str">
        <f>IF(A428="","",IF(COUNTIF(Типы,C428)=0,"НЕИЗВЕСТНЫЙ ТИП",VLOOKUP(C428,СПРАВОЧНИКИ!$A$7:$E$22,3,FALSE)))</f>
        <v/>
      </c>
      <c r="S428" s="26" t="str">
        <f>IF(A428="","",IF(L428="Проведён",E428*IF(COUNTIF(Типы,C428)=0,0,VLOOKUP(C428,СПРАВОЧНИКИ!$A$7:$E$22,4,FALSE)),0))</f>
        <v/>
      </c>
      <c r="T428" s="26" t="str">
        <f>IF(A428="","",IF(L428="Проведён",E428*IF(COUNTIF(Типы,C428)=0,0,VLOOKUP(C428,СПРАВОЧНИКИ!$A$7:$E$22,5,FALSE)),0))</f>
        <v/>
      </c>
      <c r="U428" s="5" t="str">
        <f>IF(A428="","",IF(COUNTIF(Контрагенты,H428)=0,"Не задан",VLOOKUP(H428,СПРАВОЧНИКИ!$G$7:$H$66,2,FALSE)))</f>
        <v/>
      </c>
      <c r="V428" s="4" t="str">
        <f>IF(A428="",IF(COUNTA(B428:O428)&gt;0,"НЕТ ID",""),IF(OR(AND(OR(C428="Оплата клиента",C428="Возврат клиенту"),COUNTIFS(Docs[ID],J428,Docs[Тип долга],"ДЗ")&lt;&gt;1),AND(OR(C428="Оплата поставщику",C428="Возврат поставщика"),COUNTIFS(Docs[ID],J428,Docs[Тип долга],"КЗ",Docs[Вид],"&lt;&gt;Дивиденды")&lt;&gt;1),AND(C428="Дивиденды",COUNTIFS(Docs[ID],J428,Docs[Вид],"Дивиденды")&lt;&gt;1),AND(C428="Проценты",COUNTIFS(Docs[ID],J428,Docs[Вид],"Проценты")&lt;&gt;1),COUNTIF(Cash[ID],A428)&gt;1,NOT(ISNUMBER(B428)),B428&lt;НачалоУчета,YEAR(B428)&lt;&gt;Год,NOT(ISNUMBER(E428)),E428&lt;=0,N428&lt;0,COUNTIF(Типы,C428)&lt;&gt;1,COUNTIF(Категории,D428)&lt;&gt;1,COUNTIF(Счета,F428)&lt;&gt;1,COUNTIF(Проекты,I428)&lt;&gt;1,AND(H428&lt;&gt;"",COUNTIF(Контрагенты,H428)&lt;&gt;1),AND(C428="Перевод",OR(F428=G428,COUNTIF(Счета,G428)&lt;&gt;1)),AND(S428&lt;&gt;0,COUNTIF(Docs[ID],J428)&lt;&gt;1),AND(Форма="ООО",C428="Вывод ИП"),AND(Форма="ИП",C428="Дивиденды"),AND(L428&lt;&gt;"Проведён",L428&lt;&gt;"Черновик")),"ОШИБКА","ОК"))</f>
        <v/>
      </c>
      <c r="W428" s="25" t="str">
        <f>IF(A428="","",SUMIF(Accounts[Счёт],F428,Accounts[Начальный])+SUMIFS($Q$7:Q428,$F$7:F428,F428)+SUMIFS($E$7:E428,$G$7:G428,F428,$C$7:C428,"Перевод",$L$7:L428,"Проведён"))</f>
        <v/>
      </c>
    </row>
    <row r="429" spans="1:23" x14ac:dyDescent="0.25">
      <c r="A429" s="22"/>
      <c r="B429" s="23"/>
      <c r="C429" s="22"/>
      <c r="D429" s="22"/>
      <c r="E429" s="27"/>
      <c r="F429" s="22"/>
      <c r="G429" s="22"/>
      <c r="H429" s="22"/>
      <c r="I429" s="22"/>
      <c r="J429" s="22"/>
      <c r="K429" s="22"/>
      <c r="L429" s="22"/>
      <c r="M429" s="22"/>
      <c r="N429" s="27"/>
      <c r="O429" s="22"/>
      <c r="P429" s="5" t="str">
        <f>IF(A429="","",IF(COUNTIF(Типы,C429)=0,0,VLOOKUP(C429,СПРАВОЧНИКИ!$A$7:$E$22,2,FALSE)))</f>
        <v/>
      </c>
      <c r="Q429" s="25" t="str">
        <f t="shared" si="6"/>
        <v/>
      </c>
      <c r="R429" s="5" t="str">
        <f>IF(A429="","",IF(COUNTIF(Типы,C429)=0,"НЕИЗВЕСТНЫЙ ТИП",VLOOKUP(C429,СПРАВОЧНИКИ!$A$7:$E$22,3,FALSE)))</f>
        <v/>
      </c>
      <c r="S429" s="26" t="str">
        <f>IF(A429="","",IF(L429="Проведён",E429*IF(COUNTIF(Типы,C429)=0,0,VLOOKUP(C429,СПРАВОЧНИКИ!$A$7:$E$22,4,FALSE)),0))</f>
        <v/>
      </c>
      <c r="T429" s="26" t="str">
        <f>IF(A429="","",IF(L429="Проведён",E429*IF(COUNTIF(Типы,C429)=0,0,VLOOKUP(C429,СПРАВОЧНИКИ!$A$7:$E$22,5,FALSE)),0))</f>
        <v/>
      </c>
      <c r="U429" s="5" t="str">
        <f>IF(A429="","",IF(COUNTIF(Контрагенты,H429)=0,"Не задан",VLOOKUP(H429,СПРАВОЧНИКИ!$G$7:$H$66,2,FALSE)))</f>
        <v/>
      </c>
      <c r="V429" s="4" t="str">
        <f>IF(A429="",IF(COUNTA(B429:O429)&gt;0,"НЕТ ID",""),IF(OR(AND(OR(C429="Оплата клиента",C429="Возврат клиенту"),COUNTIFS(Docs[ID],J429,Docs[Тип долга],"ДЗ")&lt;&gt;1),AND(OR(C429="Оплата поставщику",C429="Возврат поставщика"),COUNTIFS(Docs[ID],J429,Docs[Тип долга],"КЗ",Docs[Вид],"&lt;&gt;Дивиденды")&lt;&gt;1),AND(C429="Дивиденды",COUNTIFS(Docs[ID],J429,Docs[Вид],"Дивиденды")&lt;&gt;1),AND(C429="Проценты",COUNTIFS(Docs[ID],J429,Docs[Вид],"Проценты")&lt;&gt;1),COUNTIF(Cash[ID],A429)&gt;1,NOT(ISNUMBER(B429)),B429&lt;НачалоУчета,YEAR(B429)&lt;&gt;Год,NOT(ISNUMBER(E429)),E429&lt;=0,N429&lt;0,COUNTIF(Типы,C429)&lt;&gt;1,COUNTIF(Категории,D429)&lt;&gt;1,COUNTIF(Счета,F429)&lt;&gt;1,COUNTIF(Проекты,I429)&lt;&gt;1,AND(H429&lt;&gt;"",COUNTIF(Контрагенты,H429)&lt;&gt;1),AND(C429="Перевод",OR(F429=G429,COUNTIF(Счета,G429)&lt;&gt;1)),AND(S429&lt;&gt;0,COUNTIF(Docs[ID],J429)&lt;&gt;1),AND(Форма="ООО",C429="Вывод ИП"),AND(Форма="ИП",C429="Дивиденды"),AND(L429&lt;&gt;"Проведён",L429&lt;&gt;"Черновик")),"ОШИБКА","ОК"))</f>
        <v/>
      </c>
      <c r="W429" s="25" t="str">
        <f>IF(A429="","",SUMIF(Accounts[Счёт],F429,Accounts[Начальный])+SUMIFS($Q$7:Q429,$F$7:F429,F429)+SUMIFS($E$7:E429,$G$7:G429,F429,$C$7:C429,"Перевод",$L$7:L429,"Проведён"))</f>
        <v/>
      </c>
    </row>
    <row r="430" spans="1:23" x14ac:dyDescent="0.25">
      <c r="A430" s="22"/>
      <c r="B430" s="23"/>
      <c r="C430" s="22"/>
      <c r="D430" s="22"/>
      <c r="E430" s="27"/>
      <c r="F430" s="22"/>
      <c r="G430" s="22"/>
      <c r="H430" s="22"/>
      <c r="I430" s="22"/>
      <c r="J430" s="22"/>
      <c r="K430" s="22"/>
      <c r="L430" s="22"/>
      <c r="M430" s="22"/>
      <c r="N430" s="27"/>
      <c r="O430" s="22"/>
      <c r="P430" s="5" t="str">
        <f>IF(A430="","",IF(COUNTIF(Типы,C430)=0,0,VLOOKUP(C430,СПРАВОЧНИКИ!$A$7:$E$22,2,FALSE)))</f>
        <v/>
      </c>
      <c r="Q430" s="25" t="str">
        <f t="shared" si="6"/>
        <v/>
      </c>
      <c r="R430" s="5" t="str">
        <f>IF(A430="","",IF(COUNTIF(Типы,C430)=0,"НЕИЗВЕСТНЫЙ ТИП",VLOOKUP(C430,СПРАВОЧНИКИ!$A$7:$E$22,3,FALSE)))</f>
        <v/>
      </c>
      <c r="S430" s="26" t="str">
        <f>IF(A430="","",IF(L430="Проведён",E430*IF(COUNTIF(Типы,C430)=0,0,VLOOKUP(C430,СПРАВОЧНИКИ!$A$7:$E$22,4,FALSE)),0))</f>
        <v/>
      </c>
      <c r="T430" s="26" t="str">
        <f>IF(A430="","",IF(L430="Проведён",E430*IF(COUNTIF(Типы,C430)=0,0,VLOOKUP(C430,СПРАВОЧНИКИ!$A$7:$E$22,5,FALSE)),0))</f>
        <v/>
      </c>
      <c r="U430" s="5" t="str">
        <f>IF(A430="","",IF(COUNTIF(Контрагенты,H430)=0,"Не задан",VLOOKUP(H430,СПРАВОЧНИКИ!$G$7:$H$66,2,FALSE)))</f>
        <v/>
      </c>
      <c r="V430" s="4" t="str">
        <f>IF(A430="",IF(COUNTA(B430:O430)&gt;0,"НЕТ ID",""),IF(OR(AND(OR(C430="Оплата клиента",C430="Возврат клиенту"),COUNTIFS(Docs[ID],J430,Docs[Тип долга],"ДЗ")&lt;&gt;1),AND(OR(C430="Оплата поставщику",C430="Возврат поставщика"),COUNTIFS(Docs[ID],J430,Docs[Тип долга],"КЗ",Docs[Вид],"&lt;&gt;Дивиденды")&lt;&gt;1),AND(C430="Дивиденды",COUNTIFS(Docs[ID],J430,Docs[Вид],"Дивиденды")&lt;&gt;1),AND(C430="Проценты",COUNTIFS(Docs[ID],J430,Docs[Вид],"Проценты")&lt;&gt;1),COUNTIF(Cash[ID],A430)&gt;1,NOT(ISNUMBER(B430)),B430&lt;НачалоУчета,YEAR(B430)&lt;&gt;Год,NOT(ISNUMBER(E430)),E430&lt;=0,N430&lt;0,COUNTIF(Типы,C430)&lt;&gt;1,COUNTIF(Категории,D430)&lt;&gt;1,COUNTIF(Счета,F430)&lt;&gt;1,COUNTIF(Проекты,I430)&lt;&gt;1,AND(H430&lt;&gt;"",COUNTIF(Контрагенты,H430)&lt;&gt;1),AND(C430="Перевод",OR(F430=G430,COUNTIF(Счета,G430)&lt;&gt;1)),AND(S430&lt;&gt;0,COUNTIF(Docs[ID],J430)&lt;&gt;1),AND(Форма="ООО",C430="Вывод ИП"),AND(Форма="ИП",C430="Дивиденды"),AND(L430&lt;&gt;"Проведён",L430&lt;&gt;"Черновик")),"ОШИБКА","ОК"))</f>
        <v/>
      </c>
      <c r="W430" s="25" t="str">
        <f>IF(A430="","",SUMIF(Accounts[Счёт],F430,Accounts[Начальный])+SUMIFS($Q$7:Q430,$F$7:F430,F430)+SUMIFS($E$7:E430,$G$7:G430,F430,$C$7:C430,"Перевод",$L$7:L430,"Проведён"))</f>
        <v/>
      </c>
    </row>
    <row r="431" spans="1:23" x14ac:dyDescent="0.25">
      <c r="A431" s="22"/>
      <c r="B431" s="23"/>
      <c r="C431" s="22"/>
      <c r="D431" s="22"/>
      <c r="E431" s="27"/>
      <c r="F431" s="22"/>
      <c r="G431" s="22"/>
      <c r="H431" s="22"/>
      <c r="I431" s="22"/>
      <c r="J431" s="22"/>
      <c r="K431" s="22"/>
      <c r="L431" s="22"/>
      <c r="M431" s="22"/>
      <c r="N431" s="27"/>
      <c r="O431" s="22"/>
      <c r="P431" s="5" t="str">
        <f>IF(A431="","",IF(COUNTIF(Типы,C431)=0,0,VLOOKUP(C431,СПРАВОЧНИКИ!$A$7:$E$22,2,FALSE)))</f>
        <v/>
      </c>
      <c r="Q431" s="25" t="str">
        <f t="shared" si="6"/>
        <v/>
      </c>
      <c r="R431" s="5" t="str">
        <f>IF(A431="","",IF(COUNTIF(Типы,C431)=0,"НЕИЗВЕСТНЫЙ ТИП",VLOOKUP(C431,СПРАВОЧНИКИ!$A$7:$E$22,3,FALSE)))</f>
        <v/>
      </c>
      <c r="S431" s="26" t="str">
        <f>IF(A431="","",IF(L431="Проведён",E431*IF(COUNTIF(Типы,C431)=0,0,VLOOKUP(C431,СПРАВОЧНИКИ!$A$7:$E$22,4,FALSE)),0))</f>
        <v/>
      </c>
      <c r="T431" s="26" t="str">
        <f>IF(A431="","",IF(L431="Проведён",E431*IF(COUNTIF(Типы,C431)=0,0,VLOOKUP(C431,СПРАВОЧНИКИ!$A$7:$E$22,5,FALSE)),0))</f>
        <v/>
      </c>
      <c r="U431" s="5" t="str">
        <f>IF(A431="","",IF(COUNTIF(Контрагенты,H431)=0,"Не задан",VLOOKUP(H431,СПРАВОЧНИКИ!$G$7:$H$66,2,FALSE)))</f>
        <v/>
      </c>
      <c r="V431" s="4" t="str">
        <f>IF(A431="",IF(COUNTA(B431:O431)&gt;0,"НЕТ ID",""),IF(OR(AND(OR(C431="Оплата клиента",C431="Возврат клиенту"),COUNTIFS(Docs[ID],J431,Docs[Тип долга],"ДЗ")&lt;&gt;1),AND(OR(C431="Оплата поставщику",C431="Возврат поставщика"),COUNTIFS(Docs[ID],J431,Docs[Тип долга],"КЗ",Docs[Вид],"&lt;&gt;Дивиденды")&lt;&gt;1),AND(C431="Дивиденды",COUNTIFS(Docs[ID],J431,Docs[Вид],"Дивиденды")&lt;&gt;1),AND(C431="Проценты",COUNTIFS(Docs[ID],J431,Docs[Вид],"Проценты")&lt;&gt;1),COUNTIF(Cash[ID],A431)&gt;1,NOT(ISNUMBER(B431)),B431&lt;НачалоУчета,YEAR(B431)&lt;&gt;Год,NOT(ISNUMBER(E431)),E431&lt;=0,N431&lt;0,COUNTIF(Типы,C431)&lt;&gt;1,COUNTIF(Категории,D431)&lt;&gt;1,COUNTIF(Счета,F431)&lt;&gt;1,COUNTIF(Проекты,I431)&lt;&gt;1,AND(H431&lt;&gt;"",COUNTIF(Контрагенты,H431)&lt;&gt;1),AND(C431="Перевод",OR(F431=G431,COUNTIF(Счета,G431)&lt;&gt;1)),AND(S431&lt;&gt;0,COUNTIF(Docs[ID],J431)&lt;&gt;1),AND(Форма="ООО",C431="Вывод ИП"),AND(Форма="ИП",C431="Дивиденды"),AND(L431&lt;&gt;"Проведён",L431&lt;&gt;"Черновик")),"ОШИБКА","ОК"))</f>
        <v/>
      </c>
      <c r="W431" s="25" t="str">
        <f>IF(A431="","",SUMIF(Accounts[Счёт],F431,Accounts[Начальный])+SUMIFS($Q$7:Q431,$F$7:F431,F431)+SUMIFS($E$7:E431,$G$7:G431,F431,$C$7:C431,"Перевод",$L$7:L431,"Проведён"))</f>
        <v/>
      </c>
    </row>
    <row r="432" spans="1:23" x14ac:dyDescent="0.25">
      <c r="A432" s="22"/>
      <c r="B432" s="23"/>
      <c r="C432" s="22"/>
      <c r="D432" s="22"/>
      <c r="E432" s="27"/>
      <c r="F432" s="22"/>
      <c r="G432" s="22"/>
      <c r="H432" s="22"/>
      <c r="I432" s="22"/>
      <c r="J432" s="22"/>
      <c r="K432" s="22"/>
      <c r="L432" s="22"/>
      <c r="M432" s="22"/>
      <c r="N432" s="27"/>
      <c r="O432" s="22"/>
      <c r="P432" s="5" t="str">
        <f>IF(A432="","",IF(COUNTIF(Типы,C432)=0,0,VLOOKUP(C432,СПРАВОЧНИКИ!$A$7:$E$22,2,FALSE)))</f>
        <v/>
      </c>
      <c r="Q432" s="25" t="str">
        <f t="shared" si="6"/>
        <v/>
      </c>
      <c r="R432" s="5" t="str">
        <f>IF(A432="","",IF(COUNTIF(Типы,C432)=0,"НЕИЗВЕСТНЫЙ ТИП",VLOOKUP(C432,СПРАВОЧНИКИ!$A$7:$E$22,3,FALSE)))</f>
        <v/>
      </c>
      <c r="S432" s="26" t="str">
        <f>IF(A432="","",IF(L432="Проведён",E432*IF(COUNTIF(Типы,C432)=0,0,VLOOKUP(C432,СПРАВОЧНИКИ!$A$7:$E$22,4,FALSE)),0))</f>
        <v/>
      </c>
      <c r="T432" s="26" t="str">
        <f>IF(A432="","",IF(L432="Проведён",E432*IF(COUNTIF(Типы,C432)=0,0,VLOOKUP(C432,СПРАВОЧНИКИ!$A$7:$E$22,5,FALSE)),0))</f>
        <v/>
      </c>
      <c r="U432" s="5" t="str">
        <f>IF(A432="","",IF(COUNTIF(Контрагенты,H432)=0,"Не задан",VLOOKUP(H432,СПРАВОЧНИКИ!$G$7:$H$66,2,FALSE)))</f>
        <v/>
      </c>
      <c r="V432" s="4" t="str">
        <f>IF(A432="",IF(COUNTA(B432:O432)&gt;0,"НЕТ ID",""),IF(OR(AND(OR(C432="Оплата клиента",C432="Возврат клиенту"),COUNTIFS(Docs[ID],J432,Docs[Тип долга],"ДЗ")&lt;&gt;1),AND(OR(C432="Оплата поставщику",C432="Возврат поставщика"),COUNTIFS(Docs[ID],J432,Docs[Тип долга],"КЗ",Docs[Вид],"&lt;&gt;Дивиденды")&lt;&gt;1),AND(C432="Дивиденды",COUNTIFS(Docs[ID],J432,Docs[Вид],"Дивиденды")&lt;&gt;1),AND(C432="Проценты",COUNTIFS(Docs[ID],J432,Docs[Вид],"Проценты")&lt;&gt;1),COUNTIF(Cash[ID],A432)&gt;1,NOT(ISNUMBER(B432)),B432&lt;НачалоУчета,YEAR(B432)&lt;&gt;Год,NOT(ISNUMBER(E432)),E432&lt;=0,N432&lt;0,COUNTIF(Типы,C432)&lt;&gt;1,COUNTIF(Категории,D432)&lt;&gt;1,COUNTIF(Счета,F432)&lt;&gt;1,COUNTIF(Проекты,I432)&lt;&gt;1,AND(H432&lt;&gt;"",COUNTIF(Контрагенты,H432)&lt;&gt;1),AND(C432="Перевод",OR(F432=G432,COUNTIF(Счета,G432)&lt;&gt;1)),AND(S432&lt;&gt;0,COUNTIF(Docs[ID],J432)&lt;&gt;1),AND(Форма="ООО",C432="Вывод ИП"),AND(Форма="ИП",C432="Дивиденды"),AND(L432&lt;&gt;"Проведён",L432&lt;&gt;"Черновик")),"ОШИБКА","ОК"))</f>
        <v/>
      </c>
      <c r="W432" s="25" t="str">
        <f>IF(A432="","",SUMIF(Accounts[Счёт],F432,Accounts[Начальный])+SUMIFS($Q$7:Q432,$F$7:F432,F432)+SUMIFS($E$7:E432,$G$7:G432,F432,$C$7:C432,"Перевод",$L$7:L432,"Проведён"))</f>
        <v/>
      </c>
    </row>
    <row r="433" spans="1:23" x14ac:dyDescent="0.25">
      <c r="A433" s="22"/>
      <c r="B433" s="23"/>
      <c r="C433" s="22"/>
      <c r="D433" s="22"/>
      <c r="E433" s="27"/>
      <c r="F433" s="22"/>
      <c r="G433" s="22"/>
      <c r="H433" s="22"/>
      <c r="I433" s="22"/>
      <c r="J433" s="22"/>
      <c r="K433" s="22"/>
      <c r="L433" s="22"/>
      <c r="M433" s="22"/>
      <c r="N433" s="27"/>
      <c r="O433" s="22"/>
      <c r="P433" s="5" t="str">
        <f>IF(A433="","",IF(COUNTIF(Типы,C433)=0,0,VLOOKUP(C433,СПРАВОЧНИКИ!$A$7:$E$22,2,FALSE)))</f>
        <v/>
      </c>
      <c r="Q433" s="25" t="str">
        <f t="shared" si="6"/>
        <v/>
      </c>
      <c r="R433" s="5" t="str">
        <f>IF(A433="","",IF(COUNTIF(Типы,C433)=0,"НЕИЗВЕСТНЫЙ ТИП",VLOOKUP(C433,СПРАВОЧНИКИ!$A$7:$E$22,3,FALSE)))</f>
        <v/>
      </c>
      <c r="S433" s="26" t="str">
        <f>IF(A433="","",IF(L433="Проведён",E433*IF(COUNTIF(Типы,C433)=0,0,VLOOKUP(C433,СПРАВОЧНИКИ!$A$7:$E$22,4,FALSE)),0))</f>
        <v/>
      </c>
      <c r="T433" s="26" t="str">
        <f>IF(A433="","",IF(L433="Проведён",E433*IF(COUNTIF(Типы,C433)=0,0,VLOOKUP(C433,СПРАВОЧНИКИ!$A$7:$E$22,5,FALSE)),0))</f>
        <v/>
      </c>
      <c r="U433" s="5" t="str">
        <f>IF(A433="","",IF(COUNTIF(Контрагенты,H433)=0,"Не задан",VLOOKUP(H433,СПРАВОЧНИКИ!$G$7:$H$66,2,FALSE)))</f>
        <v/>
      </c>
      <c r="V433" s="4" t="str">
        <f>IF(A433="",IF(COUNTA(B433:O433)&gt;0,"НЕТ ID",""),IF(OR(AND(OR(C433="Оплата клиента",C433="Возврат клиенту"),COUNTIFS(Docs[ID],J433,Docs[Тип долга],"ДЗ")&lt;&gt;1),AND(OR(C433="Оплата поставщику",C433="Возврат поставщика"),COUNTIFS(Docs[ID],J433,Docs[Тип долга],"КЗ",Docs[Вид],"&lt;&gt;Дивиденды")&lt;&gt;1),AND(C433="Дивиденды",COUNTIFS(Docs[ID],J433,Docs[Вид],"Дивиденды")&lt;&gt;1),AND(C433="Проценты",COUNTIFS(Docs[ID],J433,Docs[Вид],"Проценты")&lt;&gt;1),COUNTIF(Cash[ID],A433)&gt;1,NOT(ISNUMBER(B433)),B433&lt;НачалоУчета,YEAR(B433)&lt;&gt;Год,NOT(ISNUMBER(E433)),E433&lt;=0,N433&lt;0,COUNTIF(Типы,C433)&lt;&gt;1,COUNTIF(Категории,D433)&lt;&gt;1,COUNTIF(Счета,F433)&lt;&gt;1,COUNTIF(Проекты,I433)&lt;&gt;1,AND(H433&lt;&gt;"",COUNTIF(Контрагенты,H433)&lt;&gt;1),AND(C433="Перевод",OR(F433=G433,COUNTIF(Счета,G433)&lt;&gt;1)),AND(S433&lt;&gt;0,COUNTIF(Docs[ID],J433)&lt;&gt;1),AND(Форма="ООО",C433="Вывод ИП"),AND(Форма="ИП",C433="Дивиденды"),AND(L433&lt;&gt;"Проведён",L433&lt;&gt;"Черновик")),"ОШИБКА","ОК"))</f>
        <v/>
      </c>
      <c r="W433" s="25" t="str">
        <f>IF(A433="","",SUMIF(Accounts[Счёт],F433,Accounts[Начальный])+SUMIFS($Q$7:Q433,$F$7:F433,F433)+SUMIFS($E$7:E433,$G$7:G433,F433,$C$7:C433,"Перевод",$L$7:L433,"Проведён"))</f>
        <v/>
      </c>
    </row>
    <row r="434" spans="1:23" x14ac:dyDescent="0.25">
      <c r="A434" s="22"/>
      <c r="B434" s="23"/>
      <c r="C434" s="22"/>
      <c r="D434" s="22"/>
      <c r="E434" s="27"/>
      <c r="F434" s="22"/>
      <c r="G434" s="22"/>
      <c r="H434" s="22"/>
      <c r="I434" s="22"/>
      <c r="J434" s="22"/>
      <c r="K434" s="22"/>
      <c r="L434" s="22"/>
      <c r="M434" s="22"/>
      <c r="N434" s="27"/>
      <c r="O434" s="22"/>
      <c r="P434" s="5" t="str">
        <f>IF(A434="","",IF(COUNTIF(Типы,C434)=0,0,VLOOKUP(C434,СПРАВОЧНИКИ!$A$7:$E$22,2,FALSE)))</f>
        <v/>
      </c>
      <c r="Q434" s="25" t="str">
        <f t="shared" si="6"/>
        <v/>
      </c>
      <c r="R434" s="5" t="str">
        <f>IF(A434="","",IF(COUNTIF(Типы,C434)=0,"НЕИЗВЕСТНЫЙ ТИП",VLOOKUP(C434,СПРАВОЧНИКИ!$A$7:$E$22,3,FALSE)))</f>
        <v/>
      </c>
      <c r="S434" s="26" t="str">
        <f>IF(A434="","",IF(L434="Проведён",E434*IF(COUNTIF(Типы,C434)=0,0,VLOOKUP(C434,СПРАВОЧНИКИ!$A$7:$E$22,4,FALSE)),0))</f>
        <v/>
      </c>
      <c r="T434" s="26" t="str">
        <f>IF(A434="","",IF(L434="Проведён",E434*IF(COUNTIF(Типы,C434)=0,0,VLOOKUP(C434,СПРАВОЧНИКИ!$A$7:$E$22,5,FALSE)),0))</f>
        <v/>
      </c>
      <c r="U434" s="5" t="str">
        <f>IF(A434="","",IF(COUNTIF(Контрагенты,H434)=0,"Не задан",VLOOKUP(H434,СПРАВОЧНИКИ!$G$7:$H$66,2,FALSE)))</f>
        <v/>
      </c>
      <c r="V434" s="4" t="str">
        <f>IF(A434="",IF(COUNTA(B434:O434)&gt;0,"НЕТ ID",""),IF(OR(AND(OR(C434="Оплата клиента",C434="Возврат клиенту"),COUNTIFS(Docs[ID],J434,Docs[Тип долга],"ДЗ")&lt;&gt;1),AND(OR(C434="Оплата поставщику",C434="Возврат поставщика"),COUNTIFS(Docs[ID],J434,Docs[Тип долга],"КЗ",Docs[Вид],"&lt;&gt;Дивиденды")&lt;&gt;1),AND(C434="Дивиденды",COUNTIFS(Docs[ID],J434,Docs[Вид],"Дивиденды")&lt;&gt;1),AND(C434="Проценты",COUNTIFS(Docs[ID],J434,Docs[Вид],"Проценты")&lt;&gt;1),COUNTIF(Cash[ID],A434)&gt;1,NOT(ISNUMBER(B434)),B434&lt;НачалоУчета,YEAR(B434)&lt;&gt;Год,NOT(ISNUMBER(E434)),E434&lt;=0,N434&lt;0,COUNTIF(Типы,C434)&lt;&gt;1,COUNTIF(Категории,D434)&lt;&gt;1,COUNTIF(Счета,F434)&lt;&gt;1,COUNTIF(Проекты,I434)&lt;&gt;1,AND(H434&lt;&gt;"",COUNTIF(Контрагенты,H434)&lt;&gt;1),AND(C434="Перевод",OR(F434=G434,COUNTIF(Счета,G434)&lt;&gt;1)),AND(S434&lt;&gt;0,COUNTIF(Docs[ID],J434)&lt;&gt;1),AND(Форма="ООО",C434="Вывод ИП"),AND(Форма="ИП",C434="Дивиденды"),AND(L434&lt;&gt;"Проведён",L434&lt;&gt;"Черновик")),"ОШИБКА","ОК"))</f>
        <v/>
      </c>
      <c r="W434" s="25" t="str">
        <f>IF(A434="","",SUMIF(Accounts[Счёт],F434,Accounts[Начальный])+SUMIFS($Q$7:Q434,$F$7:F434,F434)+SUMIFS($E$7:E434,$G$7:G434,F434,$C$7:C434,"Перевод",$L$7:L434,"Проведён"))</f>
        <v/>
      </c>
    </row>
    <row r="435" spans="1:23" x14ac:dyDescent="0.25">
      <c r="A435" s="22"/>
      <c r="B435" s="23"/>
      <c r="C435" s="22"/>
      <c r="D435" s="22"/>
      <c r="E435" s="27"/>
      <c r="F435" s="22"/>
      <c r="G435" s="22"/>
      <c r="H435" s="22"/>
      <c r="I435" s="22"/>
      <c r="J435" s="22"/>
      <c r="K435" s="22"/>
      <c r="L435" s="22"/>
      <c r="M435" s="22"/>
      <c r="N435" s="27"/>
      <c r="O435" s="22"/>
      <c r="P435" s="5" t="str">
        <f>IF(A435="","",IF(COUNTIF(Типы,C435)=0,0,VLOOKUP(C435,СПРАВОЧНИКИ!$A$7:$E$22,2,FALSE)))</f>
        <v/>
      </c>
      <c r="Q435" s="25" t="str">
        <f t="shared" si="6"/>
        <v/>
      </c>
      <c r="R435" s="5" t="str">
        <f>IF(A435="","",IF(COUNTIF(Типы,C435)=0,"НЕИЗВЕСТНЫЙ ТИП",VLOOKUP(C435,СПРАВОЧНИКИ!$A$7:$E$22,3,FALSE)))</f>
        <v/>
      </c>
      <c r="S435" s="26" t="str">
        <f>IF(A435="","",IF(L435="Проведён",E435*IF(COUNTIF(Типы,C435)=0,0,VLOOKUP(C435,СПРАВОЧНИКИ!$A$7:$E$22,4,FALSE)),0))</f>
        <v/>
      </c>
      <c r="T435" s="26" t="str">
        <f>IF(A435="","",IF(L435="Проведён",E435*IF(COUNTIF(Типы,C435)=0,0,VLOOKUP(C435,СПРАВОЧНИКИ!$A$7:$E$22,5,FALSE)),0))</f>
        <v/>
      </c>
      <c r="U435" s="5" t="str">
        <f>IF(A435="","",IF(COUNTIF(Контрагенты,H435)=0,"Не задан",VLOOKUP(H435,СПРАВОЧНИКИ!$G$7:$H$66,2,FALSE)))</f>
        <v/>
      </c>
      <c r="V435" s="4" t="str">
        <f>IF(A435="",IF(COUNTA(B435:O435)&gt;0,"НЕТ ID",""),IF(OR(AND(OR(C435="Оплата клиента",C435="Возврат клиенту"),COUNTIFS(Docs[ID],J435,Docs[Тип долга],"ДЗ")&lt;&gt;1),AND(OR(C435="Оплата поставщику",C435="Возврат поставщика"),COUNTIFS(Docs[ID],J435,Docs[Тип долга],"КЗ",Docs[Вид],"&lt;&gt;Дивиденды")&lt;&gt;1),AND(C435="Дивиденды",COUNTIFS(Docs[ID],J435,Docs[Вид],"Дивиденды")&lt;&gt;1),AND(C435="Проценты",COUNTIFS(Docs[ID],J435,Docs[Вид],"Проценты")&lt;&gt;1),COUNTIF(Cash[ID],A435)&gt;1,NOT(ISNUMBER(B435)),B435&lt;НачалоУчета,YEAR(B435)&lt;&gt;Год,NOT(ISNUMBER(E435)),E435&lt;=0,N435&lt;0,COUNTIF(Типы,C435)&lt;&gt;1,COUNTIF(Категории,D435)&lt;&gt;1,COUNTIF(Счета,F435)&lt;&gt;1,COUNTIF(Проекты,I435)&lt;&gt;1,AND(H435&lt;&gt;"",COUNTIF(Контрагенты,H435)&lt;&gt;1),AND(C435="Перевод",OR(F435=G435,COUNTIF(Счета,G435)&lt;&gt;1)),AND(S435&lt;&gt;0,COUNTIF(Docs[ID],J435)&lt;&gt;1),AND(Форма="ООО",C435="Вывод ИП"),AND(Форма="ИП",C435="Дивиденды"),AND(L435&lt;&gt;"Проведён",L435&lt;&gt;"Черновик")),"ОШИБКА","ОК"))</f>
        <v/>
      </c>
      <c r="W435" s="25" t="str">
        <f>IF(A435="","",SUMIF(Accounts[Счёт],F435,Accounts[Начальный])+SUMIFS($Q$7:Q435,$F$7:F435,F435)+SUMIFS($E$7:E435,$G$7:G435,F435,$C$7:C435,"Перевод",$L$7:L435,"Проведён"))</f>
        <v/>
      </c>
    </row>
    <row r="436" spans="1:23" x14ac:dyDescent="0.25">
      <c r="A436" s="22"/>
      <c r="B436" s="23"/>
      <c r="C436" s="22"/>
      <c r="D436" s="22"/>
      <c r="E436" s="27"/>
      <c r="F436" s="22"/>
      <c r="G436" s="22"/>
      <c r="H436" s="22"/>
      <c r="I436" s="22"/>
      <c r="J436" s="22"/>
      <c r="K436" s="22"/>
      <c r="L436" s="22"/>
      <c r="M436" s="22"/>
      <c r="N436" s="27"/>
      <c r="O436" s="22"/>
      <c r="P436" s="5" t="str">
        <f>IF(A436="","",IF(COUNTIF(Типы,C436)=0,0,VLOOKUP(C436,СПРАВОЧНИКИ!$A$7:$E$22,2,FALSE)))</f>
        <v/>
      </c>
      <c r="Q436" s="25" t="str">
        <f t="shared" si="6"/>
        <v/>
      </c>
      <c r="R436" s="5" t="str">
        <f>IF(A436="","",IF(COUNTIF(Типы,C436)=0,"НЕИЗВЕСТНЫЙ ТИП",VLOOKUP(C436,СПРАВОЧНИКИ!$A$7:$E$22,3,FALSE)))</f>
        <v/>
      </c>
      <c r="S436" s="26" t="str">
        <f>IF(A436="","",IF(L436="Проведён",E436*IF(COUNTIF(Типы,C436)=0,0,VLOOKUP(C436,СПРАВОЧНИКИ!$A$7:$E$22,4,FALSE)),0))</f>
        <v/>
      </c>
      <c r="T436" s="26" t="str">
        <f>IF(A436="","",IF(L436="Проведён",E436*IF(COUNTIF(Типы,C436)=0,0,VLOOKUP(C436,СПРАВОЧНИКИ!$A$7:$E$22,5,FALSE)),0))</f>
        <v/>
      </c>
      <c r="U436" s="5" t="str">
        <f>IF(A436="","",IF(COUNTIF(Контрагенты,H436)=0,"Не задан",VLOOKUP(H436,СПРАВОЧНИКИ!$G$7:$H$66,2,FALSE)))</f>
        <v/>
      </c>
      <c r="V436" s="4" t="str">
        <f>IF(A436="",IF(COUNTA(B436:O436)&gt;0,"НЕТ ID",""),IF(OR(AND(OR(C436="Оплата клиента",C436="Возврат клиенту"),COUNTIFS(Docs[ID],J436,Docs[Тип долга],"ДЗ")&lt;&gt;1),AND(OR(C436="Оплата поставщику",C436="Возврат поставщика"),COUNTIFS(Docs[ID],J436,Docs[Тип долга],"КЗ",Docs[Вид],"&lt;&gt;Дивиденды")&lt;&gt;1),AND(C436="Дивиденды",COUNTIFS(Docs[ID],J436,Docs[Вид],"Дивиденды")&lt;&gt;1),AND(C436="Проценты",COUNTIFS(Docs[ID],J436,Docs[Вид],"Проценты")&lt;&gt;1),COUNTIF(Cash[ID],A436)&gt;1,NOT(ISNUMBER(B436)),B436&lt;НачалоУчета,YEAR(B436)&lt;&gt;Год,NOT(ISNUMBER(E436)),E436&lt;=0,N436&lt;0,COUNTIF(Типы,C436)&lt;&gt;1,COUNTIF(Категории,D436)&lt;&gt;1,COUNTIF(Счета,F436)&lt;&gt;1,COUNTIF(Проекты,I436)&lt;&gt;1,AND(H436&lt;&gt;"",COUNTIF(Контрагенты,H436)&lt;&gt;1),AND(C436="Перевод",OR(F436=G436,COUNTIF(Счета,G436)&lt;&gt;1)),AND(S436&lt;&gt;0,COUNTIF(Docs[ID],J436)&lt;&gt;1),AND(Форма="ООО",C436="Вывод ИП"),AND(Форма="ИП",C436="Дивиденды"),AND(L436&lt;&gt;"Проведён",L436&lt;&gt;"Черновик")),"ОШИБКА","ОК"))</f>
        <v/>
      </c>
      <c r="W436" s="25" t="str">
        <f>IF(A436="","",SUMIF(Accounts[Счёт],F436,Accounts[Начальный])+SUMIFS($Q$7:Q436,$F$7:F436,F436)+SUMIFS($E$7:E436,$G$7:G436,F436,$C$7:C436,"Перевод",$L$7:L436,"Проведён"))</f>
        <v/>
      </c>
    </row>
    <row r="437" spans="1:23" x14ac:dyDescent="0.25">
      <c r="A437" s="22"/>
      <c r="B437" s="23"/>
      <c r="C437" s="22"/>
      <c r="D437" s="22"/>
      <c r="E437" s="27"/>
      <c r="F437" s="22"/>
      <c r="G437" s="22"/>
      <c r="H437" s="22"/>
      <c r="I437" s="22"/>
      <c r="J437" s="22"/>
      <c r="K437" s="22"/>
      <c r="L437" s="22"/>
      <c r="M437" s="22"/>
      <c r="N437" s="27"/>
      <c r="O437" s="22"/>
      <c r="P437" s="5" t="str">
        <f>IF(A437="","",IF(COUNTIF(Типы,C437)=0,0,VLOOKUP(C437,СПРАВОЧНИКИ!$A$7:$E$22,2,FALSE)))</f>
        <v/>
      </c>
      <c r="Q437" s="25" t="str">
        <f t="shared" si="6"/>
        <v/>
      </c>
      <c r="R437" s="5" t="str">
        <f>IF(A437="","",IF(COUNTIF(Типы,C437)=0,"НЕИЗВЕСТНЫЙ ТИП",VLOOKUP(C437,СПРАВОЧНИКИ!$A$7:$E$22,3,FALSE)))</f>
        <v/>
      </c>
      <c r="S437" s="26" t="str">
        <f>IF(A437="","",IF(L437="Проведён",E437*IF(COUNTIF(Типы,C437)=0,0,VLOOKUP(C437,СПРАВОЧНИКИ!$A$7:$E$22,4,FALSE)),0))</f>
        <v/>
      </c>
      <c r="T437" s="26" t="str">
        <f>IF(A437="","",IF(L437="Проведён",E437*IF(COUNTIF(Типы,C437)=0,0,VLOOKUP(C437,СПРАВОЧНИКИ!$A$7:$E$22,5,FALSE)),0))</f>
        <v/>
      </c>
      <c r="U437" s="5" t="str">
        <f>IF(A437="","",IF(COUNTIF(Контрагенты,H437)=0,"Не задан",VLOOKUP(H437,СПРАВОЧНИКИ!$G$7:$H$66,2,FALSE)))</f>
        <v/>
      </c>
      <c r="V437" s="4" t="str">
        <f>IF(A437="",IF(COUNTA(B437:O437)&gt;0,"НЕТ ID",""),IF(OR(AND(OR(C437="Оплата клиента",C437="Возврат клиенту"),COUNTIFS(Docs[ID],J437,Docs[Тип долга],"ДЗ")&lt;&gt;1),AND(OR(C437="Оплата поставщику",C437="Возврат поставщика"),COUNTIFS(Docs[ID],J437,Docs[Тип долга],"КЗ",Docs[Вид],"&lt;&gt;Дивиденды")&lt;&gt;1),AND(C437="Дивиденды",COUNTIFS(Docs[ID],J437,Docs[Вид],"Дивиденды")&lt;&gt;1),AND(C437="Проценты",COUNTIFS(Docs[ID],J437,Docs[Вид],"Проценты")&lt;&gt;1),COUNTIF(Cash[ID],A437)&gt;1,NOT(ISNUMBER(B437)),B437&lt;НачалоУчета,YEAR(B437)&lt;&gt;Год,NOT(ISNUMBER(E437)),E437&lt;=0,N437&lt;0,COUNTIF(Типы,C437)&lt;&gt;1,COUNTIF(Категории,D437)&lt;&gt;1,COUNTIF(Счета,F437)&lt;&gt;1,COUNTIF(Проекты,I437)&lt;&gt;1,AND(H437&lt;&gt;"",COUNTIF(Контрагенты,H437)&lt;&gt;1),AND(C437="Перевод",OR(F437=G437,COUNTIF(Счета,G437)&lt;&gt;1)),AND(S437&lt;&gt;0,COUNTIF(Docs[ID],J437)&lt;&gt;1),AND(Форма="ООО",C437="Вывод ИП"),AND(Форма="ИП",C437="Дивиденды"),AND(L437&lt;&gt;"Проведён",L437&lt;&gt;"Черновик")),"ОШИБКА","ОК"))</f>
        <v/>
      </c>
      <c r="W437" s="25" t="str">
        <f>IF(A437="","",SUMIF(Accounts[Счёт],F437,Accounts[Начальный])+SUMIFS($Q$7:Q437,$F$7:F437,F437)+SUMIFS($E$7:E437,$G$7:G437,F437,$C$7:C437,"Перевод",$L$7:L437,"Проведён"))</f>
        <v/>
      </c>
    </row>
    <row r="438" spans="1:23" x14ac:dyDescent="0.25">
      <c r="A438" s="22"/>
      <c r="B438" s="23"/>
      <c r="C438" s="22"/>
      <c r="D438" s="22"/>
      <c r="E438" s="27"/>
      <c r="F438" s="22"/>
      <c r="G438" s="22"/>
      <c r="H438" s="22"/>
      <c r="I438" s="22"/>
      <c r="J438" s="22"/>
      <c r="K438" s="22"/>
      <c r="L438" s="22"/>
      <c r="M438" s="22"/>
      <c r="N438" s="27"/>
      <c r="O438" s="22"/>
      <c r="P438" s="5" t="str">
        <f>IF(A438="","",IF(COUNTIF(Типы,C438)=0,0,VLOOKUP(C438,СПРАВОЧНИКИ!$A$7:$E$22,2,FALSE)))</f>
        <v/>
      </c>
      <c r="Q438" s="25" t="str">
        <f t="shared" si="6"/>
        <v/>
      </c>
      <c r="R438" s="5" t="str">
        <f>IF(A438="","",IF(COUNTIF(Типы,C438)=0,"НЕИЗВЕСТНЫЙ ТИП",VLOOKUP(C438,СПРАВОЧНИКИ!$A$7:$E$22,3,FALSE)))</f>
        <v/>
      </c>
      <c r="S438" s="26" t="str">
        <f>IF(A438="","",IF(L438="Проведён",E438*IF(COUNTIF(Типы,C438)=0,0,VLOOKUP(C438,СПРАВОЧНИКИ!$A$7:$E$22,4,FALSE)),0))</f>
        <v/>
      </c>
      <c r="T438" s="26" t="str">
        <f>IF(A438="","",IF(L438="Проведён",E438*IF(COUNTIF(Типы,C438)=0,0,VLOOKUP(C438,СПРАВОЧНИКИ!$A$7:$E$22,5,FALSE)),0))</f>
        <v/>
      </c>
      <c r="U438" s="5" t="str">
        <f>IF(A438="","",IF(COUNTIF(Контрагенты,H438)=0,"Не задан",VLOOKUP(H438,СПРАВОЧНИКИ!$G$7:$H$66,2,FALSE)))</f>
        <v/>
      </c>
      <c r="V438" s="4" t="str">
        <f>IF(A438="",IF(COUNTA(B438:O438)&gt;0,"НЕТ ID",""),IF(OR(AND(OR(C438="Оплата клиента",C438="Возврат клиенту"),COUNTIFS(Docs[ID],J438,Docs[Тип долга],"ДЗ")&lt;&gt;1),AND(OR(C438="Оплата поставщику",C438="Возврат поставщика"),COUNTIFS(Docs[ID],J438,Docs[Тип долга],"КЗ",Docs[Вид],"&lt;&gt;Дивиденды")&lt;&gt;1),AND(C438="Дивиденды",COUNTIFS(Docs[ID],J438,Docs[Вид],"Дивиденды")&lt;&gt;1),AND(C438="Проценты",COUNTIFS(Docs[ID],J438,Docs[Вид],"Проценты")&lt;&gt;1),COUNTIF(Cash[ID],A438)&gt;1,NOT(ISNUMBER(B438)),B438&lt;НачалоУчета,YEAR(B438)&lt;&gt;Год,NOT(ISNUMBER(E438)),E438&lt;=0,N438&lt;0,COUNTIF(Типы,C438)&lt;&gt;1,COUNTIF(Категории,D438)&lt;&gt;1,COUNTIF(Счета,F438)&lt;&gt;1,COUNTIF(Проекты,I438)&lt;&gt;1,AND(H438&lt;&gt;"",COUNTIF(Контрагенты,H438)&lt;&gt;1),AND(C438="Перевод",OR(F438=G438,COUNTIF(Счета,G438)&lt;&gt;1)),AND(S438&lt;&gt;0,COUNTIF(Docs[ID],J438)&lt;&gt;1),AND(Форма="ООО",C438="Вывод ИП"),AND(Форма="ИП",C438="Дивиденды"),AND(L438&lt;&gt;"Проведён",L438&lt;&gt;"Черновик")),"ОШИБКА","ОК"))</f>
        <v/>
      </c>
      <c r="W438" s="25" t="str">
        <f>IF(A438="","",SUMIF(Accounts[Счёт],F438,Accounts[Начальный])+SUMIFS($Q$7:Q438,$F$7:F438,F438)+SUMIFS($E$7:E438,$G$7:G438,F438,$C$7:C438,"Перевод",$L$7:L438,"Проведён"))</f>
        <v/>
      </c>
    </row>
    <row r="439" spans="1:23" x14ac:dyDescent="0.25">
      <c r="A439" s="22"/>
      <c r="B439" s="23"/>
      <c r="C439" s="22"/>
      <c r="D439" s="22"/>
      <c r="E439" s="27"/>
      <c r="F439" s="22"/>
      <c r="G439" s="22"/>
      <c r="H439" s="22"/>
      <c r="I439" s="22"/>
      <c r="J439" s="22"/>
      <c r="K439" s="22"/>
      <c r="L439" s="22"/>
      <c r="M439" s="22"/>
      <c r="N439" s="27"/>
      <c r="O439" s="22"/>
      <c r="P439" s="5" t="str">
        <f>IF(A439="","",IF(COUNTIF(Типы,C439)=0,0,VLOOKUP(C439,СПРАВОЧНИКИ!$A$7:$E$22,2,FALSE)))</f>
        <v/>
      </c>
      <c r="Q439" s="25" t="str">
        <f t="shared" si="6"/>
        <v/>
      </c>
      <c r="R439" s="5" t="str">
        <f>IF(A439="","",IF(COUNTIF(Типы,C439)=0,"НЕИЗВЕСТНЫЙ ТИП",VLOOKUP(C439,СПРАВОЧНИКИ!$A$7:$E$22,3,FALSE)))</f>
        <v/>
      </c>
      <c r="S439" s="26" t="str">
        <f>IF(A439="","",IF(L439="Проведён",E439*IF(COUNTIF(Типы,C439)=0,0,VLOOKUP(C439,СПРАВОЧНИКИ!$A$7:$E$22,4,FALSE)),0))</f>
        <v/>
      </c>
      <c r="T439" s="26" t="str">
        <f>IF(A439="","",IF(L439="Проведён",E439*IF(COUNTIF(Типы,C439)=0,0,VLOOKUP(C439,СПРАВОЧНИКИ!$A$7:$E$22,5,FALSE)),0))</f>
        <v/>
      </c>
      <c r="U439" s="5" t="str">
        <f>IF(A439="","",IF(COUNTIF(Контрагенты,H439)=0,"Не задан",VLOOKUP(H439,СПРАВОЧНИКИ!$G$7:$H$66,2,FALSE)))</f>
        <v/>
      </c>
      <c r="V439" s="4" t="str">
        <f>IF(A439="",IF(COUNTA(B439:O439)&gt;0,"НЕТ ID",""),IF(OR(AND(OR(C439="Оплата клиента",C439="Возврат клиенту"),COUNTIFS(Docs[ID],J439,Docs[Тип долга],"ДЗ")&lt;&gt;1),AND(OR(C439="Оплата поставщику",C439="Возврат поставщика"),COUNTIFS(Docs[ID],J439,Docs[Тип долга],"КЗ",Docs[Вид],"&lt;&gt;Дивиденды")&lt;&gt;1),AND(C439="Дивиденды",COUNTIFS(Docs[ID],J439,Docs[Вид],"Дивиденды")&lt;&gt;1),AND(C439="Проценты",COUNTIFS(Docs[ID],J439,Docs[Вид],"Проценты")&lt;&gt;1),COUNTIF(Cash[ID],A439)&gt;1,NOT(ISNUMBER(B439)),B439&lt;НачалоУчета,YEAR(B439)&lt;&gt;Год,NOT(ISNUMBER(E439)),E439&lt;=0,N439&lt;0,COUNTIF(Типы,C439)&lt;&gt;1,COUNTIF(Категории,D439)&lt;&gt;1,COUNTIF(Счета,F439)&lt;&gt;1,COUNTIF(Проекты,I439)&lt;&gt;1,AND(H439&lt;&gt;"",COUNTIF(Контрагенты,H439)&lt;&gt;1),AND(C439="Перевод",OR(F439=G439,COUNTIF(Счета,G439)&lt;&gt;1)),AND(S439&lt;&gt;0,COUNTIF(Docs[ID],J439)&lt;&gt;1),AND(Форма="ООО",C439="Вывод ИП"),AND(Форма="ИП",C439="Дивиденды"),AND(L439&lt;&gt;"Проведён",L439&lt;&gt;"Черновик")),"ОШИБКА","ОК"))</f>
        <v/>
      </c>
      <c r="W439" s="25" t="str">
        <f>IF(A439="","",SUMIF(Accounts[Счёт],F439,Accounts[Начальный])+SUMIFS($Q$7:Q439,$F$7:F439,F439)+SUMIFS($E$7:E439,$G$7:G439,F439,$C$7:C439,"Перевод",$L$7:L439,"Проведён"))</f>
        <v/>
      </c>
    </row>
    <row r="440" spans="1:23" x14ac:dyDescent="0.25">
      <c r="A440" s="22"/>
      <c r="B440" s="23"/>
      <c r="C440" s="22"/>
      <c r="D440" s="22"/>
      <c r="E440" s="27"/>
      <c r="F440" s="22"/>
      <c r="G440" s="22"/>
      <c r="H440" s="22"/>
      <c r="I440" s="22"/>
      <c r="J440" s="22"/>
      <c r="K440" s="22"/>
      <c r="L440" s="22"/>
      <c r="M440" s="22"/>
      <c r="N440" s="27"/>
      <c r="O440" s="22"/>
      <c r="P440" s="5" t="str">
        <f>IF(A440="","",IF(COUNTIF(Типы,C440)=0,0,VLOOKUP(C440,СПРАВОЧНИКИ!$A$7:$E$22,2,FALSE)))</f>
        <v/>
      </c>
      <c r="Q440" s="25" t="str">
        <f t="shared" si="6"/>
        <v/>
      </c>
      <c r="R440" s="5" t="str">
        <f>IF(A440="","",IF(COUNTIF(Типы,C440)=0,"НЕИЗВЕСТНЫЙ ТИП",VLOOKUP(C440,СПРАВОЧНИКИ!$A$7:$E$22,3,FALSE)))</f>
        <v/>
      </c>
      <c r="S440" s="26" t="str">
        <f>IF(A440="","",IF(L440="Проведён",E440*IF(COUNTIF(Типы,C440)=0,0,VLOOKUP(C440,СПРАВОЧНИКИ!$A$7:$E$22,4,FALSE)),0))</f>
        <v/>
      </c>
      <c r="T440" s="26" t="str">
        <f>IF(A440="","",IF(L440="Проведён",E440*IF(COUNTIF(Типы,C440)=0,0,VLOOKUP(C440,СПРАВОЧНИКИ!$A$7:$E$22,5,FALSE)),0))</f>
        <v/>
      </c>
      <c r="U440" s="5" t="str">
        <f>IF(A440="","",IF(COUNTIF(Контрагенты,H440)=0,"Не задан",VLOOKUP(H440,СПРАВОЧНИКИ!$G$7:$H$66,2,FALSE)))</f>
        <v/>
      </c>
      <c r="V440" s="4" t="str">
        <f>IF(A440="",IF(COUNTA(B440:O440)&gt;0,"НЕТ ID",""),IF(OR(AND(OR(C440="Оплата клиента",C440="Возврат клиенту"),COUNTIFS(Docs[ID],J440,Docs[Тип долга],"ДЗ")&lt;&gt;1),AND(OR(C440="Оплата поставщику",C440="Возврат поставщика"),COUNTIFS(Docs[ID],J440,Docs[Тип долга],"КЗ",Docs[Вид],"&lt;&gt;Дивиденды")&lt;&gt;1),AND(C440="Дивиденды",COUNTIFS(Docs[ID],J440,Docs[Вид],"Дивиденды")&lt;&gt;1),AND(C440="Проценты",COUNTIFS(Docs[ID],J440,Docs[Вид],"Проценты")&lt;&gt;1),COUNTIF(Cash[ID],A440)&gt;1,NOT(ISNUMBER(B440)),B440&lt;НачалоУчета,YEAR(B440)&lt;&gt;Год,NOT(ISNUMBER(E440)),E440&lt;=0,N440&lt;0,COUNTIF(Типы,C440)&lt;&gt;1,COUNTIF(Категории,D440)&lt;&gt;1,COUNTIF(Счета,F440)&lt;&gt;1,COUNTIF(Проекты,I440)&lt;&gt;1,AND(H440&lt;&gt;"",COUNTIF(Контрагенты,H440)&lt;&gt;1),AND(C440="Перевод",OR(F440=G440,COUNTIF(Счета,G440)&lt;&gt;1)),AND(S440&lt;&gt;0,COUNTIF(Docs[ID],J440)&lt;&gt;1),AND(Форма="ООО",C440="Вывод ИП"),AND(Форма="ИП",C440="Дивиденды"),AND(L440&lt;&gt;"Проведён",L440&lt;&gt;"Черновик")),"ОШИБКА","ОК"))</f>
        <v/>
      </c>
      <c r="W440" s="25" t="str">
        <f>IF(A440="","",SUMIF(Accounts[Счёт],F440,Accounts[Начальный])+SUMIFS($Q$7:Q440,$F$7:F440,F440)+SUMIFS($E$7:E440,$G$7:G440,F440,$C$7:C440,"Перевод",$L$7:L440,"Проведён"))</f>
        <v/>
      </c>
    </row>
    <row r="441" spans="1:23" x14ac:dyDescent="0.25">
      <c r="A441" s="22"/>
      <c r="B441" s="23"/>
      <c r="C441" s="22"/>
      <c r="D441" s="22"/>
      <c r="E441" s="27"/>
      <c r="F441" s="22"/>
      <c r="G441" s="22"/>
      <c r="H441" s="22"/>
      <c r="I441" s="22"/>
      <c r="J441" s="22"/>
      <c r="K441" s="22"/>
      <c r="L441" s="22"/>
      <c r="M441" s="22"/>
      <c r="N441" s="27"/>
      <c r="O441" s="22"/>
      <c r="P441" s="5" t="str">
        <f>IF(A441="","",IF(COUNTIF(Типы,C441)=0,0,VLOOKUP(C441,СПРАВОЧНИКИ!$A$7:$E$22,2,FALSE)))</f>
        <v/>
      </c>
      <c r="Q441" s="25" t="str">
        <f t="shared" si="6"/>
        <v/>
      </c>
      <c r="R441" s="5" t="str">
        <f>IF(A441="","",IF(COUNTIF(Типы,C441)=0,"НЕИЗВЕСТНЫЙ ТИП",VLOOKUP(C441,СПРАВОЧНИКИ!$A$7:$E$22,3,FALSE)))</f>
        <v/>
      </c>
      <c r="S441" s="26" t="str">
        <f>IF(A441="","",IF(L441="Проведён",E441*IF(COUNTIF(Типы,C441)=0,0,VLOOKUP(C441,СПРАВОЧНИКИ!$A$7:$E$22,4,FALSE)),0))</f>
        <v/>
      </c>
      <c r="T441" s="26" t="str">
        <f>IF(A441="","",IF(L441="Проведён",E441*IF(COUNTIF(Типы,C441)=0,0,VLOOKUP(C441,СПРАВОЧНИКИ!$A$7:$E$22,5,FALSE)),0))</f>
        <v/>
      </c>
      <c r="U441" s="5" t="str">
        <f>IF(A441="","",IF(COUNTIF(Контрагенты,H441)=0,"Не задан",VLOOKUP(H441,СПРАВОЧНИКИ!$G$7:$H$66,2,FALSE)))</f>
        <v/>
      </c>
      <c r="V441" s="4" t="str">
        <f>IF(A441="",IF(COUNTA(B441:O441)&gt;0,"НЕТ ID",""),IF(OR(AND(OR(C441="Оплата клиента",C441="Возврат клиенту"),COUNTIFS(Docs[ID],J441,Docs[Тип долга],"ДЗ")&lt;&gt;1),AND(OR(C441="Оплата поставщику",C441="Возврат поставщика"),COUNTIFS(Docs[ID],J441,Docs[Тип долга],"КЗ",Docs[Вид],"&lt;&gt;Дивиденды")&lt;&gt;1),AND(C441="Дивиденды",COUNTIFS(Docs[ID],J441,Docs[Вид],"Дивиденды")&lt;&gt;1),AND(C441="Проценты",COUNTIFS(Docs[ID],J441,Docs[Вид],"Проценты")&lt;&gt;1),COUNTIF(Cash[ID],A441)&gt;1,NOT(ISNUMBER(B441)),B441&lt;НачалоУчета,YEAR(B441)&lt;&gt;Год,NOT(ISNUMBER(E441)),E441&lt;=0,N441&lt;0,COUNTIF(Типы,C441)&lt;&gt;1,COUNTIF(Категории,D441)&lt;&gt;1,COUNTIF(Счета,F441)&lt;&gt;1,COUNTIF(Проекты,I441)&lt;&gt;1,AND(H441&lt;&gt;"",COUNTIF(Контрагенты,H441)&lt;&gt;1),AND(C441="Перевод",OR(F441=G441,COUNTIF(Счета,G441)&lt;&gt;1)),AND(S441&lt;&gt;0,COUNTIF(Docs[ID],J441)&lt;&gt;1),AND(Форма="ООО",C441="Вывод ИП"),AND(Форма="ИП",C441="Дивиденды"),AND(L441&lt;&gt;"Проведён",L441&lt;&gt;"Черновик")),"ОШИБКА","ОК"))</f>
        <v/>
      </c>
      <c r="W441" s="25" t="str">
        <f>IF(A441="","",SUMIF(Accounts[Счёт],F441,Accounts[Начальный])+SUMIFS($Q$7:Q441,$F$7:F441,F441)+SUMIFS($E$7:E441,$G$7:G441,F441,$C$7:C441,"Перевод",$L$7:L441,"Проведён"))</f>
        <v/>
      </c>
    </row>
    <row r="442" spans="1:23" x14ac:dyDescent="0.25">
      <c r="A442" s="22"/>
      <c r="B442" s="23"/>
      <c r="C442" s="22"/>
      <c r="D442" s="22"/>
      <c r="E442" s="27"/>
      <c r="F442" s="22"/>
      <c r="G442" s="22"/>
      <c r="H442" s="22"/>
      <c r="I442" s="22"/>
      <c r="J442" s="22"/>
      <c r="K442" s="22"/>
      <c r="L442" s="22"/>
      <c r="M442" s="22"/>
      <c r="N442" s="27"/>
      <c r="O442" s="22"/>
      <c r="P442" s="5" t="str">
        <f>IF(A442="","",IF(COUNTIF(Типы,C442)=0,0,VLOOKUP(C442,СПРАВОЧНИКИ!$A$7:$E$22,2,FALSE)))</f>
        <v/>
      </c>
      <c r="Q442" s="25" t="str">
        <f t="shared" si="6"/>
        <v/>
      </c>
      <c r="R442" s="5" t="str">
        <f>IF(A442="","",IF(COUNTIF(Типы,C442)=0,"НЕИЗВЕСТНЫЙ ТИП",VLOOKUP(C442,СПРАВОЧНИКИ!$A$7:$E$22,3,FALSE)))</f>
        <v/>
      </c>
      <c r="S442" s="26" t="str">
        <f>IF(A442="","",IF(L442="Проведён",E442*IF(COUNTIF(Типы,C442)=0,0,VLOOKUP(C442,СПРАВОЧНИКИ!$A$7:$E$22,4,FALSE)),0))</f>
        <v/>
      </c>
      <c r="T442" s="26" t="str">
        <f>IF(A442="","",IF(L442="Проведён",E442*IF(COUNTIF(Типы,C442)=0,0,VLOOKUP(C442,СПРАВОЧНИКИ!$A$7:$E$22,5,FALSE)),0))</f>
        <v/>
      </c>
      <c r="U442" s="5" t="str">
        <f>IF(A442="","",IF(COUNTIF(Контрагенты,H442)=0,"Не задан",VLOOKUP(H442,СПРАВОЧНИКИ!$G$7:$H$66,2,FALSE)))</f>
        <v/>
      </c>
      <c r="V442" s="4" t="str">
        <f>IF(A442="",IF(COUNTA(B442:O442)&gt;0,"НЕТ ID",""),IF(OR(AND(OR(C442="Оплата клиента",C442="Возврат клиенту"),COUNTIFS(Docs[ID],J442,Docs[Тип долга],"ДЗ")&lt;&gt;1),AND(OR(C442="Оплата поставщику",C442="Возврат поставщика"),COUNTIFS(Docs[ID],J442,Docs[Тип долга],"КЗ",Docs[Вид],"&lt;&gt;Дивиденды")&lt;&gt;1),AND(C442="Дивиденды",COUNTIFS(Docs[ID],J442,Docs[Вид],"Дивиденды")&lt;&gt;1),AND(C442="Проценты",COUNTIFS(Docs[ID],J442,Docs[Вид],"Проценты")&lt;&gt;1),COUNTIF(Cash[ID],A442)&gt;1,NOT(ISNUMBER(B442)),B442&lt;НачалоУчета,YEAR(B442)&lt;&gt;Год,NOT(ISNUMBER(E442)),E442&lt;=0,N442&lt;0,COUNTIF(Типы,C442)&lt;&gt;1,COUNTIF(Категории,D442)&lt;&gt;1,COUNTIF(Счета,F442)&lt;&gt;1,COUNTIF(Проекты,I442)&lt;&gt;1,AND(H442&lt;&gt;"",COUNTIF(Контрагенты,H442)&lt;&gt;1),AND(C442="Перевод",OR(F442=G442,COUNTIF(Счета,G442)&lt;&gt;1)),AND(S442&lt;&gt;0,COUNTIF(Docs[ID],J442)&lt;&gt;1),AND(Форма="ООО",C442="Вывод ИП"),AND(Форма="ИП",C442="Дивиденды"),AND(L442&lt;&gt;"Проведён",L442&lt;&gt;"Черновик")),"ОШИБКА","ОК"))</f>
        <v/>
      </c>
      <c r="W442" s="25" t="str">
        <f>IF(A442="","",SUMIF(Accounts[Счёт],F442,Accounts[Начальный])+SUMIFS($Q$7:Q442,$F$7:F442,F442)+SUMIFS($E$7:E442,$G$7:G442,F442,$C$7:C442,"Перевод",$L$7:L442,"Проведён"))</f>
        <v/>
      </c>
    </row>
    <row r="443" spans="1:23" x14ac:dyDescent="0.25">
      <c r="A443" s="22"/>
      <c r="B443" s="23"/>
      <c r="C443" s="22"/>
      <c r="D443" s="22"/>
      <c r="E443" s="27"/>
      <c r="F443" s="22"/>
      <c r="G443" s="22"/>
      <c r="H443" s="22"/>
      <c r="I443" s="22"/>
      <c r="J443" s="22"/>
      <c r="K443" s="22"/>
      <c r="L443" s="22"/>
      <c r="M443" s="22"/>
      <c r="N443" s="27"/>
      <c r="O443" s="22"/>
      <c r="P443" s="5" t="str">
        <f>IF(A443="","",IF(COUNTIF(Типы,C443)=0,0,VLOOKUP(C443,СПРАВОЧНИКИ!$A$7:$E$22,2,FALSE)))</f>
        <v/>
      </c>
      <c r="Q443" s="25" t="str">
        <f t="shared" si="6"/>
        <v/>
      </c>
      <c r="R443" s="5" t="str">
        <f>IF(A443="","",IF(COUNTIF(Типы,C443)=0,"НЕИЗВЕСТНЫЙ ТИП",VLOOKUP(C443,СПРАВОЧНИКИ!$A$7:$E$22,3,FALSE)))</f>
        <v/>
      </c>
      <c r="S443" s="26" t="str">
        <f>IF(A443="","",IF(L443="Проведён",E443*IF(COUNTIF(Типы,C443)=0,0,VLOOKUP(C443,СПРАВОЧНИКИ!$A$7:$E$22,4,FALSE)),0))</f>
        <v/>
      </c>
      <c r="T443" s="26" t="str">
        <f>IF(A443="","",IF(L443="Проведён",E443*IF(COUNTIF(Типы,C443)=0,0,VLOOKUP(C443,СПРАВОЧНИКИ!$A$7:$E$22,5,FALSE)),0))</f>
        <v/>
      </c>
      <c r="U443" s="5" t="str">
        <f>IF(A443="","",IF(COUNTIF(Контрагенты,H443)=0,"Не задан",VLOOKUP(H443,СПРАВОЧНИКИ!$G$7:$H$66,2,FALSE)))</f>
        <v/>
      </c>
      <c r="V443" s="4" t="str">
        <f>IF(A443="",IF(COUNTA(B443:O443)&gt;0,"НЕТ ID",""),IF(OR(AND(OR(C443="Оплата клиента",C443="Возврат клиенту"),COUNTIFS(Docs[ID],J443,Docs[Тип долга],"ДЗ")&lt;&gt;1),AND(OR(C443="Оплата поставщику",C443="Возврат поставщика"),COUNTIFS(Docs[ID],J443,Docs[Тип долга],"КЗ",Docs[Вид],"&lt;&gt;Дивиденды")&lt;&gt;1),AND(C443="Дивиденды",COUNTIFS(Docs[ID],J443,Docs[Вид],"Дивиденды")&lt;&gt;1),AND(C443="Проценты",COUNTIFS(Docs[ID],J443,Docs[Вид],"Проценты")&lt;&gt;1),COUNTIF(Cash[ID],A443)&gt;1,NOT(ISNUMBER(B443)),B443&lt;НачалоУчета,YEAR(B443)&lt;&gt;Год,NOT(ISNUMBER(E443)),E443&lt;=0,N443&lt;0,COUNTIF(Типы,C443)&lt;&gt;1,COUNTIF(Категории,D443)&lt;&gt;1,COUNTIF(Счета,F443)&lt;&gt;1,COUNTIF(Проекты,I443)&lt;&gt;1,AND(H443&lt;&gt;"",COUNTIF(Контрагенты,H443)&lt;&gt;1),AND(C443="Перевод",OR(F443=G443,COUNTIF(Счета,G443)&lt;&gt;1)),AND(S443&lt;&gt;0,COUNTIF(Docs[ID],J443)&lt;&gt;1),AND(Форма="ООО",C443="Вывод ИП"),AND(Форма="ИП",C443="Дивиденды"),AND(L443&lt;&gt;"Проведён",L443&lt;&gt;"Черновик")),"ОШИБКА","ОК"))</f>
        <v/>
      </c>
      <c r="W443" s="25" t="str">
        <f>IF(A443="","",SUMIF(Accounts[Счёт],F443,Accounts[Начальный])+SUMIFS($Q$7:Q443,$F$7:F443,F443)+SUMIFS($E$7:E443,$G$7:G443,F443,$C$7:C443,"Перевод",$L$7:L443,"Проведён"))</f>
        <v/>
      </c>
    </row>
    <row r="444" spans="1:23" x14ac:dyDescent="0.25">
      <c r="A444" s="22"/>
      <c r="B444" s="23"/>
      <c r="C444" s="22"/>
      <c r="D444" s="22"/>
      <c r="E444" s="27"/>
      <c r="F444" s="22"/>
      <c r="G444" s="22"/>
      <c r="H444" s="22"/>
      <c r="I444" s="22"/>
      <c r="J444" s="22"/>
      <c r="K444" s="22"/>
      <c r="L444" s="22"/>
      <c r="M444" s="22"/>
      <c r="N444" s="27"/>
      <c r="O444" s="22"/>
      <c r="P444" s="5" t="str">
        <f>IF(A444="","",IF(COUNTIF(Типы,C444)=0,0,VLOOKUP(C444,СПРАВОЧНИКИ!$A$7:$E$22,2,FALSE)))</f>
        <v/>
      </c>
      <c r="Q444" s="25" t="str">
        <f t="shared" si="6"/>
        <v/>
      </c>
      <c r="R444" s="5" t="str">
        <f>IF(A444="","",IF(COUNTIF(Типы,C444)=0,"НЕИЗВЕСТНЫЙ ТИП",VLOOKUP(C444,СПРАВОЧНИКИ!$A$7:$E$22,3,FALSE)))</f>
        <v/>
      </c>
      <c r="S444" s="26" t="str">
        <f>IF(A444="","",IF(L444="Проведён",E444*IF(COUNTIF(Типы,C444)=0,0,VLOOKUP(C444,СПРАВОЧНИКИ!$A$7:$E$22,4,FALSE)),0))</f>
        <v/>
      </c>
      <c r="T444" s="26" t="str">
        <f>IF(A444="","",IF(L444="Проведён",E444*IF(COUNTIF(Типы,C444)=0,0,VLOOKUP(C444,СПРАВОЧНИКИ!$A$7:$E$22,5,FALSE)),0))</f>
        <v/>
      </c>
      <c r="U444" s="5" t="str">
        <f>IF(A444="","",IF(COUNTIF(Контрагенты,H444)=0,"Не задан",VLOOKUP(H444,СПРАВОЧНИКИ!$G$7:$H$66,2,FALSE)))</f>
        <v/>
      </c>
      <c r="V444" s="4" t="str">
        <f>IF(A444="",IF(COUNTA(B444:O444)&gt;0,"НЕТ ID",""),IF(OR(AND(OR(C444="Оплата клиента",C444="Возврат клиенту"),COUNTIFS(Docs[ID],J444,Docs[Тип долга],"ДЗ")&lt;&gt;1),AND(OR(C444="Оплата поставщику",C444="Возврат поставщика"),COUNTIFS(Docs[ID],J444,Docs[Тип долга],"КЗ",Docs[Вид],"&lt;&gt;Дивиденды")&lt;&gt;1),AND(C444="Дивиденды",COUNTIFS(Docs[ID],J444,Docs[Вид],"Дивиденды")&lt;&gt;1),AND(C444="Проценты",COUNTIFS(Docs[ID],J444,Docs[Вид],"Проценты")&lt;&gt;1),COUNTIF(Cash[ID],A444)&gt;1,NOT(ISNUMBER(B444)),B444&lt;НачалоУчета,YEAR(B444)&lt;&gt;Год,NOT(ISNUMBER(E444)),E444&lt;=0,N444&lt;0,COUNTIF(Типы,C444)&lt;&gt;1,COUNTIF(Категории,D444)&lt;&gt;1,COUNTIF(Счета,F444)&lt;&gt;1,COUNTIF(Проекты,I444)&lt;&gt;1,AND(H444&lt;&gt;"",COUNTIF(Контрагенты,H444)&lt;&gt;1),AND(C444="Перевод",OR(F444=G444,COUNTIF(Счета,G444)&lt;&gt;1)),AND(S444&lt;&gt;0,COUNTIF(Docs[ID],J444)&lt;&gt;1),AND(Форма="ООО",C444="Вывод ИП"),AND(Форма="ИП",C444="Дивиденды"),AND(L444&lt;&gt;"Проведён",L444&lt;&gt;"Черновик")),"ОШИБКА","ОК"))</f>
        <v/>
      </c>
      <c r="W444" s="25" t="str">
        <f>IF(A444="","",SUMIF(Accounts[Счёт],F444,Accounts[Начальный])+SUMIFS($Q$7:Q444,$F$7:F444,F444)+SUMIFS($E$7:E444,$G$7:G444,F444,$C$7:C444,"Перевод",$L$7:L444,"Проведён"))</f>
        <v/>
      </c>
    </row>
    <row r="445" spans="1:23" x14ac:dyDescent="0.25">
      <c r="A445" s="22"/>
      <c r="B445" s="23"/>
      <c r="C445" s="22"/>
      <c r="D445" s="22"/>
      <c r="E445" s="27"/>
      <c r="F445" s="22"/>
      <c r="G445" s="22"/>
      <c r="H445" s="22"/>
      <c r="I445" s="22"/>
      <c r="J445" s="22"/>
      <c r="K445" s="22"/>
      <c r="L445" s="22"/>
      <c r="M445" s="22"/>
      <c r="N445" s="27"/>
      <c r="O445" s="22"/>
      <c r="P445" s="5" t="str">
        <f>IF(A445="","",IF(COUNTIF(Типы,C445)=0,0,VLOOKUP(C445,СПРАВОЧНИКИ!$A$7:$E$22,2,FALSE)))</f>
        <v/>
      </c>
      <c r="Q445" s="25" t="str">
        <f t="shared" si="6"/>
        <v/>
      </c>
      <c r="R445" s="5" t="str">
        <f>IF(A445="","",IF(COUNTIF(Типы,C445)=0,"НЕИЗВЕСТНЫЙ ТИП",VLOOKUP(C445,СПРАВОЧНИКИ!$A$7:$E$22,3,FALSE)))</f>
        <v/>
      </c>
      <c r="S445" s="26" t="str">
        <f>IF(A445="","",IF(L445="Проведён",E445*IF(COUNTIF(Типы,C445)=0,0,VLOOKUP(C445,СПРАВОЧНИКИ!$A$7:$E$22,4,FALSE)),0))</f>
        <v/>
      </c>
      <c r="T445" s="26" t="str">
        <f>IF(A445="","",IF(L445="Проведён",E445*IF(COUNTIF(Типы,C445)=0,0,VLOOKUP(C445,СПРАВОЧНИКИ!$A$7:$E$22,5,FALSE)),0))</f>
        <v/>
      </c>
      <c r="U445" s="5" t="str">
        <f>IF(A445="","",IF(COUNTIF(Контрагенты,H445)=0,"Не задан",VLOOKUP(H445,СПРАВОЧНИКИ!$G$7:$H$66,2,FALSE)))</f>
        <v/>
      </c>
      <c r="V445" s="4" t="str">
        <f>IF(A445="",IF(COUNTA(B445:O445)&gt;0,"НЕТ ID",""),IF(OR(AND(OR(C445="Оплата клиента",C445="Возврат клиенту"),COUNTIFS(Docs[ID],J445,Docs[Тип долга],"ДЗ")&lt;&gt;1),AND(OR(C445="Оплата поставщику",C445="Возврат поставщика"),COUNTIFS(Docs[ID],J445,Docs[Тип долга],"КЗ",Docs[Вид],"&lt;&gt;Дивиденды")&lt;&gt;1),AND(C445="Дивиденды",COUNTIFS(Docs[ID],J445,Docs[Вид],"Дивиденды")&lt;&gt;1),AND(C445="Проценты",COUNTIFS(Docs[ID],J445,Docs[Вид],"Проценты")&lt;&gt;1),COUNTIF(Cash[ID],A445)&gt;1,NOT(ISNUMBER(B445)),B445&lt;НачалоУчета,YEAR(B445)&lt;&gt;Год,NOT(ISNUMBER(E445)),E445&lt;=0,N445&lt;0,COUNTIF(Типы,C445)&lt;&gt;1,COUNTIF(Категории,D445)&lt;&gt;1,COUNTIF(Счета,F445)&lt;&gt;1,COUNTIF(Проекты,I445)&lt;&gt;1,AND(H445&lt;&gt;"",COUNTIF(Контрагенты,H445)&lt;&gt;1),AND(C445="Перевод",OR(F445=G445,COUNTIF(Счета,G445)&lt;&gt;1)),AND(S445&lt;&gt;0,COUNTIF(Docs[ID],J445)&lt;&gt;1),AND(Форма="ООО",C445="Вывод ИП"),AND(Форма="ИП",C445="Дивиденды"),AND(L445&lt;&gt;"Проведён",L445&lt;&gt;"Черновик")),"ОШИБКА","ОК"))</f>
        <v/>
      </c>
      <c r="W445" s="25" t="str">
        <f>IF(A445="","",SUMIF(Accounts[Счёт],F445,Accounts[Начальный])+SUMIFS($Q$7:Q445,$F$7:F445,F445)+SUMIFS($E$7:E445,$G$7:G445,F445,$C$7:C445,"Перевод",$L$7:L445,"Проведён"))</f>
        <v/>
      </c>
    </row>
    <row r="446" spans="1:23" x14ac:dyDescent="0.25">
      <c r="A446" s="22"/>
      <c r="B446" s="23"/>
      <c r="C446" s="22"/>
      <c r="D446" s="22"/>
      <c r="E446" s="27"/>
      <c r="F446" s="22"/>
      <c r="G446" s="22"/>
      <c r="H446" s="22"/>
      <c r="I446" s="22"/>
      <c r="J446" s="22"/>
      <c r="K446" s="22"/>
      <c r="L446" s="22"/>
      <c r="M446" s="22"/>
      <c r="N446" s="27"/>
      <c r="O446" s="22"/>
      <c r="P446" s="5" t="str">
        <f>IF(A446="","",IF(COUNTIF(Типы,C446)=0,0,VLOOKUP(C446,СПРАВОЧНИКИ!$A$7:$E$22,2,FALSE)))</f>
        <v/>
      </c>
      <c r="Q446" s="25" t="str">
        <f t="shared" si="6"/>
        <v/>
      </c>
      <c r="R446" s="5" t="str">
        <f>IF(A446="","",IF(COUNTIF(Типы,C446)=0,"НЕИЗВЕСТНЫЙ ТИП",VLOOKUP(C446,СПРАВОЧНИКИ!$A$7:$E$22,3,FALSE)))</f>
        <v/>
      </c>
      <c r="S446" s="26" t="str">
        <f>IF(A446="","",IF(L446="Проведён",E446*IF(COUNTIF(Типы,C446)=0,0,VLOOKUP(C446,СПРАВОЧНИКИ!$A$7:$E$22,4,FALSE)),0))</f>
        <v/>
      </c>
      <c r="T446" s="26" t="str">
        <f>IF(A446="","",IF(L446="Проведён",E446*IF(COUNTIF(Типы,C446)=0,0,VLOOKUP(C446,СПРАВОЧНИКИ!$A$7:$E$22,5,FALSE)),0))</f>
        <v/>
      </c>
      <c r="U446" s="5" t="str">
        <f>IF(A446="","",IF(COUNTIF(Контрагенты,H446)=0,"Не задан",VLOOKUP(H446,СПРАВОЧНИКИ!$G$7:$H$66,2,FALSE)))</f>
        <v/>
      </c>
      <c r="V446" s="4" t="str">
        <f>IF(A446="",IF(COUNTA(B446:O446)&gt;0,"НЕТ ID",""),IF(OR(AND(OR(C446="Оплата клиента",C446="Возврат клиенту"),COUNTIFS(Docs[ID],J446,Docs[Тип долга],"ДЗ")&lt;&gt;1),AND(OR(C446="Оплата поставщику",C446="Возврат поставщика"),COUNTIFS(Docs[ID],J446,Docs[Тип долга],"КЗ",Docs[Вид],"&lt;&gt;Дивиденды")&lt;&gt;1),AND(C446="Дивиденды",COUNTIFS(Docs[ID],J446,Docs[Вид],"Дивиденды")&lt;&gt;1),AND(C446="Проценты",COUNTIFS(Docs[ID],J446,Docs[Вид],"Проценты")&lt;&gt;1),COUNTIF(Cash[ID],A446)&gt;1,NOT(ISNUMBER(B446)),B446&lt;НачалоУчета,YEAR(B446)&lt;&gt;Год,NOT(ISNUMBER(E446)),E446&lt;=0,N446&lt;0,COUNTIF(Типы,C446)&lt;&gt;1,COUNTIF(Категории,D446)&lt;&gt;1,COUNTIF(Счета,F446)&lt;&gt;1,COUNTIF(Проекты,I446)&lt;&gt;1,AND(H446&lt;&gt;"",COUNTIF(Контрагенты,H446)&lt;&gt;1),AND(C446="Перевод",OR(F446=G446,COUNTIF(Счета,G446)&lt;&gt;1)),AND(S446&lt;&gt;0,COUNTIF(Docs[ID],J446)&lt;&gt;1),AND(Форма="ООО",C446="Вывод ИП"),AND(Форма="ИП",C446="Дивиденды"),AND(L446&lt;&gt;"Проведён",L446&lt;&gt;"Черновик")),"ОШИБКА","ОК"))</f>
        <v/>
      </c>
      <c r="W446" s="25" t="str">
        <f>IF(A446="","",SUMIF(Accounts[Счёт],F446,Accounts[Начальный])+SUMIFS($Q$7:Q446,$F$7:F446,F446)+SUMIFS($E$7:E446,$G$7:G446,F446,$C$7:C446,"Перевод",$L$7:L446,"Проведён"))</f>
        <v/>
      </c>
    </row>
    <row r="447" spans="1:23" x14ac:dyDescent="0.25">
      <c r="A447" s="22"/>
      <c r="B447" s="23"/>
      <c r="C447" s="22"/>
      <c r="D447" s="22"/>
      <c r="E447" s="27"/>
      <c r="F447" s="22"/>
      <c r="G447" s="22"/>
      <c r="H447" s="22"/>
      <c r="I447" s="22"/>
      <c r="J447" s="22"/>
      <c r="K447" s="22"/>
      <c r="L447" s="22"/>
      <c r="M447" s="22"/>
      <c r="N447" s="27"/>
      <c r="O447" s="22"/>
      <c r="P447" s="5" t="str">
        <f>IF(A447="","",IF(COUNTIF(Типы,C447)=0,0,VLOOKUP(C447,СПРАВОЧНИКИ!$A$7:$E$22,2,FALSE)))</f>
        <v/>
      </c>
      <c r="Q447" s="25" t="str">
        <f t="shared" si="6"/>
        <v/>
      </c>
      <c r="R447" s="5" t="str">
        <f>IF(A447="","",IF(COUNTIF(Типы,C447)=0,"НЕИЗВЕСТНЫЙ ТИП",VLOOKUP(C447,СПРАВОЧНИКИ!$A$7:$E$22,3,FALSE)))</f>
        <v/>
      </c>
      <c r="S447" s="26" t="str">
        <f>IF(A447="","",IF(L447="Проведён",E447*IF(COUNTIF(Типы,C447)=0,0,VLOOKUP(C447,СПРАВОЧНИКИ!$A$7:$E$22,4,FALSE)),0))</f>
        <v/>
      </c>
      <c r="T447" s="26" t="str">
        <f>IF(A447="","",IF(L447="Проведён",E447*IF(COUNTIF(Типы,C447)=0,0,VLOOKUP(C447,СПРАВОЧНИКИ!$A$7:$E$22,5,FALSE)),0))</f>
        <v/>
      </c>
      <c r="U447" s="5" t="str">
        <f>IF(A447="","",IF(COUNTIF(Контрагенты,H447)=0,"Не задан",VLOOKUP(H447,СПРАВОЧНИКИ!$G$7:$H$66,2,FALSE)))</f>
        <v/>
      </c>
      <c r="V447" s="4" t="str">
        <f>IF(A447="",IF(COUNTA(B447:O447)&gt;0,"НЕТ ID",""),IF(OR(AND(OR(C447="Оплата клиента",C447="Возврат клиенту"),COUNTIFS(Docs[ID],J447,Docs[Тип долга],"ДЗ")&lt;&gt;1),AND(OR(C447="Оплата поставщику",C447="Возврат поставщика"),COUNTIFS(Docs[ID],J447,Docs[Тип долга],"КЗ",Docs[Вид],"&lt;&gt;Дивиденды")&lt;&gt;1),AND(C447="Дивиденды",COUNTIFS(Docs[ID],J447,Docs[Вид],"Дивиденды")&lt;&gt;1),AND(C447="Проценты",COUNTIFS(Docs[ID],J447,Docs[Вид],"Проценты")&lt;&gt;1),COUNTIF(Cash[ID],A447)&gt;1,NOT(ISNUMBER(B447)),B447&lt;НачалоУчета,YEAR(B447)&lt;&gt;Год,NOT(ISNUMBER(E447)),E447&lt;=0,N447&lt;0,COUNTIF(Типы,C447)&lt;&gt;1,COUNTIF(Категории,D447)&lt;&gt;1,COUNTIF(Счета,F447)&lt;&gt;1,COUNTIF(Проекты,I447)&lt;&gt;1,AND(H447&lt;&gt;"",COUNTIF(Контрагенты,H447)&lt;&gt;1),AND(C447="Перевод",OR(F447=G447,COUNTIF(Счета,G447)&lt;&gt;1)),AND(S447&lt;&gt;0,COUNTIF(Docs[ID],J447)&lt;&gt;1),AND(Форма="ООО",C447="Вывод ИП"),AND(Форма="ИП",C447="Дивиденды"),AND(L447&lt;&gt;"Проведён",L447&lt;&gt;"Черновик")),"ОШИБКА","ОК"))</f>
        <v/>
      </c>
      <c r="W447" s="25" t="str">
        <f>IF(A447="","",SUMIF(Accounts[Счёт],F447,Accounts[Начальный])+SUMIFS($Q$7:Q447,$F$7:F447,F447)+SUMIFS($E$7:E447,$G$7:G447,F447,$C$7:C447,"Перевод",$L$7:L447,"Проведён"))</f>
        <v/>
      </c>
    </row>
    <row r="448" spans="1:23" x14ac:dyDescent="0.25">
      <c r="A448" s="22"/>
      <c r="B448" s="23"/>
      <c r="C448" s="22"/>
      <c r="D448" s="22"/>
      <c r="E448" s="27"/>
      <c r="F448" s="22"/>
      <c r="G448" s="22"/>
      <c r="H448" s="22"/>
      <c r="I448" s="22"/>
      <c r="J448" s="22"/>
      <c r="K448" s="22"/>
      <c r="L448" s="22"/>
      <c r="M448" s="22"/>
      <c r="N448" s="27"/>
      <c r="O448" s="22"/>
      <c r="P448" s="5" t="str">
        <f>IF(A448="","",IF(COUNTIF(Типы,C448)=0,0,VLOOKUP(C448,СПРАВОЧНИКИ!$A$7:$E$22,2,FALSE)))</f>
        <v/>
      </c>
      <c r="Q448" s="25" t="str">
        <f t="shared" si="6"/>
        <v/>
      </c>
      <c r="R448" s="5" t="str">
        <f>IF(A448="","",IF(COUNTIF(Типы,C448)=0,"НЕИЗВЕСТНЫЙ ТИП",VLOOKUP(C448,СПРАВОЧНИКИ!$A$7:$E$22,3,FALSE)))</f>
        <v/>
      </c>
      <c r="S448" s="26" t="str">
        <f>IF(A448="","",IF(L448="Проведён",E448*IF(COUNTIF(Типы,C448)=0,0,VLOOKUP(C448,СПРАВОЧНИКИ!$A$7:$E$22,4,FALSE)),0))</f>
        <v/>
      </c>
      <c r="T448" s="26" t="str">
        <f>IF(A448="","",IF(L448="Проведён",E448*IF(COUNTIF(Типы,C448)=0,0,VLOOKUP(C448,СПРАВОЧНИКИ!$A$7:$E$22,5,FALSE)),0))</f>
        <v/>
      </c>
      <c r="U448" s="5" t="str">
        <f>IF(A448="","",IF(COUNTIF(Контрагенты,H448)=0,"Не задан",VLOOKUP(H448,СПРАВОЧНИКИ!$G$7:$H$66,2,FALSE)))</f>
        <v/>
      </c>
      <c r="V448" s="4" t="str">
        <f>IF(A448="",IF(COUNTA(B448:O448)&gt;0,"НЕТ ID",""),IF(OR(AND(OR(C448="Оплата клиента",C448="Возврат клиенту"),COUNTIFS(Docs[ID],J448,Docs[Тип долга],"ДЗ")&lt;&gt;1),AND(OR(C448="Оплата поставщику",C448="Возврат поставщика"),COUNTIFS(Docs[ID],J448,Docs[Тип долга],"КЗ",Docs[Вид],"&lt;&gt;Дивиденды")&lt;&gt;1),AND(C448="Дивиденды",COUNTIFS(Docs[ID],J448,Docs[Вид],"Дивиденды")&lt;&gt;1),AND(C448="Проценты",COUNTIFS(Docs[ID],J448,Docs[Вид],"Проценты")&lt;&gt;1),COUNTIF(Cash[ID],A448)&gt;1,NOT(ISNUMBER(B448)),B448&lt;НачалоУчета,YEAR(B448)&lt;&gt;Год,NOT(ISNUMBER(E448)),E448&lt;=0,N448&lt;0,COUNTIF(Типы,C448)&lt;&gt;1,COUNTIF(Категории,D448)&lt;&gt;1,COUNTIF(Счета,F448)&lt;&gt;1,COUNTIF(Проекты,I448)&lt;&gt;1,AND(H448&lt;&gt;"",COUNTIF(Контрагенты,H448)&lt;&gt;1),AND(C448="Перевод",OR(F448=G448,COUNTIF(Счета,G448)&lt;&gt;1)),AND(S448&lt;&gt;0,COUNTIF(Docs[ID],J448)&lt;&gt;1),AND(Форма="ООО",C448="Вывод ИП"),AND(Форма="ИП",C448="Дивиденды"),AND(L448&lt;&gt;"Проведён",L448&lt;&gt;"Черновик")),"ОШИБКА","ОК"))</f>
        <v/>
      </c>
      <c r="W448" s="25" t="str">
        <f>IF(A448="","",SUMIF(Accounts[Счёт],F448,Accounts[Начальный])+SUMIFS($Q$7:Q448,$F$7:F448,F448)+SUMIFS($E$7:E448,$G$7:G448,F448,$C$7:C448,"Перевод",$L$7:L448,"Проведён"))</f>
        <v/>
      </c>
    </row>
    <row r="449" spans="1:23" x14ac:dyDescent="0.25">
      <c r="A449" s="22"/>
      <c r="B449" s="23"/>
      <c r="C449" s="22"/>
      <c r="D449" s="22"/>
      <c r="E449" s="27"/>
      <c r="F449" s="22"/>
      <c r="G449" s="22"/>
      <c r="H449" s="22"/>
      <c r="I449" s="22"/>
      <c r="J449" s="22"/>
      <c r="K449" s="22"/>
      <c r="L449" s="22"/>
      <c r="M449" s="22"/>
      <c r="N449" s="27"/>
      <c r="O449" s="22"/>
      <c r="P449" s="5" t="str">
        <f>IF(A449="","",IF(COUNTIF(Типы,C449)=0,0,VLOOKUP(C449,СПРАВОЧНИКИ!$A$7:$E$22,2,FALSE)))</f>
        <v/>
      </c>
      <c r="Q449" s="25" t="str">
        <f t="shared" si="6"/>
        <v/>
      </c>
      <c r="R449" s="5" t="str">
        <f>IF(A449="","",IF(COUNTIF(Типы,C449)=0,"НЕИЗВЕСТНЫЙ ТИП",VLOOKUP(C449,СПРАВОЧНИКИ!$A$7:$E$22,3,FALSE)))</f>
        <v/>
      </c>
      <c r="S449" s="26" t="str">
        <f>IF(A449="","",IF(L449="Проведён",E449*IF(COUNTIF(Типы,C449)=0,0,VLOOKUP(C449,СПРАВОЧНИКИ!$A$7:$E$22,4,FALSE)),0))</f>
        <v/>
      </c>
      <c r="T449" s="26" t="str">
        <f>IF(A449="","",IF(L449="Проведён",E449*IF(COUNTIF(Типы,C449)=0,0,VLOOKUP(C449,СПРАВОЧНИКИ!$A$7:$E$22,5,FALSE)),0))</f>
        <v/>
      </c>
      <c r="U449" s="5" t="str">
        <f>IF(A449="","",IF(COUNTIF(Контрагенты,H449)=0,"Не задан",VLOOKUP(H449,СПРАВОЧНИКИ!$G$7:$H$66,2,FALSE)))</f>
        <v/>
      </c>
      <c r="V449" s="4" t="str">
        <f>IF(A449="",IF(COUNTA(B449:O449)&gt;0,"НЕТ ID",""),IF(OR(AND(OR(C449="Оплата клиента",C449="Возврат клиенту"),COUNTIFS(Docs[ID],J449,Docs[Тип долга],"ДЗ")&lt;&gt;1),AND(OR(C449="Оплата поставщику",C449="Возврат поставщика"),COUNTIFS(Docs[ID],J449,Docs[Тип долга],"КЗ",Docs[Вид],"&lt;&gt;Дивиденды")&lt;&gt;1),AND(C449="Дивиденды",COUNTIFS(Docs[ID],J449,Docs[Вид],"Дивиденды")&lt;&gt;1),AND(C449="Проценты",COUNTIFS(Docs[ID],J449,Docs[Вид],"Проценты")&lt;&gt;1),COUNTIF(Cash[ID],A449)&gt;1,NOT(ISNUMBER(B449)),B449&lt;НачалоУчета,YEAR(B449)&lt;&gt;Год,NOT(ISNUMBER(E449)),E449&lt;=0,N449&lt;0,COUNTIF(Типы,C449)&lt;&gt;1,COUNTIF(Категории,D449)&lt;&gt;1,COUNTIF(Счета,F449)&lt;&gt;1,COUNTIF(Проекты,I449)&lt;&gt;1,AND(H449&lt;&gt;"",COUNTIF(Контрагенты,H449)&lt;&gt;1),AND(C449="Перевод",OR(F449=G449,COUNTIF(Счета,G449)&lt;&gt;1)),AND(S449&lt;&gt;0,COUNTIF(Docs[ID],J449)&lt;&gt;1),AND(Форма="ООО",C449="Вывод ИП"),AND(Форма="ИП",C449="Дивиденды"),AND(L449&lt;&gt;"Проведён",L449&lt;&gt;"Черновик")),"ОШИБКА","ОК"))</f>
        <v/>
      </c>
      <c r="W449" s="25" t="str">
        <f>IF(A449="","",SUMIF(Accounts[Счёт],F449,Accounts[Начальный])+SUMIFS($Q$7:Q449,$F$7:F449,F449)+SUMIFS($E$7:E449,$G$7:G449,F449,$C$7:C449,"Перевод",$L$7:L449,"Проведён"))</f>
        <v/>
      </c>
    </row>
    <row r="450" spans="1:23" x14ac:dyDescent="0.25">
      <c r="A450" s="22"/>
      <c r="B450" s="23"/>
      <c r="C450" s="22"/>
      <c r="D450" s="22"/>
      <c r="E450" s="27"/>
      <c r="F450" s="22"/>
      <c r="G450" s="22"/>
      <c r="H450" s="22"/>
      <c r="I450" s="22"/>
      <c r="J450" s="22"/>
      <c r="K450" s="22"/>
      <c r="L450" s="22"/>
      <c r="M450" s="22"/>
      <c r="N450" s="27"/>
      <c r="O450" s="22"/>
      <c r="P450" s="5" t="str">
        <f>IF(A450="","",IF(COUNTIF(Типы,C450)=0,0,VLOOKUP(C450,СПРАВОЧНИКИ!$A$7:$E$22,2,FALSE)))</f>
        <v/>
      </c>
      <c r="Q450" s="25" t="str">
        <f t="shared" si="6"/>
        <v/>
      </c>
      <c r="R450" s="5" t="str">
        <f>IF(A450="","",IF(COUNTIF(Типы,C450)=0,"НЕИЗВЕСТНЫЙ ТИП",VLOOKUP(C450,СПРАВОЧНИКИ!$A$7:$E$22,3,FALSE)))</f>
        <v/>
      </c>
      <c r="S450" s="26" t="str">
        <f>IF(A450="","",IF(L450="Проведён",E450*IF(COUNTIF(Типы,C450)=0,0,VLOOKUP(C450,СПРАВОЧНИКИ!$A$7:$E$22,4,FALSE)),0))</f>
        <v/>
      </c>
      <c r="T450" s="26" t="str">
        <f>IF(A450="","",IF(L450="Проведён",E450*IF(COUNTIF(Типы,C450)=0,0,VLOOKUP(C450,СПРАВОЧНИКИ!$A$7:$E$22,5,FALSE)),0))</f>
        <v/>
      </c>
      <c r="U450" s="5" t="str">
        <f>IF(A450="","",IF(COUNTIF(Контрагенты,H450)=0,"Не задан",VLOOKUP(H450,СПРАВОЧНИКИ!$G$7:$H$66,2,FALSE)))</f>
        <v/>
      </c>
      <c r="V450" s="4" t="str">
        <f>IF(A450="",IF(COUNTA(B450:O450)&gt;0,"НЕТ ID",""),IF(OR(AND(OR(C450="Оплата клиента",C450="Возврат клиенту"),COUNTIFS(Docs[ID],J450,Docs[Тип долга],"ДЗ")&lt;&gt;1),AND(OR(C450="Оплата поставщику",C450="Возврат поставщика"),COUNTIFS(Docs[ID],J450,Docs[Тип долга],"КЗ",Docs[Вид],"&lt;&gt;Дивиденды")&lt;&gt;1),AND(C450="Дивиденды",COUNTIFS(Docs[ID],J450,Docs[Вид],"Дивиденды")&lt;&gt;1),AND(C450="Проценты",COUNTIFS(Docs[ID],J450,Docs[Вид],"Проценты")&lt;&gt;1),COUNTIF(Cash[ID],A450)&gt;1,NOT(ISNUMBER(B450)),B450&lt;НачалоУчета,YEAR(B450)&lt;&gt;Год,NOT(ISNUMBER(E450)),E450&lt;=0,N450&lt;0,COUNTIF(Типы,C450)&lt;&gt;1,COUNTIF(Категории,D450)&lt;&gt;1,COUNTIF(Счета,F450)&lt;&gt;1,COUNTIF(Проекты,I450)&lt;&gt;1,AND(H450&lt;&gt;"",COUNTIF(Контрагенты,H450)&lt;&gt;1),AND(C450="Перевод",OR(F450=G450,COUNTIF(Счета,G450)&lt;&gt;1)),AND(S450&lt;&gt;0,COUNTIF(Docs[ID],J450)&lt;&gt;1),AND(Форма="ООО",C450="Вывод ИП"),AND(Форма="ИП",C450="Дивиденды"),AND(L450&lt;&gt;"Проведён",L450&lt;&gt;"Черновик")),"ОШИБКА","ОК"))</f>
        <v/>
      </c>
      <c r="W450" s="25" t="str">
        <f>IF(A450="","",SUMIF(Accounts[Счёт],F450,Accounts[Начальный])+SUMIFS($Q$7:Q450,$F$7:F450,F450)+SUMIFS($E$7:E450,$G$7:G450,F450,$C$7:C450,"Перевод",$L$7:L450,"Проведён"))</f>
        <v/>
      </c>
    </row>
    <row r="451" spans="1:23" x14ac:dyDescent="0.25">
      <c r="A451" s="22"/>
      <c r="B451" s="23"/>
      <c r="C451" s="22"/>
      <c r="D451" s="22"/>
      <c r="E451" s="27"/>
      <c r="F451" s="22"/>
      <c r="G451" s="22"/>
      <c r="H451" s="22"/>
      <c r="I451" s="22"/>
      <c r="J451" s="22"/>
      <c r="K451" s="22"/>
      <c r="L451" s="22"/>
      <c r="M451" s="22"/>
      <c r="N451" s="27"/>
      <c r="O451" s="22"/>
      <c r="P451" s="5" t="str">
        <f>IF(A451="","",IF(COUNTIF(Типы,C451)=0,0,VLOOKUP(C451,СПРАВОЧНИКИ!$A$7:$E$22,2,FALSE)))</f>
        <v/>
      </c>
      <c r="Q451" s="25" t="str">
        <f t="shared" si="6"/>
        <v/>
      </c>
      <c r="R451" s="5" t="str">
        <f>IF(A451="","",IF(COUNTIF(Типы,C451)=0,"НЕИЗВЕСТНЫЙ ТИП",VLOOKUP(C451,СПРАВОЧНИКИ!$A$7:$E$22,3,FALSE)))</f>
        <v/>
      </c>
      <c r="S451" s="26" t="str">
        <f>IF(A451="","",IF(L451="Проведён",E451*IF(COUNTIF(Типы,C451)=0,0,VLOOKUP(C451,СПРАВОЧНИКИ!$A$7:$E$22,4,FALSE)),0))</f>
        <v/>
      </c>
      <c r="T451" s="26" t="str">
        <f>IF(A451="","",IF(L451="Проведён",E451*IF(COUNTIF(Типы,C451)=0,0,VLOOKUP(C451,СПРАВОЧНИКИ!$A$7:$E$22,5,FALSE)),0))</f>
        <v/>
      </c>
      <c r="U451" s="5" t="str">
        <f>IF(A451="","",IF(COUNTIF(Контрагенты,H451)=0,"Не задан",VLOOKUP(H451,СПРАВОЧНИКИ!$G$7:$H$66,2,FALSE)))</f>
        <v/>
      </c>
      <c r="V451" s="4" t="str">
        <f>IF(A451="",IF(COUNTA(B451:O451)&gt;0,"НЕТ ID",""),IF(OR(AND(OR(C451="Оплата клиента",C451="Возврат клиенту"),COUNTIFS(Docs[ID],J451,Docs[Тип долга],"ДЗ")&lt;&gt;1),AND(OR(C451="Оплата поставщику",C451="Возврат поставщика"),COUNTIFS(Docs[ID],J451,Docs[Тип долга],"КЗ",Docs[Вид],"&lt;&gt;Дивиденды")&lt;&gt;1),AND(C451="Дивиденды",COUNTIFS(Docs[ID],J451,Docs[Вид],"Дивиденды")&lt;&gt;1),AND(C451="Проценты",COUNTIFS(Docs[ID],J451,Docs[Вид],"Проценты")&lt;&gt;1),COUNTIF(Cash[ID],A451)&gt;1,NOT(ISNUMBER(B451)),B451&lt;НачалоУчета,YEAR(B451)&lt;&gt;Год,NOT(ISNUMBER(E451)),E451&lt;=0,N451&lt;0,COUNTIF(Типы,C451)&lt;&gt;1,COUNTIF(Категории,D451)&lt;&gt;1,COUNTIF(Счета,F451)&lt;&gt;1,COUNTIF(Проекты,I451)&lt;&gt;1,AND(H451&lt;&gt;"",COUNTIF(Контрагенты,H451)&lt;&gt;1),AND(C451="Перевод",OR(F451=G451,COUNTIF(Счета,G451)&lt;&gt;1)),AND(S451&lt;&gt;0,COUNTIF(Docs[ID],J451)&lt;&gt;1),AND(Форма="ООО",C451="Вывод ИП"),AND(Форма="ИП",C451="Дивиденды"),AND(L451&lt;&gt;"Проведён",L451&lt;&gt;"Черновик")),"ОШИБКА","ОК"))</f>
        <v/>
      </c>
      <c r="W451" s="25" t="str">
        <f>IF(A451="","",SUMIF(Accounts[Счёт],F451,Accounts[Начальный])+SUMIFS($Q$7:Q451,$F$7:F451,F451)+SUMIFS($E$7:E451,$G$7:G451,F451,$C$7:C451,"Перевод",$L$7:L451,"Проведён"))</f>
        <v/>
      </c>
    </row>
    <row r="452" spans="1:23" x14ac:dyDescent="0.25">
      <c r="A452" s="22"/>
      <c r="B452" s="23"/>
      <c r="C452" s="22"/>
      <c r="D452" s="22"/>
      <c r="E452" s="27"/>
      <c r="F452" s="22"/>
      <c r="G452" s="22"/>
      <c r="H452" s="22"/>
      <c r="I452" s="22"/>
      <c r="J452" s="22"/>
      <c r="K452" s="22"/>
      <c r="L452" s="22"/>
      <c r="M452" s="22"/>
      <c r="N452" s="27"/>
      <c r="O452" s="22"/>
      <c r="P452" s="5" t="str">
        <f>IF(A452="","",IF(COUNTIF(Типы,C452)=0,0,VLOOKUP(C452,СПРАВОЧНИКИ!$A$7:$E$22,2,FALSE)))</f>
        <v/>
      </c>
      <c r="Q452" s="25" t="str">
        <f t="shared" si="6"/>
        <v/>
      </c>
      <c r="R452" s="5" t="str">
        <f>IF(A452="","",IF(COUNTIF(Типы,C452)=0,"НЕИЗВЕСТНЫЙ ТИП",VLOOKUP(C452,СПРАВОЧНИКИ!$A$7:$E$22,3,FALSE)))</f>
        <v/>
      </c>
      <c r="S452" s="26" t="str">
        <f>IF(A452="","",IF(L452="Проведён",E452*IF(COUNTIF(Типы,C452)=0,0,VLOOKUP(C452,СПРАВОЧНИКИ!$A$7:$E$22,4,FALSE)),0))</f>
        <v/>
      </c>
      <c r="T452" s="26" t="str">
        <f>IF(A452="","",IF(L452="Проведён",E452*IF(COUNTIF(Типы,C452)=0,0,VLOOKUP(C452,СПРАВОЧНИКИ!$A$7:$E$22,5,FALSE)),0))</f>
        <v/>
      </c>
      <c r="U452" s="5" t="str">
        <f>IF(A452="","",IF(COUNTIF(Контрагенты,H452)=0,"Не задан",VLOOKUP(H452,СПРАВОЧНИКИ!$G$7:$H$66,2,FALSE)))</f>
        <v/>
      </c>
      <c r="V452" s="4" t="str">
        <f>IF(A452="",IF(COUNTA(B452:O452)&gt;0,"НЕТ ID",""),IF(OR(AND(OR(C452="Оплата клиента",C452="Возврат клиенту"),COUNTIFS(Docs[ID],J452,Docs[Тип долга],"ДЗ")&lt;&gt;1),AND(OR(C452="Оплата поставщику",C452="Возврат поставщика"),COUNTIFS(Docs[ID],J452,Docs[Тип долга],"КЗ",Docs[Вид],"&lt;&gt;Дивиденды")&lt;&gt;1),AND(C452="Дивиденды",COUNTIFS(Docs[ID],J452,Docs[Вид],"Дивиденды")&lt;&gt;1),AND(C452="Проценты",COUNTIFS(Docs[ID],J452,Docs[Вид],"Проценты")&lt;&gt;1),COUNTIF(Cash[ID],A452)&gt;1,NOT(ISNUMBER(B452)),B452&lt;НачалоУчета,YEAR(B452)&lt;&gt;Год,NOT(ISNUMBER(E452)),E452&lt;=0,N452&lt;0,COUNTIF(Типы,C452)&lt;&gt;1,COUNTIF(Категории,D452)&lt;&gt;1,COUNTIF(Счета,F452)&lt;&gt;1,COUNTIF(Проекты,I452)&lt;&gt;1,AND(H452&lt;&gt;"",COUNTIF(Контрагенты,H452)&lt;&gt;1),AND(C452="Перевод",OR(F452=G452,COUNTIF(Счета,G452)&lt;&gt;1)),AND(S452&lt;&gt;0,COUNTIF(Docs[ID],J452)&lt;&gt;1),AND(Форма="ООО",C452="Вывод ИП"),AND(Форма="ИП",C452="Дивиденды"),AND(L452&lt;&gt;"Проведён",L452&lt;&gt;"Черновик")),"ОШИБКА","ОК"))</f>
        <v/>
      </c>
      <c r="W452" s="25" t="str">
        <f>IF(A452="","",SUMIF(Accounts[Счёт],F452,Accounts[Начальный])+SUMIFS($Q$7:Q452,$F$7:F452,F452)+SUMIFS($E$7:E452,$G$7:G452,F452,$C$7:C452,"Перевод",$L$7:L452,"Проведён"))</f>
        <v/>
      </c>
    </row>
    <row r="453" spans="1:23" x14ac:dyDescent="0.25">
      <c r="A453" s="22"/>
      <c r="B453" s="23"/>
      <c r="C453" s="22"/>
      <c r="D453" s="22"/>
      <c r="E453" s="27"/>
      <c r="F453" s="22"/>
      <c r="G453" s="22"/>
      <c r="H453" s="22"/>
      <c r="I453" s="22"/>
      <c r="J453" s="22"/>
      <c r="K453" s="22"/>
      <c r="L453" s="22"/>
      <c r="M453" s="22"/>
      <c r="N453" s="27"/>
      <c r="O453" s="22"/>
      <c r="P453" s="5" t="str">
        <f>IF(A453="","",IF(COUNTIF(Типы,C453)=0,0,VLOOKUP(C453,СПРАВОЧНИКИ!$A$7:$E$22,2,FALSE)))</f>
        <v/>
      </c>
      <c r="Q453" s="25" t="str">
        <f t="shared" si="6"/>
        <v/>
      </c>
      <c r="R453" s="5" t="str">
        <f>IF(A453="","",IF(COUNTIF(Типы,C453)=0,"НЕИЗВЕСТНЫЙ ТИП",VLOOKUP(C453,СПРАВОЧНИКИ!$A$7:$E$22,3,FALSE)))</f>
        <v/>
      </c>
      <c r="S453" s="26" t="str">
        <f>IF(A453="","",IF(L453="Проведён",E453*IF(COUNTIF(Типы,C453)=0,0,VLOOKUP(C453,СПРАВОЧНИКИ!$A$7:$E$22,4,FALSE)),0))</f>
        <v/>
      </c>
      <c r="T453" s="26" t="str">
        <f>IF(A453="","",IF(L453="Проведён",E453*IF(COUNTIF(Типы,C453)=0,0,VLOOKUP(C453,СПРАВОЧНИКИ!$A$7:$E$22,5,FALSE)),0))</f>
        <v/>
      </c>
      <c r="U453" s="5" t="str">
        <f>IF(A453="","",IF(COUNTIF(Контрагенты,H453)=0,"Не задан",VLOOKUP(H453,СПРАВОЧНИКИ!$G$7:$H$66,2,FALSE)))</f>
        <v/>
      </c>
      <c r="V453" s="4" t="str">
        <f>IF(A453="",IF(COUNTA(B453:O453)&gt;0,"НЕТ ID",""),IF(OR(AND(OR(C453="Оплата клиента",C453="Возврат клиенту"),COUNTIFS(Docs[ID],J453,Docs[Тип долга],"ДЗ")&lt;&gt;1),AND(OR(C453="Оплата поставщику",C453="Возврат поставщика"),COUNTIFS(Docs[ID],J453,Docs[Тип долга],"КЗ",Docs[Вид],"&lt;&gt;Дивиденды")&lt;&gt;1),AND(C453="Дивиденды",COUNTIFS(Docs[ID],J453,Docs[Вид],"Дивиденды")&lt;&gt;1),AND(C453="Проценты",COUNTIFS(Docs[ID],J453,Docs[Вид],"Проценты")&lt;&gt;1),COUNTIF(Cash[ID],A453)&gt;1,NOT(ISNUMBER(B453)),B453&lt;НачалоУчета,YEAR(B453)&lt;&gt;Год,NOT(ISNUMBER(E453)),E453&lt;=0,N453&lt;0,COUNTIF(Типы,C453)&lt;&gt;1,COUNTIF(Категории,D453)&lt;&gt;1,COUNTIF(Счета,F453)&lt;&gt;1,COUNTIF(Проекты,I453)&lt;&gt;1,AND(H453&lt;&gt;"",COUNTIF(Контрагенты,H453)&lt;&gt;1),AND(C453="Перевод",OR(F453=G453,COUNTIF(Счета,G453)&lt;&gt;1)),AND(S453&lt;&gt;0,COUNTIF(Docs[ID],J453)&lt;&gt;1),AND(Форма="ООО",C453="Вывод ИП"),AND(Форма="ИП",C453="Дивиденды"),AND(L453&lt;&gt;"Проведён",L453&lt;&gt;"Черновик")),"ОШИБКА","ОК"))</f>
        <v/>
      </c>
      <c r="W453" s="25" t="str">
        <f>IF(A453="","",SUMIF(Accounts[Счёт],F453,Accounts[Начальный])+SUMIFS($Q$7:Q453,$F$7:F453,F453)+SUMIFS($E$7:E453,$G$7:G453,F453,$C$7:C453,"Перевод",$L$7:L453,"Проведён"))</f>
        <v/>
      </c>
    </row>
    <row r="454" spans="1:23" x14ac:dyDescent="0.25">
      <c r="A454" s="22"/>
      <c r="B454" s="23"/>
      <c r="C454" s="22"/>
      <c r="D454" s="22"/>
      <c r="E454" s="27"/>
      <c r="F454" s="22"/>
      <c r="G454" s="22"/>
      <c r="H454" s="22"/>
      <c r="I454" s="22"/>
      <c r="J454" s="22"/>
      <c r="K454" s="22"/>
      <c r="L454" s="22"/>
      <c r="M454" s="22"/>
      <c r="N454" s="27"/>
      <c r="O454" s="22"/>
      <c r="P454" s="5" t="str">
        <f>IF(A454="","",IF(COUNTIF(Типы,C454)=0,0,VLOOKUP(C454,СПРАВОЧНИКИ!$A$7:$E$22,2,FALSE)))</f>
        <v/>
      </c>
      <c r="Q454" s="25" t="str">
        <f t="shared" si="6"/>
        <v/>
      </c>
      <c r="R454" s="5" t="str">
        <f>IF(A454="","",IF(COUNTIF(Типы,C454)=0,"НЕИЗВЕСТНЫЙ ТИП",VLOOKUP(C454,СПРАВОЧНИКИ!$A$7:$E$22,3,FALSE)))</f>
        <v/>
      </c>
      <c r="S454" s="26" t="str">
        <f>IF(A454="","",IF(L454="Проведён",E454*IF(COUNTIF(Типы,C454)=0,0,VLOOKUP(C454,СПРАВОЧНИКИ!$A$7:$E$22,4,FALSE)),0))</f>
        <v/>
      </c>
      <c r="T454" s="26" t="str">
        <f>IF(A454="","",IF(L454="Проведён",E454*IF(COUNTIF(Типы,C454)=0,0,VLOOKUP(C454,СПРАВОЧНИКИ!$A$7:$E$22,5,FALSE)),0))</f>
        <v/>
      </c>
      <c r="U454" s="5" t="str">
        <f>IF(A454="","",IF(COUNTIF(Контрагенты,H454)=0,"Не задан",VLOOKUP(H454,СПРАВОЧНИКИ!$G$7:$H$66,2,FALSE)))</f>
        <v/>
      </c>
      <c r="V454" s="4" t="str">
        <f>IF(A454="",IF(COUNTA(B454:O454)&gt;0,"НЕТ ID",""),IF(OR(AND(OR(C454="Оплата клиента",C454="Возврат клиенту"),COUNTIFS(Docs[ID],J454,Docs[Тип долга],"ДЗ")&lt;&gt;1),AND(OR(C454="Оплата поставщику",C454="Возврат поставщика"),COUNTIFS(Docs[ID],J454,Docs[Тип долга],"КЗ",Docs[Вид],"&lt;&gt;Дивиденды")&lt;&gt;1),AND(C454="Дивиденды",COUNTIFS(Docs[ID],J454,Docs[Вид],"Дивиденды")&lt;&gt;1),AND(C454="Проценты",COUNTIFS(Docs[ID],J454,Docs[Вид],"Проценты")&lt;&gt;1),COUNTIF(Cash[ID],A454)&gt;1,NOT(ISNUMBER(B454)),B454&lt;НачалоУчета,YEAR(B454)&lt;&gt;Год,NOT(ISNUMBER(E454)),E454&lt;=0,N454&lt;0,COUNTIF(Типы,C454)&lt;&gt;1,COUNTIF(Категории,D454)&lt;&gt;1,COUNTIF(Счета,F454)&lt;&gt;1,COUNTIF(Проекты,I454)&lt;&gt;1,AND(H454&lt;&gt;"",COUNTIF(Контрагенты,H454)&lt;&gt;1),AND(C454="Перевод",OR(F454=G454,COUNTIF(Счета,G454)&lt;&gt;1)),AND(S454&lt;&gt;0,COUNTIF(Docs[ID],J454)&lt;&gt;1),AND(Форма="ООО",C454="Вывод ИП"),AND(Форма="ИП",C454="Дивиденды"),AND(L454&lt;&gt;"Проведён",L454&lt;&gt;"Черновик")),"ОШИБКА","ОК"))</f>
        <v/>
      </c>
      <c r="W454" s="25" t="str">
        <f>IF(A454="","",SUMIF(Accounts[Счёт],F454,Accounts[Начальный])+SUMIFS($Q$7:Q454,$F$7:F454,F454)+SUMIFS($E$7:E454,$G$7:G454,F454,$C$7:C454,"Перевод",$L$7:L454,"Проведён"))</f>
        <v/>
      </c>
    </row>
    <row r="455" spans="1:23" x14ac:dyDescent="0.25">
      <c r="A455" s="22"/>
      <c r="B455" s="23"/>
      <c r="C455" s="22"/>
      <c r="D455" s="22"/>
      <c r="E455" s="27"/>
      <c r="F455" s="22"/>
      <c r="G455" s="22"/>
      <c r="H455" s="22"/>
      <c r="I455" s="22"/>
      <c r="J455" s="22"/>
      <c r="K455" s="22"/>
      <c r="L455" s="22"/>
      <c r="M455" s="22"/>
      <c r="N455" s="27"/>
      <c r="O455" s="22"/>
      <c r="P455" s="5" t="str">
        <f>IF(A455="","",IF(COUNTIF(Типы,C455)=0,0,VLOOKUP(C455,СПРАВОЧНИКИ!$A$7:$E$22,2,FALSE)))</f>
        <v/>
      </c>
      <c r="Q455" s="25" t="str">
        <f t="shared" ref="Q455:Q518" si="7">IF(A455="","",IF(L455="Проведён",E455*P455,0))</f>
        <v/>
      </c>
      <c r="R455" s="5" t="str">
        <f>IF(A455="","",IF(COUNTIF(Типы,C455)=0,"НЕИЗВЕСТНЫЙ ТИП",VLOOKUP(C455,СПРАВОЧНИКИ!$A$7:$E$22,3,FALSE)))</f>
        <v/>
      </c>
      <c r="S455" s="26" t="str">
        <f>IF(A455="","",IF(L455="Проведён",E455*IF(COUNTIF(Типы,C455)=0,0,VLOOKUP(C455,СПРАВОЧНИКИ!$A$7:$E$22,4,FALSE)),0))</f>
        <v/>
      </c>
      <c r="T455" s="26" t="str">
        <f>IF(A455="","",IF(L455="Проведён",E455*IF(COUNTIF(Типы,C455)=0,0,VLOOKUP(C455,СПРАВОЧНИКИ!$A$7:$E$22,5,FALSE)),0))</f>
        <v/>
      </c>
      <c r="U455" s="5" t="str">
        <f>IF(A455="","",IF(COUNTIF(Контрагенты,H455)=0,"Не задан",VLOOKUP(H455,СПРАВОЧНИКИ!$G$7:$H$66,2,FALSE)))</f>
        <v/>
      </c>
      <c r="V455" s="4" t="str">
        <f>IF(A455="",IF(COUNTA(B455:O455)&gt;0,"НЕТ ID",""),IF(OR(AND(OR(C455="Оплата клиента",C455="Возврат клиенту"),COUNTIFS(Docs[ID],J455,Docs[Тип долга],"ДЗ")&lt;&gt;1),AND(OR(C455="Оплата поставщику",C455="Возврат поставщика"),COUNTIFS(Docs[ID],J455,Docs[Тип долга],"КЗ",Docs[Вид],"&lt;&gt;Дивиденды")&lt;&gt;1),AND(C455="Дивиденды",COUNTIFS(Docs[ID],J455,Docs[Вид],"Дивиденды")&lt;&gt;1),AND(C455="Проценты",COUNTIFS(Docs[ID],J455,Docs[Вид],"Проценты")&lt;&gt;1),COUNTIF(Cash[ID],A455)&gt;1,NOT(ISNUMBER(B455)),B455&lt;НачалоУчета,YEAR(B455)&lt;&gt;Год,NOT(ISNUMBER(E455)),E455&lt;=0,N455&lt;0,COUNTIF(Типы,C455)&lt;&gt;1,COUNTIF(Категории,D455)&lt;&gt;1,COUNTIF(Счета,F455)&lt;&gt;1,COUNTIF(Проекты,I455)&lt;&gt;1,AND(H455&lt;&gt;"",COUNTIF(Контрагенты,H455)&lt;&gt;1),AND(C455="Перевод",OR(F455=G455,COUNTIF(Счета,G455)&lt;&gt;1)),AND(S455&lt;&gt;0,COUNTIF(Docs[ID],J455)&lt;&gt;1),AND(Форма="ООО",C455="Вывод ИП"),AND(Форма="ИП",C455="Дивиденды"),AND(L455&lt;&gt;"Проведён",L455&lt;&gt;"Черновик")),"ОШИБКА","ОК"))</f>
        <v/>
      </c>
      <c r="W455" s="25" t="str">
        <f>IF(A455="","",SUMIF(Accounts[Счёт],F455,Accounts[Начальный])+SUMIFS($Q$7:Q455,$F$7:F455,F455)+SUMIFS($E$7:E455,$G$7:G455,F455,$C$7:C455,"Перевод",$L$7:L455,"Проведён"))</f>
        <v/>
      </c>
    </row>
    <row r="456" spans="1:23" x14ac:dyDescent="0.25">
      <c r="A456" s="22"/>
      <c r="B456" s="23"/>
      <c r="C456" s="22"/>
      <c r="D456" s="22"/>
      <c r="E456" s="27"/>
      <c r="F456" s="22"/>
      <c r="G456" s="22"/>
      <c r="H456" s="22"/>
      <c r="I456" s="22"/>
      <c r="J456" s="22"/>
      <c r="K456" s="22"/>
      <c r="L456" s="22"/>
      <c r="M456" s="22"/>
      <c r="N456" s="27"/>
      <c r="O456" s="22"/>
      <c r="P456" s="5" t="str">
        <f>IF(A456="","",IF(COUNTIF(Типы,C456)=0,0,VLOOKUP(C456,СПРАВОЧНИКИ!$A$7:$E$22,2,FALSE)))</f>
        <v/>
      </c>
      <c r="Q456" s="25" t="str">
        <f t="shared" si="7"/>
        <v/>
      </c>
      <c r="R456" s="5" t="str">
        <f>IF(A456="","",IF(COUNTIF(Типы,C456)=0,"НЕИЗВЕСТНЫЙ ТИП",VLOOKUP(C456,СПРАВОЧНИКИ!$A$7:$E$22,3,FALSE)))</f>
        <v/>
      </c>
      <c r="S456" s="26" t="str">
        <f>IF(A456="","",IF(L456="Проведён",E456*IF(COUNTIF(Типы,C456)=0,0,VLOOKUP(C456,СПРАВОЧНИКИ!$A$7:$E$22,4,FALSE)),0))</f>
        <v/>
      </c>
      <c r="T456" s="26" t="str">
        <f>IF(A456="","",IF(L456="Проведён",E456*IF(COUNTIF(Типы,C456)=0,0,VLOOKUP(C456,СПРАВОЧНИКИ!$A$7:$E$22,5,FALSE)),0))</f>
        <v/>
      </c>
      <c r="U456" s="5" t="str">
        <f>IF(A456="","",IF(COUNTIF(Контрагенты,H456)=0,"Не задан",VLOOKUP(H456,СПРАВОЧНИКИ!$G$7:$H$66,2,FALSE)))</f>
        <v/>
      </c>
      <c r="V456" s="4" t="str">
        <f>IF(A456="",IF(COUNTA(B456:O456)&gt;0,"НЕТ ID",""),IF(OR(AND(OR(C456="Оплата клиента",C456="Возврат клиенту"),COUNTIFS(Docs[ID],J456,Docs[Тип долга],"ДЗ")&lt;&gt;1),AND(OR(C456="Оплата поставщику",C456="Возврат поставщика"),COUNTIFS(Docs[ID],J456,Docs[Тип долга],"КЗ",Docs[Вид],"&lt;&gt;Дивиденды")&lt;&gt;1),AND(C456="Дивиденды",COUNTIFS(Docs[ID],J456,Docs[Вид],"Дивиденды")&lt;&gt;1),AND(C456="Проценты",COUNTIFS(Docs[ID],J456,Docs[Вид],"Проценты")&lt;&gt;1),COUNTIF(Cash[ID],A456)&gt;1,NOT(ISNUMBER(B456)),B456&lt;НачалоУчета,YEAR(B456)&lt;&gt;Год,NOT(ISNUMBER(E456)),E456&lt;=0,N456&lt;0,COUNTIF(Типы,C456)&lt;&gt;1,COUNTIF(Категории,D456)&lt;&gt;1,COUNTIF(Счета,F456)&lt;&gt;1,COUNTIF(Проекты,I456)&lt;&gt;1,AND(H456&lt;&gt;"",COUNTIF(Контрагенты,H456)&lt;&gt;1),AND(C456="Перевод",OR(F456=G456,COUNTIF(Счета,G456)&lt;&gt;1)),AND(S456&lt;&gt;0,COUNTIF(Docs[ID],J456)&lt;&gt;1),AND(Форма="ООО",C456="Вывод ИП"),AND(Форма="ИП",C456="Дивиденды"),AND(L456&lt;&gt;"Проведён",L456&lt;&gt;"Черновик")),"ОШИБКА","ОК"))</f>
        <v/>
      </c>
      <c r="W456" s="25" t="str">
        <f>IF(A456="","",SUMIF(Accounts[Счёт],F456,Accounts[Начальный])+SUMIFS($Q$7:Q456,$F$7:F456,F456)+SUMIFS($E$7:E456,$G$7:G456,F456,$C$7:C456,"Перевод",$L$7:L456,"Проведён"))</f>
        <v/>
      </c>
    </row>
    <row r="457" spans="1:23" x14ac:dyDescent="0.25">
      <c r="A457" s="22"/>
      <c r="B457" s="23"/>
      <c r="C457" s="22"/>
      <c r="D457" s="22"/>
      <c r="E457" s="27"/>
      <c r="F457" s="22"/>
      <c r="G457" s="22"/>
      <c r="H457" s="22"/>
      <c r="I457" s="22"/>
      <c r="J457" s="22"/>
      <c r="K457" s="22"/>
      <c r="L457" s="22"/>
      <c r="M457" s="22"/>
      <c r="N457" s="27"/>
      <c r="O457" s="22"/>
      <c r="P457" s="5" t="str">
        <f>IF(A457="","",IF(COUNTIF(Типы,C457)=0,0,VLOOKUP(C457,СПРАВОЧНИКИ!$A$7:$E$22,2,FALSE)))</f>
        <v/>
      </c>
      <c r="Q457" s="25" t="str">
        <f t="shared" si="7"/>
        <v/>
      </c>
      <c r="R457" s="5" t="str">
        <f>IF(A457="","",IF(COUNTIF(Типы,C457)=0,"НЕИЗВЕСТНЫЙ ТИП",VLOOKUP(C457,СПРАВОЧНИКИ!$A$7:$E$22,3,FALSE)))</f>
        <v/>
      </c>
      <c r="S457" s="26" t="str">
        <f>IF(A457="","",IF(L457="Проведён",E457*IF(COUNTIF(Типы,C457)=0,0,VLOOKUP(C457,СПРАВОЧНИКИ!$A$7:$E$22,4,FALSE)),0))</f>
        <v/>
      </c>
      <c r="T457" s="26" t="str">
        <f>IF(A457="","",IF(L457="Проведён",E457*IF(COUNTIF(Типы,C457)=0,0,VLOOKUP(C457,СПРАВОЧНИКИ!$A$7:$E$22,5,FALSE)),0))</f>
        <v/>
      </c>
      <c r="U457" s="5" t="str">
        <f>IF(A457="","",IF(COUNTIF(Контрагенты,H457)=0,"Не задан",VLOOKUP(H457,СПРАВОЧНИКИ!$G$7:$H$66,2,FALSE)))</f>
        <v/>
      </c>
      <c r="V457" s="4" t="str">
        <f>IF(A457="",IF(COUNTA(B457:O457)&gt;0,"НЕТ ID",""),IF(OR(AND(OR(C457="Оплата клиента",C457="Возврат клиенту"),COUNTIFS(Docs[ID],J457,Docs[Тип долга],"ДЗ")&lt;&gt;1),AND(OR(C457="Оплата поставщику",C457="Возврат поставщика"),COUNTIFS(Docs[ID],J457,Docs[Тип долга],"КЗ",Docs[Вид],"&lt;&gt;Дивиденды")&lt;&gt;1),AND(C457="Дивиденды",COUNTIFS(Docs[ID],J457,Docs[Вид],"Дивиденды")&lt;&gt;1),AND(C457="Проценты",COUNTIFS(Docs[ID],J457,Docs[Вид],"Проценты")&lt;&gt;1),COUNTIF(Cash[ID],A457)&gt;1,NOT(ISNUMBER(B457)),B457&lt;НачалоУчета,YEAR(B457)&lt;&gt;Год,NOT(ISNUMBER(E457)),E457&lt;=0,N457&lt;0,COUNTIF(Типы,C457)&lt;&gt;1,COUNTIF(Категории,D457)&lt;&gt;1,COUNTIF(Счета,F457)&lt;&gt;1,COUNTIF(Проекты,I457)&lt;&gt;1,AND(H457&lt;&gt;"",COUNTIF(Контрагенты,H457)&lt;&gt;1),AND(C457="Перевод",OR(F457=G457,COUNTIF(Счета,G457)&lt;&gt;1)),AND(S457&lt;&gt;0,COUNTIF(Docs[ID],J457)&lt;&gt;1),AND(Форма="ООО",C457="Вывод ИП"),AND(Форма="ИП",C457="Дивиденды"),AND(L457&lt;&gt;"Проведён",L457&lt;&gt;"Черновик")),"ОШИБКА","ОК"))</f>
        <v/>
      </c>
      <c r="W457" s="25" t="str">
        <f>IF(A457="","",SUMIF(Accounts[Счёт],F457,Accounts[Начальный])+SUMIFS($Q$7:Q457,$F$7:F457,F457)+SUMIFS($E$7:E457,$G$7:G457,F457,$C$7:C457,"Перевод",$L$7:L457,"Проведён"))</f>
        <v/>
      </c>
    </row>
    <row r="458" spans="1:23" x14ac:dyDescent="0.25">
      <c r="A458" s="22"/>
      <c r="B458" s="23"/>
      <c r="C458" s="22"/>
      <c r="D458" s="22"/>
      <c r="E458" s="27"/>
      <c r="F458" s="22"/>
      <c r="G458" s="22"/>
      <c r="H458" s="22"/>
      <c r="I458" s="22"/>
      <c r="J458" s="22"/>
      <c r="K458" s="22"/>
      <c r="L458" s="22"/>
      <c r="M458" s="22"/>
      <c r="N458" s="27"/>
      <c r="O458" s="22"/>
      <c r="P458" s="5" t="str">
        <f>IF(A458="","",IF(COUNTIF(Типы,C458)=0,0,VLOOKUP(C458,СПРАВОЧНИКИ!$A$7:$E$22,2,FALSE)))</f>
        <v/>
      </c>
      <c r="Q458" s="25" t="str">
        <f t="shared" si="7"/>
        <v/>
      </c>
      <c r="R458" s="5" t="str">
        <f>IF(A458="","",IF(COUNTIF(Типы,C458)=0,"НЕИЗВЕСТНЫЙ ТИП",VLOOKUP(C458,СПРАВОЧНИКИ!$A$7:$E$22,3,FALSE)))</f>
        <v/>
      </c>
      <c r="S458" s="26" t="str">
        <f>IF(A458="","",IF(L458="Проведён",E458*IF(COUNTIF(Типы,C458)=0,0,VLOOKUP(C458,СПРАВОЧНИКИ!$A$7:$E$22,4,FALSE)),0))</f>
        <v/>
      </c>
      <c r="T458" s="26" t="str">
        <f>IF(A458="","",IF(L458="Проведён",E458*IF(COUNTIF(Типы,C458)=0,0,VLOOKUP(C458,СПРАВОЧНИКИ!$A$7:$E$22,5,FALSE)),0))</f>
        <v/>
      </c>
      <c r="U458" s="5" t="str">
        <f>IF(A458="","",IF(COUNTIF(Контрагенты,H458)=0,"Не задан",VLOOKUP(H458,СПРАВОЧНИКИ!$G$7:$H$66,2,FALSE)))</f>
        <v/>
      </c>
      <c r="V458" s="4" t="str">
        <f>IF(A458="",IF(COUNTA(B458:O458)&gt;0,"НЕТ ID",""),IF(OR(AND(OR(C458="Оплата клиента",C458="Возврат клиенту"),COUNTIFS(Docs[ID],J458,Docs[Тип долга],"ДЗ")&lt;&gt;1),AND(OR(C458="Оплата поставщику",C458="Возврат поставщика"),COUNTIFS(Docs[ID],J458,Docs[Тип долга],"КЗ",Docs[Вид],"&lt;&gt;Дивиденды")&lt;&gt;1),AND(C458="Дивиденды",COUNTIFS(Docs[ID],J458,Docs[Вид],"Дивиденды")&lt;&gt;1),AND(C458="Проценты",COUNTIFS(Docs[ID],J458,Docs[Вид],"Проценты")&lt;&gt;1),COUNTIF(Cash[ID],A458)&gt;1,NOT(ISNUMBER(B458)),B458&lt;НачалоУчета,YEAR(B458)&lt;&gt;Год,NOT(ISNUMBER(E458)),E458&lt;=0,N458&lt;0,COUNTIF(Типы,C458)&lt;&gt;1,COUNTIF(Категории,D458)&lt;&gt;1,COUNTIF(Счета,F458)&lt;&gt;1,COUNTIF(Проекты,I458)&lt;&gt;1,AND(H458&lt;&gt;"",COUNTIF(Контрагенты,H458)&lt;&gt;1),AND(C458="Перевод",OR(F458=G458,COUNTIF(Счета,G458)&lt;&gt;1)),AND(S458&lt;&gt;0,COUNTIF(Docs[ID],J458)&lt;&gt;1),AND(Форма="ООО",C458="Вывод ИП"),AND(Форма="ИП",C458="Дивиденды"),AND(L458&lt;&gt;"Проведён",L458&lt;&gt;"Черновик")),"ОШИБКА","ОК"))</f>
        <v/>
      </c>
      <c r="W458" s="25" t="str">
        <f>IF(A458="","",SUMIF(Accounts[Счёт],F458,Accounts[Начальный])+SUMIFS($Q$7:Q458,$F$7:F458,F458)+SUMIFS($E$7:E458,$G$7:G458,F458,$C$7:C458,"Перевод",$L$7:L458,"Проведён"))</f>
        <v/>
      </c>
    </row>
    <row r="459" spans="1:23" x14ac:dyDescent="0.25">
      <c r="A459" s="22"/>
      <c r="B459" s="23"/>
      <c r="C459" s="22"/>
      <c r="D459" s="22"/>
      <c r="E459" s="27"/>
      <c r="F459" s="22"/>
      <c r="G459" s="22"/>
      <c r="H459" s="22"/>
      <c r="I459" s="22"/>
      <c r="J459" s="22"/>
      <c r="K459" s="22"/>
      <c r="L459" s="22"/>
      <c r="M459" s="22"/>
      <c r="N459" s="27"/>
      <c r="O459" s="22"/>
      <c r="P459" s="5" t="str">
        <f>IF(A459="","",IF(COUNTIF(Типы,C459)=0,0,VLOOKUP(C459,СПРАВОЧНИКИ!$A$7:$E$22,2,FALSE)))</f>
        <v/>
      </c>
      <c r="Q459" s="25" t="str">
        <f t="shared" si="7"/>
        <v/>
      </c>
      <c r="R459" s="5" t="str">
        <f>IF(A459="","",IF(COUNTIF(Типы,C459)=0,"НЕИЗВЕСТНЫЙ ТИП",VLOOKUP(C459,СПРАВОЧНИКИ!$A$7:$E$22,3,FALSE)))</f>
        <v/>
      </c>
      <c r="S459" s="26" t="str">
        <f>IF(A459="","",IF(L459="Проведён",E459*IF(COUNTIF(Типы,C459)=0,0,VLOOKUP(C459,СПРАВОЧНИКИ!$A$7:$E$22,4,FALSE)),0))</f>
        <v/>
      </c>
      <c r="T459" s="26" t="str">
        <f>IF(A459="","",IF(L459="Проведён",E459*IF(COUNTIF(Типы,C459)=0,0,VLOOKUP(C459,СПРАВОЧНИКИ!$A$7:$E$22,5,FALSE)),0))</f>
        <v/>
      </c>
      <c r="U459" s="5" t="str">
        <f>IF(A459="","",IF(COUNTIF(Контрагенты,H459)=0,"Не задан",VLOOKUP(H459,СПРАВОЧНИКИ!$G$7:$H$66,2,FALSE)))</f>
        <v/>
      </c>
      <c r="V459" s="4" t="str">
        <f>IF(A459="",IF(COUNTA(B459:O459)&gt;0,"НЕТ ID",""),IF(OR(AND(OR(C459="Оплата клиента",C459="Возврат клиенту"),COUNTIFS(Docs[ID],J459,Docs[Тип долга],"ДЗ")&lt;&gt;1),AND(OR(C459="Оплата поставщику",C459="Возврат поставщика"),COUNTIFS(Docs[ID],J459,Docs[Тип долга],"КЗ",Docs[Вид],"&lt;&gt;Дивиденды")&lt;&gt;1),AND(C459="Дивиденды",COUNTIFS(Docs[ID],J459,Docs[Вид],"Дивиденды")&lt;&gt;1),AND(C459="Проценты",COUNTIFS(Docs[ID],J459,Docs[Вид],"Проценты")&lt;&gt;1),COUNTIF(Cash[ID],A459)&gt;1,NOT(ISNUMBER(B459)),B459&lt;НачалоУчета,YEAR(B459)&lt;&gt;Год,NOT(ISNUMBER(E459)),E459&lt;=0,N459&lt;0,COUNTIF(Типы,C459)&lt;&gt;1,COUNTIF(Категории,D459)&lt;&gt;1,COUNTIF(Счета,F459)&lt;&gt;1,COUNTIF(Проекты,I459)&lt;&gt;1,AND(H459&lt;&gt;"",COUNTIF(Контрагенты,H459)&lt;&gt;1),AND(C459="Перевод",OR(F459=G459,COUNTIF(Счета,G459)&lt;&gt;1)),AND(S459&lt;&gt;0,COUNTIF(Docs[ID],J459)&lt;&gt;1),AND(Форма="ООО",C459="Вывод ИП"),AND(Форма="ИП",C459="Дивиденды"),AND(L459&lt;&gt;"Проведён",L459&lt;&gt;"Черновик")),"ОШИБКА","ОК"))</f>
        <v/>
      </c>
      <c r="W459" s="25" t="str">
        <f>IF(A459="","",SUMIF(Accounts[Счёт],F459,Accounts[Начальный])+SUMIFS($Q$7:Q459,$F$7:F459,F459)+SUMIFS($E$7:E459,$G$7:G459,F459,$C$7:C459,"Перевод",$L$7:L459,"Проведён"))</f>
        <v/>
      </c>
    </row>
    <row r="460" spans="1:23" x14ac:dyDescent="0.25">
      <c r="A460" s="22"/>
      <c r="B460" s="23"/>
      <c r="C460" s="22"/>
      <c r="D460" s="22"/>
      <c r="E460" s="27"/>
      <c r="F460" s="22"/>
      <c r="G460" s="22"/>
      <c r="H460" s="22"/>
      <c r="I460" s="22"/>
      <c r="J460" s="22"/>
      <c r="K460" s="22"/>
      <c r="L460" s="22"/>
      <c r="M460" s="22"/>
      <c r="N460" s="27"/>
      <c r="O460" s="22"/>
      <c r="P460" s="5" t="str">
        <f>IF(A460="","",IF(COUNTIF(Типы,C460)=0,0,VLOOKUP(C460,СПРАВОЧНИКИ!$A$7:$E$22,2,FALSE)))</f>
        <v/>
      </c>
      <c r="Q460" s="25" t="str">
        <f t="shared" si="7"/>
        <v/>
      </c>
      <c r="R460" s="5" t="str">
        <f>IF(A460="","",IF(COUNTIF(Типы,C460)=0,"НЕИЗВЕСТНЫЙ ТИП",VLOOKUP(C460,СПРАВОЧНИКИ!$A$7:$E$22,3,FALSE)))</f>
        <v/>
      </c>
      <c r="S460" s="26" t="str">
        <f>IF(A460="","",IF(L460="Проведён",E460*IF(COUNTIF(Типы,C460)=0,0,VLOOKUP(C460,СПРАВОЧНИКИ!$A$7:$E$22,4,FALSE)),0))</f>
        <v/>
      </c>
      <c r="T460" s="26" t="str">
        <f>IF(A460="","",IF(L460="Проведён",E460*IF(COUNTIF(Типы,C460)=0,0,VLOOKUP(C460,СПРАВОЧНИКИ!$A$7:$E$22,5,FALSE)),0))</f>
        <v/>
      </c>
      <c r="U460" s="5" t="str">
        <f>IF(A460="","",IF(COUNTIF(Контрагенты,H460)=0,"Не задан",VLOOKUP(H460,СПРАВОЧНИКИ!$G$7:$H$66,2,FALSE)))</f>
        <v/>
      </c>
      <c r="V460" s="4" t="str">
        <f>IF(A460="",IF(COUNTA(B460:O460)&gt;0,"НЕТ ID",""),IF(OR(AND(OR(C460="Оплата клиента",C460="Возврат клиенту"),COUNTIFS(Docs[ID],J460,Docs[Тип долга],"ДЗ")&lt;&gt;1),AND(OR(C460="Оплата поставщику",C460="Возврат поставщика"),COUNTIFS(Docs[ID],J460,Docs[Тип долга],"КЗ",Docs[Вид],"&lt;&gt;Дивиденды")&lt;&gt;1),AND(C460="Дивиденды",COUNTIFS(Docs[ID],J460,Docs[Вид],"Дивиденды")&lt;&gt;1),AND(C460="Проценты",COUNTIFS(Docs[ID],J460,Docs[Вид],"Проценты")&lt;&gt;1),COUNTIF(Cash[ID],A460)&gt;1,NOT(ISNUMBER(B460)),B460&lt;НачалоУчета,YEAR(B460)&lt;&gt;Год,NOT(ISNUMBER(E460)),E460&lt;=0,N460&lt;0,COUNTIF(Типы,C460)&lt;&gt;1,COUNTIF(Категории,D460)&lt;&gt;1,COUNTIF(Счета,F460)&lt;&gt;1,COUNTIF(Проекты,I460)&lt;&gt;1,AND(H460&lt;&gt;"",COUNTIF(Контрагенты,H460)&lt;&gt;1),AND(C460="Перевод",OR(F460=G460,COUNTIF(Счета,G460)&lt;&gt;1)),AND(S460&lt;&gt;0,COUNTIF(Docs[ID],J460)&lt;&gt;1),AND(Форма="ООО",C460="Вывод ИП"),AND(Форма="ИП",C460="Дивиденды"),AND(L460&lt;&gt;"Проведён",L460&lt;&gt;"Черновик")),"ОШИБКА","ОК"))</f>
        <v/>
      </c>
      <c r="W460" s="25" t="str">
        <f>IF(A460="","",SUMIF(Accounts[Счёт],F460,Accounts[Начальный])+SUMIFS($Q$7:Q460,$F$7:F460,F460)+SUMIFS($E$7:E460,$G$7:G460,F460,$C$7:C460,"Перевод",$L$7:L460,"Проведён"))</f>
        <v/>
      </c>
    </row>
    <row r="461" spans="1:23" x14ac:dyDescent="0.25">
      <c r="A461" s="22"/>
      <c r="B461" s="23"/>
      <c r="C461" s="22"/>
      <c r="D461" s="22"/>
      <c r="E461" s="27"/>
      <c r="F461" s="22"/>
      <c r="G461" s="22"/>
      <c r="H461" s="22"/>
      <c r="I461" s="22"/>
      <c r="J461" s="22"/>
      <c r="K461" s="22"/>
      <c r="L461" s="22"/>
      <c r="M461" s="22"/>
      <c r="N461" s="27"/>
      <c r="O461" s="22"/>
      <c r="P461" s="5" t="str">
        <f>IF(A461="","",IF(COUNTIF(Типы,C461)=0,0,VLOOKUP(C461,СПРАВОЧНИКИ!$A$7:$E$22,2,FALSE)))</f>
        <v/>
      </c>
      <c r="Q461" s="25" t="str">
        <f t="shared" si="7"/>
        <v/>
      </c>
      <c r="R461" s="5" t="str">
        <f>IF(A461="","",IF(COUNTIF(Типы,C461)=0,"НЕИЗВЕСТНЫЙ ТИП",VLOOKUP(C461,СПРАВОЧНИКИ!$A$7:$E$22,3,FALSE)))</f>
        <v/>
      </c>
      <c r="S461" s="26" t="str">
        <f>IF(A461="","",IF(L461="Проведён",E461*IF(COUNTIF(Типы,C461)=0,0,VLOOKUP(C461,СПРАВОЧНИКИ!$A$7:$E$22,4,FALSE)),0))</f>
        <v/>
      </c>
      <c r="T461" s="26" t="str">
        <f>IF(A461="","",IF(L461="Проведён",E461*IF(COUNTIF(Типы,C461)=0,0,VLOOKUP(C461,СПРАВОЧНИКИ!$A$7:$E$22,5,FALSE)),0))</f>
        <v/>
      </c>
      <c r="U461" s="5" t="str">
        <f>IF(A461="","",IF(COUNTIF(Контрагенты,H461)=0,"Не задан",VLOOKUP(H461,СПРАВОЧНИКИ!$G$7:$H$66,2,FALSE)))</f>
        <v/>
      </c>
      <c r="V461" s="4" t="str">
        <f>IF(A461="",IF(COUNTA(B461:O461)&gt;0,"НЕТ ID",""),IF(OR(AND(OR(C461="Оплата клиента",C461="Возврат клиенту"),COUNTIFS(Docs[ID],J461,Docs[Тип долга],"ДЗ")&lt;&gt;1),AND(OR(C461="Оплата поставщику",C461="Возврат поставщика"),COUNTIFS(Docs[ID],J461,Docs[Тип долга],"КЗ",Docs[Вид],"&lt;&gt;Дивиденды")&lt;&gt;1),AND(C461="Дивиденды",COUNTIFS(Docs[ID],J461,Docs[Вид],"Дивиденды")&lt;&gt;1),AND(C461="Проценты",COUNTIFS(Docs[ID],J461,Docs[Вид],"Проценты")&lt;&gt;1),COUNTIF(Cash[ID],A461)&gt;1,NOT(ISNUMBER(B461)),B461&lt;НачалоУчета,YEAR(B461)&lt;&gt;Год,NOT(ISNUMBER(E461)),E461&lt;=0,N461&lt;0,COUNTIF(Типы,C461)&lt;&gt;1,COUNTIF(Категории,D461)&lt;&gt;1,COUNTIF(Счета,F461)&lt;&gt;1,COUNTIF(Проекты,I461)&lt;&gt;1,AND(H461&lt;&gt;"",COUNTIF(Контрагенты,H461)&lt;&gt;1),AND(C461="Перевод",OR(F461=G461,COUNTIF(Счета,G461)&lt;&gt;1)),AND(S461&lt;&gt;0,COUNTIF(Docs[ID],J461)&lt;&gt;1),AND(Форма="ООО",C461="Вывод ИП"),AND(Форма="ИП",C461="Дивиденды"),AND(L461&lt;&gt;"Проведён",L461&lt;&gt;"Черновик")),"ОШИБКА","ОК"))</f>
        <v/>
      </c>
      <c r="W461" s="25" t="str">
        <f>IF(A461="","",SUMIF(Accounts[Счёт],F461,Accounts[Начальный])+SUMIFS($Q$7:Q461,$F$7:F461,F461)+SUMIFS($E$7:E461,$G$7:G461,F461,$C$7:C461,"Перевод",$L$7:L461,"Проведён"))</f>
        <v/>
      </c>
    </row>
    <row r="462" spans="1:23" x14ac:dyDescent="0.25">
      <c r="A462" s="22"/>
      <c r="B462" s="23"/>
      <c r="C462" s="22"/>
      <c r="D462" s="22"/>
      <c r="E462" s="27"/>
      <c r="F462" s="22"/>
      <c r="G462" s="22"/>
      <c r="H462" s="22"/>
      <c r="I462" s="22"/>
      <c r="J462" s="22"/>
      <c r="K462" s="22"/>
      <c r="L462" s="22"/>
      <c r="M462" s="22"/>
      <c r="N462" s="27"/>
      <c r="O462" s="22"/>
      <c r="P462" s="5" t="str">
        <f>IF(A462="","",IF(COUNTIF(Типы,C462)=0,0,VLOOKUP(C462,СПРАВОЧНИКИ!$A$7:$E$22,2,FALSE)))</f>
        <v/>
      </c>
      <c r="Q462" s="25" t="str">
        <f t="shared" si="7"/>
        <v/>
      </c>
      <c r="R462" s="5" t="str">
        <f>IF(A462="","",IF(COUNTIF(Типы,C462)=0,"НЕИЗВЕСТНЫЙ ТИП",VLOOKUP(C462,СПРАВОЧНИКИ!$A$7:$E$22,3,FALSE)))</f>
        <v/>
      </c>
      <c r="S462" s="26" t="str">
        <f>IF(A462="","",IF(L462="Проведён",E462*IF(COUNTIF(Типы,C462)=0,0,VLOOKUP(C462,СПРАВОЧНИКИ!$A$7:$E$22,4,FALSE)),0))</f>
        <v/>
      </c>
      <c r="T462" s="26" t="str">
        <f>IF(A462="","",IF(L462="Проведён",E462*IF(COUNTIF(Типы,C462)=0,0,VLOOKUP(C462,СПРАВОЧНИКИ!$A$7:$E$22,5,FALSE)),0))</f>
        <v/>
      </c>
      <c r="U462" s="5" t="str">
        <f>IF(A462="","",IF(COUNTIF(Контрагенты,H462)=0,"Не задан",VLOOKUP(H462,СПРАВОЧНИКИ!$G$7:$H$66,2,FALSE)))</f>
        <v/>
      </c>
      <c r="V462" s="4" t="str">
        <f>IF(A462="",IF(COUNTA(B462:O462)&gt;0,"НЕТ ID",""),IF(OR(AND(OR(C462="Оплата клиента",C462="Возврат клиенту"),COUNTIFS(Docs[ID],J462,Docs[Тип долга],"ДЗ")&lt;&gt;1),AND(OR(C462="Оплата поставщику",C462="Возврат поставщика"),COUNTIFS(Docs[ID],J462,Docs[Тип долга],"КЗ",Docs[Вид],"&lt;&gt;Дивиденды")&lt;&gt;1),AND(C462="Дивиденды",COUNTIFS(Docs[ID],J462,Docs[Вид],"Дивиденды")&lt;&gt;1),AND(C462="Проценты",COUNTIFS(Docs[ID],J462,Docs[Вид],"Проценты")&lt;&gt;1),COUNTIF(Cash[ID],A462)&gt;1,NOT(ISNUMBER(B462)),B462&lt;НачалоУчета,YEAR(B462)&lt;&gt;Год,NOT(ISNUMBER(E462)),E462&lt;=0,N462&lt;0,COUNTIF(Типы,C462)&lt;&gt;1,COUNTIF(Категории,D462)&lt;&gt;1,COUNTIF(Счета,F462)&lt;&gt;1,COUNTIF(Проекты,I462)&lt;&gt;1,AND(H462&lt;&gt;"",COUNTIF(Контрагенты,H462)&lt;&gt;1),AND(C462="Перевод",OR(F462=G462,COUNTIF(Счета,G462)&lt;&gt;1)),AND(S462&lt;&gt;0,COUNTIF(Docs[ID],J462)&lt;&gt;1),AND(Форма="ООО",C462="Вывод ИП"),AND(Форма="ИП",C462="Дивиденды"),AND(L462&lt;&gt;"Проведён",L462&lt;&gt;"Черновик")),"ОШИБКА","ОК"))</f>
        <v/>
      </c>
      <c r="W462" s="25" t="str">
        <f>IF(A462="","",SUMIF(Accounts[Счёт],F462,Accounts[Начальный])+SUMIFS($Q$7:Q462,$F$7:F462,F462)+SUMIFS($E$7:E462,$G$7:G462,F462,$C$7:C462,"Перевод",$L$7:L462,"Проведён"))</f>
        <v/>
      </c>
    </row>
    <row r="463" spans="1:23" x14ac:dyDescent="0.25">
      <c r="A463" s="22"/>
      <c r="B463" s="23"/>
      <c r="C463" s="22"/>
      <c r="D463" s="22"/>
      <c r="E463" s="27"/>
      <c r="F463" s="22"/>
      <c r="G463" s="22"/>
      <c r="H463" s="22"/>
      <c r="I463" s="22"/>
      <c r="J463" s="22"/>
      <c r="K463" s="22"/>
      <c r="L463" s="22"/>
      <c r="M463" s="22"/>
      <c r="N463" s="27"/>
      <c r="O463" s="22"/>
      <c r="P463" s="5" t="str">
        <f>IF(A463="","",IF(COUNTIF(Типы,C463)=0,0,VLOOKUP(C463,СПРАВОЧНИКИ!$A$7:$E$22,2,FALSE)))</f>
        <v/>
      </c>
      <c r="Q463" s="25" t="str">
        <f t="shared" si="7"/>
        <v/>
      </c>
      <c r="R463" s="5" t="str">
        <f>IF(A463="","",IF(COUNTIF(Типы,C463)=0,"НЕИЗВЕСТНЫЙ ТИП",VLOOKUP(C463,СПРАВОЧНИКИ!$A$7:$E$22,3,FALSE)))</f>
        <v/>
      </c>
      <c r="S463" s="26" t="str">
        <f>IF(A463="","",IF(L463="Проведён",E463*IF(COUNTIF(Типы,C463)=0,0,VLOOKUP(C463,СПРАВОЧНИКИ!$A$7:$E$22,4,FALSE)),0))</f>
        <v/>
      </c>
      <c r="T463" s="26" t="str">
        <f>IF(A463="","",IF(L463="Проведён",E463*IF(COUNTIF(Типы,C463)=0,0,VLOOKUP(C463,СПРАВОЧНИКИ!$A$7:$E$22,5,FALSE)),0))</f>
        <v/>
      </c>
      <c r="U463" s="5" t="str">
        <f>IF(A463="","",IF(COUNTIF(Контрагенты,H463)=0,"Не задан",VLOOKUP(H463,СПРАВОЧНИКИ!$G$7:$H$66,2,FALSE)))</f>
        <v/>
      </c>
      <c r="V463" s="4" t="str">
        <f>IF(A463="",IF(COUNTA(B463:O463)&gt;0,"НЕТ ID",""),IF(OR(AND(OR(C463="Оплата клиента",C463="Возврат клиенту"),COUNTIFS(Docs[ID],J463,Docs[Тип долга],"ДЗ")&lt;&gt;1),AND(OR(C463="Оплата поставщику",C463="Возврат поставщика"),COUNTIFS(Docs[ID],J463,Docs[Тип долга],"КЗ",Docs[Вид],"&lt;&gt;Дивиденды")&lt;&gt;1),AND(C463="Дивиденды",COUNTIFS(Docs[ID],J463,Docs[Вид],"Дивиденды")&lt;&gt;1),AND(C463="Проценты",COUNTIFS(Docs[ID],J463,Docs[Вид],"Проценты")&lt;&gt;1),COUNTIF(Cash[ID],A463)&gt;1,NOT(ISNUMBER(B463)),B463&lt;НачалоУчета,YEAR(B463)&lt;&gt;Год,NOT(ISNUMBER(E463)),E463&lt;=0,N463&lt;0,COUNTIF(Типы,C463)&lt;&gt;1,COUNTIF(Категории,D463)&lt;&gt;1,COUNTIF(Счета,F463)&lt;&gt;1,COUNTIF(Проекты,I463)&lt;&gt;1,AND(H463&lt;&gt;"",COUNTIF(Контрагенты,H463)&lt;&gt;1),AND(C463="Перевод",OR(F463=G463,COUNTIF(Счета,G463)&lt;&gt;1)),AND(S463&lt;&gt;0,COUNTIF(Docs[ID],J463)&lt;&gt;1),AND(Форма="ООО",C463="Вывод ИП"),AND(Форма="ИП",C463="Дивиденды"),AND(L463&lt;&gt;"Проведён",L463&lt;&gt;"Черновик")),"ОШИБКА","ОК"))</f>
        <v/>
      </c>
      <c r="W463" s="25" t="str">
        <f>IF(A463="","",SUMIF(Accounts[Счёт],F463,Accounts[Начальный])+SUMIFS($Q$7:Q463,$F$7:F463,F463)+SUMIFS($E$7:E463,$G$7:G463,F463,$C$7:C463,"Перевод",$L$7:L463,"Проведён"))</f>
        <v/>
      </c>
    </row>
    <row r="464" spans="1:23" x14ac:dyDescent="0.25">
      <c r="A464" s="22"/>
      <c r="B464" s="23"/>
      <c r="C464" s="22"/>
      <c r="D464" s="22"/>
      <c r="E464" s="27"/>
      <c r="F464" s="22"/>
      <c r="G464" s="22"/>
      <c r="H464" s="22"/>
      <c r="I464" s="22"/>
      <c r="J464" s="22"/>
      <c r="K464" s="22"/>
      <c r="L464" s="22"/>
      <c r="M464" s="22"/>
      <c r="N464" s="27"/>
      <c r="O464" s="22"/>
      <c r="P464" s="5" t="str">
        <f>IF(A464="","",IF(COUNTIF(Типы,C464)=0,0,VLOOKUP(C464,СПРАВОЧНИКИ!$A$7:$E$22,2,FALSE)))</f>
        <v/>
      </c>
      <c r="Q464" s="25" t="str">
        <f t="shared" si="7"/>
        <v/>
      </c>
      <c r="R464" s="5" t="str">
        <f>IF(A464="","",IF(COUNTIF(Типы,C464)=0,"НЕИЗВЕСТНЫЙ ТИП",VLOOKUP(C464,СПРАВОЧНИКИ!$A$7:$E$22,3,FALSE)))</f>
        <v/>
      </c>
      <c r="S464" s="26" t="str">
        <f>IF(A464="","",IF(L464="Проведён",E464*IF(COUNTIF(Типы,C464)=0,0,VLOOKUP(C464,СПРАВОЧНИКИ!$A$7:$E$22,4,FALSE)),0))</f>
        <v/>
      </c>
      <c r="T464" s="26" t="str">
        <f>IF(A464="","",IF(L464="Проведён",E464*IF(COUNTIF(Типы,C464)=0,0,VLOOKUP(C464,СПРАВОЧНИКИ!$A$7:$E$22,5,FALSE)),0))</f>
        <v/>
      </c>
      <c r="U464" s="5" t="str">
        <f>IF(A464="","",IF(COUNTIF(Контрагенты,H464)=0,"Не задан",VLOOKUP(H464,СПРАВОЧНИКИ!$G$7:$H$66,2,FALSE)))</f>
        <v/>
      </c>
      <c r="V464" s="4" t="str">
        <f>IF(A464="",IF(COUNTA(B464:O464)&gt;0,"НЕТ ID",""),IF(OR(AND(OR(C464="Оплата клиента",C464="Возврат клиенту"),COUNTIFS(Docs[ID],J464,Docs[Тип долга],"ДЗ")&lt;&gt;1),AND(OR(C464="Оплата поставщику",C464="Возврат поставщика"),COUNTIFS(Docs[ID],J464,Docs[Тип долга],"КЗ",Docs[Вид],"&lt;&gt;Дивиденды")&lt;&gt;1),AND(C464="Дивиденды",COUNTIFS(Docs[ID],J464,Docs[Вид],"Дивиденды")&lt;&gt;1),AND(C464="Проценты",COUNTIFS(Docs[ID],J464,Docs[Вид],"Проценты")&lt;&gt;1),COUNTIF(Cash[ID],A464)&gt;1,NOT(ISNUMBER(B464)),B464&lt;НачалоУчета,YEAR(B464)&lt;&gt;Год,NOT(ISNUMBER(E464)),E464&lt;=0,N464&lt;0,COUNTIF(Типы,C464)&lt;&gt;1,COUNTIF(Категории,D464)&lt;&gt;1,COUNTIF(Счета,F464)&lt;&gt;1,COUNTIF(Проекты,I464)&lt;&gt;1,AND(H464&lt;&gt;"",COUNTIF(Контрагенты,H464)&lt;&gt;1),AND(C464="Перевод",OR(F464=G464,COUNTIF(Счета,G464)&lt;&gt;1)),AND(S464&lt;&gt;0,COUNTIF(Docs[ID],J464)&lt;&gt;1),AND(Форма="ООО",C464="Вывод ИП"),AND(Форма="ИП",C464="Дивиденды"),AND(L464&lt;&gt;"Проведён",L464&lt;&gt;"Черновик")),"ОШИБКА","ОК"))</f>
        <v/>
      </c>
      <c r="W464" s="25" t="str">
        <f>IF(A464="","",SUMIF(Accounts[Счёт],F464,Accounts[Начальный])+SUMIFS($Q$7:Q464,$F$7:F464,F464)+SUMIFS($E$7:E464,$G$7:G464,F464,$C$7:C464,"Перевод",$L$7:L464,"Проведён"))</f>
        <v/>
      </c>
    </row>
    <row r="465" spans="1:23" x14ac:dyDescent="0.25">
      <c r="A465" s="22"/>
      <c r="B465" s="23"/>
      <c r="C465" s="22"/>
      <c r="D465" s="22"/>
      <c r="E465" s="27"/>
      <c r="F465" s="22"/>
      <c r="G465" s="22"/>
      <c r="H465" s="22"/>
      <c r="I465" s="22"/>
      <c r="J465" s="22"/>
      <c r="K465" s="22"/>
      <c r="L465" s="22"/>
      <c r="M465" s="22"/>
      <c r="N465" s="27"/>
      <c r="O465" s="22"/>
      <c r="P465" s="5" t="str">
        <f>IF(A465="","",IF(COUNTIF(Типы,C465)=0,0,VLOOKUP(C465,СПРАВОЧНИКИ!$A$7:$E$22,2,FALSE)))</f>
        <v/>
      </c>
      <c r="Q465" s="25" t="str">
        <f t="shared" si="7"/>
        <v/>
      </c>
      <c r="R465" s="5" t="str">
        <f>IF(A465="","",IF(COUNTIF(Типы,C465)=0,"НЕИЗВЕСТНЫЙ ТИП",VLOOKUP(C465,СПРАВОЧНИКИ!$A$7:$E$22,3,FALSE)))</f>
        <v/>
      </c>
      <c r="S465" s="26" t="str">
        <f>IF(A465="","",IF(L465="Проведён",E465*IF(COUNTIF(Типы,C465)=0,0,VLOOKUP(C465,СПРАВОЧНИКИ!$A$7:$E$22,4,FALSE)),0))</f>
        <v/>
      </c>
      <c r="T465" s="26" t="str">
        <f>IF(A465="","",IF(L465="Проведён",E465*IF(COUNTIF(Типы,C465)=0,0,VLOOKUP(C465,СПРАВОЧНИКИ!$A$7:$E$22,5,FALSE)),0))</f>
        <v/>
      </c>
      <c r="U465" s="5" t="str">
        <f>IF(A465="","",IF(COUNTIF(Контрагенты,H465)=0,"Не задан",VLOOKUP(H465,СПРАВОЧНИКИ!$G$7:$H$66,2,FALSE)))</f>
        <v/>
      </c>
      <c r="V465" s="4" t="str">
        <f>IF(A465="",IF(COUNTA(B465:O465)&gt;0,"НЕТ ID",""),IF(OR(AND(OR(C465="Оплата клиента",C465="Возврат клиенту"),COUNTIFS(Docs[ID],J465,Docs[Тип долга],"ДЗ")&lt;&gt;1),AND(OR(C465="Оплата поставщику",C465="Возврат поставщика"),COUNTIFS(Docs[ID],J465,Docs[Тип долга],"КЗ",Docs[Вид],"&lt;&gt;Дивиденды")&lt;&gt;1),AND(C465="Дивиденды",COUNTIFS(Docs[ID],J465,Docs[Вид],"Дивиденды")&lt;&gt;1),AND(C465="Проценты",COUNTIFS(Docs[ID],J465,Docs[Вид],"Проценты")&lt;&gt;1),COUNTIF(Cash[ID],A465)&gt;1,NOT(ISNUMBER(B465)),B465&lt;НачалоУчета,YEAR(B465)&lt;&gt;Год,NOT(ISNUMBER(E465)),E465&lt;=0,N465&lt;0,COUNTIF(Типы,C465)&lt;&gt;1,COUNTIF(Категории,D465)&lt;&gt;1,COUNTIF(Счета,F465)&lt;&gt;1,COUNTIF(Проекты,I465)&lt;&gt;1,AND(H465&lt;&gt;"",COUNTIF(Контрагенты,H465)&lt;&gt;1),AND(C465="Перевод",OR(F465=G465,COUNTIF(Счета,G465)&lt;&gt;1)),AND(S465&lt;&gt;0,COUNTIF(Docs[ID],J465)&lt;&gt;1),AND(Форма="ООО",C465="Вывод ИП"),AND(Форма="ИП",C465="Дивиденды"),AND(L465&lt;&gt;"Проведён",L465&lt;&gt;"Черновик")),"ОШИБКА","ОК"))</f>
        <v/>
      </c>
      <c r="W465" s="25" t="str">
        <f>IF(A465="","",SUMIF(Accounts[Счёт],F465,Accounts[Начальный])+SUMIFS($Q$7:Q465,$F$7:F465,F465)+SUMIFS($E$7:E465,$G$7:G465,F465,$C$7:C465,"Перевод",$L$7:L465,"Проведён"))</f>
        <v/>
      </c>
    </row>
    <row r="466" spans="1:23" x14ac:dyDescent="0.25">
      <c r="A466" s="22"/>
      <c r="B466" s="23"/>
      <c r="C466" s="22"/>
      <c r="D466" s="22"/>
      <c r="E466" s="27"/>
      <c r="F466" s="22"/>
      <c r="G466" s="22"/>
      <c r="H466" s="22"/>
      <c r="I466" s="22"/>
      <c r="J466" s="22"/>
      <c r="K466" s="22"/>
      <c r="L466" s="22"/>
      <c r="M466" s="22"/>
      <c r="N466" s="27"/>
      <c r="O466" s="22"/>
      <c r="P466" s="5" t="str">
        <f>IF(A466="","",IF(COUNTIF(Типы,C466)=0,0,VLOOKUP(C466,СПРАВОЧНИКИ!$A$7:$E$22,2,FALSE)))</f>
        <v/>
      </c>
      <c r="Q466" s="25" t="str">
        <f t="shared" si="7"/>
        <v/>
      </c>
      <c r="R466" s="5" t="str">
        <f>IF(A466="","",IF(COUNTIF(Типы,C466)=0,"НЕИЗВЕСТНЫЙ ТИП",VLOOKUP(C466,СПРАВОЧНИКИ!$A$7:$E$22,3,FALSE)))</f>
        <v/>
      </c>
      <c r="S466" s="26" t="str">
        <f>IF(A466="","",IF(L466="Проведён",E466*IF(COUNTIF(Типы,C466)=0,0,VLOOKUP(C466,СПРАВОЧНИКИ!$A$7:$E$22,4,FALSE)),0))</f>
        <v/>
      </c>
      <c r="T466" s="26" t="str">
        <f>IF(A466="","",IF(L466="Проведён",E466*IF(COUNTIF(Типы,C466)=0,0,VLOOKUP(C466,СПРАВОЧНИКИ!$A$7:$E$22,5,FALSE)),0))</f>
        <v/>
      </c>
      <c r="U466" s="5" t="str">
        <f>IF(A466="","",IF(COUNTIF(Контрагенты,H466)=0,"Не задан",VLOOKUP(H466,СПРАВОЧНИКИ!$G$7:$H$66,2,FALSE)))</f>
        <v/>
      </c>
      <c r="V466" s="4" t="str">
        <f>IF(A466="",IF(COUNTA(B466:O466)&gt;0,"НЕТ ID",""),IF(OR(AND(OR(C466="Оплата клиента",C466="Возврат клиенту"),COUNTIFS(Docs[ID],J466,Docs[Тип долга],"ДЗ")&lt;&gt;1),AND(OR(C466="Оплата поставщику",C466="Возврат поставщика"),COUNTIFS(Docs[ID],J466,Docs[Тип долга],"КЗ",Docs[Вид],"&lt;&gt;Дивиденды")&lt;&gt;1),AND(C466="Дивиденды",COUNTIFS(Docs[ID],J466,Docs[Вид],"Дивиденды")&lt;&gt;1),AND(C466="Проценты",COUNTIFS(Docs[ID],J466,Docs[Вид],"Проценты")&lt;&gt;1),COUNTIF(Cash[ID],A466)&gt;1,NOT(ISNUMBER(B466)),B466&lt;НачалоУчета,YEAR(B466)&lt;&gt;Год,NOT(ISNUMBER(E466)),E466&lt;=0,N466&lt;0,COUNTIF(Типы,C466)&lt;&gt;1,COUNTIF(Категории,D466)&lt;&gt;1,COUNTIF(Счета,F466)&lt;&gt;1,COUNTIF(Проекты,I466)&lt;&gt;1,AND(H466&lt;&gt;"",COUNTIF(Контрагенты,H466)&lt;&gt;1),AND(C466="Перевод",OR(F466=G466,COUNTIF(Счета,G466)&lt;&gt;1)),AND(S466&lt;&gt;0,COUNTIF(Docs[ID],J466)&lt;&gt;1),AND(Форма="ООО",C466="Вывод ИП"),AND(Форма="ИП",C466="Дивиденды"),AND(L466&lt;&gt;"Проведён",L466&lt;&gt;"Черновик")),"ОШИБКА","ОК"))</f>
        <v/>
      </c>
      <c r="W466" s="25" t="str">
        <f>IF(A466="","",SUMIF(Accounts[Счёт],F466,Accounts[Начальный])+SUMIFS($Q$7:Q466,$F$7:F466,F466)+SUMIFS($E$7:E466,$G$7:G466,F466,$C$7:C466,"Перевод",$L$7:L466,"Проведён"))</f>
        <v/>
      </c>
    </row>
    <row r="467" spans="1:23" x14ac:dyDescent="0.25">
      <c r="A467" s="22"/>
      <c r="B467" s="23"/>
      <c r="C467" s="22"/>
      <c r="D467" s="22"/>
      <c r="E467" s="27"/>
      <c r="F467" s="22"/>
      <c r="G467" s="22"/>
      <c r="H467" s="22"/>
      <c r="I467" s="22"/>
      <c r="J467" s="22"/>
      <c r="K467" s="22"/>
      <c r="L467" s="22"/>
      <c r="M467" s="22"/>
      <c r="N467" s="27"/>
      <c r="O467" s="22"/>
      <c r="P467" s="5" t="str">
        <f>IF(A467="","",IF(COUNTIF(Типы,C467)=0,0,VLOOKUP(C467,СПРАВОЧНИКИ!$A$7:$E$22,2,FALSE)))</f>
        <v/>
      </c>
      <c r="Q467" s="25" t="str">
        <f t="shared" si="7"/>
        <v/>
      </c>
      <c r="R467" s="5" t="str">
        <f>IF(A467="","",IF(COUNTIF(Типы,C467)=0,"НЕИЗВЕСТНЫЙ ТИП",VLOOKUP(C467,СПРАВОЧНИКИ!$A$7:$E$22,3,FALSE)))</f>
        <v/>
      </c>
      <c r="S467" s="26" t="str">
        <f>IF(A467="","",IF(L467="Проведён",E467*IF(COUNTIF(Типы,C467)=0,0,VLOOKUP(C467,СПРАВОЧНИКИ!$A$7:$E$22,4,FALSE)),0))</f>
        <v/>
      </c>
      <c r="T467" s="26" t="str">
        <f>IF(A467="","",IF(L467="Проведён",E467*IF(COUNTIF(Типы,C467)=0,0,VLOOKUP(C467,СПРАВОЧНИКИ!$A$7:$E$22,5,FALSE)),0))</f>
        <v/>
      </c>
      <c r="U467" s="5" t="str">
        <f>IF(A467="","",IF(COUNTIF(Контрагенты,H467)=0,"Не задан",VLOOKUP(H467,СПРАВОЧНИКИ!$G$7:$H$66,2,FALSE)))</f>
        <v/>
      </c>
      <c r="V467" s="4" t="str">
        <f>IF(A467="",IF(COUNTA(B467:O467)&gt;0,"НЕТ ID",""),IF(OR(AND(OR(C467="Оплата клиента",C467="Возврат клиенту"),COUNTIFS(Docs[ID],J467,Docs[Тип долга],"ДЗ")&lt;&gt;1),AND(OR(C467="Оплата поставщику",C467="Возврат поставщика"),COUNTIFS(Docs[ID],J467,Docs[Тип долга],"КЗ",Docs[Вид],"&lt;&gt;Дивиденды")&lt;&gt;1),AND(C467="Дивиденды",COUNTIFS(Docs[ID],J467,Docs[Вид],"Дивиденды")&lt;&gt;1),AND(C467="Проценты",COUNTIFS(Docs[ID],J467,Docs[Вид],"Проценты")&lt;&gt;1),COUNTIF(Cash[ID],A467)&gt;1,NOT(ISNUMBER(B467)),B467&lt;НачалоУчета,YEAR(B467)&lt;&gt;Год,NOT(ISNUMBER(E467)),E467&lt;=0,N467&lt;0,COUNTIF(Типы,C467)&lt;&gt;1,COUNTIF(Категории,D467)&lt;&gt;1,COUNTIF(Счета,F467)&lt;&gt;1,COUNTIF(Проекты,I467)&lt;&gt;1,AND(H467&lt;&gt;"",COUNTIF(Контрагенты,H467)&lt;&gt;1),AND(C467="Перевод",OR(F467=G467,COUNTIF(Счета,G467)&lt;&gt;1)),AND(S467&lt;&gt;0,COUNTIF(Docs[ID],J467)&lt;&gt;1),AND(Форма="ООО",C467="Вывод ИП"),AND(Форма="ИП",C467="Дивиденды"),AND(L467&lt;&gt;"Проведён",L467&lt;&gt;"Черновик")),"ОШИБКА","ОК"))</f>
        <v/>
      </c>
      <c r="W467" s="25" t="str">
        <f>IF(A467="","",SUMIF(Accounts[Счёт],F467,Accounts[Начальный])+SUMIFS($Q$7:Q467,$F$7:F467,F467)+SUMIFS($E$7:E467,$G$7:G467,F467,$C$7:C467,"Перевод",$L$7:L467,"Проведён"))</f>
        <v/>
      </c>
    </row>
    <row r="468" spans="1:23" x14ac:dyDescent="0.25">
      <c r="A468" s="22"/>
      <c r="B468" s="23"/>
      <c r="C468" s="22"/>
      <c r="D468" s="22"/>
      <c r="E468" s="27"/>
      <c r="F468" s="22"/>
      <c r="G468" s="22"/>
      <c r="H468" s="22"/>
      <c r="I468" s="22"/>
      <c r="J468" s="22"/>
      <c r="K468" s="22"/>
      <c r="L468" s="22"/>
      <c r="M468" s="22"/>
      <c r="N468" s="27"/>
      <c r="O468" s="22"/>
      <c r="P468" s="5" t="str">
        <f>IF(A468="","",IF(COUNTIF(Типы,C468)=0,0,VLOOKUP(C468,СПРАВОЧНИКИ!$A$7:$E$22,2,FALSE)))</f>
        <v/>
      </c>
      <c r="Q468" s="25" t="str">
        <f t="shared" si="7"/>
        <v/>
      </c>
      <c r="R468" s="5" t="str">
        <f>IF(A468="","",IF(COUNTIF(Типы,C468)=0,"НЕИЗВЕСТНЫЙ ТИП",VLOOKUP(C468,СПРАВОЧНИКИ!$A$7:$E$22,3,FALSE)))</f>
        <v/>
      </c>
      <c r="S468" s="26" t="str">
        <f>IF(A468="","",IF(L468="Проведён",E468*IF(COUNTIF(Типы,C468)=0,0,VLOOKUP(C468,СПРАВОЧНИКИ!$A$7:$E$22,4,FALSE)),0))</f>
        <v/>
      </c>
      <c r="T468" s="26" t="str">
        <f>IF(A468="","",IF(L468="Проведён",E468*IF(COUNTIF(Типы,C468)=0,0,VLOOKUP(C468,СПРАВОЧНИКИ!$A$7:$E$22,5,FALSE)),0))</f>
        <v/>
      </c>
      <c r="U468" s="5" t="str">
        <f>IF(A468="","",IF(COUNTIF(Контрагенты,H468)=0,"Не задан",VLOOKUP(H468,СПРАВОЧНИКИ!$G$7:$H$66,2,FALSE)))</f>
        <v/>
      </c>
      <c r="V468" s="4" t="str">
        <f>IF(A468="",IF(COUNTA(B468:O468)&gt;0,"НЕТ ID",""),IF(OR(AND(OR(C468="Оплата клиента",C468="Возврат клиенту"),COUNTIFS(Docs[ID],J468,Docs[Тип долга],"ДЗ")&lt;&gt;1),AND(OR(C468="Оплата поставщику",C468="Возврат поставщика"),COUNTIFS(Docs[ID],J468,Docs[Тип долга],"КЗ",Docs[Вид],"&lt;&gt;Дивиденды")&lt;&gt;1),AND(C468="Дивиденды",COUNTIFS(Docs[ID],J468,Docs[Вид],"Дивиденды")&lt;&gt;1),AND(C468="Проценты",COUNTIFS(Docs[ID],J468,Docs[Вид],"Проценты")&lt;&gt;1),COUNTIF(Cash[ID],A468)&gt;1,NOT(ISNUMBER(B468)),B468&lt;НачалоУчета,YEAR(B468)&lt;&gt;Год,NOT(ISNUMBER(E468)),E468&lt;=0,N468&lt;0,COUNTIF(Типы,C468)&lt;&gt;1,COUNTIF(Категории,D468)&lt;&gt;1,COUNTIF(Счета,F468)&lt;&gt;1,COUNTIF(Проекты,I468)&lt;&gt;1,AND(H468&lt;&gt;"",COUNTIF(Контрагенты,H468)&lt;&gt;1),AND(C468="Перевод",OR(F468=G468,COUNTIF(Счета,G468)&lt;&gt;1)),AND(S468&lt;&gt;0,COUNTIF(Docs[ID],J468)&lt;&gt;1),AND(Форма="ООО",C468="Вывод ИП"),AND(Форма="ИП",C468="Дивиденды"),AND(L468&lt;&gt;"Проведён",L468&lt;&gt;"Черновик")),"ОШИБКА","ОК"))</f>
        <v/>
      </c>
      <c r="W468" s="25" t="str">
        <f>IF(A468="","",SUMIF(Accounts[Счёт],F468,Accounts[Начальный])+SUMIFS($Q$7:Q468,$F$7:F468,F468)+SUMIFS($E$7:E468,$G$7:G468,F468,$C$7:C468,"Перевод",$L$7:L468,"Проведён"))</f>
        <v/>
      </c>
    </row>
    <row r="469" spans="1:23" x14ac:dyDescent="0.25">
      <c r="A469" s="22"/>
      <c r="B469" s="23"/>
      <c r="C469" s="22"/>
      <c r="D469" s="22"/>
      <c r="E469" s="27"/>
      <c r="F469" s="22"/>
      <c r="G469" s="22"/>
      <c r="H469" s="22"/>
      <c r="I469" s="22"/>
      <c r="J469" s="22"/>
      <c r="K469" s="22"/>
      <c r="L469" s="22"/>
      <c r="M469" s="22"/>
      <c r="N469" s="27"/>
      <c r="O469" s="22"/>
      <c r="P469" s="5" t="str">
        <f>IF(A469="","",IF(COUNTIF(Типы,C469)=0,0,VLOOKUP(C469,СПРАВОЧНИКИ!$A$7:$E$22,2,FALSE)))</f>
        <v/>
      </c>
      <c r="Q469" s="25" t="str">
        <f t="shared" si="7"/>
        <v/>
      </c>
      <c r="R469" s="5" t="str">
        <f>IF(A469="","",IF(COUNTIF(Типы,C469)=0,"НЕИЗВЕСТНЫЙ ТИП",VLOOKUP(C469,СПРАВОЧНИКИ!$A$7:$E$22,3,FALSE)))</f>
        <v/>
      </c>
      <c r="S469" s="26" t="str">
        <f>IF(A469="","",IF(L469="Проведён",E469*IF(COUNTIF(Типы,C469)=0,0,VLOOKUP(C469,СПРАВОЧНИКИ!$A$7:$E$22,4,FALSE)),0))</f>
        <v/>
      </c>
      <c r="T469" s="26" t="str">
        <f>IF(A469="","",IF(L469="Проведён",E469*IF(COUNTIF(Типы,C469)=0,0,VLOOKUP(C469,СПРАВОЧНИКИ!$A$7:$E$22,5,FALSE)),0))</f>
        <v/>
      </c>
      <c r="U469" s="5" t="str">
        <f>IF(A469="","",IF(COUNTIF(Контрагенты,H469)=0,"Не задан",VLOOKUP(H469,СПРАВОЧНИКИ!$G$7:$H$66,2,FALSE)))</f>
        <v/>
      </c>
      <c r="V469" s="4" t="str">
        <f>IF(A469="",IF(COUNTA(B469:O469)&gt;0,"НЕТ ID",""),IF(OR(AND(OR(C469="Оплата клиента",C469="Возврат клиенту"),COUNTIFS(Docs[ID],J469,Docs[Тип долга],"ДЗ")&lt;&gt;1),AND(OR(C469="Оплата поставщику",C469="Возврат поставщика"),COUNTIFS(Docs[ID],J469,Docs[Тип долга],"КЗ",Docs[Вид],"&lt;&gt;Дивиденды")&lt;&gt;1),AND(C469="Дивиденды",COUNTIFS(Docs[ID],J469,Docs[Вид],"Дивиденды")&lt;&gt;1),AND(C469="Проценты",COUNTIFS(Docs[ID],J469,Docs[Вид],"Проценты")&lt;&gt;1),COUNTIF(Cash[ID],A469)&gt;1,NOT(ISNUMBER(B469)),B469&lt;НачалоУчета,YEAR(B469)&lt;&gt;Год,NOT(ISNUMBER(E469)),E469&lt;=0,N469&lt;0,COUNTIF(Типы,C469)&lt;&gt;1,COUNTIF(Категории,D469)&lt;&gt;1,COUNTIF(Счета,F469)&lt;&gt;1,COUNTIF(Проекты,I469)&lt;&gt;1,AND(H469&lt;&gt;"",COUNTIF(Контрагенты,H469)&lt;&gt;1),AND(C469="Перевод",OR(F469=G469,COUNTIF(Счета,G469)&lt;&gt;1)),AND(S469&lt;&gt;0,COUNTIF(Docs[ID],J469)&lt;&gt;1),AND(Форма="ООО",C469="Вывод ИП"),AND(Форма="ИП",C469="Дивиденды"),AND(L469&lt;&gt;"Проведён",L469&lt;&gt;"Черновик")),"ОШИБКА","ОК"))</f>
        <v/>
      </c>
      <c r="W469" s="25" t="str">
        <f>IF(A469="","",SUMIF(Accounts[Счёт],F469,Accounts[Начальный])+SUMIFS($Q$7:Q469,$F$7:F469,F469)+SUMIFS($E$7:E469,$G$7:G469,F469,$C$7:C469,"Перевод",$L$7:L469,"Проведён"))</f>
        <v/>
      </c>
    </row>
    <row r="470" spans="1:23" x14ac:dyDescent="0.25">
      <c r="A470" s="22"/>
      <c r="B470" s="23"/>
      <c r="C470" s="22"/>
      <c r="D470" s="22"/>
      <c r="E470" s="27"/>
      <c r="F470" s="22"/>
      <c r="G470" s="22"/>
      <c r="H470" s="22"/>
      <c r="I470" s="22"/>
      <c r="J470" s="22"/>
      <c r="K470" s="22"/>
      <c r="L470" s="22"/>
      <c r="M470" s="22"/>
      <c r="N470" s="27"/>
      <c r="O470" s="22"/>
      <c r="P470" s="5" t="str">
        <f>IF(A470="","",IF(COUNTIF(Типы,C470)=0,0,VLOOKUP(C470,СПРАВОЧНИКИ!$A$7:$E$22,2,FALSE)))</f>
        <v/>
      </c>
      <c r="Q470" s="25" t="str">
        <f t="shared" si="7"/>
        <v/>
      </c>
      <c r="R470" s="5" t="str">
        <f>IF(A470="","",IF(COUNTIF(Типы,C470)=0,"НЕИЗВЕСТНЫЙ ТИП",VLOOKUP(C470,СПРАВОЧНИКИ!$A$7:$E$22,3,FALSE)))</f>
        <v/>
      </c>
      <c r="S470" s="26" t="str">
        <f>IF(A470="","",IF(L470="Проведён",E470*IF(COUNTIF(Типы,C470)=0,0,VLOOKUP(C470,СПРАВОЧНИКИ!$A$7:$E$22,4,FALSE)),0))</f>
        <v/>
      </c>
      <c r="T470" s="26" t="str">
        <f>IF(A470="","",IF(L470="Проведён",E470*IF(COUNTIF(Типы,C470)=0,0,VLOOKUP(C470,СПРАВОЧНИКИ!$A$7:$E$22,5,FALSE)),0))</f>
        <v/>
      </c>
      <c r="U470" s="5" t="str">
        <f>IF(A470="","",IF(COUNTIF(Контрагенты,H470)=0,"Не задан",VLOOKUP(H470,СПРАВОЧНИКИ!$G$7:$H$66,2,FALSE)))</f>
        <v/>
      </c>
      <c r="V470" s="4" t="str">
        <f>IF(A470="",IF(COUNTA(B470:O470)&gt;0,"НЕТ ID",""),IF(OR(AND(OR(C470="Оплата клиента",C470="Возврат клиенту"),COUNTIFS(Docs[ID],J470,Docs[Тип долга],"ДЗ")&lt;&gt;1),AND(OR(C470="Оплата поставщику",C470="Возврат поставщика"),COUNTIFS(Docs[ID],J470,Docs[Тип долга],"КЗ",Docs[Вид],"&lt;&gt;Дивиденды")&lt;&gt;1),AND(C470="Дивиденды",COUNTIFS(Docs[ID],J470,Docs[Вид],"Дивиденды")&lt;&gt;1),AND(C470="Проценты",COUNTIFS(Docs[ID],J470,Docs[Вид],"Проценты")&lt;&gt;1),COUNTIF(Cash[ID],A470)&gt;1,NOT(ISNUMBER(B470)),B470&lt;НачалоУчета,YEAR(B470)&lt;&gt;Год,NOT(ISNUMBER(E470)),E470&lt;=0,N470&lt;0,COUNTIF(Типы,C470)&lt;&gt;1,COUNTIF(Категории,D470)&lt;&gt;1,COUNTIF(Счета,F470)&lt;&gt;1,COUNTIF(Проекты,I470)&lt;&gt;1,AND(H470&lt;&gt;"",COUNTIF(Контрагенты,H470)&lt;&gt;1),AND(C470="Перевод",OR(F470=G470,COUNTIF(Счета,G470)&lt;&gt;1)),AND(S470&lt;&gt;0,COUNTIF(Docs[ID],J470)&lt;&gt;1),AND(Форма="ООО",C470="Вывод ИП"),AND(Форма="ИП",C470="Дивиденды"),AND(L470&lt;&gt;"Проведён",L470&lt;&gt;"Черновик")),"ОШИБКА","ОК"))</f>
        <v/>
      </c>
      <c r="W470" s="25" t="str">
        <f>IF(A470="","",SUMIF(Accounts[Счёт],F470,Accounts[Начальный])+SUMIFS($Q$7:Q470,$F$7:F470,F470)+SUMIFS($E$7:E470,$G$7:G470,F470,$C$7:C470,"Перевод",$L$7:L470,"Проведён"))</f>
        <v/>
      </c>
    </row>
    <row r="471" spans="1:23" x14ac:dyDescent="0.25">
      <c r="A471" s="22"/>
      <c r="B471" s="23"/>
      <c r="C471" s="22"/>
      <c r="D471" s="22"/>
      <c r="E471" s="27"/>
      <c r="F471" s="22"/>
      <c r="G471" s="22"/>
      <c r="H471" s="22"/>
      <c r="I471" s="22"/>
      <c r="J471" s="22"/>
      <c r="K471" s="22"/>
      <c r="L471" s="22"/>
      <c r="M471" s="22"/>
      <c r="N471" s="27"/>
      <c r="O471" s="22"/>
      <c r="P471" s="5" t="str">
        <f>IF(A471="","",IF(COUNTIF(Типы,C471)=0,0,VLOOKUP(C471,СПРАВОЧНИКИ!$A$7:$E$22,2,FALSE)))</f>
        <v/>
      </c>
      <c r="Q471" s="25" t="str">
        <f t="shared" si="7"/>
        <v/>
      </c>
      <c r="R471" s="5" t="str">
        <f>IF(A471="","",IF(COUNTIF(Типы,C471)=0,"НЕИЗВЕСТНЫЙ ТИП",VLOOKUP(C471,СПРАВОЧНИКИ!$A$7:$E$22,3,FALSE)))</f>
        <v/>
      </c>
      <c r="S471" s="26" t="str">
        <f>IF(A471="","",IF(L471="Проведён",E471*IF(COUNTIF(Типы,C471)=0,0,VLOOKUP(C471,СПРАВОЧНИКИ!$A$7:$E$22,4,FALSE)),0))</f>
        <v/>
      </c>
      <c r="T471" s="26" t="str">
        <f>IF(A471="","",IF(L471="Проведён",E471*IF(COUNTIF(Типы,C471)=0,0,VLOOKUP(C471,СПРАВОЧНИКИ!$A$7:$E$22,5,FALSE)),0))</f>
        <v/>
      </c>
      <c r="U471" s="5" t="str">
        <f>IF(A471="","",IF(COUNTIF(Контрагенты,H471)=0,"Не задан",VLOOKUP(H471,СПРАВОЧНИКИ!$G$7:$H$66,2,FALSE)))</f>
        <v/>
      </c>
      <c r="V471" s="4" t="str">
        <f>IF(A471="",IF(COUNTA(B471:O471)&gt;0,"НЕТ ID",""),IF(OR(AND(OR(C471="Оплата клиента",C471="Возврат клиенту"),COUNTIFS(Docs[ID],J471,Docs[Тип долга],"ДЗ")&lt;&gt;1),AND(OR(C471="Оплата поставщику",C471="Возврат поставщика"),COUNTIFS(Docs[ID],J471,Docs[Тип долга],"КЗ",Docs[Вид],"&lt;&gt;Дивиденды")&lt;&gt;1),AND(C471="Дивиденды",COUNTIFS(Docs[ID],J471,Docs[Вид],"Дивиденды")&lt;&gt;1),AND(C471="Проценты",COUNTIFS(Docs[ID],J471,Docs[Вид],"Проценты")&lt;&gt;1),COUNTIF(Cash[ID],A471)&gt;1,NOT(ISNUMBER(B471)),B471&lt;НачалоУчета,YEAR(B471)&lt;&gt;Год,NOT(ISNUMBER(E471)),E471&lt;=0,N471&lt;0,COUNTIF(Типы,C471)&lt;&gt;1,COUNTIF(Категории,D471)&lt;&gt;1,COUNTIF(Счета,F471)&lt;&gt;1,COUNTIF(Проекты,I471)&lt;&gt;1,AND(H471&lt;&gt;"",COUNTIF(Контрагенты,H471)&lt;&gt;1),AND(C471="Перевод",OR(F471=G471,COUNTIF(Счета,G471)&lt;&gt;1)),AND(S471&lt;&gt;0,COUNTIF(Docs[ID],J471)&lt;&gt;1),AND(Форма="ООО",C471="Вывод ИП"),AND(Форма="ИП",C471="Дивиденды"),AND(L471&lt;&gt;"Проведён",L471&lt;&gt;"Черновик")),"ОШИБКА","ОК"))</f>
        <v/>
      </c>
      <c r="W471" s="25" t="str">
        <f>IF(A471="","",SUMIF(Accounts[Счёт],F471,Accounts[Начальный])+SUMIFS($Q$7:Q471,$F$7:F471,F471)+SUMIFS($E$7:E471,$G$7:G471,F471,$C$7:C471,"Перевод",$L$7:L471,"Проведён"))</f>
        <v/>
      </c>
    </row>
    <row r="472" spans="1:23" x14ac:dyDescent="0.25">
      <c r="A472" s="22"/>
      <c r="B472" s="23"/>
      <c r="C472" s="22"/>
      <c r="D472" s="22"/>
      <c r="E472" s="27"/>
      <c r="F472" s="22"/>
      <c r="G472" s="22"/>
      <c r="H472" s="22"/>
      <c r="I472" s="22"/>
      <c r="J472" s="22"/>
      <c r="K472" s="22"/>
      <c r="L472" s="22"/>
      <c r="M472" s="22"/>
      <c r="N472" s="27"/>
      <c r="O472" s="22"/>
      <c r="P472" s="5" t="str">
        <f>IF(A472="","",IF(COUNTIF(Типы,C472)=0,0,VLOOKUP(C472,СПРАВОЧНИКИ!$A$7:$E$22,2,FALSE)))</f>
        <v/>
      </c>
      <c r="Q472" s="25" t="str">
        <f t="shared" si="7"/>
        <v/>
      </c>
      <c r="R472" s="5" t="str">
        <f>IF(A472="","",IF(COUNTIF(Типы,C472)=0,"НЕИЗВЕСТНЫЙ ТИП",VLOOKUP(C472,СПРАВОЧНИКИ!$A$7:$E$22,3,FALSE)))</f>
        <v/>
      </c>
      <c r="S472" s="26" t="str">
        <f>IF(A472="","",IF(L472="Проведён",E472*IF(COUNTIF(Типы,C472)=0,0,VLOOKUP(C472,СПРАВОЧНИКИ!$A$7:$E$22,4,FALSE)),0))</f>
        <v/>
      </c>
      <c r="T472" s="26" t="str">
        <f>IF(A472="","",IF(L472="Проведён",E472*IF(COUNTIF(Типы,C472)=0,0,VLOOKUP(C472,СПРАВОЧНИКИ!$A$7:$E$22,5,FALSE)),0))</f>
        <v/>
      </c>
      <c r="U472" s="5" t="str">
        <f>IF(A472="","",IF(COUNTIF(Контрагенты,H472)=0,"Не задан",VLOOKUP(H472,СПРАВОЧНИКИ!$G$7:$H$66,2,FALSE)))</f>
        <v/>
      </c>
      <c r="V472" s="4" t="str">
        <f>IF(A472="",IF(COUNTA(B472:O472)&gt;0,"НЕТ ID",""),IF(OR(AND(OR(C472="Оплата клиента",C472="Возврат клиенту"),COUNTIFS(Docs[ID],J472,Docs[Тип долга],"ДЗ")&lt;&gt;1),AND(OR(C472="Оплата поставщику",C472="Возврат поставщика"),COUNTIFS(Docs[ID],J472,Docs[Тип долга],"КЗ",Docs[Вид],"&lt;&gt;Дивиденды")&lt;&gt;1),AND(C472="Дивиденды",COUNTIFS(Docs[ID],J472,Docs[Вид],"Дивиденды")&lt;&gt;1),AND(C472="Проценты",COUNTIFS(Docs[ID],J472,Docs[Вид],"Проценты")&lt;&gt;1),COUNTIF(Cash[ID],A472)&gt;1,NOT(ISNUMBER(B472)),B472&lt;НачалоУчета,YEAR(B472)&lt;&gt;Год,NOT(ISNUMBER(E472)),E472&lt;=0,N472&lt;0,COUNTIF(Типы,C472)&lt;&gt;1,COUNTIF(Категории,D472)&lt;&gt;1,COUNTIF(Счета,F472)&lt;&gt;1,COUNTIF(Проекты,I472)&lt;&gt;1,AND(H472&lt;&gt;"",COUNTIF(Контрагенты,H472)&lt;&gt;1),AND(C472="Перевод",OR(F472=G472,COUNTIF(Счета,G472)&lt;&gt;1)),AND(S472&lt;&gt;0,COUNTIF(Docs[ID],J472)&lt;&gt;1),AND(Форма="ООО",C472="Вывод ИП"),AND(Форма="ИП",C472="Дивиденды"),AND(L472&lt;&gt;"Проведён",L472&lt;&gt;"Черновик")),"ОШИБКА","ОК"))</f>
        <v/>
      </c>
      <c r="W472" s="25" t="str">
        <f>IF(A472="","",SUMIF(Accounts[Счёт],F472,Accounts[Начальный])+SUMIFS($Q$7:Q472,$F$7:F472,F472)+SUMIFS($E$7:E472,$G$7:G472,F472,$C$7:C472,"Перевод",$L$7:L472,"Проведён"))</f>
        <v/>
      </c>
    </row>
    <row r="473" spans="1:23" x14ac:dyDescent="0.25">
      <c r="A473" s="22"/>
      <c r="B473" s="23"/>
      <c r="C473" s="22"/>
      <c r="D473" s="22"/>
      <c r="E473" s="27"/>
      <c r="F473" s="22"/>
      <c r="G473" s="22"/>
      <c r="H473" s="22"/>
      <c r="I473" s="22"/>
      <c r="J473" s="22"/>
      <c r="K473" s="22"/>
      <c r="L473" s="22"/>
      <c r="M473" s="22"/>
      <c r="N473" s="27"/>
      <c r="O473" s="22"/>
      <c r="P473" s="5" t="str">
        <f>IF(A473="","",IF(COUNTIF(Типы,C473)=0,0,VLOOKUP(C473,СПРАВОЧНИКИ!$A$7:$E$22,2,FALSE)))</f>
        <v/>
      </c>
      <c r="Q473" s="25" t="str">
        <f t="shared" si="7"/>
        <v/>
      </c>
      <c r="R473" s="5" t="str">
        <f>IF(A473="","",IF(COUNTIF(Типы,C473)=0,"НЕИЗВЕСТНЫЙ ТИП",VLOOKUP(C473,СПРАВОЧНИКИ!$A$7:$E$22,3,FALSE)))</f>
        <v/>
      </c>
      <c r="S473" s="26" t="str">
        <f>IF(A473="","",IF(L473="Проведён",E473*IF(COUNTIF(Типы,C473)=0,0,VLOOKUP(C473,СПРАВОЧНИКИ!$A$7:$E$22,4,FALSE)),0))</f>
        <v/>
      </c>
      <c r="T473" s="26" t="str">
        <f>IF(A473="","",IF(L473="Проведён",E473*IF(COUNTIF(Типы,C473)=0,0,VLOOKUP(C473,СПРАВОЧНИКИ!$A$7:$E$22,5,FALSE)),0))</f>
        <v/>
      </c>
      <c r="U473" s="5" t="str">
        <f>IF(A473="","",IF(COUNTIF(Контрагенты,H473)=0,"Не задан",VLOOKUP(H473,СПРАВОЧНИКИ!$G$7:$H$66,2,FALSE)))</f>
        <v/>
      </c>
      <c r="V473" s="4" t="str">
        <f>IF(A473="",IF(COUNTA(B473:O473)&gt;0,"НЕТ ID",""),IF(OR(AND(OR(C473="Оплата клиента",C473="Возврат клиенту"),COUNTIFS(Docs[ID],J473,Docs[Тип долга],"ДЗ")&lt;&gt;1),AND(OR(C473="Оплата поставщику",C473="Возврат поставщика"),COUNTIFS(Docs[ID],J473,Docs[Тип долга],"КЗ",Docs[Вид],"&lt;&gt;Дивиденды")&lt;&gt;1),AND(C473="Дивиденды",COUNTIFS(Docs[ID],J473,Docs[Вид],"Дивиденды")&lt;&gt;1),AND(C473="Проценты",COUNTIFS(Docs[ID],J473,Docs[Вид],"Проценты")&lt;&gt;1),COUNTIF(Cash[ID],A473)&gt;1,NOT(ISNUMBER(B473)),B473&lt;НачалоУчета,YEAR(B473)&lt;&gt;Год,NOT(ISNUMBER(E473)),E473&lt;=0,N473&lt;0,COUNTIF(Типы,C473)&lt;&gt;1,COUNTIF(Категории,D473)&lt;&gt;1,COUNTIF(Счета,F473)&lt;&gt;1,COUNTIF(Проекты,I473)&lt;&gt;1,AND(H473&lt;&gt;"",COUNTIF(Контрагенты,H473)&lt;&gt;1),AND(C473="Перевод",OR(F473=G473,COUNTIF(Счета,G473)&lt;&gt;1)),AND(S473&lt;&gt;0,COUNTIF(Docs[ID],J473)&lt;&gt;1),AND(Форма="ООО",C473="Вывод ИП"),AND(Форма="ИП",C473="Дивиденды"),AND(L473&lt;&gt;"Проведён",L473&lt;&gt;"Черновик")),"ОШИБКА","ОК"))</f>
        <v/>
      </c>
      <c r="W473" s="25" t="str">
        <f>IF(A473="","",SUMIF(Accounts[Счёт],F473,Accounts[Начальный])+SUMIFS($Q$7:Q473,$F$7:F473,F473)+SUMIFS($E$7:E473,$G$7:G473,F473,$C$7:C473,"Перевод",$L$7:L473,"Проведён"))</f>
        <v/>
      </c>
    </row>
    <row r="474" spans="1:23" x14ac:dyDescent="0.25">
      <c r="A474" s="22"/>
      <c r="B474" s="23"/>
      <c r="C474" s="22"/>
      <c r="D474" s="22"/>
      <c r="E474" s="27"/>
      <c r="F474" s="22"/>
      <c r="G474" s="22"/>
      <c r="H474" s="22"/>
      <c r="I474" s="22"/>
      <c r="J474" s="22"/>
      <c r="K474" s="22"/>
      <c r="L474" s="22"/>
      <c r="M474" s="22"/>
      <c r="N474" s="27"/>
      <c r="O474" s="22"/>
      <c r="P474" s="5" t="str">
        <f>IF(A474="","",IF(COUNTIF(Типы,C474)=0,0,VLOOKUP(C474,СПРАВОЧНИКИ!$A$7:$E$22,2,FALSE)))</f>
        <v/>
      </c>
      <c r="Q474" s="25" t="str">
        <f t="shared" si="7"/>
        <v/>
      </c>
      <c r="R474" s="5" t="str">
        <f>IF(A474="","",IF(COUNTIF(Типы,C474)=0,"НЕИЗВЕСТНЫЙ ТИП",VLOOKUP(C474,СПРАВОЧНИКИ!$A$7:$E$22,3,FALSE)))</f>
        <v/>
      </c>
      <c r="S474" s="26" t="str">
        <f>IF(A474="","",IF(L474="Проведён",E474*IF(COUNTIF(Типы,C474)=0,0,VLOOKUP(C474,СПРАВОЧНИКИ!$A$7:$E$22,4,FALSE)),0))</f>
        <v/>
      </c>
      <c r="T474" s="26" t="str">
        <f>IF(A474="","",IF(L474="Проведён",E474*IF(COUNTIF(Типы,C474)=0,0,VLOOKUP(C474,СПРАВОЧНИКИ!$A$7:$E$22,5,FALSE)),0))</f>
        <v/>
      </c>
      <c r="U474" s="5" t="str">
        <f>IF(A474="","",IF(COUNTIF(Контрагенты,H474)=0,"Не задан",VLOOKUP(H474,СПРАВОЧНИКИ!$G$7:$H$66,2,FALSE)))</f>
        <v/>
      </c>
      <c r="V474" s="4" t="str">
        <f>IF(A474="",IF(COUNTA(B474:O474)&gt;0,"НЕТ ID",""),IF(OR(AND(OR(C474="Оплата клиента",C474="Возврат клиенту"),COUNTIFS(Docs[ID],J474,Docs[Тип долга],"ДЗ")&lt;&gt;1),AND(OR(C474="Оплата поставщику",C474="Возврат поставщика"),COUNTIFS(Docs[ID],J474,Docs[Тип долга],"КЗ",Docs[Вид],"&lt;&gt;Дивиденды")&lt;&gt;1),AND(C474="Дивиденды",COUNTIFS(Docs[ID],J474,Docs[Вид],"Дивиденды")&lt;&gt;1),AND(C474="Проценты",COUNTIFS(Docs[ID],J474,Docs[Вид],"Проценты")&lt;&gt;1),COUNTIF(Cash[ID],A474)&gt;1,NOT(ISNUMBER(B474)),B474&lt;НачалоУчета,YEAR(B474)&lt;&gt;Год,NOT(ISNUMBER(E474)),E474&lt;=0,N474&lt;0,COUNTIF(Типы,C474)&lt;&gt;1,COUNTIF(Категории,D474)&lt;&gt;1,COUNTIF(Счета,F474)&lt;&gt;1,COUNTIF(Проекты,I474)&lt;&gt;1,AND(H474&lt;&gt;"",COUNTIF(Контрагенты,H474)&lt;&gt;1),AND(C474="Перевод",OR(F474=G474,COUNTIF(Счета,G474)&lt;&gt;1)),AND(S474&lt;&gt;0,COUNTIF(Docs[ID],J474)&lt;&gt;1),AND(Форма="ООО",C474="Вывод ИП"),AND(Форма="ИП",C474="Дивиденды"),AND(L474&lt;&gt;"Проведён",L474&lt;&gt;"Черновик")),"ОШИБКА","ОК"))</f>
        <v/>
      </c>
      <c r="W474" s="25" t="str">
        <f>IF(A474="","",SUMIF(Accounts[Счёт],F474,Accounts[Начальный])+SUMIFS($Q$7:Q474,$F$7:F474,F474)+SUMIFS($E$7:E474,$G$7:G474,F474,$C$7:C474,"Перевод",$L$7:L474,"Проведён"))</f>
        <v/>
      </c>
    </row>
    <row r="475" spans="1:23" x14ac:dyDescent="0.25">
      <c r="A475" s="22"/>
      <c r="B475" s="23"/>
      <c r="C475" s="22"/>
      <c r="D475" s="22"/>
      <c r="E475" s="27"/>
      <c r="F475" s="22"/>
      <c r="G475" s="22"/>
      <c r="H475" s="22"/>
      <c r="I475" s="22"/>
      <c r="J475" s="22"/>
      <c r="K475" s="22"/>
      <c r="L475" s="22"/>
      <c r="M475" s="22"/>
      <c r="N475" s="27"/>
      <c r="O475" s="22"/>
      <c r="P475" s="5" t="str">
        <f>IF(A475="","",IF(COUNTIF(Типы,C475)=0,0,VLOOKUP(C475,СПРАВОЧНИКИ!$A$7:$E$22,2,FALSE)))</f>
        <v/>
      </c>
      <c r="Q475" s="25" t="str">
        <f t="shared" si="7"/>
        <v/>
      </c>
      <c r="R475" s="5" t="str">
        <f>IF(A475="","",IF(COUNTIF(Типы,C475)=0,"НЕИЗВЕСТНЫЙ ТИП",VLOOKUP(C475,СПРАВОЧНИКИ!$A$7:$E$22,3,FALSE)))</f>
        <v/>
      </c>
      <c r="S475" s="26" t="str">
        <f>IF(A475="","",IF(L475="Проведён",E475*IF(COUNTIF(Типы,C475)=0,0,VLOOKUP(C475,СПРАВОЧНИКИ!$A$7:$E$22,4,FALSE)),0))</f>
        <v/>
      </c>
      <c r="T475" s="26" t="str">
        <f>IF(A475="","",IF(L475="Проведён",E475*IF(COUNTIF(Типы,C475)=0,0,VLOOKUP(C475,СПРАВОЧНИКИ!$A$7:$E$22,5,FALSE)),0))</f>
        <v/>
      </c>
      <c r="U475" s="5" t="str">
        <f>IF(A475="","",IF(COUNTIF(Контрагенты,H475)=0,"Не задан",VLOOKUP(H475,СПРАВОЧНИКИ!$G$7:$H$66,2,FALSE)))</f>
        <v/>
      </c>
      <c r="V475" s="4" t="str">
        <f>IF(A475="",IF(COUNTA(B475:O475)&gt;0,"НЕТ ID",""),IF(OR(AND(OR(C475="Оплата клиента",C475="Возврат клиенту"),COUNTIFS(Docs[ID],J475,Docs[Тип долга],"ДЗ")&lt;&gt;1),AND(OR(C475="Оплата поставщику",C475="Возврат поставщика"),COUNTIFS(Docs[ID],J475,Docs[Тип долга],"КЗ",Docs[Вид],"&lt;&gt;Дивиденды")&lt;&gt;1),AND(C475="Дивиденды",COUNTIFS(Docs[ID],J475,Docs[Вид],"Дивиденды")&lt;&gt;1),AND(C475="Проценты",COUNTIFS(Docs[ID],J475,Docs[Вид],"Проценты")&lt;&gt;1),COUNTIF(Cash[ID],A475)&gt;1,NOT(ISNUMBER(B475)),B475&lt;НачалоУчета,YEAR(B475)&lt;&gt;Год,NOT(ISNUMBER(E475)),E475&lt;=0,N475&lt;0,COUNTIF(Типы,C475)&lt;&gt;1,COUNTIF(Категории,D475)&lt;&gt;1,COUNTIF(Счета,F475)&lt;&gt;1,COUNTIF(Проекты,I475)&lt;&gt;1,AND(H475&lt;&gt;"",COUNTIF(Контрагенты,H475)&lt;&gt;1),AND(C475="Перевод",OR(F475=G475,COUNTIF(Счета,G475)&lt;&gt;1)),AND(S475&lt;&gt;0,COUNTIF(Docs[ID],J475)&lt;&gt;1),AND(Форма="ООО",C475="Вывод ИП"),AND(Форма="ИП",C475="Дивиденды"),AND(L475&lt;&gt;"Проведён",L475&lt;&gt;"Черновик")),"ОШИБКА","ОК"))</f>
        <v/>
      </c>
      <c r="W475" s="25" t="str">
        <f>IF(A475="","",SUMIF(Accounts[Счёт],F475,Accounts[Начальный])+SUMIFS($Q$7:Q475,$F$7:F475,F475)+SUMIFS($E$7:E475,$G$7:G475,F475,$C$7:C475,"Перевод",$L$7:L475,"Проведён"))</f>
        <v/>
      </c>
    </row>
    <row r="476" spans="1:23" x14ac:dyDescent="0.25">
      <c r="A476" s="22"/>
      <c r="B476" s="23"/>
      <c r="C476" s="22"/>
      <c r="D476" s="22"/>
      <c r="E476" s="27"/>
      <c r="F476" s="22"/>
      <c r="G476" s="22"/>
      <c r="H476" s="22"/>
      <c r="I476" s="22"/>
      <c r="J476" s="22"/>
      <c r="K476" s="22"/>
      <c r="L476" s="22"/>
      <c r="M476" s="22"/>
      <c r="N476" s="27"/>
      <c r="O476" s="22"/>
      <c r="P476" s="5" t="str">
        <f>IF(A476="","",IF(COUNTIF(Типы,C476)=0,0,VLOOKUP(C476,СПРАВОЧНИКИ!$A$7:$E$22,2,FALSE)))</f>
        <v/>
      </c>
      <c r="Q476" s="25" t="str">
        <f t="shared" si="7"/>
        <v/>
      </c>
      <c r="R476" s="5" t="str">
        <f>IF(A476="","",IF(COUNTIF(Типы,C476)=0,"НЕИЗВЕСТНЫЙ ТИП",VLOOKUP(C476,СПРАВОЧНИКИ!$A$7:$E$22,3,FALSE)))</f>
        <v/>
      </c>
      <c r="S476" s="26" t="str">
        <f>IF(A476="","",IF(L476="Проведён",E476*IF(COUNTIF(Типы,C476)=0,0,VLOOKUP(C476,СПРАВОЧНИКИ!$A$7:$E$22,4,FALSE)),0))</f>
        <v/>
      </c>
      <c r="T476" s="26" t="str">
        <f>IF(A476="","",IF(L476="Проведён",E476*IF(COUNTIF(Типы,C476)=0,0,VLOOKUP(C476,СПРАВОЧНИКИ!$A$7:$E$22,5,FALSE)),0))</f>
        <v/>
      </c>
      <c r="U476" s="5" t="str">
        <f>IF(A476="","",IF(COUNTIF(Контрагенты,H476)=0,"Не задан",VLOOKUP(H476,СПРАВОЧНИКИ!$G$7:$H$66,2,FALSE)))</f>
        <v/>
      </c>
      <c r="V476" s="4" t="str">
        <f>IF(A476="",IF(COUNTA(B476:O476)&gt;0,"НЕТ ID",""),IF(OR(AND(OR(C476="Оплата клиента",C476="Возврат клиенту"),COUNTIFS(Docs[ID],J476,Docs[Тип долга],"ДЗ")&lt;&gt;1),AND(OR(C476="Оплата поставщику",C476="Возврат поставщика"),COUNTIFS(Docs[ID],J476,Docs[Тип долга],"КЗ",Docs[Вид],"&lt;&gt;Дивиденды")&lt;&gt;1),AND(C476="Дивиденды",COUNTIFS(Docs[ID],J476,Docs[Вид],"Дивиденды")&lt;&gt;1),AND(C476="Проценты",COUNTIFS(Docs[ID],J476,Docs[Вид],"Проценты")&lt;&gt;1),COUNTIF(Cash[ID],A476)&gt;1,NOT(ISNUMBER(B476)),B476&lt;НачалоУчета,YEAR(B476)&lt;&gt;Год,NOT(ISNUMBER(E476)),E476&lt;=0,N476&lt;0,COUNTIF(Типы,C476)&lt;&gt;1,COUNTIF(Категории,D476)&lt;&gt;1,COUNTIF(Счета,F476)&lt;&gt;1,COUNTIF(Проекты,I476)&lt;&gt;1,AND(H476&lt;&gt;"",COUNTIF(Контрагенты,H476)&lt;&gt;1),AND(C476="Перевод",OR(F476=G476,COUNTIF(Счета,G476)&lt;&gt;1)),AND(S476&lt;&gt;0,COUNTIF(Docs[ID],J476)&lt;&gt;1),AND(Форма="ООО",C476="Вывод ИП"),AND(Форма="ИП",C476="Дивиденды"),AND(L476&lt;&gt;"Проведён",L476&lt;&gt;"Черновик")),"ОШИБКА","ОК"))</f>
        <v/>
      </c>
      <c r="W476" s="25" t="str">
        <f>IF(A476="","",SUMIF(Accounts[Счёт],F476,Accounts[Начальный])+SUMIFS($Q$7:Q476,$F$7:F476,F476)+SUMIFS($E$7:E476,$G$7:G476,F476,$C$7:C476,"Перевод",$L$7:L476,"Проведён"))</f>
        <v/>
      </c>
    </row>
    <row r="477" spans="1:23" x14ac:dyDescent="0.25">
      <c r="A477" s="22"/>
      <c r="B477" s="23"/>
      <c r="C477" s="22"/>
      <c r="D477" s="22"/>
      <c r="E477" s="27"/>
      <c r="F477" s="22"/>
      <c r="G477" s="22"/>
      <c r="H477" s="22"/>
      <c r="I477" s="22"/>
      <c r="J477" s="22"/>
      <c r="K477" s="22"/>
      <c r="L477" s="22"/>
      <c r="M477" s="22"/>
      <c r="N477" s="27"/>
      <c r="O477" s="22"/>
      <c r="P477" s="5" t="str">
        <f>IF(A477="","",IF(COUNTIF(Типы,C477)=0,0,VLOOKUP(C477,СПРАВОЧНИКИ!$A$7:$E$22,2,FALSE)))</f>
        <v/>
      </c>
      <c r="Q477" s="25" t="str">
        <f t="shared" si="7"/>
        <v/>
      </c>
      <c r="R477" s="5" t="str">
        <f>IF(A477="","",IF(COUNTIF(Типы,C477)=0,"НЕИЗВЕСТНЫЙ ТИП",VLOOKUP(C477,СПРАВОЧНИКИ!$A$7:$E$22,3,FALSE)))</f>
        <v/>
      </c>
      <c r="S477" s="26" t="str">
        <f>IF(A477="","",IF(L477="Проведён",E477*IF(COUNTIF(Типы,C477)=0,0,VLOOKUP(C477,СПРАВОЧНИКИ!$A$7:$E$22,4,FALSE)),0))</f>
        <v/>
      </c>
      <c r="T477" s="26" t="str">
        <f>IF(A477="","",IF(L477="Проведён",E477*IF(COUNTIF(Типы,C477)=0,0,VLOOKUP(C477,СПРАВОЧНИКИ!$A$7:$E$22,5,FALSE)),0))</f>
        <v/>
      </c>
      <c r="U477" s="5" t="str">
        <f>IF(A477="","",IF(COUNTIF(Контрагенты,H477)=0,"Не задан",VLOOKUP(H477,СПРАВОЧНИКИ!$G$7:$H$66,2,FALSE)))</f>
        <v/>
      </c>
      <c r="V477" s="4" t="str">
        <f>IF(A477="",IF(COUNTA(B477:O477)&gt;0,"НЕТ ID",""),IF(OR(AND(OR(C477="Оплата клиента",C477="Возврат клиенту"),COUNTIFS(Docs[ID],J477,Docs[Тип долга],"ДЗ")&lt;&gt;1),AND(OR(C477="Оплата поставщику",C477="Возврат поставщика"),COUNTIFS(Docs[ID],J477,Docs[Тип долга],"КЗ",Docs[Вид],"&lt;&gt;Дивиденды")&lt;&gt;1),AND(C477="Дивиденды",COUNTIFS(Docs[ID],J477,Docs[Вид],"Дивиденды")&lt;&gt;1),AND(C477="Проценты",COUNTIFS(Docs[ID],J477,Docs[Вид],"Проценты")&lt;&gt;1),COUNTIF(Cash[ID],A477)&gt;1,NOT(ISNUMBER(B477)),B477&lt;НачалоУчета,YEAR(B477)&lt;&gt;Год,NOT(ISNUMBER(E477)),E477&lt;=0,N477&lt;0,COUNTIF(Типы,C477)&lt;&gt;1,COUNTIF(Категории,D477)&lt;&gt;1,COUNTIF(Счета,F477)&lt;&gt;1,COUNTIF(Проекты,I477)&lt;&gt;1,AND(H477&lt;&gt;"",COUNTIF(Контрагенты,H477)&lt;&gt;1),AND(C477="Перевод",OR(F477=G477,COUNTIF(Счета,G477)&lt;&gt;1)),AND(S477&lt;&gt;0,COUNTIF(Docs[ID],J477)&lt;&gt;1),AND(Форма="ООО",C477="Вывод ИП"),AND(Форма="ИП",C477="Дивиденды"),AND(L477&lt;&gt;"Проведён",L477&lt;&gt;"Черновик")),"ОШИБКА","ОК"))</f>
        <v/>
      </c>
      <c r="W477" s="25" t="str">
        <f>IF(A477="","",SUMIF(Accounts[Счёт],F477,Accounts[Начальный])+SUMIFS($Q$7:Q477,$F$7:F477,F477)+SUMIFS($E$7:E477,$G$7:G477,F477,$C$7:C477,"Перевод",$L$7:L477,"Проведён"))</f>
        <v/>
      </c>
    </row>
    <row r="478" spans="1:23" x14ac:dyDescent="0.25">
      <c r="A478" s="22"/>
      <c r="B478" s="23"/>
      <c r="C478" s="22"/>
      <c r="D478" s="22"/>
      <c r="E478" s="27"/>
      <c r="F478" s="22"/>
      <c r="G478" s="22"/>
      <c r="H478" s="22"/>
      <c r="I478" s="22"/>
      <c r="J478" s="22"/>
      <c r="K478" s="22"/>
      <c r="L478" s="22"/>
      <c r="M478" s="22"/>
      <c r="N478" s="27"/>
      <c r="O478" s="22"/>
      <c r="P478" s="5" t="str">
        <f>IF(A478="","",IF(COUNTIF(Типы,C478)=0,0,VLOOKUP(C478,СПРАВОЧНИКИ!$A$7:$E$22,2,FALSE)))</f>
        <v/>
      </c>
      <c r="Q478" s="25" t="str">
        <f t="shared" si="7"/>
        <v/>
      </c>
      <c r="R478" s="5" t="str">
        <f>IF(A478="","",IF(COUNTIF(Типы,C478)=0,"НЕИЗВЕСТНЫЙ ТИП",VLOOKUP(C478,СПРАВОЧНИКИ!$A$7:$E$22,3,FALSE)))</f>
        <v/>
      </c>
      <c r="S478" s="26" t="str">
        <f>IF(A478="","",IF(L478="Проведён",E478*IF(COUNTIF(Типы,C478)=0,0,VLOOKUP(C478,СПРАВОЧНИКИ!$A$7:$E$22,4,FALSE)),0))</f>
        <v/>
      </c>
      <c r="T478" s="26" t="str">
        <f>IF(A478="","",IF(L478="Проведён",E478*IF(COUNTIF(Типы,C478)=0,0,VLOOKUP(C478,СПРАВОЧНИКИ!$A$7:$E$22,5,FALSE)),0))</f>
        <v/>
      </c>
      <c r="U478" s="5" t="str">
        <f>IF(A478="","",IF(COUNTIF(Контрагенты,H478)=0,"Не задан",VLOOKUP(H478,СПРАВОЧНИКИ!$G$7:$H$66,2,FALSE)))</f>
        <v/>
      </c>
      <c r="V478" s="4" t="str">
        <f>IF(A478="",IF(COUNTA(B478:O478)&gt;0,"НЕТ ID",""),IF(OR(AND(OR(C478="Оплата клиента",C478="Возврат клиенту"),COUNTIFS(Docs[ID],J478,Docs[Тип долга],"ДЗ")&lt;&gt;1),AND(OR(C478="Оплата поставщику",C478="Возврат поставщика"),COUNTIFS(Docs[ID],J478,Docs[Тип долга],"КЗ",Docs[Вид],"&lt;&gt;Дивиденды")&lt;&gt;1),AND(C478="Дивиденды",COUNTIFS(Docs[ID],J478,Docs[Вид],"Дивиденды")&lt;&gt;1),AND(C478="Проценты",COUNTIFS(Docs[ID],J478,Docs[Вид],"Проценты")&lt;&gt;1),COUNTIF(Cash[ID],A478)&gt;1,NOT(ISNUMBER(B478)),B478&lt;НачалоУчета,YEAR(B478)&lt;&gt;Год,NOT(ISNUMBER(E478)),E478&lt;=0,N478&lt;0,COUNTIF(Типы,C478)&lt;&gt;1,COUNTIF(Категории,D478)&lt;&gt;1,COUNTIF(Счета,F478)&lt;&gt;1,COUNTIF(Проекты,I478)&lt;&gt;1,AND(H478&lt;&gt;"",COUNTIF(Контрагенты,H478)&lt;&gt;1),AND(C478="Перевод",OR(F478=G478,COUNTIF(Счета,G478)&lt;&gt;1)),AND(S478&lt;&gt;0,COUNTIF(Docs[ID],J478)&lt;&gt;1),AND(Форма="ООО",C478="Вывод ИП"),AND(Форма="ИП",C478="Дивиденды"),AND(L478&lt;&gt;"Проведён",L478&lt;&gt;"Черновик")),"ОШИБКА","ОК"))</f>
        <v/>
      </c>
      <c r="W478" s="25" t="str">
        <f>IF(A478="","",SUMIF(Accounts[Счёт],F478,Accounts[Начальный])+SUMIFS($Q$7:Q478,$F$7:F478,F478)+SUMIFS($E$7:E478,$G$7:G478,F478,$C$7:C478,"Перевод",$L$7:L478,"Проведён"))</f>
        <v/>
      </c>
    </row>
    <row r="479" spans="1:23" x14ac:dyDescent="0.25">
      <c r="A479" s="22"/>
      <c r="B479" s="23"/>
      <c r="C479" s="22"/>
      <c r="D479" s="22"/>
      <c r="E479" s="27"/>
      <c r="F479" s="22"/>
      <c r="G479" s="22"/>
      <c r="H479" s="22"/>
      <c r="I479" s="22"/>
      <c r="J479" s="22"/>
      <c r="K479" s="22"/>
      <c r="L479" s="22"/>
      <c r="M479" s="22"/>
      <c r="N479" s="27"/>
      <c r="O479" s="22"/>
      <c r="P479" s="5" t="str">
        <f>IF(A479="","",IF(COUNTIF(Типы,C479)=0,0,VLOOKUP(C479,СПРАВОЧНИКИ!$A$7:$E$22,2,FALSE)))</f>
        <v/>
      </c>
      <c r="Q479" s="25" t="str">
        <f t="shared" si="7"/>
        <v/>
      </c>
      <c r="R479" s="5" t="str">
        <f>IF(A479="","",IF(COUNTIF(Типы,C479)=0,"НЕИЗВЕСТНЫЙ ТИП",VLOOKUP(C479,СПРАВОЧНИКИ!$A$7:$E$22,3,FALSE)))</f>
        <v/>
      </c>
      <c r="S479" s="26" t="str">
        <f>IF(A479="","",IF(L479="Проведён",E479*IF(COUNTIF(Типы,C479)=0,0,VLOOKUP(C479,СПРАВОЧНИКИ!$A$7:$E$22,4,FALSE)),0))</f>
        <v/>
      </c>
      <c r="T479" s="26" t="str">
        <f>IF(A479="","",IF(L479="Проведён",E479*IF(COUNTIF(Типы,C479)=0,0,VLOOKUP(C479,СПРАВОЧНИКИ!$A$7:$E$22,5,FALSE)),0))</f>
        <v/>
      </c>
      <c r="U479" s="5" t="str">
        <f>IF(A479="","",IF(COUNTIF(Контрагенты,H479)=0,"Не задан",VLOOKUP(H479,СПРАВОЧНИКИ!$G$7:$H$66,2,FALSE)))</f>
        <v/>
      </c>
      <c r="V479" s="4" t="str">
        <f>IF(A479="",IF(COUNTA(B479:O479)&gt;0,"НЕТ ID",""),IF(OR(AND(OR(C479="Оплата клиента",C479="Возврат клиенту"),COUNTIFS(Docs[ID],J479,Docs[Тип долга],"ДЗ")&lt;&gt;1),AND(OR(C479="Оплата поставщику",C479="Возврат поставщика"),COUNTIFS(Docs[ID],J479,Docs[Тип долга],"КЗ",Docs[Вид],"&lt;&gt;Дивиденды")&lt;&gt;1),AND(C479="Дивиденды",COUNTIFS(Docs[ID],J479,Docs[Вид],"Дивиденды")&lt;&gt;1),AND(C479="Проценты",COUNTIFS(Docs[ID],J479,Docs[Вид],"Проценты")&lt;&gt;1),COUNTIF(Cash[ID],A479)&gt;1,NOT(ISNUMBER(B479)),B479&lt;НачалоУчета,YEAR(B479)&lt;&gt;Год,NOT(ISNUMBER(E479)),E479&lt;=0,N479&lt;0,COUNTIF(Типы,C479)&lt;&gt;1,COUNTIF(Категории,D479)&lt;&gt;1,COUNTIF(Счета,F479)&lt;&gt;1,COUNTIF(Проекты,I479)&lt;&gt;1,AND(H479&lt;&gt;"",COUNTIF(Контрагенты,H479)&lt;&gt;1),AND(C479="Перевод",OR(F479=G479,COUNTIF(Счета,G479)&lt;&gt;1)),AND(S479&lt;&gt;0,COUNTIF(Docs[ID],J479)&lt;&gt;1),AND(Форма="ООО",C479="Вывод ИП"),AND(Форма="ИП",C479="Дивиденды"),AND(L479&lt;&gt;"Проведён",L479&lt;&gt;"Черновик")),"ОШИБКА","ОК"))</f>
        <v/>
      </c>
      <c r="W479" s="25" t="str">
        <f>IF(A479="","",SUMIF(Accounts[Счёт],F479,Accounts[Начальный])+SUMIFS($Q$7:Q479,$F$7:F479,F479)+SUMIFS($E$7:E479,$G$7:G479,F479,$C$7:C479,"Перевод",$L$7:L479,"Проведён"))</f>
        <v/>
      </c>
    </row>
    <row r="480" spans="1:23" x14ac:dyDescent="0.25">
      <c r="A480" s="22"/>
      <c r="B480" s="23"/>
      <c r="C480" s="22"/>
      <c r="D480" s="22"/>
      <c r="E480" s="27"/>
      <c r="F480" s="22"/>
      <c r="G480" s="22"/>
      <c r="H480" s="22"/>
      <c r="I480" s="22"/>
      <c r="J480" s="22"/>
      <c r="K480" s="22"/>
      <c r="L480" s="22"/>
      <c r="M480" s="22"/>
      <c r="N480" s="27"/>
      <c r="O480" s="22"/>
      <c r="P480" s="5" t="str">
        <f>IF(A480="","",IF(COUNTIF(Типы,C480)=0,0,VLOOKUP(C480,СПРАВОЧНИКИ!$A$7:$E$22,2,FALSE)))</f>
        <v/>
      </c>
      <c r="Q480" s="25" t="str">
        <f t="shared" si="7"/>
        <v/>
      </c>
      <c r="R480" s="5" t="str">
        <f>IF(A480="","",IF(COUNTIF(Типы,C480)=0,"НЕИЗВЕСТНЫЙ ТИП",VLOOKUP(C480,СПРАВОЧНИКИ!$A$7:$E$22,3,FALSE)))</f>
        <v/>
      </c>
      <c r="S480" s="26" t="str">
        <f>IF(A480="","",IF(L480="Проведён",E480*IF(COUNTIF(Типы,C480)=0,0,VLOOKUP(C480,СПРАВОЧНИКИ!$A$7:$E$22,4,FALSE)),0))</f>
        <v/>
      </c>
      <c r="T480" s="26" t="str">
        <f>IF(A480="","",IF(L480="Проведён",E480*IF(COUNTIF(Типы,C480)=0,0,VLOOKUP(C480,СПРАВОЧНИКИ!$A$7:$E$22,5,FALSE)),0))</f>
        <v/>
      </c>
      <c r="U480" s="5" t="str">
        <f>IF(A480="","",IF(COUNTIF(Контрагенты,H480)=0,"Не задан",VLOOKUP(H480,СПРАВОЧНИКИ!$G$7:$H$66,2,FALSE)))</f>
        <v/>
      </c>
      <c r="V480" s="4" t="str">
        <f>IF(A480="",IF(COUNTA(B480:O480)&gt;0,"НЕТ ID",""),IF(OR(AND(OR(C480="Оплата клиента",C480="Возврат клиенту"),COUNTIFS(Docs[ID],J480,Docs[Тип долга],"ДЗ")&lt;&gt;1),AND(OR(C480="Оплата поставщику",C480="Возврат поставщика"),COUNTIFS(Docs[ID],J480,Docs[Тип долга],"КЗ",Docs[Вид],"&lt;&gt;Дивиденды")&lt;&gt;1),AND(C480="Дивиденды",COUNTIFS(Docs[ID],J480,Docs[Вид],"Дивиденды")&lt;&gt;1),AND(C480="Проценты",COUNTIFS(Docs[ID],J480,Docs[Вид],"Проценты")&lt;&gt;1),COUNTIF(Cash[ID],A480)&gt;1,NOT(ISNUMBER(B480)),B480&lt;НачалоУчета,YEAR(B480)&lt;&gt;Год,NOT(ISNUMBER(E480)),E480&lt;=0,N480&lt;0,COUNTIF(Типы,C480)&lt;&gt;1,COUNTIF(Категории,D480)&lt;&gt;1,COUNTIF(Счета,F480)&lt;&gt;1,COUNTIF(Проекты,I480)&lt;&gt;1,AND(H480&lt;&gt;"",COUNTIF(Контрагенты,H480)&lt;&gt;1),AND(C480="Перевод",OR(F480=G480,COUNTIF(Счета,G480)&lt;&gt;1)),AND(S480&lt;&gt;0,COUNTIF(Docs[ID],J480)&lt;&gt;1),AND(Форма="ООО",C480="Вывод ИП"),AND(Форма="ИП",C480="Дивиденды"),AND(L480&lt;&gt;"Проведён",L480&lt;&gt;"Черновик")),"ОШИБКА","ОК"))</f>
        <v/>
      </c>
      <c r="W480" s="25" t="str">
        <f>IF(A480="","",SUMIF(Accounts[Счёт],F480,Accounts[Начальный])+SUMIFS($Q$7:Q480,$F$7:F480,F480)+SUMIFS($E$7:E480,$G$7:G480,F480,$C$7:C480,"Перевод",$L$7:L480,"Проведён"))</f>
        <v/>
      </c>
    </row>
    <row r="481" spans="1:23" x14ac:dyDescent="0.25">
      <c r="A481" s="22"/>
      <c r="B481" s="23"/>
      <c r="C481" s="22"/>
      <c r="D481" s="22"/>
      <c r="E481" s="27"/>
      <c r="F481" s="22"/>
      <c r="G481" s="22"/>
      <c r="H481" s="22"/>
      <c r="I481" s="22"/>
      <c r="J481" s="22"/>
      <c r="K481" s="22"/>
      <c r="L481" s="22"/>
      <c r="M481" s="22"/>
      <c r="N481" s="27"/>
      <c r="O481" s="22"/>
      <c r="P481" s="5" t="str">
        <f>IF(A481="","",IF(COUNTIF(Типы,C481)=0,0,VLOOKUP(C481,СПРАВОЧНИКИ!$A$7:$E$22,2,FALSE)))</f>
        <v/>
      </c>
      <c r="Q481" s="25" t="str">
        <f t="shared" si="7"/>
        <v/>
      </c>
      <c r="R481" s="5" t="str">
        <f>IF(A481="","",IF(COUNTIF(Типы,C481)=0,"НЕИЗВЕСТНЫЙ ТИП",VLOOKUP(C481,СПРАВОЧНИКИ!$A$7:$E$22,3,FALSE)))</f>
        <v/>
      </c>
      <c r="S481" s="26" t="str">
        <f>IF(A481="","",IF(L481="Проведён",E481*IF(COUNTIF(Типы,C481)=0,0,VLOOKUP(C481,СПРАВОЧНИКИ!$A$7:$E$22,4,FALSE)),0))</f>
        <v/>
      </c>
      <c r="T481" s="26" t="str">
        <f>IF(A481="","",IF(L481="Проведён",E481*IF(COUNTIF(Типы,C481)=0,0,VLOOKUP(C481,СПРАВОЧНИКИ!$A$7:$E$22,5,FALSE)),0))</f>
        <v/>
      </c>
      <c r="U481" s="5" t="str">
        <f>IF(A481="","",IF(COUNTIF(Контрагенты,H481)=0,"Не задан",VLOOKUP(H481,СПРАВОЧНИКИ!$G$7:$H$66,2,FALSE)))</f>
        <v/>
      </c>
      <c r="V481" s="4" t="str">
        <f>IF(A481="",IF(COUNTA(B481:O481)&gt;0,"НЕТ ID",""),IF(OR(AND(OR(C481="Оплата клиента",C481="Возврат клиенту"),COUNTIFS(Docs[ID],J481,Docs[Тип долга],"ДЗ")&lt;&gt;1),AND(OR(C481="Оплата поставщику",C481="Возврат поставщика"),COUNTIFS(Docs[ID],J481,Docs[Тип долга],"КЗ",Docs[Вид],"&lt;&gt;Дивиденды")&lt;&gt;1),AND(C481="Дивиденды",COUNTIFS(Docs[ID],J481,Docs[Вид],"Дивиденды")&lt;&gt;1),AND(C481="Проценты",COUNTIFS(Docs[ID],J481,Docs[Вид],"Проценты")&lt;&gt;1),COUNTIF(Cash[ID],A481)&gt;1,NOT(ISNUMBER(B481)),B481&lt;НачалоУчета,YEAR(B481)&lt;&gt;Год,NOT(ISNUMBER(E481)),E481&lt;=0,N481&lt;0,COUNTIF(Типы,C481)&lt;&gt;1,COUNTIF(Категории,D481)&lt;&gt;1,COUNTIF(Счета,F481)&lt;&gt;1,COUNTIF(Проекты,I481)&lt;&gt;1,AND(H481&lt;&gt;"",COUNTIF(Контрагенты,H481)&lt;&gt;1),AND(C481="Перевод",OR(F481=G481,COUNTIF(Счета,G481)&lt;&gt;1)),AND(S481&lt;&gt;0,COUNTIF(Docs[ID],J481)&lt;&gt;1),AND(Форма="ООО",C481="Вывод ИП"),AND(Форма="ИП",C481="Дивиденды"),AND(L481&lt;&gt;"Проведён",L481&lt;&gt;"Черновик")),"ОШИБКА","ОК"))</f>
        <v/>
      </c>
      <c r="W481" s="25" t="str">
        <f>IF(A481="","",SUMIF(Accounts[Счёт],F481,Accounts[Начальный])+SUMIFS($Q$7:Q481,$F$7:F481,F481)+SUMIFS($E$7:E481,$G$7:G481,F481,$C$7:C481,"Перевод",$L$7:L481,"Проведён"))</f>
        <v/>
      </c>
    </row>
    <row r="482" spans="1:23" x14ac:dyDescent="0.25">
      <c r="A482" s="22"/>
      <c r="B482" s="23"/>
      <c r="C482" s="22"/>
      <c r="D482" s="22"/>
      <c r="E482" s="27"/>
      <c r="F482" s="22"/>
      <c r="G482" s="22"/>
      <c r="H482" s="22"/>
      <c r="I482" s="22"/>
      <c r="J482" s="22"/>
      <c r="K482" s="22"/>
      <c r="L482" s="22"/>
      <c r="M482" s="22"/>
      <c r="N482" s="27"/>
      <c r="O482" s="22"/>
      <c r="P482" s="5" t="str">
        <f>IF(A482="","",IF(COUNTIF(Типы,C482)=0,0,VLOOKUP(C482,СПРАВОЧНИКИ!$A$7:$E$22,2,FALSE)))</f>
        <v/>
      </c>
      <c r="Q482" s="25" t="str">
        <f t="shared" si="7"/>
        <v/>
      </c>
      <c r="R482" s="5" t="str">
        <f>IF(A482="","",IF(COUNTIF(Типы,C482)=0,"НЕИЗВЕСТНЫЙ ТИП",VLOOKUP(C482,СПРАВОЧНИКИ!$A$7:$E$22,3,FALSE)))</f>
        <v/>
      </c>
      <c r="S482" s="26" t="str">
        <f>IF(A482="","",IF(L482="Проведён",E482*IF(COUNTIF(Типы,C482)=0,0,VLOOKUP(C482,СПРАВОЧНИКИ!$A$7:$E$22,4,FALSE)),0))</f>
        <v/>
      </c>
      <c r="T482" s="26" t="str">
        <f>IF(A482="","",IF(L482="Проведён",E482*IF(COUNTIF(Типы,C482)=0,0,VLOOKUP(C482,СПРАВОЧНИКИ!$A$7:$E$22,5,FALSE)),0))</f>
        <v/>
      </c>
      <c r="U482" s="5" t="str">
        <f>IF(A482="","",IF(COUNTIF(Контрагенты,H482)=0,"Не задан",VLOOKUP(H482,СПРАВОЧНИКИ!$G$7:$H$66,2,FALSE)))</f>
        <v/>
      </c>
      <c r="V482" s="4" t="str">
        <f>IF(A482="",IF(COUNTA(B482:O482)&gt;0,"НЕТ ID",""),IF(OR(AND(OR(C482="Оплата клиента",C482="Возврат клиенту"),COUNTIFS(Docs[ID],J482,Docs[Тип долга],"ДЗ")&lt;&gt;1),AND(OR(C482="Оплата поставщику",C482="Возврат поставщика"),COUNTIFS(Docs[ID],J482,Docs[Тип долга],"КЗ",Docs[Вид],"&lt;&gt;Дивиденды")&lt;&gt;1),AND(C482="Дивиденды",COUNTIFS(Docs[ID],J482,Docs[Вид],"Дивиденды")&lt;&gt;1),AND(C482="Проценты",COUNTIFS(Docs[ID],J482,Docs[Вид],"Проценты")&lt;&gt;1),COUNTIF(Cash[ID],A482)&gt;1,NOT(ISNUMBER(B482)),B482&lt;НачалоУчета,YEAR(B482)&lt;&gt;Год,NOT(ISNUMBER(E482)),E482&lt;=0,N482&lt;0,COUNTIF(Типы,C482)&lt;&gt;1,COUNTIF(Категории,D482)&lt;&gt;1,COUNTIF(Счета,F482)&lt;&gt;1,COUNTIF(Проекты,I482)&lt;&gt;1,AND(H482&lt;&gt;"",COUNTIF(Контрагенты,H482)&lt;&gt;1),AND(C482="Перевод",OR(F482=G482,COUNTIF(Счета,G482)&lt;&gt;1)),AND(S482&lt;&gt;0,COUNTIF(Docs[ID],J482)&lt;&gt;1),AND(Форма="ООО",C482="Вывод ИП"),AND(Форма="ИП",C482="Дивиденды"),AND(L482&lt;&gt;"Проведён",L482&lt;&gt;"Черновик")),"ОШИБКА","ОК"))</f>
        <v/>
      </c>
      <c r="W482" s="25" t="str">
        <f>IF(A482="","",SUMIF(Accounts[Счёт],F482,Accounts[Начальный])+SUMIFS($Q$7:Q482,$F$7:F482,F482)+SUMIFS($E$7:E482,$G$7:G482,F482,$C$7:C482,"Перевод",$L$7:L482,"Проведён"))</f>
        <v/>
      </c>
    </row>
    <row r="483" spans="1:23" x14ac:dyDescent="0.25">
      <c r="A483" s="22"/>
      <c r="B483" s="23"/>
      <c r="C483" s="22"/>
      <c r="D483" s="22"/>
      <c r="E483" s="27"/>
      <c r="F483" s="22"/>
      <c r="G483" s="22"/>
      <c r="H483" s="22"/>
      <c r="I483" s="22"/>
      <c r="J483" s="22"/>
      <c r="K483" s="22"/>
      <c r="L483" s="22"/>
      <c r="M483" s="22"/>
      <c r="N483" s="27"/>
      <c r="O483" s="22"/>
      <c r="P483" s="5" t="str">
        <f>IF(A483="","",IF(COUNTIF(Типы,C483)=0,0,VLOOKUP(C483,СПРАВОЧНИКИ!$A$7:$E$22,2,FALSE)))</f>
        <v/>
      </c>
      <c r="Q483" s="25" t="str">
        <f t="shared" si="7"/>
        <v/>
      </c>
      <c r="R483" s="5" t="str">
        <f>IF(A483="","",IF(COUNTIF(Типы,C483)=0,"НЕИЗВЕСТНЫЙ ТИП",VLOOKUP(C483,СПРАВОЧНИКИ!$A$7:$E$22,3,FALSE)))</f>
        <v/>
      </c>
      <c r="S483" s="26" t="str">
        <f>IF(A483="","",IF(L483="Проведён",E483*IF(COUNTIF(Типы,C483)=0,0,VLOOKUP(C483,СПРАВОЧНИКИ!$A$7:$E$22,4,FALSE)),0))</f>
        <v/>
      </c>
      <c r="T483" s="26" t="str">
        <f>IF(A483="","",IF(L483="Проведён",E483*IF(COUNTIF(Типы,C483)=0,0,VLOOKUP(C483,СПРАВОЧНИКИ!$A$7:$E$22,5,FALSE)),0))</f>
        <v/>
      </c>
      <c r="U483" s="5" t="str">
        <f>IF(A483="","",IF(COUNTIF(Контрагенты,H483)=0,"Не задан",VLOOKUP(H483,СПРАВОЧНИКИ!$G$7:$H$66,2,FALSE)))</f>
        <v/>
      </c>
      <c r="V483" s="4" t="str">
        <f>IF(A483="",IF(COUNTA(B483:O483)&gt;0,"НЕТ ID",""),IF(OR(AND(OR(C483="Оплата клиента",C483="Возврат клиенту"),COUNTIFS(Docs[ID],J483,Docs[Тип долга],"ДЗ")&lt;&gt;1),AND(OR(C483="Оплата поставщику",C483="Возврат поставщика"),COUNTIFS(Docs[ID],J483,Docs[Тип долга],"КЗ",Docs[Вид],"&lt;&gt;Дивиденды")&lt;&gt;1),AND(C483="Дивиденды",COUNTIFS(Docs[ID],J483,Docs[Вид],"Дивиденды")&lt;&gt;1),AND(C483="Проценты",COUNTIFS(Docs[ID],J483,Docs[Вид],"Проценты")&lt;&gt;1),COUNTIF(Cash[ID],A483)&gt;1,NOT(ISNUMBER(B483)),B483&lt;НачалоУчета,YEAR(B483)&lt;&gt;Год,NOT(ISNUMBER(E483)),E483&lt;=0,N483&lt;0,COUNTIF(Типы,C483)&lt;&gt;1,COUNTIF(Категории,D483)&lt;&gt;1,COUNTIF(Счета,F483)&lt;&gt;1,COUNTIF(Проекты,I483)&lt;&gt;1,AND(H483&lt;&gt;"",COUNTIF(Контрагенты,H483)&lt;&gt;1),AND(C483="Перевод",OR(F483=G483,COUNTIF(Счета,G483)&lt;&gt;1)),AND(S483&lt;&gt;0,COUNTIF(Docs[ID],J483)&lt;&gt;1),AND(Форма="ООО",C483="Вывод ИП"),AND(Форма="ИП",C483="Дивиденды"),AND(L483&lt;&gt;"Проведён",L483&lt;&gt;"Черновик")),"ОШИБКА","ОК"))</f>
        <v/>
      </c>
      <c r="W483" s="25" t="str">
        <f>IF(A483="","",SUMIF(Accounts[Счёт],F483,Accounts[Начальный])+SUMIFS($Q$7:Q483,$F$7:F483,F483)+SUMIFS($E$7:E483,$G$7:G483,F483,$C$7:C483,"Перевод",$L$7:L483,"Проведён"))</f>
        <v/>
      </c>
    </row>
    <row r="484" spans="1:23" x14ac:dyDescent="0.25">
      <c r="A484" s="22"/>
      <c r="B484" s="23"/>
      <c r="C484" s="22"/>
      <c r="D484" s="22"/>
      <c r="E484" s="27"/>
      <c r="F484" s="22"/>
      <c r="G484" s="22"/>
      <c r="H484" s="22"/>
      <c r="I484" s="22"/>
      <c r="J484" s="22"/>
      <c r="K484" s="22"/>
      <c r="L484" s="22"/>
      <c r="M484" s="22"/>
      <c r="N484" s="27"/>
      <c r="O484" s="22"/>
      <c r="P484" s="5" t="str">
        <f>IF(A484="","",IF(COUNTIF(Типы,C484)=0,0,VLOOKUP(C484,СПРАВОЧНИКИ!$A$7:$E$22,2,FALSE)))</f>
        <v/>
      </c>
      <c r="Q484" s="25" t="str">
        <f t="shared" si="7"/>
        <v/>
      </c>
      <c r="R484" s="5" t="str">
        <f>IF(A484="","",IF(COUNTIF(Типы,C484)=0,"НЕИЗВЕСТНЫЙ ТИП",VLOOKUP(C484,СПРАВОЧНИКИ!$A$7:$E$22,3,FALSE)))</f>
        <v/>
      </c>
      <c r="S484" s="26" t="str">
        <f>IF(A484="","",IF(L484="Проведён",E484*IF(COUNTIF(Типы,C484)=0,0,VLOOKUP(C484,СПРАВОЧНИКИ!$A$7:$E$22,4,FALSE)),0))</f>
        <v/>
      </c>
      <c r="T484" s="26" t="str">
        <f>IF(A484="","",IF(L484="Проведён",E484*IF(COUNTIF(Типы,C484)=0,0,VLOOKUP(C484,СПРАВОЧНИКИ!$A$7:$E$22,5,FALSE)),0))</f>
        <v/>
      </c>
      <c r="U484" s="5" t="str">
        <f>IF(A484="","",IF(COUNTIF(Контрагенты,H484)=0,"Не задан",VLOOKUP(H484,СПРАВОЧНИКИ!$G$7:$H$66,2,FALSE)))</f>
        <v/>
      </c>
      <c r="V484" s="4" t="str">
        <f>IF(A484="",IF(COUNTA(B484:O484)&gt;0,"НЕТ ID",""),IF(OR(AND(OR(C484="Оплата клиента",C484="Возврат клиенту"),COUNTIFS(Docs[ID],J484,Docs[Тип долга],"ДЗ")&lt;&gt;1),AND(OR(C484="Оплата поставщику",C484="Возврат поставщика"),COUNTIFS(Docs[ID],J484,Docs[Тип долга],"КЗ",Docs[Вид],"&lt;&gt;Дивиденды")&lt;&gt;1),AND(C484="Дивиденды",COUNTIFS(Docs[ID],J484,Docs[Вид],"Дивиденды")&lt;&gt;1),AND(C484="Проценты",COUNTIFS(Docs[ID],J484,Docs[Вид],"Проценты")&lt;&gt;1),COUNTIF(Cash[ID],A484)&gt;1,NOT(ISNUMBER(B484)),B484&lt;НачалоУчета,YEAR(B484)&lt;&gt;Год,NOT(ISNUMBER(E484)),E484&lt;=0,N484&lt;0,COUNTIF(Типы,C484)&lt;&gt;1,COUNTIF(Категории,D484)&lt;&gt;1,COUNTIF(Счета,F484)&lt;&gt;1,COUNTIF(Проекты,I484)&lt;&gt;1,AND(H484&lt;&gt;"",COUNTIF(Контрагенты,H484)&lt;&gt;1),AND(C484="Перевод",OR(F484=G484,COUNTIF(Счета,G484)&lt;&gt;1)),AND(S484&lt;&gt;0,COUNTIF(Docs[ID],J484)&lt;&gt;1),AND(Форма="ООО",C484="Вывод ИП"),AND(Форма="ИП",C484="Дивиденды"),AND(L484&lt;&gt;"Проведён",L484&lt;&gt;"Черновик")),"ОШИБКА","ОК"))</f>
        <v/>
      </c>
      <c r="W484" s="25" t="str">
        <f>IF(A484="","",SUMIF(Accounts[Счёт],F484,Accounts[Начальный])+SUMIFS($Q$7:Q484,$F$7:F484,F484)+SUMIFS($E$7:E484,$G$7:G484,F484,$C$7:C484,"Перевод",$L$7:L484,"Проведён"))</f>
        <v/>
      </c>
    </row>
    <row r="485" spans="1:23" x14ac:dyDescent="0.25">
      <c r="A485" s="22"/>
      <c r="B485" s="23"/>
      <c r="C485" s="22"/>
      <c r="D485" s="22"/>
      <c r="E485" s="27"/>
      <c r="F485" s="22"/>
      <c r="G485" s="22"/>
      <c r="H485" s="22"/>
      <c r="I485" s="22"/>
      <c r="J485" s="22"/>
      <c r="K485" s="22"/>
      <c r="L485" s="22"/>
      <c r="M485" s="22"/>
      <c r="N485" s="27"/>
      <c r="O485" s="22"/>
      <c r="P485" s="5" t="str">
        <f>IF(A485="","",IF(COUNTIF(Типы,C485)=0,0,VLOOKUP(C485,СПРАВОЧНИКИ!$A$7:$E$22,2,FALSE)))</f>
        <v/>
      </c>
      <c r="Q485" s="25" t="str">
        <f t="shared" si="7"/>
        <v/>
      </c>
      <c r="R485" s="5" t="str">
        <f>IF(A485="","",IF(COUNTIF(Типы,C485)=0,"НЕИЗВЕСТНЫЙ ТИП",VLOOKUP(C485,СПРАВОЧНИКИ!$A$7:$E$22,3,FALSE)))</f>
        <v/>
      </c>
      <c r="S485" s="26" t="str">
        <f>IF(A485="","",IF(L485="Проведён",E485*IF(COUNTIF(Типы,C485)=0,0,VLOOKUP(C485,СПРАВОЧНИКИ!$A$7:$E$22,4,FALSE)),0))</f>
        <v/>
      </c>
      <c r="T485" s="26" t="str">
        <f>IF(A485="","",IF(L485="Проведён",E485*IF(COUNTIF(Типы,C485)=0,0,VLOOKUP(C485,СПРАВОЧНИКИ!$A$7:$E$22,5,FALSE)),0))</f>
        <v/>
      </c>
      <c r="U485" s="5" t="str">
        <f>IF(A485="","",IF(COUNTIF(Контрагенты,H485)=0,"Не задан",VLOOKUP(H485,СПРАВОЧНИКИ!$G$7:$H$66,2,FALSE)))</f>
        <v/>
      </c>
      <c r="V485" s="4" t="str">
        <f>IF(A485="",IF(COUNTA(B485:O485)&gt;0,"НЕТ ID",""),IF(OR(AND(OR(C485="Оплата клиента",C485="Возврат клиенту"),COUNTIFS(Docs[ID],J485,Docs[Тип долга],"ДЗ")&lt;&gt;1),AND(OR(C485="Оплата поставщику",C485="Возврат поставщика"),COUNTIFS(Docs[ID],J485,Docs[Тип долга],"КЗ",Docs[Вид],"&lt;&gt;Дивиденды")&lt;&gt;1),AND(C485="Дивиденды",COUNTIFS(Docs[ID],J485,Docs[Вид],"Дивиденды")&lt;&gt;1),AND(C485="Проценты",COUNTIFS(Docs[ID],J485,Docs[Вид],"Проценты")&lt;&gt;1),COUNTIF(Cash[ID],A485)&gt;1,NOT(ISNUMBER(B485)),B485&lt;НачалоУчета,YEAR(B485)&lt;&gt;Год,NOT(ISNUMBER(E485)),E485&lt;=0,N485&lt;0,COUNTIF(Типы,C485)&lt;&gt;1,COUNTIF(Категории,D485)&lt;&gt;1,COUNTIF(Счета,F485)&lt;&gt;1,COUNTIF(Проекты,I485)&lt;&gt;1,AND(H485&lt;&gt;"",COUNTIF(Контрагенты,H485)&lt;&gt;1),AND(C485="Перевод",OR(F485=G485,COUNTIF(Счета,G485)&lt;&gt;1)),AND(S485&lt;&gt;0,COUNTIF(Docs[ID],J485)&lt;&gt;1),AND(Форма="ООО",C485="Вывод ИП"),AND(Форма="ИП",C485="Дивиденды"),AND(L485&lt;&gt;"Проведён",L485&lt;&gt;"Черновик")),"ОШИБКА","ОК"))</f>
        <v/>
      </c>
      <c r="W485" s="25" t="str">
        <f>IF(A485="","",SUMIF(Accounts[Счёт],F485,Accounts[Начальный])+SUMIFS($Q$7:Q485,$F$7:F485,F485)+SUMIFS($E$7:E485,$G$7:G485,F485,$C$7:C485,"Перевод",$L$7:L485,"Проведён"))</f>
        <v/>
      </c>
    </row>
    <row r="486" spans="1:23" x14ac:dyDescent="0.25">
      <c r="A486" s="22"/>
      <c r="B486" s="23"/>
      <c r="C486" s="22"/>
      <c r="D486" s="22"/>
      <c r="E486" s="27"/>
      <c r="F486" s="22"/>
      <c r="G486" s="22"/>
      <c r="H486" s="22"/>
      <c r="I486" s="22"/>
      <c r="J486" s="22"/>
      <c r="K486" s="22"/>
      <c r="L486" s="22"/>
      <c r="M486" s="22"/>
      <c r="N486" s="27"/>
      <c r="O486" s="22"/>
      <c r="P486" s="5" t="str">
        <f>IF(A486="","",IF(COUNTIF(Типы,C486)=0,0,VLOOKUP(C486,СПРАВОЧНИКИ!$A$7:$E$22,2,FALSE)))</f>
        <v/>
      </c>
      <c r="Q486" s="25" t="str">
        <f t="shared" si="7"/>
        <v/>
      </c>
      <c r="R486" s="5" t="str">
        <f>IF(A486="","",IF(COUNTIF(Типы,C486)=0,"НЕИЗВЕСТНЫЙ ТИП",VLOOKUP(C486,СПРАВОЧНИКИ!$A$7:$E$22,3,FALSE)))</f>
        <v/>
      </c>
      <c r="S486" s="26" t="str">
        <f>IF(A486="","",IF(L486="Проведён",E486*IF(COUNTIF(Типы,C486)=0,0,VLOOKUP(C486,СПРАВОЧНИКИ!$A$7:$E$22,4,FALSE)),0))</f>
        <v/>
      </c>
      <c r="T486" s="26" t="str">
        <f>IF(A486="","",IF(L486="Проведён",E486*IF(COUNTIF(Типы,C486)=0,0,VLOOKUP(C486,СПРАВОЧНИКИ!$A$7:$E$22,5,FALSE)),0))</f>
        <v/>
      </c>
      <c r="U486" s="5" t="str">
        <f>IF(A486="","",IF(COUNTIF(Контрагенты,H486)=0,"Не задан",VLOOKUP(H486,СПРАВОЧНИКИ!$G$7:$H$66,2,FALSE)))</f>
        <v/>
      </c>
      <c r="V486" s="4" t="str">
        <f>IF(A486="",IF(COUNTA(B486:O486)&gt;0,"НЕТ ID",""),IF(OR(AND(OR(C486="Оплата клиента",C486="Возврат клиенту"),COUNTIFS(Docs[ID],J486,Docs[Тип долга],"ДЗ")&lt;&gt;1),AND(OR(C486="Оплата поставщику",C486="Возврат поставщика"),COUNTIFS(Docs[ID],J486,Docs[Тип долга],"КЗ",Docs[Вид],"&lt;&gt;Дивиденды")&lt;&gt;1),AND(C486="Дивиденды",COUNTIFS(Docs[ID],J486,Docs[Вид],"Дивиденды")&lt;&gt;1),AND(C486="Проценты",COUNTIFS(Docs[ID],J486,Docs[Вид],"Проценты")&lt;&gt;1),COUNTIF(Cash[ID],A486)&gt;1,NOT(ISNUMBER(B486)),B486&lt;НачалоУчета,YEAR(B486)&lt;&gt;Год,NOT(ISNUMBER(E486)),E486&lt;=0,N486&lt;0,COUNTIF(Типы,C486)&lt;&gt;1,COUNTIF(Категории,D486)&lt;&gt;1,COUNTIF(Счета,F486)&lt;&gt;1,COUNTIF(Проекты,I486)&lt;&gt;1,AND(H486&lt;&gt;"",COUNTIF(Контрагенты,H486)&lt;&gt;1),AND(C486="Перевод",OR(F486=G486,COUNTIF(Счета,G486)&lt;&gt;1)),AND(S486&lt;&gt;0,COUNTIF(Docs[ID],J486)&lt;&gt;1),AND(Форма="ООО",C486="Вывод ИП"),AND(Форма="ИП",C486="Дивиденды"),AND(L486&lt;&gt;"Проведён",L486&lt;&gt;"Черновик")),"ОШИБКА","ОК"))</f>
        <v/>
      </c>
      <c r="W486" s="25" t="str">
        <f>IF(A486="","",SUMIF(Accounts[Счёт],F486,Accounts[Начальный])+SUMIFS($Q$7:Q486,$F$7:F486,F486)+SUMIFS($E$7:E486,$G$7:G486,F486,$C$7:C486,"Перевод",$L$7:L486,"Проведён"))</f>
        <v/>
      </c>
    </row>
    <row r="487" spans="1:23" x14ac:dyDescent="0.25">
      <c r="A487" s="22"/>
      <c r="B487" s="23"/>
      <c r="C487" s="22"/>
      <c r="D487" s="22"/>
      <c r="E487" s="27"/>
      <c r="F487" s="22"/>
      <c r="G487" s="22"/>
      <c r="H487" s="22"/>
      <c r="I487" s="22"/>
      <c r="J487" s="22"/>
      <c r="K487" s="22"/>
      <c r="L487" s="22"/>
      <c r="M487" s="22"/>
      <c r="N487" s="27"/>
      <c r="O487" s="22"/>
      <c r="P487" s="5" t="str">
        <f>IF(A487="","",IF(COUNTIF(Типы,C487)=0,0,VLOOKUP(C487,СПРАВОЧНИКИ!$A$7:$E$22,2,FALSE)))</f>
        <v/>
      </c>
      <c r="Q487" s="25" t="str">
        <f t="shared" si="7"/>
        <v/>
      </c>
      <c r="R487" s="5" t="str">
        <f>IF(A487="","",IF(COUNTIF(Типы,C487)=0,"НЕИЗВЕСТНЫЙ ТИП",VLOOKUP(C487,СПРАВОЧНИКИ!$A$7:$E$22,3,FALSE)))</f>
        <v/>
      </c>
      <c r="S487" s="26" t="str">
        <f>IF(A487="","",IF(L487="Проведён",E487*IF(COUNTIF(Типы,C487)=0,0,VLOOKUP(C487,СПРАВОЧНИКИ!$A$7:$E$22,4,FALSE)),0))</f>
        <v/>
      </c>
      <c r="T487" s="26" t="str">
        <f>IF(A487="","",IF(L487="Проведён",E487*IF(COUNTIF(Типы,C487)=0,0,VLOOKUP(C487,СПРАВОЧНИКИ!$A$7:$E$22,5,FALSE)),0))</f>
        <v/>
      </c>
      <c r="U487" s="5" t="str">
        <f>IF(A487="","",IF(COUNTIF(Контрагенты,H487)=0,"Не задан",VLOOKUP(H487,СПРАВОЧНИКИ!$G$7:$H$66,2,FALSE)))</f>
        <v/>
      </c>
      <c r="V487" s="4" t="str">
        <f>IF(A487="",IF(COUNTA(B487:O487)&gt;0,"НЕТ ID",""),IF(OR(AND(OR(C487="Оплата клиента",C487="Возврат клиенту"),COUNTIFS(Docs[ID],J487,Docs[Тип долга],"ДЗ")&lt;&gt;1),AND(OR(C487="Оплата поставщику",C487="Возврат поставщика"),COUNTIFS(Docs[ID],J487,Docs[Тип долга],"КЗ",Docs[Вид],"&lt;&gt;Дивиденды")&lt;&gt;1),AND(C487="Дивиденды",COUNTIFS(Docs[ID],J487,Docs[Вид],"Дивиденды")&lt;&gt;1),AND(C487="Проценты",COUNTIFS(Docs[ID],J487,Docs[Вид],"Проценты")&lt;&gt;1),COUNTIF(Cash[ID],A487)&gt;1,NOT(ISNUMBER(B487)),B487&lt;НачалоУчета,YEAR(B487)&lt;&gt;Год,NOT(ISNUMBER(E487)),E487&lt;=0,N487&lt;0,COUNTIF(Типы,C487)&lt;&gt;1,COUNTIF(Категории,D487)&lt;&gt;1,COUNTIF(Счета,F487)&lt;&gt;1,COUNTIF(Проекты,I487)&lt;&gt;1,AND(H487&lt;&gt;"",COUNTIF(Контрагенты,H487)&lt;&gt;1),AND(C487="Перевод",OR(F487=G487,COUNTIF(Счета,G487)&lt;&gt;1)),AND(S487&lt;&gt;0,COUNTIF(Docs[ID],J487)&lt;&gt;1),AND(Форма="ООО",C487="Вывод ИП"),AND(Форма="ИП",C487="Дивиденды"),AND(L487&lt;&gt;"Проведён",L487&lt;&gt;"Черновик")),"ОШИБКА","ОК"))</f>
        <v/>
      </c>
      <c r="W487" s="25" t="str">
        <f>IF(A487="","",SUMIF(Accounts[Счёт],F487,Accounts[Начальный])+SUMIFS($Q$7:Q487,$F$7:F487,F487)+SUMIFS($E$7:E487,$G$7:G487,F487,$C$7:C487,"Перевод",$L$7:L487,"Проведён"))</f>
        <v/>
      </c>
    </row>
    <row r="488" spans="1:23" x14ac:dyDescent="0.25">
      <c r="A488" s="22"/>
      <c r="B488" s="23"/>
      <c r="C488" s="22"/>
      <c r="D488" s="22"/>
      <c r="E488" s="27"/>
      <c r="F488" s="22"/>
      <c r="G488" s="22"/>
      <c r="H488" s="22"/>
      <c r="I488" s="22"/>
      <c r="J488" s="22"/>
      <c r="K488" s="22"/>
      <c r="L488" s="22"/>
      <c r="M488" s="22"/>
      <c r="N488" s="27"/>
      <c r="O488" s="22"/>
      <c r="P488" s="5" t="str">
        <f>IF(A488="","",IF(COUNTIF(Типы,C488)=0,0,VLOOKUP(C488,СПРАВОЧНИКИ!$A$7:$E$22,2,FALSE)))</f>
        <v/>
      </c>
      <c r="Q488" s="25" t="str">
        <f t="shared" si="7"/>
        <v/>
      </c>
      <c r="R488" s="5" t="str">
        <f>IF(A488="","",IF(COUNTIF(Типы,C488)=0,"НЕИЗВЕСТНЫЙ ТИП",VLOOKUP(C488,СПРАВОЧНИКИ!$A$7:$E$22,3,FALSE)))</f>
        <v/>
      </c>
      <c r="S488" s="26" t="str">
        <f>IF(A488="","",IF(L488="Проведён",E488*IF(COUNTIF(Типы,C488)=0,0,VLOOKUP(C488,СПРАВОЧНИКИ!$A$7:$E$22,4,FALSE)),0))</f>
        <v/>
      </c>
      <c r="T488" s="26" t="str">
        <f>IF(A488="","",IF(L488="Проведён",E488*IF(COUNTIF(Типы,C488)=0,0,VLOOKUP(C488,СПРАВОЧНИКИ!$A$7:$E$22,5,FALSE)),0))</f>
        <v/>
      </c>
      <c r="U488" s="5" t="str">
        <f>IF(A488="","",IF(COUNTIF(Контрагенты,H488)=0,"Не задан",VLOOKUP(H488,СПРАВОЧНИКИ!$G$7:$H$66,2,FALSE)))</f>
        <v/>
      </c>
      <c r="V488" s="4" t="str">
        <f>IF(A488="",IF(COUNTA(B488:O488)&gt;0,"НЕТ ID",""),IF(OR(AND(OR(C488="Оплата клиента",C488="Возврат клиенту"),COUNTIFS(Docs[ID],J488,Docs[Тип долга],"ДЗ")&lt;&gt;1),AND(OR(C488="Оплата поставщику",C488="Возврат поставщика"),COUNTIFS(Docs[ID],J488,Docs[Тип долга],"КЗ",Docs[Вид],"&lt;&gt;Дивиденды")&lt;&gt;1),AND(C488="Дивиденды",COUNTIFS(Docs[ID],J488,Docs[Вид],"Дивиденды")&lt;&gt;1),AND(C488="Проценты",COUNTIFS(Docs[ID],J488,Docs[Вид],"Проценты")&lt;&gt;1),COUNTIF(Cash[ID],A488)&gt;1,NOT(ISNUMBER(B488)),B488&lt;НачалоУчета,YEAR(B488)&lt;&gt;Год,NOT(ISNUMBER(E488)),E488&lt;=0,N488&lt;0,COUNTIF(Типы,C488)&lt;&gt;1,COUNTIF(Категории,D488)&lt;&gt;1,COUNTIF(Счета,F488)&lt;&gt;1,COUNTIF(Проекты,I488)&lt;&gt;1,AND(H488&lt;&gt;"",COUNTIF(Контрагенты,H488)&lt;&gt;1),AND(C488="Перевод",OR(F488=G488,COUNTIF(Счета,G488)&lt;&gt;1)),AND(S488&lt;&gt;0,COUNTIF(Docs[ID],J488)&lt;&gt;1),AND(Форма="ООО",C488="Вывод ИП"),AND(Форма="ИП",C488="Дивиденды"),AND(L488&lt;&gt;"Проведён",L488&lt;&gt;"Черновик")),"ОШИБКА","ОК"))</f>
        <v/>
      </c>
      <c r="W488" s="25" t="str">
        <f>IF(A488="","",SUMIF(Accounts[Счёт],F488,Accounts[Начальный])+SUMIFS($Q$7:Q488,$F$7:F488,F488)+SUMIFS($E$7:E488,$G$7:G488,F488,$C$7:C488,"Перевод",$L$7:L488,"Проведён"))</f>
        <v/>
      </c>
    </row>
    <row r="489" spans="1:23" x14ac:dyDescent="0.25">
      <c r="A489" s="22"/>
      <c r="B489" s="23"/>
      <c r="C489" s="22"/>
      <c r="D489" s="22"/>
      <c r="E489" s="27"/>
      <c r="F489" s="22"/>
      <c r="G489" s="22"/>
      <c r="H489" s="22"/>
      <c r="I489" s="22"/>
      <c r="J489" s="22"/>
      <c r="K489" s="22"/>
      <c r="L489" s="22"/>
      <c r="M489" s="22"/>
      <c r="N489" s="27"/>
      <c r="O489" s="22"/>
      <c r="P489" s="5" t="str">
        <f>IF(A489="","",IF(COUNTIF(Типы,C489)=0,0,VLOOKUP(C489,СПРАВОЧНИКИ!$A$7:$E$22,2,FALSE)))</f>
        <v/>
      </c>
      <c r="Q489" s="25" t="str">
        <f t="shared" si="7"/>
        <v/>
      </c>
      <c r="R489" s="5" t="str">
        <f>IF(A489="","",IF(COUNTIF(Типы,C489)=0,"НЕИЗВЕСТНЫЙ ТИП",VLOOKUP(C489,СПРАВОЧНИКИ!$A$7:$E$22,3,FALSE)))</f>
        <v/>
      </c>
      <c r="S489" s="26" t="str">
        <f>IF(A489="","",IF(L489="Проведён",E489*IF(COUNTIF(Типы,C489)=0,0,VLOOKUP(C489,СПРАВОЧНИКИ!$A$7:$E$22,4,FALSE)),0))</f>
        <v/>
      </c>
      <c r="T489" s="26" t="str">
        <f>IF(A489="","",IF(L489="Проведён",E489*IF(COUNTIF(Типы,C489)=0,0,VLOOKUP(C489,СПРАВОЧНИКИ!$A$7:$E$22,5,FALSE)),0))</f>
        <v/>
      </c>
      <c r="U489" s="5" t="str">
        <f>IF(A489="","",IF(COUNTIF(Контрагенты,H489)=0,"Не задан",VLOOKUP(H489,СПРАВОЧНИКИ!$G$7:$H$66,2,FALSE)))</f>
        <v/>
      </c>
      <c r="V489" s="4" t="str">
        <f>IF(A489="",IF(COUNTA(B489:O489)&gt;0,"НЕТ ID",""),IF(OR(AND(OR(C489="Оплата клиента",C489="Возврат клиенту"),COUNTIFS(Docs[ID],J489,Docs[Тип долга],"ДЗ")&lt;&gt;1),AND(OR(C489="Оплата поставщику",C489="Возврат поставщика"),COUNTIFS(Docs[ID],J489,Docs[Тип долга],"КЗ",Docs[Вид],"&lt;&gt;Дивиденды")&lt;&gt;1),AND(C489="Дивиденды",COUNTIFS(Docs[ID],J489,Docs[Вид],"Дивиденды")&lt;&gt;1),AND(C489="Проценты",COUNTIFS(Docs[ID],J489,Docs[Вид],"Проценты")&lt;&gt;1),COUNTIF(Cash[ID],A489)&gt;1,NOT(ISNUMBER(B489)),B489&lt;НачалоУчета,YEAR(B489)&lt;&gt;Год,NOT(ISNUMBER(E489)),E489&lt;=0,N489&lt;0,COUNTIF(Типы,C489)&lt;&gt;1,COUNTIF(Категории,D489)&lt;&gt;1,COUNTIF(Счета,F489)&lt;&gt;1,COUNTIF(Проекты,I489)&lt;&gt;1,AND(H489&lt;&gt;"",COUNTIF(Контрагенты,H489)&lt;&gt;1),AND(C489="Перевод",OR(F489=G489,COUNTIF(Счета,G489)&lt;&gt;1)),AND(S489&lt;&gt;0,COUNTIF(Docs[ID],J489)&lt;&gt;1),AND(Форма="ООО",C489="Вывод ИП"),AND(Форма="ИП",C489="Дивиденды"),AND(L489&lt;&gt;"Проведён",L489&lt;&gt;"Черновик")),"ОШИБКА","ОК"))</f>
        <v/>
      </c>
      <c r="W489" s="25" t="str">
        <f>IF(A489="","",SUMIF(Accounts[Счёт],F489,Accounts[Начальный])+SUMIFS($Q$7:Q489,$F$7:F489,F489)+SUMIFS($E$7:E489,$G$7:G489,F489,$C$7:C489,"Перевод",$L$7:L489,"Проведён"))</f>
        <v/>
      </c>
    </row>
    <row r="490" spans="1:23" x14ac:dyDescent="0.25">
      <c r="A490" s="22"/>
      <c r="B490" s="23"/>
      <c r="C490" s="22"/>
      <c r="D490" s="22"/>
      <c r="E490" s="27"/>
      <c r="F490" s="22"/>
      <c r="G490" s="22"/>
      <c r="H490" s="22"/>
      <c r="I490" s="22"/>
      <c r="J490" s="22"/>
      <c r="K490" s="22"/>
      <c r="L490" s="22"/>
      <c r="M490" s="22"/>
      <c r="N490" s="27"/>
      <c r="O490" s="22"/>
      <c r="P490" s="5" t="str">
        <f>IF(A490="","",IF(COUNTIF(Типы,C490)=0,0,VLOOKUP(C490,СПРАВОЧНИКИ!$A$7:$E$22,2,FALSE)))</f>
        <v/>
      </c>
      <c r="Q490" s="25" t="str">
        <f t="shared" si="7"/>
        <v/>
      </c>
      <c r="R490" s="5" t="str">
        <f>IF(A490="","",IF(COUNTIF(Типы,C490)=0,"НЕИЗВЕСТНЫЙ ТИП",VLOOKUP(C490,СПРАВОЧНИКИ!$A$7:$E$22,3,FALSE)))</f>
        <v/>
      </c>
      <c r="S490" s="26" t="str">
        <f>IF(A490="","",IF(L490="Проведён",E490*IF(COUNTIF(Типы,C490)=0,0,VLOOKUP(C490,СПРАВОЧНИКИ!$A$7:$E$22,4,FALSE)),0))</f>
        <v/>
      </c>
      <c r="T490" s="26" t="str">
        <f>IF(A490="","",IF(L490="Проведён",E490*IF(COUNTIF(Типы,C490)=0,0,VLOOKUP(C490,СПРАВОЧНИКИ!$A$7:$E$22,5,FALSE)),0))</f>
        <v/>
      </c>
      <c r="U490" s="5" t="str">
        <f>IF(A490="","",IF(COUNTIF(Контрагенты,H490)=0,"Не задан",VLOOKUP(H490,СПРАВОЧНИКИ!$G$7:$H$66,2,FALSE)))</f>
        <v/>
      </c>
      <c r="V490" s="4" t="str">
        <f>IF(A490="",IF(COUNTA(B490:O490)&gt;0,"НЕТ ID",""),IF(OR(AND(OR(C490="Оплата клиента",C490="Возврат клиенту"),COUNTIFS(Docs[ID],J490,Docs[Тип долга],"ДЗ")&lt;&gt;1),AND(OR(C490="Оплата поставщику",C490="Возврат поставщика"),COUNTIFS(Docs[ID],J490,Docs[Тип долга],"КЗ",Docs[Вид],"&lt;&gt;Дивиденды")&lt;&gt;1),AND(C490="Дивиденды",COUNTIFS(Docs[ID],J490,Docs[Вид],"Дивиденды")&lt;&gt;1),AND(C490="Проценты",COUNTIFS(Docs[ID],J490,Docs[Вид],"Проценты")&lt;&gt;1),COUNTIF(Cash[ID],A490)&gt;1,NOT(ISNUMBER(B490)),B490&lt;НачалоУчета,YEAR(B490)&lt;&gt;Год,NOT(ISNUMBER(E490)),E490&lt;=0,N490&lt;0,COUNTIF(Типы,C490)&lt;&gt;1,COUNTIF(Категории,D490)&lt;&gt;1,COUNTIF(Счета,F490)&lt;&gt;1,COUNTIF(Проекты,I490)&lt;&gt;1,AND(H490&lt;&gt;"",COUNTIF(Контрагенты,H490)&lt;&gt;1),AND(C490="Перевод",OR(F490=G490,COUNTIF(Счета,G490)&lt;&gt;1)),AND(S490&lt;&gt;0,COUNTIF(Docs[ID],J490)&lt;&gt;1),AND(Форма="ООО",C490="Вывод ИП"),AND(Форма="ИП",C490="Дивиденды"),AND(L490&lt;&gt;"Проведён",L490&lt;&gt;"Черновик")),"ОШИБКА","ОК"))</f>
        <v/>
      </c>
      <c r="W490" s="25" t="str">
        <f>IF(A490="","",SUMIF(Accounts[Счёт],F490,Accounts[Начальный])+SUMIFS($Q$7:Q490,$F$7:F490,F490)+SUMIFS($E$7:E490,$G$7:G490,F490,$C$7:C490,"Перевод",$L$7:L490,"Проведён"))</f>
        <v/>
      </c>
    </row>
    <row r="491" spans="1:23" x14ac:dyDescent="0.25">
      <c r="A491" s="22"/>
      <c r="B491" s="23"/>
      <c r="C491" s="22"/>
      <c r="D491" s="22"/>
      <c r="E491" s="27"/>
      <c r="F491" s="22"/>
      <c r="G491" s="22"/>
      <c r="H491" s="22"/>
      <c r="I491" s="22"/>
      <c r="J491" s="22"/>
      <c r="K491" s="22"/>
      <c r="L491" s="22"/>
      <c r="M491" s="22"/>
      <c r="N491" s="27"/>
      <c r="O491" s="22"/>
      <c r="P491" s="5" t="str">
        <f>IF(A491="","",IF(COUNTIF(Типы,C491)=0,0,VLOOKUP(C491,СПРАВОЧНИКИ!$A$7:$E$22,2,FALSE)))</f>
        <v/>
      </c>
      <c r="Q491" s="25" t="str">
        <f t="shared" si="7"/>
        <v/>
      </c>
      <c r="R491" s="5" t="str">
        <f>IF(A491="","",IF(COUNTIF(Типы,C491)=0,"НЕИЗВЕСТНЫЙ ТИП",VLOOKUP(C491,СПРАВОЧНИКИ!$A$7:$E$22,3,FALSE)))</f>
        <v/>
      </c>
      <c r="S491" s="26" t="str">
        <f>IF(A491="","",IF(L491="Проведён",E491*IF(COUNTIF(Типы,C491)=0,0,VLOOKUP(C491,СПРАВОЧНИКИ!$A$7:$E$22,4,FALSE)),0))</f>
        <v/>
      </c>
      <c r="T491" s="26" t="str">
        <f>IF(A491="","",IF(L491="Проведён",E491*IF(COUNTIF(Типы,C491)=0,0,VLOOKUP(C491,СПРАВОЧНИКИ!$A$7:$E$22,5,FALSE)),0))</f>
        <v/>
      </c>
      <c r="U491" s="5" t="str">
        <f>IF(A491="","",IF(COUNTIF(Контрагенты,H491)=0,"Не задан",VLOOKUP(H491,СПРАВОЧНИКИ!$G$7:$H$66,2,FALSE)))</f>
        <v/>
      </c>
      <c r="V491" s="4" t="str">
        <f>IF(A491="",IF(COUNTA(B491:O491)&gt;0,"НЕТ ID",""),IF(OR(AND(OR(C491="Оплата клиента",C491="Возврат клиенту"),COUNTIFS(Docs[ID],J491,Docs[Тип долга],"ДЗ")&lt;&gt;1),AND(OR(C491="Оплата поставщику",C491="Возврат поставщика"),COUNTIFS(Docs[ID],J491,Docs[Тип долга],"КЗ",Docs[Вид],"&lt;&gt;Дивиденды")&lt;&gt;1),AND(C491="Дивиденды",COUNTIFS(Docs[ID],J491,Docs[Вид],"Дивиденды")&lt;&gt;1),AND(C491="Проценты",COUNTIFS(Docs[ID],J491,Docs[Вид],"Проценты")&lt;&gt;1),COUNTIF(Cash[ID],A491)&gt;1,NOT(ISNUMBER(B491)),B491&lt;НачалоУчета,YEAR(B491)&lt;&gt;Год,NOT(ISNUMBER(E491)),E491&lt;=0,N491&lt;0,COUNTIF(Типы,C491)&lt;&gt;1,COUNTIF(Категории,D491)&lt;&gt;1,COUNTIF(Счета,F491)&lt;&gt;1,COUNTIF(Проекты,I491)&lt;&gt;1,AND(H491&lt;&gt;"",COUNTIF(Контрагенты,H491)&lt;&gt;1),AND(C491="Перевод",OR(F491=G491,COUNTIF(Счета,G491)&lt;&gt;1)),AND(S491&lt;&gt;0,COUNTIF(Docs[ID],J491)&lt;&gt;1),AND(Форма="ООО",C491="Вывод ИП"),AND(Форма="ИП",C491="Дивиденды"),AND(L491&lt;&gt;"Проведён",L491&lt;&gt;"Черновик")),"ОШИБКА","ОК"))</f>
        <v/>
      </c>
      <c r="W491" s="25" t="str">
        <f>IF(A491="","",SUMIF(Accounts[Счёт],F491,Accounts[Начальный])+SUMIFS($Q$7:Q491,$F$7:F491,F491)+SUMIFS($E$7:E491,$G$7:G491,F491,$C$7:C491,"Перевод",$L$7:L491,"Проведён"))</f>
        <v/>
      </c>
    </row>
    <row r="492" spans="1:23" x14ac:dyDescent="0.25">
      <c r="A492" s="22"/>
      <c r="B492" s="23"/>
      <c r="C492" s="22"/>
      <c r="D492" s="22"/>
      <c r="E492" s="27"/>
      <c r="F492" s="22"/>
      <c r="G492" s="22"/>
      <c r="H492" s="22"/>
      <c r="I492" s="22"/>
      <c r="J492" s="22"/>
      <c r="K492" s="22"/>
      <c r="L492" s="22"/>
      <c r="M492" s="22"/>
      <c r="N492" s="27"/>
      <c r="O492" s="22"/>
      <c r="P492" s="5" t="str">
        <f>IF(A492="","",IF(COUNTIF(Типы,C492)=0,0,VLOOKUP(C492,СПРАВОЧНИКИ!$A$7:$E$22,2,FALSE)))</f>
        <v/>
      </c>
      <c r="Q492" s="25" t="str">
        <f t="shared" si="7"/>
        <v/>
      </c>
      <c r="R492" s="5" t="str">
        <f>IF(A492="","",IF(COUNTIF(Типы,C492)=0,"НЕИЗВЕСТНЫЙ ТИП",VLOOKUP(C492,СПРАВОЧНИКИ!$A$7:$E$22,3,FALSE)))</f>
        <v/>
      </c>
      <c r="S492" s="26" t="str">
        <f>IF(A492="","",IF(L492="Проведён",E492*IF(COUNTIF(Типы,C492)=0,0,VLOOKUP(C492,СПРАВОЧНИКИ!$A$7:$E$22,4,FALSE)),0))</f>
        <v/>
      </c>
      <c r="T492" s="26" t="str">
        <f>IF(A492="","",IF(L492="Проведён",E492*IF(COUNTIF(Типы,C492)=0,0,VLOOKUP(C492,СПРАВОЧНИКИ!$A$7:$E$22,5,FALSE)),0))</f>
        <v/>
      </c>
      <c r="U492" s="5" t="str">
        <f>IF(A492="","",IF(COUNTIF(Контрагенты,H492)=0,"Не задан",VLOOKUP(H492,СПРАВОЧНИКИ!$G$7:$H$66,2,FALSE)))</f>
        <v/>
      </c>
      <c r="V492" s="4" t="str">
        <f>IF(A492="",IF(COUNTA(B492:O492)&gt;0,"НЕТ ID",""),IF(OR(AND(OR(C492="Оплата клиента",C492="Возврат клиенту"),COUNTIFS(Docs[ID],J492,Docs[Тип долга],"ДЗ")&lt;&gt;1),AND(OR(C492="Оплата поставщику",C492="Возврат поставщика"),COUNTIFS(Docs[ID],J492,Docs[Тип долга],"КЗ",Docs[Вид],"&lt;&gt;Дивиденды")&lt;&gt;1),AND(C492="Дивиденды",COUNTIFS(Docs[ID],J492,Docs[Вид],"Дивиденды")&lt;&gt;1),AND(C492="Проценты",COUNTIFS(Docs[ID],J492,Docs[Вид],"Проценты")&lt;&gt;1),COUNTIF(Cash[ID],A492)&gt;1,NOT(ISNUMBER(B492)),B492&lt;НачалоУчета,YEAR(B492)&lt;&gt;Год,NOT(ISNUMBER(E492)),E492&lt;=0,N492&lt;0,COUNTIF(Типы,C492)&lt;&gt;1,COUNTIF(Категории,D492)&lt;&gt;1,COUNTIF(Счета,F492)&lt;&gt;1,COUNTIF(Проекты,I492)&lt;&gt;1,AND(H492&lt;&gt;"",COUNTIF(Контрагенты,H492)&lt;&gt;1),AND(C492="Перевод",OR(F492=G492,COUNTIF(Счета,G492)&lt;&gt;1)),AND(S492&lt;&gt;0,COUNTIF(Docs[ID],J492)&lt;&gt;1),AND(Форма="ООО",C492="Вывод ИП"),AND(Форма="ИП",C492="Дивиденды"),AND(L492&lt;&gt;"Проведён",L492&lt;&gt;"Черновик")),"ОШИБКА","ОК"))</f>
        <v/>
      </c>
      <c r="W492" s="25" t="str">
        <f>IF(A492="","",SUMIF(Accounts[Счёт],F492,Accounts[Начальный])+SUMIFS($Q$7:Q492,$F$7:F492,F492)+SUMIFS($E$7:E492,$G$7:G492,F492,$C$7:C492,"Перевод",$L$7:L492,"Проведён"))</f>
        <v/>
      </c>
    </row>
    <row r="493" spans="1:23" x14ac:dyDescent="0.25">
      <c r="A493" s="22"/>
      <c r="B493" s="23"/>
      <c r="C493" s="22"/>
      <c r="D493" s="22"/>
      <c r="E493" s="27"/>
      <c r="F493" s="22"/>
      <c r="G493" s="22"/>
      <c r="H493" s="22"/>
      <c r="I493" s="22"/>
      <c r="J493" s="22"/>
      <c r="K493" s="22"/>
      <c r="L493" s="22"/>
      <c r="M493" s="22"/>
      <c r="N493" s="27"/>
      <c r="O493" s="22"/>
      <c r="P493" s="5" t="str">
        <f>IF(A493="","",IF(COUNTIF(Типы,C493)=0,0,VLOOKUP(C493,СПРАВОЧНИКИ!$A$7:$E$22,2,FALSE)))</f>
        <v/>
      </c>
      <c r="Q493" s="25" t="str">
        <f t="shared" si="7"/>
        <v/>
      </c>
      <c r="R493" s="5" t="str">
        <f>IF(A493="","",IF(COUNTIF(Типы,C493)=0,"НЕИЗВЕСТНЫЙ ТИП",VLOOKUP(C493,СПРАВОЧНИКИ!$A$7:$E$22,3,FALSE)))</f>
        <v/>
      </c>
      <c r="S493" s="26" t="str">
        <f>IF(A493="","",IF(L493="Проведён",E493*IF(COUNTIF(Типы,C493)=0,0,VLOOKUP(C493,СПРАВОЧНИКИ!$A$7:$E$22,4,FALSE)),0))</f>
        <v/>
      </c>
      <c r="T493" s="26" t="str">
        <f>IF(A493="","",IF(L493="Проведён",E493*IF(COUNTIF(Типы,C493)=0,0,VLOOKUP(C493,СПРАВОЧНИКИ!$A$7:$E$22,5,FALSE)),0))</f>
        <v/>
      </c>
      <c r="U493" s="5" t="str">
        <f>IF(A493="","",IF(COUNTIF(Контрагенты,H493)=0,"Не задан",VLOOKUP(H493,СПРАВОЧНИКИ!$G$7:$H$66,2,FALSE)))</f>
        <v/>
      </c>
      <c r="V493" s="4" t="str">
        <f>IF(A493="",IF(COUNTA(B493:O493)&gt;0,"НЕТ ID",""),IF(OR(AND(OR(C493="Оплата клиента",C493="Возврат клиенту"),COUNTIFS(Docs[ID],J493,Docs[Тип долга],"ДЗ")&lt;&gt;1),AND(OR(C493="Оплата поставщику",C493="Возврат поставщика"),COUNTIFS(Docs[ID],J493,Docs[Тип долга],"КЗ",Docs[Вид],"&lt;&gt;Дивиденды")&lt;&gt;1),AND(C493="Дивиденды",COUNTIFS(Docs[ID],J493,Docs[Вид],"Дивиденды")&lt;&gt;1),AND(C493="Проценты",COUNTIFS(Docs[ID],J493,Docs[Вид],"Проценты")&lt;&gt;1),COUNTIF(Cash[ID],A493)&gt;1,NOT(ISNUMBER(B493)),B493&lt;НачалоУчета,YEAR(B493)&lt;&gt;Год,NOT(ISNUMBER(E493)),E493&lt;=0,N493&lt;0,COUNTIF(Типы,C493)&lt;&gt;1,COUNTIF(Категории,D493)&lt;&gt;1,COUNTIF(Счета,F493)&lt;&gt;1,COUNTIF(Проекты,I493)&lt;&gt;1,AND(H493&lt;&gt;"",COUNTIF(Контрагенты,H493)&lt;&gt;1),AND(C493="Перевод",OR(F493=G493,COUNTIF(Счета,G493)&lt;&gt;1)),AND(S493&lt;&gt;0,COUNTIF(Docs[ID],J493)&lt;&gt;1),AND(Форма="ООО",C493="Вывод ИП"),AND(Форма="ИП",C493="Дивиденды"),AND(L493&lt;&gt;"Проведён",L493&lt;&gt;"Черновик")),"ОШИБКА","ОК"))</f>
        <v/>
      </c>
      <c r="W493" s="25" t="str">
        <f>IF(A493="","",SUMIF(Accounts[Счёт],F493,Accounts[Начальный])+SUMIFS($Q$7:Q493,$F$7:F493,F493)+SUMIFS($E$7:E493,$G$7:G493,F493,$C$7:C493,"Перевод",$L$7:L493,"Проведён"))</f>
        <v/>
      </c>
    </row>
    <row r="494" spans="1:23" x14ac:dyDescent="0.25">
      <c r="A494" s="22"/>
      <c r="B494" s="23"/>
      <c r="C494" s="22"/>
      <c r="D494" s="22"/>
      <c r="E494" s="27"/>
      <c r="F494" s="22"/>
      <c r="G494" s="22"/>
      <c r="H494" s="22"/>
      <c r="I494" s="22"/>
      <c r="J494" s="22"/>
      <c r="K494" s="22"/>
      <c r="L494" s="22"/>
      <c r="M494" s="22"/>
      <c r="N494" s="27"/>
      <c r="O494" s="22"/>
      <c r="P494" s="5" t="str">
        <f>IF(A494="","",IF(COUNTIF(Типы,C494)=0,0,VLOOKUP(C494,СПРАВОЧНИКИ!$A$7:$E$22,2,FALSE)))</f>
        <v/>
      </c>
      <c r="Q494" s="25" t="str">
        <f t="shared" si="7"/>
        <v/>
      </c>
      <c r="R494" s="5" t="str">
        <f>IF(A494="","",IF(COUNTIF(Типы,C494)=0,"НЕИЗВЕСТНЫЙ ТИП",VLOOKUP(C494,СПРАВОЧНИКИ!$A$7:$E$22,3,FALSE)))</f>
        <v/>
      </c>
      <c r="S494" s="26" t="str">
        <f>IF(A494="","",IF(L494="Проведён",E494*IF(COUNTIF(Типы,C494)=0,0,VLOOKUP(C494,СПРАВОЧНИКИ!$A$7:$E$22,4,FALSE)),0))</f>
        <v/>
      </c>
      <c r="T494" s="26" t="str">
        <f>IF(A494="","",IF(L494="Проведён",E494*IF(COUNTIF(Типы,C494)=0,0,VLOOKUP(C494,СПРАВОЧНИКИ!$A$7:$E$22,5,FALSE)),0))</f>
        <v/>
      </c>
      <c r="U494" s="5" t="str">
        <f>IF(A494="","",IF(COUNTIF(Контрагенты,H494)=0,"Не задан",VLOOKUP(H494,СПРАВОЧНИКИ!$G$7:$H$66,2,FALSE)))</f>
        <v/>
      </c>
      <c r="V494" s="4" t="str">
        <f>IF(A494="",IF(COUNTA(B494:O494)&gt;0,"НЕТ ID",""),IF(OR(AND(OR(C494="Оплата клиента",C494="Возврат клиенту"),COUNTIFS(Docs[ID],J494,Docs[Тип долга],"ДЗ")&lt;&gt;1),AND(OR(C494="Оплата поставщику",C494="Возврат поставщика"),COUNTIFS(Docs[ID],J494,Docs[Тип долга],"КЗ",Docs[Вид],"&lt;&gt;Дивиденды")&lt;&gt;1),AND(C494="Дивиденды",COUNTIFS(Docs[ID],J494,Docs[Вид],"Дивиденды")&lt;&gt;1),AND(C494="Проценты",COUNTIFS(Docs[ID],J494,Docs[Вид],"Проценты")&lt;&gt;1),COUNTIF(Cash[ID],A494)&gt;1,NOT(ISNUMBER(B494)),B494&lt;НачалоУчета,YEAR(B494)&lt;&gt;Год,NOT(ISNUMBER(E494)),E494&lt;=0,N494&lt;0,COUNTIF(Типы,C494)&lt;&gt;1,COUNTIF(Категории,D494)&lt;&gt;1,COUNTIF(Счета,F494)&lt;&gt;1,COUNTIF(Проекты,I494)&lt;&gt;1,AND(H494&lt;&gt;"",COUNTIF(Контрагенты,H494)&lt;&gt;1),AND(C494="Перевод",OR(F494=G494,COUNTIF(Счета,G494)&lt;&gt;1)),AND(S494&lt;&gt;0,COUNTIF(Docs[ID],J494)&lt;&gt;1),AND(Форма="ООО",C494="Вывод ИП"),AND(Форма="ИП",C494="Дивиденды"),AND(L494&lt;&gt;"Проведён",L494&lt;&gt;"Черновик")),"ОШИБКА","ОК"))</f>
        <v/>
      </c>
      <c r="W494" s="25" t="str">
        <f>IF(A494="","",SUMIF(Accounts[Счёт],F494,Accounts[Начальный])+SUMIFS($Q$7:Q494,$F$7:F494,F494)+SUMIFS($E$7:E494,$G$7:G494,F494,$C$7:C494,"Перевод",$L$7:L494,"Проведён"))</f>
        <v/>
      </c>
    </row>
    <row r="495" spans="1:23" x14ac:dyDescent="0.25">
      <c r="A495" s="22"/>
      <c r="B495" s="23"/>
      <c r="C495" s="22"/>
      <c r="D495" s="22"/>
      <c r="E495" s="27"/>
      <c r="F495" s="22"/>
      <c r="G495" s="22"/>
      <c r="H495" s="22"/>
      <c r="I495" s="22"/>
      <c r="J495" s="22"/>
      <c r="K495" s="22"/>
      <c r="L495" s="22"/>
      <c r="M495" s="22"/>
      <c r="N495" s="27"/>
      <c r="O495" s="22"/>
      <c r="P495" s="5" t="str">
        <f>IF(A495="","",IF(COUNTIF(Типы,C495)=0,0,VLOOKUP(C495,СПРАВОЧНИКИ!$A$7:$E$22,2,FALSE)))</f>
        <v/>
      </c>
      <c r="Q495" s="25" t="str">
        <f t="shared" si="7"/>
        <v/>
      </c>
      <c r="R495" s="5" t="str">
        <f>IF(A495="","",IF(COUNTIF(Типы,C495)=0,"НЕИЗВЕСТНЫЙ ТИП",VLOOKUP(C495,СПРАВОЧНИКИ!$A$7:$E$22,3,FALSE)))</f>
        <v/>
      </c>
      <c r="S495" s="26" t="str">
        <f>IF(A495="","",IF(L495="Проведён",E495*IF(COUNTIF(Типы,C495)=0,0,VLOOKUP(C495,СПРАВОЧНИКИ!$A$7:$E$22,4,FALSE)),0))</f>
        <v/>
      </c>
      <c r="T495" s="26" t="str">
        <f>IF(A495="","",IF(L495="Проведён",E495*IF(COUNTIF(Типы,C495)=0,0,VLOOKUP(C495,СПРАВОЧНИКИ!$A$7:$E$22,5,FALSE)),0))</f>
        <v/>
      </c>
      <c r="U495" s="5" t="str">
        <f>IF(A495="","",IF(COUNTIF(Контрагенты,H495)=0,"Не задан",VLOOKUP(H495,СПРАВОЧНИКИ!$G$7:$H$66,2,FALSE)))</f>
        <v/>
      </c>
      <c r="V495" s="4" t="str">
        <f>IF(A495="",IF(COUNTA(B495:O495)&gt;0,"НЕТ ID",""),IF(OR(AND(OR(C495="Оплата клиента",C495="Возврат клиенту"),COUNTIFS(Docs[ID],J495,Docs[Тип долга],"ДЗ")&lt;&gt;1),AND(OR(C495="Оплата поставщику",C495="Возврат поставщика"),COUNTIFS(Docs[ID],J495,Docs[Тип долга],"КЗ",Docs[Вид],"&lt;&gt;Дивиденды")&lt;&gt;1),AND(C495="Дивиденды",COUNTIFS(Docs[ID],J495,Docs[Вид],"Дивиденды")&lt;&gt;1),AND(C495="Проценты",COUNTIFS(Docs[ID],J495,Docs[Вид],"Проценты")&lt;&gt;1),COUNTIF(Cash[ID],A495)&gt;1,NOT(ISNUMBER(B495)),B495&lt;НачалоУчета,YEAR(B495)&lt;&gt;Год,NOT(ISNUMBER(E495)),E495&lt;=0,N495&lt;0,COUNTIF(Типы,C495)&lt;&gt;1,COUNTIF(Категории,D495)&lt;&gt;1,COUNTIF(Счета,F495)&lt;&gt;1,COUNTIF(Проекты,I495)&lt;&gt;1,AND(H495&lt;&gt;"",COUNTIF(Контрагенты,H495)&lt;&gt;1),AND(C495="Перевод",OR(F495=G495,COUNTIF(Счета,G495)&lt;&gt;1)),AND(S495&lt;&gt;0,COUNTIF(Docs[ID],J495)&lt;&gt;1),AND(Форма="ООО",C495="Вывод ИП"),AND(Форма="ИП",C495="Дивиденды"),AND(L495&lt;&gt;"Проведён",L495&lt;&gt;"Черновик")),"ОШИБКА","ОК"))</f>
        <v/>
      </c>
      <c r="W495" s="25" t="str">
        <f>IF(A495="","",SUMIF(Accounts[Счёт],F495,Accounts[Начальный])+SUMIFS($Q$7:Q495,$F$7:F495,F495)+SUMIFS($E$7:E495,$G$7:G495,F495,$C$7:C495,"Перевод",$L$7:L495,"Проведён"))</f>
        <v/>
      </c>
    </row>
    <row r="496" spans="1:23" x14ac:dyDescent="0.25">
      <c r="A496" s="22"/>
      <c r="B496" s="23"/>
      <c r="C496" s="22"/>
      <c r="D496" s="22"/>
      <c r="E496" s="27"/>
      <c r="F496" s="22"/>
      <c r="G496" s="22"/>
      <c r="H496" s="22"/>
      <c r="I496" s="22"/>
      <c r="J496" s="22"/>
      <c r="K496" s="22"/>
      <c r="L496" s="22"/>
      <c r="M496" s="22"/>
      <c r="N496" s="27"/>
      <c r="O496" s="22"/>
      <c r="P496" s="5" t="str">
        <f>IF(A496="","",IF(COUNTIF(Типы,C496)=0,0,VLOOKUP(C496,СПРАВОЧНИКИ!$A$7:$E$22,2,FALSE)))</f>
        <v/>
      </c>
      <c r="Q496" s="25" t="str">
        <f t="shared" si="7"/>
        <v/>
      </c>
      <c r="R496" s="5" t="str">
        <f>IF(A496="","",IF(COUNTIF(Типы,C496)=0,"НЕИЗВЕСТНЫЙ ТИП",VLOOKUP(C496,СПРАВОЧНИКИ!$A$7:$E$22,3,FALSE)))</f>
        <v/>
      </c>
      <c r="S496" s="26" t="str">
        <f>IF(A496="","",IF(L496="Проведён",E496*IF(COUNTIF(Типы,C496)=0,0,VLOOKUP(C496,СПРАВОЧНИКИ!$A$7:$E$22,4,FALSE)),0))</f>
        <v/>
      </c>
      <c r="T496" s="26" t="str">
        <f>IF(A496="","",IF(L496="Проведён",E496*IF(COUNTIF(Типы,C496)=0,0,VLOOKUP(C496,СПРАВОЧНИКИ!$A$7:$E$22,5,FALSE)),0))</f>
        <v/>
      </c>
      <c r="U496" s="5" t="str">
        <f>IF(A496="","",IF(COUNTIF(Контрагенты,H496)=0,"Не задан",VLOOKUP(H496,СПРАВОЧНИКИ!$G$7:$H$66,2,FALSE)))</f>
        <v/>
      </c>
      <c r="V496" s="4" t="str">
        <f>IF(A496="",IF(COUNTA(B496:O496)&gt;0,"НЕТ ID",""),IF(OR(AND(OR(C496="Оплата клиента",C496="Возврат клиенту"),COUNTIFS(Docs[ID],J496,Docs[Тип долга],"ДЗ")&lt;&gt;1),AND(OR(C496="Оплата поставщику",C496="Возврат поставщика"),COUNTIFS(Docs[ID],J496,Docs[Тип долга],"КЗ",Docs[Вид],"&lt;&gt;Дивиденды")&lt;&gt;1),AND(C496="Дивиденды",COUNTIFS(Docs[ID],J496,Docs[Вид],"Дивиденды")&lt;&gt;1),AND(C496="Проценты",COUNTIFS(Docs[ID],J496,Docs[Вид],"Проценты")&lt;&gt;1),COUNTIF(Cash[ID],A496)&gt;1,NOT(ISNUMBER(B496)),B496&lt;НачалоУчета,YEAR(B496)&lt;&gt;Год,NOT(ISNUMBER(E496)),E496&lt;=0,N496&lt;0,COUNTIF(Типы,C496)&lt;&gt;1,COUNTIF(Категории,D496)&lt;&gt;1,COUNTIF(Счета,F496)&lt;&gt;1,COUNTIF(Проекты,I496)&lt;&gt;1,AND(H496&lt;&gt;"",COUNTIF(Контрагенты,H496)&lt;&gt;1),AND(C496="Перевод",OR(F496=G496,COUNTIF(Счета,G496)&lt;&gt;1)),AND(S496&lt;&gt;0,COUNTIF(Docs[ID],J496)&lt;&gt;1),AND(Форма="ООО",C496="Вывод ИП"),AND(Форма="ИП",C496="Дивиденды"),AND(L496&lt;&gt;"Проведён",L496&lt;&gt;"Черновик")),"ОШИБКА","ОК"))</f>
        <v/>
      </c>
      <c r="W496" s="25" t="str">
        <f>IF(A496="","",SUMIF(Accounts[Счёт],F496,Accounts[Начальный])+SUMIFS($Q$7:Q496,$F$7:F496,F496)+SUMIFS($E$7:E496,$G$7:G496,F496,$C$7:C496,"Перевод",$L$7:L496,"Проведён"))</f>
        <v/>
      </c>
    </row>
    <row r="497" spans="1:23" x14ac:dyDescent="0.25">
      <c r="A497" s="22"/>
      <c r="B497" s="23"/>
      <c r="C497" s="22"/>
      <c r="D497" s="22"/>
      <c r="E497" s="27"/>
      <c r="F497" s="22"/>
      <c r="G497" s="22"/>
      <c r="H497" s="22"/>
      <c r="I497" s="22"/>
      <c r="J497" s="22"/>
      <c r="K497" s="22"/>
      <c r="L497" s="22"/>
      <c r="M497" s="22"/>
      <c r="N497" s="27"/>
      <c r="O497" s="22"/>
      <c r="P497" s="5" t="str">
        <f>IF(A497="","",IF(COUNTIF(Типы,C497)=0,0,VLOOKUP(C497,СПРАВОЧНИКИ!$A$7:$E$22,2,FALSE)))</f>
        <v/>
      </c>
      <c r="Q497" s="25" t="str">
        <f t="shared" si="7"/>
        <v/>
      </c>
      <c r="R497" s="5" t="str">
        <f>IF(A497="","",IF(COUNTIF(Типы,C497)=0,"НЕИЗВЕСТНЫЙ ТИП",VLOOKUP(C497,СПРАВОЧНИКИ!$A$7:$E$22,3,FALSE)))</f>
        <v/>
      </c>
      <c r="S497" s="26" t="str">
        <f>IF(A497="","",IF(L497="Проведён",E497*IF(COUNTIF(Типы,C497)=0,0,VLOOKUP(C497,СПРАВОЧНИКИ!$A$7:$E$22,4,FALSE)),0))</f>
        <v/>
      </c>
      <c r="T497" s="26" t="str">
        <f>IF(A497="","",IF(L497="Проведён",E497*IF(COUNTIF(Типы,C497)=0,0,VLOOKUP(C497,СПРАВОЧНИКИ!$A$7:$E$22,5,FALSE)),0))</f>
        <v/>
      </c>
      <c r="U497" s="5" t="str">
        <f>IF(A497="","",IF(COUNTIF(Контрагенты,H497)=0,"Не задан",VLOOKUP(H497,СПРАВОЧНИКИ!$G$7:$H$66,2,FALSE)))</f>
        <v/>
      </c>
      <c r="V497" s="4" t="str">
        <f>IF(A497="",IF(COUNTA(B497:O497)&gt;0,"НЕТ ID",""),IF(OR(AND(OR(C497="Оплата клиента",C497="Возврат клиенту"),COUNTIFS(Docs[ID],J497,Docs[Тип долга],"ДЗ")&lt;&gt;1),AND(OR(C497="Оплата поставщику",C497="Возврат поставщика"),COUNTIFS(Docs[ID],J497,Docs[Тип долга],"КЗ",Docs[Вид],"&lt;&gt;Дивиденды")&lt;&gt;1),AND(C497="Дивиденды",COUNTIFS(Docs[ID],J497,Docs[Вид],"Дивиденды")&lt;&gt;1),AND(C497="Проценты",COUNTIFS(Docs[ID],J497,Docs[Вид],"Проценты")&lt;&gt;1),COUNTIF(Cash[ID],A497)&gt;1,NOT(ISNUMBER(B497)),B497&lt;НачалоУчета,YEAR(B497)&lt;&gt;Год,NOT(ISNUMBER(E497)),E497&lt;=0,N497&lt;0,COUNTIF(Типы,C497)&lt;&gt;1,COUNTIF(Категории,D497)&lt;&gt;1,COUNTIF(Счета,F497)&lt;&gt;1,COUNTIF(Проекты,I497)&lt;&gt;1,AND(H497&lt;&gt;"",COUNTIF(Контрагенты,H497)&lt;&gt;1),AND(C497="Перевод",OR(F497=G497,COUNTIF(Счета,G497)&lt;&gt;1)),AND(S497&lt;&gt;0,COUNTIF(Docs[ID],J497)&lt;&gt;1),AND(Форма="ООО",C497="Вывод ИП"),AND(Форма="ИП",C497="Дивиденды"),AND(L497&lt;&gt;"Проведён",L497&lt;&gt;"Черновик")),"ОШИБКА","ОК"))</f>
        <v/>
      </c>
      <c r="W497" s="25" t="str">
        <f>IF(A497="","",SUMIF(Accounts[Счёт],F497,Accounts[Начальный])+SUMIFS($Q$7:Q497,$F$7:F497,F497)+SUMIFS($E$7:E497,$G$7:G497,F497,$C$7:C497,"Перевод",$L$7:L497,"Проведён"))</f>
        <v/>
      </c>
    </row>
    <row r="498" spans="1:23" x14ac:dyDescent="0.25">
      <c r="A498" s="22"/>
      <c r="B498" s="23"/>
      <c r="C498" s="22"/>
      <c r="D498" s="22"/>
      <c r="E498" s="27"/>
      <c r="F498" s="22"/>
      <c r="G498" s="22"/>
      <c r="H498" s="22"/>
      <c r="I498" s="22"/>
      <c r="J498" s="22"/>
      <c r="K498" s="22"/>
      <c r="L498" s="22"/>
      <c r="M498" s="22"/>
      <c r="N498" s="27"/>
      <c r="O498" s="22"/>
      <c r="P498" s="5" t="str">
        <f>IF(A498="","",IF(COUNTIF(Типы,C498)=0,0,VLOOKUP(C498,СПРАВОЧНИКИ!$A$7:$E$22,2,FALSE)))</f>
        <v/>
      </c>
      <c r="Q498" s="25" t="str">
        <f t="shared" si="7"/>
        <v/>
      </c>
      <c r="R498" s="5" t="str">
        <f>IF(A498="","",IF(COUNTIF(Типы,C498)=0,"НЕИЗВЕСТНЫЙ ТИП",VLOOKUP(C498,СПРАВОЧНИКИ!$A$7:$E$22,3,FALSE)))</f>
        <v/>
      </c>
      <c r="S498" s="26" t="str">
        <f>IF(A498="","",IF(L498="Проведён",E498*IF(COUNTIF(Типы,C498)=0,0,VLOOKUP(C498,СПРАВОЧНИКИ!$A$7:$E$22,4,FALSE)),0))</f>
        <v/>
      </c>
      <c r="T498" s="26" t="str">
        <f>IF(A498="","",IF(L498="Проведён",E498*IF(COUNTIF(Типы,C498)=0,0,VLOOKUP(C498,СПРАВОЧНИКИ!$A$7:$E$22,5,FALSE)),0))</f>
        <v/>
      </c>
      <c r="U498" s="5" t="str">
        <f>IF(A498="","",IF(COUNTIF(Контрагенты,H498)=0,"Не задан",VLOOKUP(H498,СПРАВОЧНИКИ!$G$7:$H$66,2,FALSE)))</f>
        <v/>
      </c>
      <c r="V498" s="4" t="str">
        <f>IF(A498="",IF(COUNTA(B498:O498)&gt;0,"НЕТ ID",""),IF(OR(AND(OR(C498="Оплата клиента",C498="Возврат клиенту"),COUNTIFS(Docs[ID],J498,Docs[Тип долга],"ДЗ")&lt;&gt;1),AND(OR(C498="Оплата поставщику",C498="Возврат поставщика"),COUNTIFS(Docs[ID],J498,Docs[Тип долга],"КЗ",Docs[Вид],"&lt;&gt;Дивиденды")&lt;&gt;1),AND(C498="Дивиденды",COUNTIFS(Docs[ID],J498,Docs[Вид],"Дивиденды")&lt;&gt;1),AND(C498="Проценты",COUNTIFS(Docs[ID],J498,Docs[Вид],"Проценты")&lt;&gt;1),COUNTIF(Cash[ID],A498)&gt;1,NOT(ISNUMBER(B498)),B498&lt;НачалоУчета,YEAR(B498)&lt;&gt;Год,NOT(ISNUMBER(E498)),E498&lt;=0,N498&lt;0,COUNTIF(Типы,C498)&lt;&gt;1,COUNTIF(Категории,D498)&lt;&gt;1,COUNTIF(Счета,F498)&lt;&gt;1,COUNTIF(Проекты,I498)&lt;&gt;1,AND(H498&lt;&gt;"",COUNTIF(Контрагенты,H498)&lt;&gt;1),AND(C498="Перевод",OR(F498=G498,COUNTIF(Счета,G498)&lt;&gt;1)),AND(S498&lt;&gt;0,COUNTIF(Docs[ID],J498)&lt;&gt;1),AND(Форма="ООО",C498="Вывод ИП"),AND(Форма="ИП",C498="Дивиденды"),AND(L498&lt;&gt;"Проведён",L498&lt;&gt;"Черновик")),"ОШИБКА","ОК"))</f>
        <v/>
      </c>
      <c r="W498" s="25" t="str">
        <f>IF(A498="","",SUMIF(Accounts[Счёт],F498,Accounts[Начальный])+SUMIFS($Q$7:Q498,$F$7:F498,F498)+SUMIFS($E$7:E498,$G$7:G498,F498,$C$7:C498,"Перевод",$L$7:L498,"Проведён"))</f>
        <v/>
      </c>
    </row>
    <row r="499" spans="1:23" x14ac:dyDescent="0.25">
      <c r="A499" s="22"/>
      <c r="B499" s="23"/>
      <c r="C499" s="22"/>
      <c r="D499" s="22"/>
      <c r="E499" s="27"/>
      <c r="F499" s="22"/>
      <c r="G499" s="22"/>
      <c r="H499" s="22"/>
      <c r="I499" s="22"/>
      <c r="J499" s="22"/>
      <c r="K499" s="22"/>
      <c r="L499" s="22"/>
      <c r="M499" s="22"/>
      <c r="N499" s="27"/>
      <c r="O499" s="22"/>
      <c r="P499" s="5" t="str">
        <f>IF(A499="","",IF(COUNTIF(Типы,C499)=0,0,VLOOKUP(C499,СПРАВОЧНИКИ!$A$7:$E$22,2,FALSE)))</f>
        <v/>
      </c>
      <c r="Q499" s="25" t="str">
        <f t="shared" si="7"/>
        <v/>
      </c>
      <c r="R499" s="5" t="str">
        <f>IF(A499="","",IF(COUNTIF(Типы,C499)=0,"НЕИЗВЕСТНЫЙ ТИП",VLOOKUP(C499,СПРАВОЧНИКИ!$A$7:$E$22,3,FALSE)))</f>
        <v/>
      </c>
      <c r="S499" s="26" t="str">
        <f>IF(A499="","",IF(L499="Проведён",E499*IF(COUNTIF(Типы,C499)=0,0,VLOOKUP(C499,СПРАВОЧНИКИ!$A$7:$E$22,4,FALSE)),0))</f>
        <v/>
      </c>
      <c r="T499" s="26" t="str">
        <f>IF(A499="","",IF(L499="Проведён",E499*IF(COUNTIF(Типы,C499)=0,0,VLOOKUP(C499,СПРАВОЧНИКИ!$A$7:$E$22,5,FALSE)),0))</f>
        <v/>
      </c>
      <c r="U499" s="5" t="str">
        <f>IF(A499="","",IF(COUNTIF(Контрагенты,H499)=0,"Не задан",VLOOKUP(H499,СПРАВОЧНИКИ!$G$7:$H$66,2,FALSE)))</f>
        <v/>
      </c>
      <c r="V499" s="4" t="str">
        <f>IF(A499="",IF(COUNTA(B499:O499)&gt;0,"НЕТ ID",""),IF(OR(AND(OR(C499="Оплата клиента",C499="Возврат клиенту"),COUNTIFS(Docs[ID],J499,Docs[Тип долга],"ДЗ")&lt;&gt;1),AND(OR(C499="Оплата поставщику",C499="Возврат поставщика"),COUNTIFS(Docs[ID],J499,Docs[Тип долга],"КЗ",Docs[Вид],"&lt;&gt;Дивиденды")&lt;&gt;1),AND(C499="Дивиденды",COUNTIFS(Docs[ID],J499,Docs[Вид],"Дивиденды")&lt;&gt;1),AND(C499="Проценты",COUNTIFS(Docs[ID],J499,Docs[Вид],"Проценты")&lt;&gt;1),COUNTIF(Cash[ID],A499)&gt;1,NOT(ISNUMBER(B499)),B499&lt;НачалоУчета,YEAR(B499)&lt;&gt;Год,NOT(ISNUMBER(E499)),E499&lt;=0,N499&lt;0,COUNTIF(Типы,C499)&lt;&gt;1,COUNTIF(Категории,D499)&lt;&gt;1,COUNTIF(Счета,F499)&lt;&gt;1,COUNTIF(Проекты,I499)&lt;&gt;1,AND(H499&lt;&gt;"",COUNTIF(Контрагенты,H499)&lt;&gt;1),AND(C499="Перевод",OR(F499=G499,COUNTIF(Счета,G499)&lt;&gt;1)),AND(S499&lt;&gt;0,COUNTIF(Docs[ID],J499)&lt;&gt;1),AND(Форма="ООО",C499="Вывод ИП"),AND(Форма="ИП",C499="Дивиденды"),AND(L499&lt;&gt;"Проведён",L499&lt;&gt;"Черновик")),"ОШИБКА","ОК"))</f>
        <v/>
      </c>
      <c r="W499" s="25" t="str">
        <f>IF(A499="","",SUMIF(Accounts[Счёт],F499,Accounts[Начальный])+SUMIFS($Q$7:Q499,$F$7:F499,F499)+SUMIFS($E$7:E499,$G$7:G499,F499,$C$7:C499,"Перевод",$L$7:L499,"Проведён"))</f>
        <v/>
      </c>
    </row>
    <row r="500" spans="1:23" x14ac:dyDescent="0.25">
      <c r="A500" s="22"/>
      <c r="B500" s="23"/>
      <c r="C500" s="22"/>
      <c r="D500" s="22"/>
      <c r="E500" s="27"/>
      <c r="F500" s="22"/>
      <c r="G500" s="22"/>
      <c r="H500" s="22"/>
      <c r="I500" s="22"/>
      <c r="J500" s="22"/>
      <c r="K500" s="22"/>
      <c r="L500" s="22"/>
      <c r="M500" s="22"/>
      <c r="N500" s="27"/>
      <c r="O500" s="22"/>
      <c r="P500" s="5" t="str">
        <f>IF(A500="","",IF(COUNTIF(Типы,C500)=0,0,VLOOKUP(C500,СПРАВОЧНИКИ!$A$7:$E$22,2,FALSE)))</f>
        <v/>
      </c>
      <c r="Q500" s="25" t="str">
        <f t="shared" si="7"/>
        <v/>
      </c>
      <c r="R500" s="5" t="str">
        <f>IF(A500="","",IF(COUNTIF(Типы,C500)=0,"НЕИЗВЕСТНЫЙ ТИП",VLOOKUP(C500,СПРАВОЧНИКИ!$A$7:$E$22,3,FALSE)))</f>
        <v/>
      </c>
      <c r="S500" s="26" t="str">
        <f>IF(A500="","",IF(L500="Проведён",E500*IF(COUNTIF(Типы,C500)=0,0,VLOOKUP(C500,СПРАВОЧНИКИ!$A$7:$E$22,4,FALSE)),0))</f>
        <v/>
      </c>
      <c r="T500" s="26" t="str">
        <f>IF(A500="","",IF(L500="Проведён",E500*IF(COUNTIF(Типы,C500)=0,0,VLOOKUP(C500,СПРАВОЧНИКИ!$A$7:$E$22,5,FALSE)),0))</f>
        <v/>
      </c>
      <c r="U500" s="5" t="str">
        <f>IF(A500="","",IF(COUNTIF(Контрагенты,H500)=0,"Не задан",VLOOKUP(H500,СПРАВОЧНИКИ!$G$7:$H$66,2,FALSE)))</f>
        <v/>
      </c>
      <c r="V500" s="4" t="str">
        <f>IF(A500="",IF(COUNTA(B500:O500)&gt;0,"НЕТ ID",""),IF(OR(AND(OR(C500="Оплата клиента",C500="Возврат клиенту"),COUNTIFS(Docs[ID],J500,Docs[Тип долга],"ДЗ")&lt;&gt;1),AND(OR(C500="Оплата поставщику",C500="Возврат поставщика"),COUNTIFS(Docs[ID],J500,Docs[Тип долга],"КЗ",Docs[Вид],"&lt;&gt;Дивиденды")&lt;&gt;1),AND(C500="Дивиденды",COUNTIFS(Docs[ID],J500,Docs[Вид],"Дивиденды")&lt;&gt;1),AND(C500="Проценты",COUNTIFS(Docs[ID],J500,Docs[Вид],"Проценты")&lt;&gt;1),COUNTIF(Cash[ID],A500)&gt;1,NOT(ISNUMBER(B500)),B500&lt;НачалоУчета,YEAR(B500)&lt;&gt;Год,NOT(ISNUMBER(E500)),E500&lt;=0,N500&lt;0,COUNTIF(Типы,C500)&lt;&gt;1,COUNTIF(Категории,D500)&lt;&gt;1,COUNTIF(Счета,F500)&lt;&gt;1,COUNTIF(Проекты,I500)&lt;&gt;1,AND(H500&lt;&gt;"",COUNTIF(Контрагенты,H500)&lt;&gt;1),AND(C500="Перевод",OR(F500=G500,COUNTIF(Счета,G500)&lt;&gt;1)),AND(S500&lt;&gt;0,COUNTIF(Docs[ID],J500)&lt;&gt;1),AND(Форма="ООО",C500="Вывод ИП"),AND(Форма="ИП",C500="Дивиденды"),AND(L500&lt;&gt;"Проведён",L500&lt;&gt;"Черновик")),"ОШИБКА","ОК"))</f>
        <v/>
      </c>
      <c r="W500" s="25" t="str">
        <f>IF(A500="","",SUMIF(Accounts[Счёт],F500,Accounts[Начальный])+SUMIFS($Q$7:Q500,$F$7:F500,F500)+SUMIFS($E$7:E500,$G$7:G500,F500,$C$7:C500,"Перевод",$L$7:L500,"Проведён"))</f>
        <v/>
      </c>
    </row>
    <row r="501" spans="1:23" x14ac:dyDescent="0.25">
      <c r="A501" s="22"/>
      <c r="B501" s="23"/>
      <c r="C501" s="22"/>
      <c r="D501" s="22"/>
      <c r="E501" s="27"/>
      <c r="F501" s="22"/>
      <c r="G501" s="22"/>
      <c r="H501" s="22"/>
      <c r="I501" s="22"/>
      <c r="J501" s="22"/>
      <c r="K501" s="22"/>
      <c r="L501" s="22"/>
      <c r="M501" s="22"/>
      <c r="N501" s="27"/>
      <c r="O501" s="22"/>
      <c r="P501" s="5" t="str">
        <f>IF(A501="","",IF(COUNTIF(Типы,C501)=0,0,VLOOKUP(C501,СПРАВОЧНИКИ!$A$7:$E$22,2,FALSE)))</f>
        <v/>
      </c>
      <c r="Q501" s="25" t="str">
        <f t="shared" si="7"/>
        <v/>
      </c>
      <c r="R501" s="5" t="str">
        <f>IF(A501="","",IF(COUNTIF(Типы,C501)=0,"НЕИЗВЕСТНЫЙ ТИП",VLOOKUP(C501,СПРАВОЧНИКИ!$A$7:$E$22,3,FALSE)))</f>
        <v/>
      </c>
      <c r="S501" s="26" t="str">
        <f>IF(A501="","",IF(L501="Проведён",E501*IF(COUNTIF(Типы,C501)=0,0,VLOOKUP(C501,СПРАВОЧНИКИ!$A$7:$E$22,4,FALSE)),0))</f>
        <v/>
      </c>
      <c r="T501" s="26" t="str">
        <f>IF(A501="","",IF(L501="Проведён",E501*IF(COUNTIF(Типы,C501)=0,0,VLOOKUP(C501,СПРАВОЧНИКИ!$A$7:$E$22,5,FALSE)),0))</f>
        <v/>
      </c>
      <c r="U501" s="5" t="str">
        <f>IF(A501="","",IF(COUNTIF(Контрагенты,H501)=0,"Не задан",VLOOKUP(H501,СПРАВОЧНИКИ!$G$7:$H$66,2,FALSE)))</f>
        <v/>
      </c>
      <c r="V501" s="4" t="str">
        <f>IF(A501="",IF(COUNTA(B501:O501)&gt;0,"НЕТ ID",""),IF(OR(AND(OR(C501="Оплата клиента",C501="Возврат клиенту"),COUNTIFS(Docs[ID],J501,Docs[Тип долга],"ДЗ")&lt;&gt;1),AND(OR(C501="Оплата поставщику",C501="Возврат поставщика"),COUNTIFS(Docs[ID],J501,Docs[Тип долга],"КЗ",Docs[Вид],"&lt;&gt;Дивиденды")&lt;&gt;1),AND(C501="Дивиденды",COUNTIFS(Docs[ID],J501,Docs[Вид],"Дивиденды")&lt;&gt;1),AND(C501="Проценты",COUNTIFS(Docs[ID],J501,Docs[Вид],"Проценты")&lt;&gt;1),COUNTIF(Cash[ID],A501)&gt;1,NOT(ISNUMBER(B501)),B501&lt;НачалоУчета,YEAR(B501)&lt;&gt;Год,NOT(ISNUMBER(E501)),E501&lt;=0,N501&lt;0,COUNTIF(Типы,C501)&lt;&gt;1,COUNTIF(Категории,D501)&lt;&gt;1,COUNTIF(Счета,F501)&lt;&gt;1,COUNTIF(Проекты,I501)&lt;&gt;1,AND(H501&lt;&gt;"",COUNTIF(Контрагенты,H501)&lt;&gt;1),AND(C501="Перевод",OR(F501=G501,COUNTIF(Счета,G501)&lt;&gt;1)),AND(S501&lt;&gt;0,COUNTIF(Docs[ID],J501)&lt;&gt;1),AND(Форма="ООО",C501="Вывод ИП"),AND(Форма="ИП",C501="Дивиденды"),AND(L501&lt;&gt;"Проведён",L501&lt;&gt;"Черновик")),"ОШИБКА","ОК"))</f>
        <v/>
      </c>
      <c r="W501" s="25" t="str">
        <f>IF(A501="","",SUMIF(Accounts[Счёт],F501,Accounts[Начальный])+SUMIFS($Q$7:Q501,$F$7:F501,F501)+SUMIFS($E$7:E501,$G$7:G501,F501,$C$7:C501,"Перевод",$L$7:L501,"Проведён"))</f>
        <v/>
      </c>
    </row>
    <row r="502" spans="1:23" x14ac:dyDescent="0.25">
      <c r="A502" s="22"/>
      <c r="B502" s="23"/>
      <c r="C502" s="22"/>
      <c r="D502" s="22"/>
      <c r="E502" s="27"/>
      <c r="F502" s="22"/>
      <c r="G502" s="22"/>
      <c r="H502" s="22"/>
      <c r="I502" s="22"/>
      <c r="J502" s="22"/>
      <c r="K502" s="22"/>
      <c r="L502" s="22"/>
      <c r="M502" s="22"/>
      <c r="N502" s="27"/>
      <c r="O502" s="22"/>
      <c r="P502" s="5" t="str">
        <f>IF(A502="","",IF(COUNTIF(Типы,C502)=0,0,VLOOKUP(C502,СПРАВОЧНИКИ!$A$7:$E$22,2,FALSE)))</f>
        <v/>
      </c>
      <c r="Q502" s="25" t="str">
        <f t="shared" si="7"/>
        <v/>
      </c>
      <c r="R502" s="5" t="str">
        <f>IF(A502="","",IF(COUNTIF(Типы,C502)=0,"НЕИЗВЕСТНЫЙ ТИП",VLOOKUP(C502,СПРАВОЧНИКИ!$A$7:$E$22,3,FALSE)))</f>
        <v/>
      </c>
      <c r="S502" s="26" t="str">
        <f>IF(A502="","",IF(L502="Проведён",E502*IF(COUNTIF(Типы,C502)=0,0,VLOOKUP(C502,СПРАВОЧНИКИ!$A$7:$E$22,4,FALSE)),0))</f>
        <v/>
      </c>
      <c r="T502" s="26" t="str">
        <f>IF(A502="","",IF(L502="Проведён",E502*IF(COUNTIF(Типы,C502)=0,0,VLOOKUP(C502,СПРАВОЧНИКИ!$A$7:$E$22,5,FALSE)),0))</f>
        <v/>
      </c>
      <c r="U502" s="5" t="str">
        <f>IF(A502="","",IF(COUNTIF(Контрагенты,H502)=0,"Не задан",VLOOKUP(H502,СПРАВОЧНИКИ!$G$7:$H$66,2,FALSE)))</f>
        <v/>
      </c>
      <c r="V502" s="4" t="str">
        <f>IF(A502="",IF(COUNTA(B502:O502)&gt;0,"НЕТ ID",""),IF(OR(AND(OR(C502="Оплата клиента",C502="Возврат клиенту"),COUNTIFS(Docs[ID],J502,Docs[Тип долга],"ДЗ")&lt;&gt;1),AND(OR(C502="Оплата поставщику",C502="Возврат поставщика"),COUNTIFS(Docs[ID],J502,Docs[Тип долга],"КЗ",Docs[Вид],"&lt;&gt;Дивиденды")&lt;&gt;1),AND(C502="Дивиденды",COUNTIFS(Docs[ID],J502,Docs[Вид],"Дивиденды")&lt;&gt;1),AND(C502="Проценты",COUNTIFS(Docs[ID],J502,Docs[Вид],"Проценты")&lt;&gt;1),COUNTIF(Cash[ID],A502)&gt;1,NOT(ISNUMBER(B502)),B502&lt;НачалоУчета,YEAR(B502)&lt;&gt;Год,NOT(ISNUMBER(E502)),E502&lt;=0,N502&lt;0,COUNTIF(Типы,C502)&lt;&gt;1,COUNTIF(Категории,D502)&lt;&gt;1,COUNTIF(Счета,F502)&lt;&gt;1,COUNTIF(Проекты,I502)&lt;&gt;1,AND(H502&lt;&gt;"",COUNTIF(Контрагенты,H502)&lt;&gt;1),AND(C502="Перевод",OR(F502=G502,COUNTIF(Счета,G502)&lt;&gt;1)),AND(S502&lt;&gt;0,COUNTIF(Docs[ID],J502)&lt;&gt;1),AND(Форма="ООО",C502="Вывод ИП"),AND(Форма="ИП",C502="Дивиденды"),AND(L502&lt;&gt;"Проведён",L502&lt;&gt;"Черновик")),"ОШИБКА","ОК"))</f>
        <v/>
      </c>
      <c r="W502" s="25" t="str">
        <f>IF(A502="","",SUMIF(Accounts[Счёт],F502,Accounts[Начальный])+SUMIFS($Q$7:Q502,$F$7:F502,F502)+SUMIFS($E$7:E502,$G$7:G502,F502,$C$7:C502,"Перевод",$L$7:L502,"Проведён"))</f>
        <v/>
      </c>
    </row>
    <row r="503" spans="1:23" x14ac:dyDescent="0.25">
      <c r="A503" s="22"/>
      <c r="B503" s="23"/>
      <c r="C503" s="22"/>
      <c r="D503" s="22"/>
      <c r="E503" s="27"/>
      <c r="F503" s="22"/>
      <c r="G503" s="22"/>
      <c r="H503" s="22"/>
      <c r="I503" s="22"/>
      <c r="J503" s="22"/>
      <c r="K503" s="22"/>
      <c r="L503" s="22"/>
      <c r="M503" s="22"/>
      <c r="N503" s="27"/>
      <c r="O503" s="22"/>
      <c r="P503" s="5" t="str">
        <f>IF(A503="","",IF(COUNTIF(Типы,C503)=0,0,VLOOKUP(C503,СПРАВОЧНИКИ!$A$7:$E$22,2,FALSE)))</f>
        <v/>
      </c>
      <c r="Q503" s="25" t="str">
        <f t="shared" si="7"/>
        <v/>
      </c>
      <c r="R503" s="5" t="str">
        <f>IF(A503="","",IF(COUNTIF(Типы,C503)=0,"НЕИЗВЕСТНЫЙ ТИП",VLOOKUP(C503,СПРАВОЧНИКИ!$A$7:$E$22,3,FALSE)))</f>
        <v/>
      </c>
      <c r="S503" s="26" t="str">
        <f>IF(A503="","",IF(L503="Проведён",E503*IF(COUNTIF(Типы,C503)=0,0,VLOOKUP(C503,СПРАВОЧНИКИ!$A$7:$E$22,4,FALSE)),0))</f>
        <v/>
      </c>
      <c r="T503" s="26" t="str">
        <f>IF(A503="","",IF(L503="Проведён",E503*IF(COUNTIF(Типы,C503)=0,0,VLOOKUP(C503,СПРАВОЧНИКИ!$A$7:$E$22,5,FALSE)),0))</f>
        <v/>
      </c>
      <c r="U503" s="5" t="str">
        <f>IF(A503="","",IF(COUNTIF(Контрагенты,H503)=0,"Не задан",VLOOKUP(H503,СПРАВОЧНИКИ!$G$7:$H$66,2,FALSE)))</f>
        <v/>
      </c>
      <c r="V503" s="4" t="str">
        <f>IF(A503="",IF(COUNTA(B503:O503)&gt;0,"НЕТ ID",""),IF(OR(AND(OR(C503="Оплата клиента",C503="Возврат клиенту"),COUNTIFS(Docs[ID],J503,Docs[Тип долга],"ДЗ")&lt;&gt;1),AND(OR(C503="Оплата поставщику",C503="Возврат поставщика"),COUNTIFS(Docs[ID],J503,Docs[Тип долга],"КЗ",Docs[Вид],"&lt;&gt;Дивиденды")&lt;&gt;1),AND(C503="Дивиденды",COUNTIFS(Docs[ID],J503,Docs[Вид],"Дивиденды")&lt;&gt;1),AND(C503="Проценты",COUNTIFS(Docs[ID],J503,Docs[Вид],"Проценты")&lt;&gt;1),COUNTIF(Cash[ID],A503)&gt;1,NOT(ISNUMBER(B503)),B503&lt;НачалоУчета,YEAR(B503)&lt;&gt;Год,NOT(ISNUMBER(E503)),E503&lt;=0,N503&lt;0,COUNTIF(Типы,C503)&lt;&gt;1,COUNTIF(Категории,D503)&lt;&gt;1,COUNTIF(Счета,F503)&lt;&gt;1,COUNTIF(Проекты,I503)&lt;&gt;1,AND(H503&lt;&gt;"",COUNTIF(Контрагенты,H503)&lt;&gt;1),AND(C503="Перевод",OR(F503=G503,COUNTIF(Счета,G503)&lt;&gt;1)),AND(S503&lt;&gt;0,COUNTIF(Docs[ID],J503)&lt;&gt;1),AND(Форма="ООО",C503="Вывод ИП"),AND(Форма="ИП",C503="Дивиденды"),AND(L503&lt;&gt;"Проведён",L503&lt;&gt;"Черновик")),"ОШИБКА","ОК"))</f>
        <v/>
      </c>
      <c r="W503" s="25" t="str">
        <f>IF(A503="","",SUMIF(Accounts[Счёт],F503,Accounts[Начальный])+SUMIFS($Q$7:Q503,$F$7:F503,F503)+SUMIFS($E$7:E503,$G$7:G503,F503,$C$7:C503,"Перевод",$L$7:L503,"Проведён"))</f>
        <v/>
      </c>
    </row>
    <row r="504" spans="1:23" x14ac:dyDescent="0.25">
      <c r="A504" s="22"/>
      <c r="B504" s="23"/>
      <c r="C504" s="22"/>
      <c r="D504" s="22"/>
      <c r="E504" s="27"/>
      <c r="F504" s="22"/>
      <c r="G504" s="22"/>
      <c r="H504" s="22"/>
      <c r="I504" s="22"/>
      <c r="J504" s="22"/>
      <c r="K504" s="22"/>
      <c r="L504" s="22"/>
      <c r="M504" s="22"/>
      <c r="N504" s="27"/>
      <c r="O504" s="22"/>
      <c r="P504" s="5" t="str">
        <f>IF(A504="","",IF(COUNTIF(Типы,C504)=0,0,VLOOKUP(C504,СПРАВОЧНИКИ!$A$7:$E$22,2,FALSE)))</f>
        <v/>
      </c>
      <c r="Q504" s="25" t="str">
        <f t="shared" si="7"/>
        <v/>
      </c>
      <c r="R504" s="5" t="str">
        <f>IF(A504="","",IF(COUNTIF(Типы,C504)=0,"НЕИЗВЕСТНЫЙ ТИП",VLOOKUP(C504,СПРАВОЧНИКИ!$A$7:$E$22,3,FALSE)))</f>
        <v/>
      </c>
      <c r="S504" s="26" t="str">
        <f>IF(A504="","",IF(L504="Проведён",E504*IF(COUNTIF(Типы,C504)=0,0,VLOOKUP(C504,СПРАВОЧНИКИ!$A$7:$E$22,4,FALSE)),0))</f>
        <v/>
      </c>
      <c r="T504" s="26" t="str">
        <f>IF(A504="","",IF(L504="Проведён",E504*IF(COUNTIF(Типы,C504)=0,0,VLOOKUP(C504,СПРАВОЧНИКИ!$A$7:$E$22,5,FALSE)),0))</f>
        <v/>
      </c>
      <c r="U504" s="5" t="str">
        <f>IF(A504="","",IF(COUNTIF(Контрагенты,H504)=0,"Не задан",VLOOKUP(H504,СПРАВОЧНИКИ!$G$7:$H$66,2,FALSE)))</f>
        <v/>
      </c>
      <c r="V504" s="4" t="str">
        <f>IF(A504="",IF(COUNTA(B504:O504)&gt;0,"НЕТ ID",""),IF(OR(AND(OR(C504="Оплата клиента",C504="Возврат клиенту"),COUNTIFS(Docs[ID],J504,Docs[Тип долга],"ДЗ")&lt;&gt;1),AND(OR(C504="Оплата поставщику",C504="Возврат поставщика"),COUNTIFS(Docs[ID],J504,Docs[Тип долга],"КЗ",Docs[Вид],"&lt;&gt;Дивиденды")&lt;&gt;1),AND(C504="Дивиденды",COUNTIFS(Docs[ID],J504,Docs[Вид],"Дивиденды")&lt;&gt;1),AND(C504="Проценты",COUNTIFS(Docs[ID],J504,Docs[Вид],"Проценты")&lt;&gt;1),COUNTIF(Cash[ID],A504)&gt;1,NOT(ISNUMBER(B504)),B504&lt;НачалоУчета,YEAR(B504)&lt;&gt;Год,NOT(ISNUMBER(E504)),E504&lt;=0,N504&lt;0,COUNTIF(Типы,C504)&lt;&gt;1,COUNTIF(Категории,D504)&lt;&gt;1,COUNTIF(Счета,F504)&lt;&gt;1,COUNTIF(Проекты,I504)&lt;&gt;1,AND(H504&lt;&gt;"",COUNTIF(Контрагенты,H504)&lt;&gt;1),AND(C504="Перевод",OR(F504=G504,COUNTIF(Счета,G504)&lt;&gt;1)),AND(S504&lt;&gt;0,COUNTIF(Docs[ID],J504)&lt;&gt;1),AND(Форма="ООО",C504="Вывод ИП"),AND(Форма="ИП",C504="Дивиденды"),AND(L504&lt;&gt;"Проведён",L504&lt;&gt;"Черновик")),"ОШИБКА","ОК"))</f>
        <v/>
      </c>
      <c r="W504" s="25" t="str">
        <f>IF(A504="","",SUMIF(Accounts[Счёт],F504,Accounts[Начальный])+SUMIFS($Q$7:Q504,$F$7:F504,F504)+SUMIFS($E$7:E504,$G$7:G504,F504,$C$7:C504,"Перевод",$L$7:L504,"Проведён"))</f>
        <v/>
      </c>
    </row>
    <row r="505" spans="1:23" x14ac:dyDescent="0.25">
      <c r="A505" s="22"/>
      <c r="B505" s="23"/>
      <c r="C505" s="22"/>
      <c r="D505" s="22"/>
      <c r="E505" s="27"/>
      <c r="F505" s="22"/>
      <c r="G505" s="22"/>
      <c r="H505" s="22"/>
      <c r="I505" s="22"/>
      <c r="J505" s="22"/>
      <c r="K505" s="22"/>
      <c r="L505" s="22"/>
      <c r="M505" s="22"/>
      <c r="N505" s="27"/>
      <c r="O505" s="22"/>
      <c r="P505" s="5" t="str">
        <f>IF(A505="","",IF(COUNTIF(Типы,C505)=0,0,VLOOKUP(C505,СПРАВОЧНИКИ!$A$7:$E$22,2,FALSE)))</f>
        <v/>
      </c>
      <c r="Q505" s="25" t="str">
        <f t="shared" si="7"/>
        <v/>
      </c>
      <c r="R505" s="5" t="str">
        <f>IF(A505="","",IF(COUNTIF(Типы,C505)=0,"НЕИЗВЕСТНЫЙ ТИП",VLOOKUP(C505,СПРАВОЧНИКИ!$A$7:$E$22,3,FALSE)))</f>
        <v/>
      </c>
      <c r="S505" s="26" t="str">
        <f>IF(A505="","",IF(L505="Проведён",E505*IF(COUNTIF(Типы,C505)=0,0,VLOOKUP(C505,СПРАВОЧНИКИ!$A$7:$E$22,4,FALSE)),0))</f>
        <v/>
      </c>
      <c r="T505" s="26" t="str">
        <f>IF(A505="","",IF(L505="Проведён",E505*IF(COUNTIF(Типы,C505)=0,0,VLOOKUP(C505,СПРАВОЧНИКИ!$A$7:$E$22,5,FALSE)),0))</f>
        <v/>
      </c>
      <c r="U505" s="5" t="str">
        <f>IF(A505="","",IF(COUNTIF(Контрагенты,H505)=0,"Не задан",VLOOKUP(H505,СПРАВОЧНИКИ!$G$7:$H$66,2,FALSE)))</f>
        <v/>
      </c>
      <c r="V505" s="4" t="str">
        <f>IF(A505="",IF(COUNTA(B505:O505)&gt;0,"НЕТ ID",""),IF(OR(AND(OR(C505="Оплата клиента",C505="Возврат клиенту"),COUNTIFS(Docs[ID],J505,Docs[Тип долга],"ДЗ")&lt;&gt;1),AND(OR(C505="Оплата поставщику",C505="Возврат поставщика"),COUNTIFS(Docs[ID],J505,Docs[Тип долга],"КЗ",Docs[Вид],"&lt;&gt;Дивиденды")&lt;&gt;1),AND(C505="Дивиденды",COUNTIFS(Docs[ID],J505,Docs[Вид],"Дивиденды")&lt;&gt;1),AND(C505="Проценты",COUNTIFS(Docs[ID],J505,Docs[Вид],"Проценты")&lt;&gt;1),COUNTIF(Cash[ID],A505)&gt;1,NOT(ISNUMBER(B505)),B505&lt;НачалоУчета,YEAR(B505)&lt;&gt;Год,NOT(ISNUMBER(E505)),E505&lt;=0,N505&lt;0,COUNTIF(Типы,C505)&lt;&gt;1,COUNTIF(Категории,D505)&lt;&gt;1,COUNTIF(Счета,F505)&lt;&gt;1,COUNTIF(Проекты,I505)&lt;&gt;1,AND(H505&lt;&gt;"",COUNTIF(Контрагенты,H505)&lt;&gt;1),AND(C505="Перевод",OR(F505=G505,COUNTIF(Счета,G505)&lt;&gt;1)),AND(S505&lt;&gt;0,COUNTIF(Docs[ID],J505)&lt;&gt;1),AND(Форма="ООО",C505="Вывод ИП"),AND(Форма="ИП",C505="Дивиденды"),AND(L505&lt;&gt;"Проведён",L505&lt;&gt;"Черновик")),"ОШИБКА","ОК"))</f>
        <v/>
      </c>
      <c r="W505" s="25" t="str">
        <f>IF(A505="","",SUMIF(Accounts[Счёт],F505,Accounts[Начальный])+SUMIFS($Q$7:Q505,$F$7:F505,F505)+SUMIFS($E$7:E505,$G$7:G505,F505,$C$7:C505,"Перевод",$L$7:L505,"Проведён"))</f>
        <v/>
      </c>
    </row>
    <row r="506" spans="1:23" x14ac:dyDescent="0.25">
      <c r="A506" s="22"/>
      <c r="B506" s="23"/>
      <c r="C506" s="22"/>
      <c r="D506" s="22"/>
      <c r="E506" s="27"/>
      <c r="F506" s="22"/>
      <c r="G506" s="22"/>
      <c r="H506" s="22"/>
      <c r="I506" s="22"/>
      <c r="J506" s="22"/>
      <c r="K506" s="22"/>
      <c r="L506" s="22"/>
      <c r="M506" s="22"/>
      <c r="N506" s="27"/>
      <c r="O506" s="22"/>
      <c r="P506" s="5" t="str">
        <f>IF(A506="","",IF(COUNTIF(Типы,C506)=0,0,VLOOKUP(C506,СПРАВОЧНИКИ!$A$7:$E$22,2,FALSE)))</f>
        <v/>
      </c>
      <c r="Q506" s="25" t="str">
        <f t="shared" si="7"/>
        <v/>
      </c>
      <c r="R506" s="5" t="str">
        <f>IF(A506="","",IF(COUNTIF(Типы,C506)=0,"НЕИЗВЕСТНЫЙ ТИП",VLOOKUP(C506,СПРАВОЧНИКИ!$A$7:$E$22,3,FALSE)))</f>
        <v/>
      </c>
      <c r="S506" s="26" t="str">
        <f>IF(A506="","",IF(L506="Проведён",E506*IF(COUNTIF(Типы,C506)=0,0,VLOOKUP(C506,СПРАВОЧНИКИ!$A$7:$E$22,4,FALSE)),0))</f>
        <v/>
      </c>
      <c r="T506" s="26" t="str">
        <f>IF(A506="","",IF(L506="Проведён",E506*IF(COUNTIF(Типы,C506)=0,0,VLOOKUP(C506,СПРАВОЧНИКИ!$A$7:$E$22,5,FALSE)),0))</f>
        <v/>
      </c>
      <c r="U506" s="5" t="str">
        <f>IF(A506="","",IF(COUNTIF(Контрагенты,H506)=0,"Не задан",VLOOKUP(H506,СПРАВОЧНИКИ!$G$7:$H$66,2,FALSE)))</f>
        <v/>
      </c>
      <c r="V506" s="4" t="str">
        <f>IF(A506="",IF(COUNTA(B506:O506)&gt;0,"НЕТ ID",""),IF(OR(AND(OR(C506="Оплата клиента",C506="Возврат клиенту"),COUNTIFS(Docs[ID],J506,Docs[Тип долга],"ДЗ")&lt;&gt;1),AND(OR(C506="Оплата поставщику",C506="Возврат поставщика"),COUNTIFS(Docs[ID],J506,Docs[Тип долга],"КЗ",Docs[Вид],"&lt;&gt;Дивиденды")&lt;&gt;1),AND(C506="Дивиденды",COUNTIFS(Docs[ID],J506,Docs[Вид],"Дивиденды")&lt;&gt;1),AND(C506="Проценты",COUNTIFS(Docs[ID],J506,Docs[Вид],"Проценты")&lt;&gt;1),COUNTIF(Cash[ID],A506)&gt;1,NOT(ISNUMBER(B506)),B506&lt;НачалоУчета,YEAR(B506)&lt;&gt;Год,NOT(ISNUMBER(E506)),E506&lt;=0,N506&lt;0,COUNTIF(Типы,C506)&lt;&gt;1,COUNTIF(Категории,D506)&lt;&gt;1,COUNTIF(Счета,F506)&lt;&gt;1,COUNTIF(Проекты,I506)&lt;&gt;1,AND(H506&lt;&gt;"",COUNTIF(Контрагенты,H506)&lt;&gt;1),AND(C506="Перевод",OR(F506=G506,COUNTIF(Счета,G506)&lt;&gt;1)),AND(S506&lt;&gt;0,COUNTIF(Docs[ID],J506)&lt;&gt;1),AND(Форма="ООО",C506="Вывод ИП"),AND(Форма="ИП",C506="Дивиденды"),AND(L506&lt;&gt;"Проведён",L506&lt;&gt;"Черновик")),"ОШИБКА","ОК"))</f>
        <v/>
      </c>
      <c r="W506" s="25" t="str">
        <f>IF(A506="","",SUMIF(Accounts[Счёт],F506,Accounts[Начальный])+SUMIFS($Q$7:Q506,$F$7:F506,F506)+SUMIFS($E$7:E506,$G$7:G506,F506,$C$7:C506,"Перевод",$L$7:L506,"Проведён"))</f>
        <v/>
      </c>
    </row>
    <row r="507" spans="1:23" x14ac:dyDescent="0.25">
      <c r="A507" s="22"/>
      <c r="B507" s="23"/>
      <c r="C507" s="22"/>
      <c r="D507" s="22"/>
      <c r="E507" s="27"/>
      <c r="F507" s="22"/>
      <c r="G507" s="22"/>
      <c r="H507" s="22"/>
      <c r="I507" s="22"/>
      <c r="J507" s="22"/>
      <c r="K507" s="22"/>
      <c r="L507" s="22"/>
      <c r="M507" s="22"/>
      <c r="N507" s="27"/>
      <c r="O507" s="22"/>
      <c r="P507" s="5" t="str">
        <f>IF(A507="","",IF(COUNTIF(Типы,C507)=0,0,VLOOKUP(C507,СПРАВОЧНИКИ!$A$7:$E$22,2,FALSE)))</f>
        <v/>
      </c>
      <c r="Q507" s="25" t="str">
        <f t="shared" si="7"/>
        <v/>
      </c>
      <c r="R507" s="5" t="str">
        <f>IF(A507="","",IF(COUNTIF(Типы,C507)=0,"НЕИЗВЕСТНЫЙ ТИП",VLOOKUP(C507,СПРАВОЧНИКИ!$A$7:$E$22,3,FALSE)))</f>
        <v/>
      </c>
      <c r="S507" s="26" t="str">
        <f>IF(A507="","",IF(L507="Проведён",E507*IF(COUNTIF(Типы,C507)=0,0,VLOOKUP(C507,СПРАВОЧНИКИ!$A$7:$E$22,4,FALSE)),0))</f>
        <v/>
      </c>
      <c r="T507" s="26" t="str">
        <f>IF(A507="","",IF(L507="Проведён",E507*IF(COUNTIF(Типы,C507)=0,0,VLOOKUP(C507,СПРАВОЧНИКИ!$A$7:$E$22,5,FALSE)),0))</f>
        <v/>
      </c>
      <c r="U507" s="5" t="str">
        <f>IF(A507="","",IF(COUNTIF(Контрагенты,H507)=0,"Не задан",VLOOKUP(H507,СПРАВОЧНИКИ!$G$7:$H$66,2,FALSE)))</f>
        <v/>
      </c>
      <c r="V507" s="4" t="str">
        <f>IF(A507="",IF(COUNTA(B507:O507)&gt;0,"НЕТ ID",""),IF(OR(AND(OR(C507="Оплата клиента",C507="Возврат клиенту"),COUNTIFS(Docs[ID],J507,Docs[Тип долга],"ДЗ")&lt;&gt;1),AND(OR(C507="Оплата поставщику",C507="Возврат поставщика"),COUNTIFS(Docs[ID],J507,Docs[Тип долга],"КЗ",Docs[Вид],"&lt;&gt;Дивиденды")&lt;&gt;1),AND(C507="Дивиденды",COUNTIFS(Docs[ID],J507,Docs[Вид],"Дивиденды")&lt;&gt;1),AND(C507="Проценты",COUNTIFS(Docs[ID],J507,Docs[Вид],"Проценты")&lt;&gt;1),COUNTIF(Cash[ID],A507)&gt;1,NOT(ISNUMBER(B507)),B507&lt;НачалоУчета,YEAR(B507)&lt;&gt;Год,NOT(ISNUMBER(E507)),E507&lt;=0,N507&lt;0,COUNTIF(Типы,C507)&lt;&gt;1,COUNTIF(Категории,D507)&lt;&gt;1,COUNTIF(Счета,F507)&lt;&gt;1,COUNTIF(Проекты,I507)&lt;&gt;1,AND(H507&lt;&gt;"",COUNTIF(Контрагенты,H507)&lt;&gt;1),AND(C507="Перевод",OR(F507=G507,COUNTIF(Счета,G507)&lt;&gt;1)),AND(S507&lt;&gt;0,COUNTIF(Docs[ID],J507)&lt;&gt;1),AND(Форма="ООО",C507="Вывод ИП"),AND(Форма="ИП",C507="Дивиденды"),AND(L507&lt;&gt;"Проведён",L507&lt;&gt;"Черновик")),"ОШИБКА","ОК"))</f>
        <v/>
      </c>
      <c r="W507" s="25" t="str">
        <f>IF(A507="","",SUMIF(Accounts[Счёт],F507,Accounts[Начальный])+SUMIFS($Q$7:Q507,$F$7:F507,F507)+SUMIFS($E$7:E507,$G$7:G507,F507,$C$7:C507,"Перевод",$L$7:L507,"Проведён"))</f>
        <v/>
      </c>
    </row>
    <row r="508" spans="1:23" x14ac:dyDescent="0.25">
      <c r="A508" s="22"/>
      <c r="B508" s="23"/>
      <c r="C508" s="22"/>
      <c r="D508" s="22"/>
      <c r="E508" s="27"/>
      <c r="F508" s="22"/>
      <c r="G508" s="22"/>
      <c r="H508" s="22"/>
      <c r="I508" s="22"/>
      <c r="J508" s="22"/>
      <c r="K508" s="22"/>
      <c r="L508" s="22"/>
      <c r="M508" s="22"/>
      <c r="N508" s="27"/>
      <c r="O508" s="22"/>
      <c r="P508" s="5" t="str">
        <f>IF(A508="","",IF(COUNTIF(Типы,C508)=0,0,VLOOKUP(C508,СПРАВОЧНИКИ!$A$7:$E$22,2,FALSE)))</f>
        <v/>
      </c>
      <c r="Q508" s="25" t="str">
        <f t="shared" si="7"/>
        <v/>
      </c>
      <c r="R508" s="5" t="str">
        <f>IF(A508="","",IF(COUNTIF(Типы,C508)=0,"НЕИЗВЕСТНЫЙ ТИП",VLOOKUP(C508,СПРАВОЧНИКИ!$A$7:$E$22,3,FALSE)))</f>
        <v/>
      </c>
      <c r="S508" s="26" t="str">
        <f>IF(A508="","",IF(L508="Проведён",E508*IF(COUNTIF(Типы,C508)=0,0,VLOOKUP(C508,СПРАВОЧНИКИ!$A$7:$E$22,4,FALSE)),0))</f>
        <v/>
      </c>
      <c r="T508" s="26" t="str">
        <f>IF(A508="","",IF(L508="Проведён",E508*IF(COUNTIF(Типы,C508)=0,0,VLOOKUP(C508,СПРАВОЧНИКИ!$A$7:$E$22,5,FALSE)),0))</f>
        <v/>
      </c>
      <c r="U508" s="5" t="str">
        <f>IF(A508="","",IF(COUNTIF(Контрагенты,H508)=0,"Не задан",VLOOKUP(H508,СПРАВОЧНИКИ!$G$7:$H$66,2,FALSE)))</f>
        <v/>
      </c>
      <c r="V508" s="4" t="str">
        <f>IF(A508="",IF(COUNTA(B508:O508)&gt;0,"НЕТ ID",""),IF(OR(AND(OR(C508="Оплата клиента",C508="Возврат клиенту"),COUNTIFS(Docs[ID],J508,Docs[Тип долга],"ДЗ")&lt;&gt;1),AND(OR(C508="Оплата поставщику",C508="Возврат поставщика"),COUNTIFS(Docs[ID],J508,Docs[Тип долга],"КЗ",Docs[Вид],"&lt;&gt;Дивиденды")&lt;&gt;1),AND(C508="Дивиденды",COUNTIFS(Docs[ID],J508,Docs[Вид],"Дивиденды")&lt;&gt;1),AND(C508="Проценты",COUNTIFS(Docs[ID],J508,Docs[Вид],"Проценты")&lt;&gt;1),COUNTIF(Cash[ID],A508)&gt;1,NOT(ISNUMBER(B508)),B508&lt;НачалоУчета,YEAR(B508)&lt;&gt;Год,NOT(ISNUMBER(E508)),E508&lt;=0,N508&lt;0,COUNTIF(Типы,C508)&lt;&gt;1,COUNTIF(Категории,D508)&lt;&gt;1,COUNTIF(Счета,F508)&lt;&gt;1,COUNTIF(Проекты,I508)&lt;&gt;1,AND(H508&lt;&gt;"",COUNTIF(Контрагенты,H508)&lt;&gt;1),AND(C508="Перевод",OR(F508=G508,COUNTIF(Счета,G508)&lt;&gt;1)),AND(S508&lt;&gt;0,COUNTIF(Docs[ID],J508)&lt;&gt;1),AND(Форма="ООО",C508="Вывод ИП"),AND(Форма="ИП",C508="Дивиденды"),AND(L508&lt;&gt;"Проведён",L508&lt;&gt;"Черновик")),"ОШИБКА","ОК"))</f>
        <v/>
      </c>
      <c r="W508" s="25" t="str">
        <f>IF(A508="","",SUMIF(Accounts[Счёт],F508,Accounts[Начальный])+SUMIFS($Q$7:Q508,$F$7:F508,F508)+SUMIFS($E$7:E508,$G$7:G508,F508,$C$7:C508,"Перевод",$L$7:L508,"Проведён"))</f>
        <v/>
      </c>
    </row>
    <row r="509" spans="1:23" x14ac:dyDescent="0.25">
      <c r="A509" s="22"/>
      <c r="B509" s="23"/>
      <c r="C509" s="22"/>
      <c r="D509" s="22"/>
      <c r="E509" s="27"/>
      <c r="F509" s="22"/>
      <c r="G509" s="22"/>
      <c r="H509" s="22"/>
      <c r="I509" s="22"/>
      <c r="J509" s="22"/>
      <c r="K509" s="22"/>
      <c r="L509" s="22"/>
      <c r="M509" s="22"/>
      <c r="N509" s="27"/>
      <c r="O509" s="22"/>
      <c r="P509" s="5" t="str">
        <f>IF(A509="","",IF(COUNTIF(Типы,C509)=0,0,VLOOKUP(C509,СПРАВОЧНИКИ!$A$7:$E$22,2,FALSE)))</f>
        <v/>
      </c>
      <c r="Q509" s="25" t="str">
        <f t="shared" si="7"/>
        <v/>
      </c>
      <c r="R509" s="5" t="str">
        <f>IF(A509="","",IF(COUNTIF(Типы,C509)=0,"НЕИЗВЕСТНЫЙ ТИП",VLOOKUP(C509,СПРАВОЧНИКИ!$A$7:$E$22,3,FALSE)))</f>
        <v/>
      </c>
      <c r="S509" s="26" t="str">
        <f>IF(A509="","",IF(L509="Проведён",E509*IF(COUNTIF(Типы,C509)=0,0,VLOOKUP(C509,СПРАВОЧНИКИ!$A$7:$E$22,4,FALSE)),0))</f>
        <v/>
      </c>
      <c r="T509" s="26" t="str">
        <f>IF(A509="","",IF(L509="Проведён",E509*IF(COUNTIF(Типы,C509)=0,0,VLOOKUP(C509,СПРАВОЧНИКИ!$A$7:$E$22,5,FALSE)),0))</f>
        <v/>
      </c>
      <c r="U509" s="5" t="str">
        <f>IF(A509="","",IF(COUNTIF(Контрагенты,H509)=0,"Не задан",VLOOKUP(H509,СПРАВОЧНИКИ!$G$7:$H$66,2,FALSE)))</f>
        <v/>
      </c>
      <c r="V509" s="4" t="str">
        <f>IF(A509="",IF(COUNTA(B509:O509)&gt;0,"НЕТ ID",""),IF(OR(AND(OR(C509="Оплата клиента",C509="Возврат клиенту"),COUNTIFS(Docs[ID],J509,Docs[Тип долга],"ДЗ")&lt;&gt;1),AND(OR(C509="Оплата поставщику",C509="Возврат поставщика"),COUNTIFS(Docs[ID],J509,Docs[Тип долга],"КЗ",Docs[Вид],"&lt;&gt;Дивиденды")&lt;&gt;1),AND(C509="Дивиденды",COUNTIFS(Docs[ID],J509,Docs[Вид],"Дивиденды")&lt;&gt;1),AND(C509="Проценты",COUNTIFS(Docs[ID],J509,Docs[Вид],"Проценты")&lt;&gt;1),COUNTIF(Cash[ID],A509)&gt;1,NOT(ISNUMBER(B509)),B509&lt;НачалоУчета,YEAR(B509)&lt;&gt;Год,NOT(ISNUMBER(E509)),E509&lt;=0,N509&lt;0,COUNTIF(Типы,C509)&lt;&gt;1,COUNTIF(Категории,D509)&lt;&gt;1,COUNTIF(Счета,F509)&lt;&gt;1,COUNTIF(Проекты,I509)&lt;&gt;1,AND(H509&lt;&gt;"",COUNTIF(Контрагенты,H509)&lt;&gt;1),AND(C509="Перевод",OR(F509=G509,COUNTIF(Счета,G509)&lt;&gt;1)),AND(S509&lt;&gt;0,COUNTIF(Docs[ID],J509)&lt;&gt;1),AND(Форма="ООО",C509="Вывод ИП"),AND(Форма="ИП",C509="Дивиденды"),AND(L509&lt;&gt;"Проведён",L509&lt;&gt;"Черновик")),"ОШИБКА","ОК"))</f>
        <v/>
      </c>
      <c r="W509" s="25" t="str">
        <f>IF(A509="","",SUMIF(Accounts[Счёт],F509,Accounts[Начальный])+SUMIFS($Q$7:Q509,$F$7:F509,F509)+SUMIFS($E$7:E509,$G$7:G509,F509,$C$7:C509,"Перевод",$L$7:L509,"Проведён"))</f>
        <v/>
      </c>
    </row>
    <row r="510" spans="1:23" x14ac:dyDescent="0.25">
      <c r="A510" s="22"/>
      <c r="B510" s="23"/>
      <c r="C510" s="22"/>
      <c r="D510" s="22"/>
      <c r="E510" s="27"/>
      <c r="F510" s="22"/>
      <c r="G510" s="22"/>
      <c r="H510" s="22"/>
      <c r="I510" s="22"/>
      <c r="J510" s="22"/>
      <c r="K510" s="22"/>
      <c r="L510" s="22"/>
      <c r="M510" s="22"/>
      <c r="N510" s="27"/>
      <c r="O510" s="22"/>
      <c r="P510" s="5" t="str">
        <f>IF(A510="","",IF(COUNTIF(Типы,C510)=0,0,VLOOKUP(C510,СПРАВОЧНИКИ!$A$7:$E$22,2,FALSE)))</f>
        <v/>
      </c>
      <c r="Q510" s="25" t="str">
        <f t="shared" si="7"/>
        <v/>
      </c>
      <c r="R510" s="5" t="str">
        <f>IF(A510="","",IF(COUNTIF(Типы,C510)=0,"НЕИЗВЕСТНЫЙ ТИП",VLOOKUP(C510,СПРАВОЧНИКИ!$A$7:$E$22,3,FALSE)))</f>
        <v/>
      </c>
      <c r="S510" s="26" t="str">
        <f>IF(A510="","",IF(L510="Проведён",E510*IF(COUNTIF(Типы,C510)=0,0,VLOOKUP(C510,СПРАВОЧНИКИ!$A$7:$E$22,4,FALSE)),0))</f>
        <v/>
      </c>
      <c r="T510" s="26" t="str">
        <f>IF(A510="","",IF(L510="Проведён",E510*IF(COUNTIF(Типы,C510)=0,0,VLOOKUP(C510,СПРАВОЧНИКИ!$A$7:$E$22,5,FALSE)),0))</f>
        <v/>
      </c>
      <c r="U510" s="5" t="str">
        <f>IF(A510="","",IF(COUNTIF(Контрагенты,H510)=0,"Не задан",VLOOKUP(H510,СПРАВОЧНИКИ!$G$7:$H$66,2,FALSE)))</f>
        <v/>
      </c>
      <c r="V510" s="4" t="str">
        <f>IF(A510="",IF(COUNTA(B510:O510)&gt;0,"НЕТ ID",""),IF(OR(AND(OR(C510="Оплата клиента",C510="Возврат клиенту"),COUNTIFS(Docs[ID],J510,Docs[Тип долга],"ДЗ")&lt;&gt;1),AND(OR(C510="Оплата поставщику",C510="Возврат поставщика"),COUNTIFS(Docs[ID],J510,Docs[Тип долга],"КЗ",Docs[Вид],"&lt;&gt;Дивиденды")&lt;&gt;1),AND(C510="Дивиденды",COUNTIFS(Docs[ID],J510,Docs[Вид],"Дивиденды")&lt;&gt;1),AND(C510="Проценты",COUNTIFS(Docs[ID],J510,Docs[Вид],"Проценты")&lt;&gt;1),COUNTIF(Cash[ID],A510)&gt;1,NOT(ISNUMBER(B510)),B510&lt;НачалоУчета,YEAR(B510)&lt;&gt;Год,NOT(ISNUMBER(E510)),E510&lt;=0,N510&lt;0,COUNTIF(Типы,C510)&lt;&gt;1,COUNTIF(Категории,D510)&lt;&gt;1,COUNTIF(Счета,F510)&lt;&gt;1,COUNTIF(Проекты,I510)&lt;&gt;1,AND(H510&lt;&gt;"",COUNTIF(Контрагенты,H510)&lt;&gt;1),AND(C510="Перевод",OR(F510=G510,COUNTIF(Счета,G510)&lt;&gt;1)),AND(S510&lt;&gt;0,COUNTIF(Docs[ID],J510)&lt;&gt;1),AND(Форма="ООО",C510="Вывод ИП"),AND(Форма="ИП",C510="Дивиденды"),AND(L510&lt;&gt;"Проведён",L510&lt;&gt;"Черновик")),"ОШИБКА","ОК"))</f>
        <v/>
      </c>
      <c r="W510" s="25" t="str">
        <f>IF(A510="","",SUMIF(Accounts[Счёт],F510,Accounts[Начальный])+SUMIFS($Q$7:Q510,$F$7:F510,F510)+SUMIFS($E$7:E510,$G$7:G510,F510,$C$7:C510,"Перевод",$L$7:L510,"Проведён"))</f>
        <v/>
      </c>
    </row>
    <row r="511" spans="1:23" x14ac:dyDescent="0.25">
      <c r="A511" s="22"/>
      <c r="B511" s="23"/>
      <c r="C511" s="22"/>
      <c r="D511" s="22"/>
      <c r="E511" s="27"/>
      <c r="F511" s="22"/>
      <c r="G511" s="22"/>
      <c r="H511" s="22"/>
      <c r="I511" s="22"/>
      <c r="J511" s="22"/>
      <c r="K511" s="22"/>
      <c r="L511" s="22"/>
      <c r="M511" s="22"/>
      <c r="N511" s="27"/>
      <c r="O511" s="22"/>
      <c r="P511" s="5" t="str">
        <f>IF(A511="","",IF(COUNTIF(Типы,C511)=0,0,VLOOKUP(C511,СПРАВОЧНИКИ!$A$7:$E$22,2,FALSE)))</f>
        <v/>
      </c>
      <c r="Q511" s="25" t="str">
        <f t="shared" si="7"/>
        <v/>
      </c>
      <c r="R511" s="5" t="str">
        <f>IF(A511="","",IF(COUNTIF(Типы,C511)=0,"НЕИЗВЕСТНЫЙ ТИП",VLOOKUP(C511,СПРАВОЧНИКИ!$A$7:$E$22,3,FALSE)))</f>
        <v/>
      </c>
      <c r="S511" s="26" t="str">
        <f>IF(A511="","",IF(L511="Проведён",E511*IF(COUNTIF(Типы,C511)=0,0,VLOOKUP(C511,СПРАВОЧНИКИ!$A$7:$E$22,4,FALSE)),0))</f>
        <v/>
      </c>
      <c r="T511" s="26" t="str">
        <f>IF(A511="","",IF(L511="Проведён",E511*IF(COUNTIF(Типы,C511)=0,0,VLOOKUP(C511,СПРАВОЧНИКИ!$A$7:$E$22,5,FALSE)),0))</f>
        <v/>
      </c>
      <c r="U511" s="5" t="str">
        <f>IF(A511="","",IF(COUNTIF(Контрагенты,H511)=0,"Не задан",VLOOKUP(H511,СПРАВОЧНИКИ!$G$7:$H$66,2,FALSE)))</f>
        <v/>
      </c>
      <c r="V511" s="4" t="str">
        <f>IF(A511="",IF(COUNTA(B511:O511)&gt;0,"НЕТ ID",""),IF(OR(AND(OR(C511="Оплата клиента",C511="Возврат клиенту"),COUNTIFS(Docs[ID],J511,Docs[Тип долга],"ДЗ")&lt;&gt;1),AND(OR(C511="Оплата поставщику",C511="Возврат поставщика"),COUNTIFS(Docs[ID],J511,Docs[Тип долга],"КЗ",Docs[Вид],"&lt;&gt;Дивиденды")&lt;&gt;1),AND(C511="Дивиденды",COUNTIFS(Docs[ID],J511,Docs[Вид],"Дивиденды")&lt;&gt;1),AND(C511="Проценты",COUNTIFS(Docs[ID],J511,Docs[Вид],"Проценты")&lt;&gt;1),COUNTIF(Cash[ID],A511)&gt;1,NOT(ISNUMBER(B511)),B511&lt;НачалоУчета,YEAR(B511)&lt;&gt;Год,NOT(ISNUMBER(E511)),E511&lt;=0,N511&lt;0,COUNTIF(Типы,C511)&lt;&gt;1,COUNTIF(Категории,D511)&lt;&gt;1,COUNTIF(Счета,F511)&lt;&gt;1,COUNTIF(Проекты,I511)&lt;&gt;1,AND(H511&lt;&gt;"",COUNTIF(Контрагенты,H511)&lt;&gt;1),AND(C511="Перевод",OR(F511=G511,COUNTIF(Счета,G511)&lt;&gt;1)),AND(S511&lt;&gt;0,COUNTIF(Docs[ID],J511)&lt;&gt;1),AND(Форма="ООО",C511="Вывод ИП"),AND(Форма="ИП",C511="Дивиденды"),AND(L511&lt;&gt;"Проведён",L511&lt;&gt;"Черновик")),"ОШИБКА","ОК"))</f>
        <v/>
      </c>
      <c r="W511" s="25" t="str">
        <f>IF(A511="","",SUMIF(Accounts[Счёт],F511,Accounts[Начальный])+SUMIFS($Q$7:Q511,$F$7:F511,F511)+SUMIFS($E$7:E511,$G$7:G511,F511,$C$7:C511,"Перевод",$L$7:L511,"Проведён"))</f>
        <v/>
      </c>
    </row>
    <row r="512" spans="1:23" x14ac:dyDescent="0.25">
      <c r="A512" s="22"/>
      <c r="B512" s="23"/>
      <c r="C512" s="22"/>
      <c r="D512" s="22"/>
      <c r="E512" s="27"/>
      <c r="F512" s="22"/>
      <c r="G512" s="22"/>
      <c r="H512" s="22"/>
      <c r="I512" s="22"/>
      <c r="J512" s="22"/>
      <c r="K512" s="22"/>
      <c r="L512" s="22"/>
      <c r="M512" s="22"/>
      <c r="N512" s="27"/>
      <c r="O512" s="22"/>
      <c r="P512" s="5" t="str">
        <f>IF(A512="","",IF(COUNTIF(Типы,C512)=0,0,VLOOKUP(C512,СПРАВОЧНИКИ!$A$7:$E$22,2,FALSE)))</f>
        <v/>
      </c>
      <c r="Q512" s="25" t="str">
        <f t="shared" si="7"/>
        <v/>
      </c>
      <c r="R512" s="5" t="str">
        <f>IF(A512="","",IF(COUNTIF(Типы,C512)=0,"НЕИЗВЕСТНЫЙ ТИП",VLOOKUP(C512,СПРАВОЧНИКИ!$A$7:$E$22,3,FALSE)))</f>
        <v/>
      </c>
      <c r="S512" s="26" t="str">
        <f>IF(A512="","",IF(L512="Проведён",E512*IF(COUNTIF(Типы,C512)=0,0,VLOOKUP(C512,СПРАВОЧНИКИ!$A$7:$E$22,4,FALSE)),0))</f>
        <v/>
      </c>
      <c r="T512" s="26" t="str">
        <f>IF(A512="","",IF(L512="Проведён",E512*IF(COUNTIF(Типы,C512)=0,0,VLOOKUP(C512,СПРАВОЧНИКИ!$A$7:$E$22,5,FALSE)),0))</f>
        <v/>
      </c>
      <c r="U512" s="5" t="str">
        <f>IF(A512="","",IF(COUNTIF(Контрагенты,H512)=0,"Не задан",VLOOKUP(H512,СПРАВОЧНИКИ!$G$7:$H$66,2,FALSE)))</f>
        <v/>
      </c>
      <c r="V512" s="4" t="str">
        <f>IF(A512="",IF(COUNTA(B512:O512)&gt;0,"НЕТ ID",""),IF(OR(AND(OR(C512="Оплата клиента",C512="Возврат клиенту"),COUNTIFS(Docs[ID],J512,Docs[Тип долга],"ДЗ")&lt;&gt;1),AND(OR(C512="Оплата поставщику",C512="Возврат поставщика"),COUNTIFS(Docs[ID],J512,Docs[Тип долга],"КЗ",Docs[Вид],"&lt;&gt;Дивиденды")&lt;&gt;1),AND(C512="Дивиденды",COUNTIFS(Docs[ID],J512,Docs[Вид],"Дивиденды")&lt;&gt;1),AND(C512="Проценты",COUNTIFS(Docs[ID],J512,Docs[Вид],"Проценты")&lt;&gt;1),COUNTIF(Cash[ID],A512)&gt;1,NOT(ISNUMBER(B512)),B512&lt;НачалоУчета,YEAR(B512)&lt;&gt;Год,NOT(ISNUMBER(E512)),E512&lt;=0,N512&lt;0,COUNTIF(Типы,C512)&lt;&gt;1,COUNTIF(Категории,D512)&lt;&gt;1,COUNTIF(Счета,F512)&lt;&gt;1,COUNTIF(Проекты,I512)&lt;&gt;1,AND(H512&lt;&gt;"",COUNTIF(Контрагенты,H512)&lt;&gt;1),AND(C512="Перевод",OR(F512=G512,COUNTIF(Счета,G512)&lt;&gt;1)),AND(S512&lt;&gt;0,COUNTIF(Docs[ID],J512)&lt;&gt;1),AND(Форма="ООО",C512="Вывод ИП"),AND(Форма="ИП",C512="Дивиденды"),AND(L512&lt;&gt;"Проведён",L512&lt;&gt;"Черновик")),"ОШИБКА","ОК"))</f>
        <v/>
      </c>
      <c r="W512" s="25" t="str">
        <f>IF(A512="","",SUMIF(Accounts[Счёт],F512,Accounts[Начальный])+SUMIFS($Q$7:Q512,$F$7:F512,F512)+SUMIFS($E$7:E512,$G$7:G512,F512,$C$7:C512,"Перевод",$L$7:L512,"Проведён"))</f>
        <v/>
      </c>
    </row>
    <row r="513" spans="1:23" x14ac:dyDescent="0.25">
      <c r="A513" s="22"/>
      <c r="B513" s="23"/>
      <c r="C513" s="22"/>
      <c r="D513" s="22"/>
      <c r="E513" s="27"/>
      <c r="F513" s="22"/>
      <c r="G513" s="22"/>
      <c r="H513" s="22"/>
      <c r="I513" s="22"/>
      <c r="J513" s="22"/>
      <c r="K513" s="22"/>
      <c r="L513" s="22"/>
      <c r="M513" s="22"/>
      <c r="N513" s="27"/>
      <c r="O513" s="22"/>
      <c r="P513" s="5" t="str">
        <f>IF(A513="","",IF(COUNTIF(Типы,C513)=0,0,VLOOKUP(C513,СПРАВОЧНИКИ!$A$7:$E$22,2,FALSE)))</f>
        <v/>
      </c>
      <c r="Q513" s="25" t="str">
        <f t="shared" si="7"/>
        <v/>
      </c>
      <c r="R513" s="5" t="str">
        <f>IF(A513="","",IF(COUNTIF(Типы,C513)=0,"НЕИЗВЕСТНЫЙ ТИП",VLOOKUP(C513,СПРАВОЧНИКИ!$A$7:$E$22,3,FALSE)))</f>
        <v/>
      </c>
      <c r="S513" s="26" t="str">
        <f>IF(A513="","",IF(L513="Проведён",E513*IF(COUNTIF(Типы,C513)=0,0,VLOOKUP(C513,СПРАВОЧНИКИ!$A$7:$E$22,4,FALSE)),0))</f>
        <v/>
      </c>
      <c r="T513" s="26" t="str">
        <f>IF(A513="","",IF(L513="Проведён",E513*IF(COUNTIF(Типы,C513)=0,0,VLOOKUP(C513,СПРАВОЧНИКИ!$A$7:$E$22,5,FALSE)),0))</f>
        <v/>
      </c>
      <c r="U513" s="5" t="str">
        <f>IF(A513="","",IF(COUNTIF(Контрагенты,H513)=0,"Не задан",VLOOKUP(H513,СПРАВОЧНИКИ!$G$7:$H$66,2,FALSE)))</f>
        <v/>
      </c>
      <c r="V513" s="4" t="str">
        <f>IF(A513="",IF(COUNTA(B513:O513)&gt;0,"НЕТ ID",""),IF(OR(AND(OR(C513="Оплата клиента",C513="Возврат клиенту"),COUNTIFS(Docs[ID],J513,Docs[Тип долга],"ДЗ")&lt;&gt;1),AND(OR(C513="Оплата поставщику",C513="Возврат поставщика"),COUNTIFS(Docs[ID],J513,Docs[Тип долга],"КЗ",Docs[Вид],"&lt;&gt;Дивиденды")&lt;&gt;1),AND(C513="Дивиденды",COUNTIFS(Docs[ID],J513,Docs[Вид],"Дивиденды")&lt;&gt;1),AND(C513="Проценты",COUNTIFS(Docs[ID],J513,Docs[Вид],"Проценты")&lt;&gt;1),COUNTIF(Cash[ID],A513)&gt;1,NOT(ISNUMBER(B513)),B513&lt;НачалоУчета,YEAR(B513)&lt;&gt;Год,NOT(ISNUMBER(E513)),E513&lt;=0,N513&lt;0,COUNTIF(Типы,C513)&lt;&gt;1,COUNTIF(Категории,D513)&lt;&gt;1,COUNTIF(Счета,F513)&lt;&gt;1,COUNTIF(Проекты,I513)&lt;&gt;1,AND(H513&lt;&gt;"",COUNTIF(Контрагенты,H513)&lt;&gt;1),AND(C513="Перевод",OR(F513=G513,COUNTIF(Счета,G513)&lt;&gt;1)),AND(S513&lt;&gt;0,COUNTIF(Docs[ID],J513)&lt;&gt;1),AND(Форма="ООО",C513="Вывод ИП"),AND(Форма="ИП",C513="Дивиденды"),AND(L513&lt;&gt;"Проведён",L513&lt;&gt;"Черновик")),"ОШИБКА","ОК"))</f>
        <v/>
      </c>
      <c r="W513" s="25" t="str">
        <f>IF(A513="","",SUMIF(Accounts[Счёт],F513,Accounts[Начальный])+SUMIFS($Q$7:Q513,$F$7:F513,F513)+SUMIFS($E$7:E513,$G$7:G513,F513,$C$7:C513,"Перевод",$L$7:L513,"Проведён"))</f>
        <v/>
      </c>
    </row>
    <row r="514" spans="1:23" x14ac:dyDescent="0.25">
      <c r="A514" s="22"/>
      <c r="B514" s="23"/>
      <c r="C514" s="22"/>
      <c r="D514" s="22"/>
      <c r="E514" s="27"/>
      <c r="F514" s="22"/>
      <c r="G514" s="22"/>
      <c r="H514" s="22"/>
      <c r="I514" s="22"/>
      <c r="J514" s="22"/>
      <c r="K514" s="22"/>
      <c r="L514" s="22"/>
      <c r="M514" s="22"/>
      <c r="N514" s="27"/>
      <c r="O514" s="22"/>
      <c r="P514" s="5" t="str">
        <f>IF(A514="","",IF(COUNTIF(Типы,C514)=0,0,VLOOKUP(C514,СПРАВОЧНИКИ!$A$7:$E$22,2,FALSE)))</f>
        <v/>
      </c>
      <c r="Q514" s="25" t="str">
        <f t="shared" si="7"/>
        <v/>
      </c>
      <c r="R514" s="5" t="str">
        <f>IF(A514="","",IF(COUNTIF(Типы,C514)=0,"НЕИЗВЕСТНЫЙ ТИП",VLOOKUP(C514,СПРАВОЧНИКИ!$A$7:$E$22,3,FALSE)))</f>
        <v/>
      </c>
      <c r="S514" s="26" t="str">
        <f>IF(A514="","",IF(L514="Проведён",E514*IF(COUNTIF(Типы,C514)=0,0,VLOOKUP(C514,СПРАВОЧНИКИ!$A$7:$E$22,4,FALSE)),0))</f>
        <v/>
      </c>
      <c r="T514" s="26" t="str">
        <f>IF(A514="","",IF(L514="Проведён",E514*IF(COUNTIF(Типы,C514)=0,0,VLOOKUP(C514,СПРАВОЧНИКИ!$A$7:$E$22,5,FALSE)),0))</f>
        <v/>
      </c>
      <c r="U514" s="5" t="str">
        <f>IF(A514="","",IF(COUNTIF(Контрагенты,H514)=0,"Не задан",VLOOKUP(H514,СПРАВОЧНИКИ!$G$7:$H$66,2,FALSE)))</f>
        <v/>
      </c>
      <c r="V514" s="4" t="str">
        <f>IF(A514="",IF(COUNTA(B514:O514)&gt;0,"НЕТ ID",""),IF(OR(AND(OR(C514="Оплата клиента",C514="Возврат клиенту"),COUNTIFS(Docs[ID],J514,Docs[Тип долга],"ДЗ")&lt;&gt;1),AND(OR(C514="Оплата поставщику",C514="Возврат поставщика"),COUNTIFS(Docs[ID],J514,Docs[Тип долга],"КЗ",Docs[Вид],"&lt;&gt;Дивиденды")&lt;&gt;1),AND(C514="Дивиденды",COUNTIFS(Docs[ID],J514,Docs[Вид],"Дивиденды")&lt;&gt;1),AND(C514="Проценты",COUNTIFS(Docs[ID],J514,Docs[Вид],"Проценты")&lt;&gt;1),COUNTIF(Cash[ID],A514)&gt;1,NOT(ISNUMBER(B514)),B514&lt;НачалоУчета,YEAR(B514)&lt;&gt;Год,NOT(ISNUMBER(E514)),E514&lt;=0,N514&lt;0,COUNTIF(Типы,C514)&lt;&gt;1,COUNTIF(Категории,D514)&lt;&gt;1,COUNTIF(Счета,F514)&lt;&gt;1,COUNTIF(Проекты,I514)&lt;&gt;1,AND(H514&lt;&gt;"",COUNTIF(Контрагенты,H514)&lt;&gt;1),AND(C514="Перевод",OR(F514=G514,COUNTIF(Счета,G514)&lt;&gt;1)),AND(S514&lt;&gt;0,COUNTIF(Docs[ID],J514)&lt;&gt;1),AND(Форма="ООО",C514="Вывод ИП"),AND(Форма="ИП",C514="Дивиденды"),AND(L514&lt;&gt;"Проведён",L514&lt;&gt;"Черновик")),"ОШИБКА","ОК"))</f>
        <v/>
      </c>
      <c r="W514" s="25" t="str">
        <f>IF(A514="","",SUMIF(Accounts[Счёт],F514,Accounts[Начальный])+SUMIFS($Q$7:Q514,$F$7:F514,F514)+SUMIFS($E$7:E514,$G$7:G514,F514,$C$7:C514,"Перевод",$L$7:L514,"Проведён"))</f>
        <v/>
      </c>
    </row>
    <row r="515" spans="1:23" x14ac:dyDescent="0.25">
      <c r="A515" s="22"/>
      <c r="B515" s="23"/>
      <c r="C515" s="22"/>
      <c r="D515" s="22"/>
      <c r="E515" s="27"/>
      <c r="F515" s="22"/>
      <c r="G515" s="22"/>
      <c r="H515" s="22"/>
      <c r="I515" s="22"/>
      <c r="J515" s="22"/>
      <c r="K515" s="22"/>
      <c r="L515" s="22"/>
      <c r="M515" s="22"/>
      <c r="N515" s="27"/>
      <c r="O515" s="22"/>
      <c r="P515" s="5" t="str">
        <f>IF(A515="","",IF(COUNTIF(Типы,C515)=0,0,VLOOKUP(C515,СПРАВОЧНИКИ!$A$7:$E$22,2,FALSE)))</f>
        <v/>
      </c>
      <c r="Q515" s="25" t="str">
        <f t="shared" si="7"/>
        <v/>
      </c>
      <c r="R515" s="5" t="str">
        <f>IF(A515="","",IF(COUNTIF(Типы,C515)=0,"НЕИЗВЕСТНЫЙ ТИП",VLOOKUP(C515,СПРАВОЧНИКИ!$A$7:$E$22,3,FALSE)))</f>
        <v/>
      </c>
      <c r="S515" s="26" t="str">
        <f>IF(A515="","",IF(L515="Проведён",E515*IF(COUNTIF(Типы,C515)=0,0,VLOOKUP(C515,СПРАВОЧНИКИ!$A$7:$E$22,4,FALSE)),0))</f>
        <v/>
      </c>
      <c r="T515" s="26" t="str">
        <f>IF(A515="","",IF(L515="Проведён",E515*IF(COUNTIF(Типы,C515)=0,0,VLOOKUP(C515,СПРАВОЧНИКИ!$A$7:$E$22,5,FALSE)),0))</f>
        <v/>
      </c>
      <c r="U515" s="5" t="str">
        <f>IF(A515="","",IF(COUNTIF(Контрагенты,H515)=0,"Не задан",VLOOKUP(H515,СПРАВОЧНИКИ!$G$7:$H$66,2,FALSE)))</f>
        <v/>
      </c>
      <c r="V515" s="4" t="str">
        <f>IF(A515="",IF(COUNTA(B515:O515)&gt;0,"НЕТ ID",""),IF(OR(AND(OR(C515="Оплата клиента",C515="Возврат клиенту"),COUNTIFS(Docs[ID],J515,Docs[Тип долга],"ДЗ")&lt;&gt;1),AND(OR(C515="Оплата поставщику",C515="Возврат поставщика"),COUNTIFS(Docs[ID],J515,Docs[Тип долга],"КЗ",Docs[Вид],"&lt;&gt;Дивиденды")&lt;&gt;1),AND(C515="Дивиденды",COUNTIFS(Docs[ID],J515,Docs[Вид],"Дивиденды")&lt;&gt;1),AND(C515="Проценты",COUNTIFS(Docs[ID],J515,Docs[Вид],"Проценты")&lt;&gt;1),COUNTIF(Cash[ID],A515)&gt;1,NOT(ISNUMBER(B515)),B515&lt;НачалоУчета,YEAR(B515)&lt;&gt;Год,NOT(ISNUMBER(E515)),E515&lt;=0,N515&lt;0,COUNTIF(Типы,C515)&lt;&gt;1,COUNTIF(Категории,D515)&lt;&gt;1,COUNTIF(Счета,F515)&lt;&gt;1,COUNTIF(Проекты,I515)&lt;&gt;1,AND(H515&lt;&gt;"",COUNTIF(Контрагенты,H515)&lt;&gt;1),AND(C515="Перевод",OR(F515=G515,COUNTIF(Счета,G515)&lt;&gt;1)),AND(S515&lt;&gt;0,COUNTIF(Docs[ID],J515)&lt;&gt;1),AND(Форма="ООО",C515="Вывод ИП"),AND(Форма="ИП",C515="Дивиденды"),AND(L515&lt;&gt;"Проведён",L515&lt;&gt;"Черновик")),"ОШИБКА","ОК"))</f>
        <v/>
      </c>
      <c r="W515" s="25" t="str">
        <f>IF(A515="","",SUMIF(Accounts[Счёт],F515,Accounts[Начальный])+SUMIFS($Q$7:Q515,$F$7:F515,F515)+SUMIFS($E$7:E515,$G$7:G515,F515,$C$7:C515,"Перевод",$L$7:L515,"Проведён"))</f>
        <v/>
      </c>
    </row>
    <row r="516" spans="1:23" x14ac:dyDescent="0.25">
      <c r="A516" s="22"/>
      <c r="B516" s="23"/>
      <c r="C516" s="22"/>
      <c r="D516" s="22"/>
      <c r="E516" s="27"/>
      <c r="F516" s="22"/>
      <c r="G516" s="22"/>
      <c r="H516" s="22"/>
      <c r="I516" s="22"/>
      <c r="J516" s="22"/>
      <c r="K516" s="22"/>
      <c r="L516" s="22"/>
      <c r="M516" s="22"/>
      <c r="N516" s="27"/>
      <c r="O516" s="22"/>
      <c r="P516" s="5" t="str">
        <f>IF(A516="","",IF(COUNTIF(Типы,C516)=0,0,VLOOKUP(C516,СПРАВОЧНИКИ!$A$7:$E$22,2,FALSE)))</f>
        <v/>
      </c>
      <c r="Q516" s="25" t="str">
        <f t="shared" si="7"/>
        <v/>
      </c>
      <c r="R516" s="5" t="str">
        <f>IF(A516="","",IF(COUNTIF(Типы,C516)=0,"НЕИЗВЕСТНЫЙ ТИП",VLOOKUP(C516,СПРАВОЧНИКИ!$A$7:$E$22,3,FALSE)))</f>
        <v/>
      </c>
      <c r="S516" s="26" t="str">
        <f>IF(A516="","",IF(L516="Проведён",E516*IF(COUNTIF(Типы,C516)=0,0,VLOOKUP(C516,СПРАВОЧНИКИ!$A$7:$E$22,4,FALSE)),0))</f>
        <v/>
      </c>
      <c r="T516" s="26" t="str">
        <f>IF(A516="","",IF(L516="Проведён",E516*IF(COUNTIF(Типы,C516)=0,0,VLOOKUP(C516,СПРАВОЧНИКИ!$A$7:$E$22,5,FALSE)),0))</f>
        <v/>
      </c>
      <c r="U516" s="5" t="str">
        <f>IF(A516="","",IF(COUNTIF(Контрагенты,H516)=0,"Не задан",VLOOKUP(H516,СПРАВОЧНИКИ!$G$7:$H$66,2,FALSE)))</f>
        <v/>
      </c>
      <c r="V516" s="4" t="str">
        <f>IF(A516="",IF(COUNTA(B516:O516)&gt;0,"НЕТ ID",""),IF(OR(AND(OR(C516="Оплата клиента",C516="Возврат клиенту"),COUNTIFS(Docs[ID],J516,Docs[Тип долга],"ДЗ")&lt;&gt;1),AND(OR(C516="Оплата поставщику",C516="Возврат поставщика"),COUNTIFS(Docs[ID],J516,Docs[Тип долга],"КЗ",Docs[Вид],"&lt;&gt;Дивиденды")&lt;&gt;1),AND(C516="Дивиденды",COUNTIFS(Docs[ID],J516,Docs[Вид],"Дивиденды")&lt;&gt;1),AND(C516="Проценты",COUNTIFS(Docs[ID],J516,Docs[Вид],"Проценты")&lt;&gt;1),COUNTIF(Cash[ID],A516)&gt;1,NOT(ISNUMBER(B516)),B516&lt;НачалоУчета,YEAR(B516)&lt;&gt;Год,NOT(ISNUMBER(E516)),E516&lt;=0,N516&lt;0,COUNTIF(Типы,C516)&lt;&gt;1,COUNTIF(Категории,D516)&lt;&gt;1,COUNTIF(Счета,F516)&lt;&gt;1,COUNTIF(Проекты,I516)&lt;&gt;1,AND(H516&lt;&gt;"",COUNTIF(Контрагенты,H516)&lt;&gt;1),AND(C516="Перевод",OR(F516=G516,COUNTIF(Счета,G516)&lt;&gt;1)),AND(S516&lt;&gt;0,COUNTIF(Docs[ID],J516)&lt;&gt;1),AND(Форма="ООО",C516="Вывод ИП"),AND(Форма="ИП",C516="Дивиденды"),AND(L516&lt;&gt;"Проведён",L516&lt;&gt;"Черновик")),"ОШИБКА","ОК"))</f>
        <v/>
      </c>
      <c r="W516" s="25" t="str">
        <f>IF(A516="","",SUMIF(Accounts[Счёт],F516,Accounts[Начальный])+SUMIFS($Q$7:Q516,$F$7:F516,F516)+SUMIFS($E$7:E516,$G$7:G516,F516,$C$7:C516,"Перевод",$L$7:L516,"Проведён"))</f>
        <v/>
      </c>
    </row>
    <row r="517" spans="1:23" x14ac:dyDescent="0.25">
      <c r="A517" s="22"/>
      <c r="B517" s="23"/>
      <c r="C517" s="22"/>
      <c r="D517" s="22"/>
      <c r="E517" s="27"/>
      <c r="F517" s="22"/>
      <c r="G517" s="22"/>
      <c r="H517" s="22"/>
      <c r="I517" s="22"/>
      <c r="J517" s="22"/>
      <c r="K517" s="22"/>
      <c r="L517" s="22"/>
      <c r="M517" s="22"/>
      <c r="N517" s="27"/>
      <c r="O517" s="22"/>
      <c r="P517" s="5" t="str">
        <f>IF(A517="","",IF(COUNTIF(Типы,C517)=0,0,VLOOKUP(C517,СПРАВОЧНИКИ!$A$7:$E$22,2,FALSE)))</f>
        <v/>
      </c>
      <c r="Q517" s="25" t="str">
        <f t="shared" si="7"/>
        <v/>
      </c>
      <c r="R517" s="5" t="str">
        <f>IF(A517="","",IF(COUNTIF(Типы,C517)=0,"НЕИЗВЕСТНЫЙ ТИП",VLOOKUP(C517,СПРАВОЧНИКИ!$A$7:$E$22,3,FALSE)))</f>
        <v/>
      </c>
      <c r="S517" s="26" t="str">
        <f>IF(A517="","",IF(L517="Проведён",E517*IF(COUNTIF(Типы,C517)=0,0,VLOOKUP(C517,СПРАВОЧНИКИ!$A$7:$E$22,4,FALSE)),0))</f>
        <v/>
      </c>
      <c r="T517" s="26" t="str">
        <f>IF(A517="","",IF(L517="Проведён",E517*IF(COUNTIF(Типы,C517)=0,0,VLOOKUP(C517,СПРАВОЧНИКИ!$A$7:$E$22,5,FALSE)),0))</f>
        <v/>
      </c>
      <c r="U517" s="5" t="str">
        <f>IF(A517="","",IF(COUNTIF(Контрагенты,H517)=0,"Не задан",VLOOKUP(H517,СПРАВОЧНИКИ!$G$7:$H$66,2,FALSE)))</f>
        <v/>
      </c>
      <c r="V517" s="4" t="str">
        <f>IF(A517="",IF(COUNTA(B517:O517)&gt;0,"НЕТ ID",""),IF(OR(AND(OR(C517="Оплата клиента",C517="Возврат клиенту"),COUNTIFS(Docs[ID],J517,Docs[Тип долга],"ДЗ")&lt;&gt;1),AND(OR(C517="Оплата поставщику",C517="Возврат поставщика"),COUNTIFS(Docs[ID],J517,Docs[Тип долга],"КЗ",Docs[Вид],"&lt;&gt;Дивиденды")&lt;&gt;1),AND(C517="Дивиденды",COUNTIFS(Docs[ID],J517,Docs[Вид],"Дивиденды")&lt;&gt;1),AND(C517="Проценты",COUNTIFS(Docs[ID],J517,Docs[Вид],"Проценты")&lt;&gt;1),COUNTIF(Cash[ID],A517)&gt;1,NOT(ISNUMBER(B517)),B517&lt;НачалоУчета,YEAR(B517)&lt;&gt;Год,NOT(ISNUMBER(E517)),E517&lt;=0,N517&lt;0,COUNTIF(Типы,C517)&lt;&gt;1,COUNTIF(Категории,D517)&lt;&gt;1,COUNTIF(Счета,F517)&lt;&gt;1,COUNTIF(Проекты,I517)&lt;&gt;1,AND(H517&lt;&gt;"",COUNTIF(Контрагенты,H517)&lt;&gt;1),AND(C517="Перевод",OR(F517=G517,COUNTIF(Счета,G517)&lt;&gt;1)),AND(S517&lt;&gt;0,COUNTIF(Docs[ID],J517)&lt;&gt;1),AND(Форма="ООО",C517="Вывод ИП"),AND(Форма="ИП",C517="Дивиденды"),AND(L517&lt;&gt;"Проведён",L517&lt;&gt;"Черновик")),"ОШИБКА","ОК"))</f>
        <v/>
      </c>
      <c r="W517" s="25" t="str">
        <f>IF(A517="","",SUMIF(Accounts[Счёт],F517,Accounts[Начальный])+SUMIFS($Q$7:Q517,$F$7:F517,F517)+SUMIFS($E$7:E517,$G$7:G517,F517,$C$7:C517,"Перевод",$L$7:L517,"Проведён"))</f>
        <v/>
      </c>
    </row>
    <row r="518" spans="1:23" x14ac:dyDescent="0.25">
      <c r="A518" s="22"/>
      <c r="B518" s="23"/>
      <c r="C518" s="22"/>
      <c r="D518" s="22"/>
      <c r="E518" s="27"/>
      <c r="F518" s="22"/>
      <c r="G518" s="22"/>
      <c r="H518" s="22"/>
      <c r="I518" s="22"/>
      <c r="J518" s="22"/>
      <c r="K518" s="22"/>
      <c r="L518" s="22"/>
      <c r="M518" s="22"/>
      <c r="N518" s="27"/>
      <c r="O518" s="22"/>
      <c r="P518" s="5" t="str">
        <f>IF(A518="","",IF(COUNTIF(Типы,C518)=0,0,VLOOKUP(C518,СПРАВОЧНИКИ!$A$7:$E$22,2,FALSE)))</f>
        <v/>
      </c>
      <c r="Q518" s="25" t="str">
        <f t="shared" si="7"/>
        <v/>
      </c>
      <c r="R518" s="5" t="str">
        <f>IF(A518="","",IF(COUNTIF(Типы,C518)=0,"НЕИЗВЕСТНЫЙ ТИП",VLOOKUP(C518,СПРАВОЧНИКИ!$A$7:$E$22,3,FALSE)))</f>
        <v/>
      </c>
      <c r="S518" s="26" t="str">
        <f>IF(A518="","",IF(L518="Проведён",E518*IF(COUNTIF(Типы,C518)=0,0,VLOOKUP(C518,СПРАВОЧНИКИ!$A$7:$E$22,4,FALSE)),0))</f>
        <v/>
      </c>
      <c r="T518" s="26" t="str">
        <f>IF(A518="","",IF(L518="Проведён",E518*IF(COUNTIF(Типы,C518)=0,0,VLOOKUP(C518,СПРАВОЧНИКИ!$A$7:$E$22,5,FALSE)),0))</f>
        <v/>
      </c>
      <c r="U518" s="5" t="str">
        <f>IF(A518="","",IF(COUNTIF(Контрагенты,H518)=0,"Не задан",VLOOKUP(H518,СПРАВОЧНИКИ!$G$7:$H$66,2,FALSE)))</f>
        <v/>
      </c>
      <c r="V518" s="4" t="str">
        <f>IF(A518="",IF(COUNTA(B518:O518)&gt;0,"НЕТ ID",""),IF(OR(AND(OR(C518="Оплата клиента",C518="Возврат клиенту"),COUNTIFS(Docs[ID],J518,Docs[Тип долга],"ДЗ")&lt;&gt;1),AND(OR(C518="Оплата поставщику",C518="Возврат поставщика"),COUNTIFS(Docs[ID],J518,Docs[Тип долга],"КЗ",Docs[Вид],"&lt;&gt;Дивиденды")&lt;&gt;1),AND(C518="Дивиденды",COUNTIFS(Docs[ID],J518,Docs[Вид],"Дивиденды")&lt;&gt;1),AND(C518="Проценты",COUNTIFS(Docs[ID],J518,Docs[Вид],"Проценты")&lt;&gt;1),COUNTIF(Cash[ID],A518)&gt;1,NOT(ISNUMBER(B518)),B518&lt;НачалоУчета,YEAR(B518)&lt;&gt;Год,NOT(ISNUMBER(E518)),E518&lt;=0,N518&lt;0,COUNTIF(Типы,C518)&lt;&gt;1,COUNTIF(Категории,D518)&lt;&gt;1,COUNTIF(Счета,F518)&lt;&gt;1,COUNTIF(Проекты,I518)&lt;&gt;1,AND(H518&lt;&gt;"",COUNTIF(Контрагенты,H518)&lt;&gt;1),AND(C518="Перевод",OR(F518=G518,COUNTIF(Счета,G518)&lt;&gt;1)),AND(S518&lt;&gt;0,COUNTIF(Docs[ID],J518)&lt;&gt;1),AND(Форма="ООО",C518="Вывод ИП"),AND(Форма="ИП",C518="Дивиденды"),AND(L518&lt;&gt;"Проведён",L518&lt;&gt;"Черновик")),"ОШИБКА","ОК"))</f>
        <v/>
      </c>
      <c r="W518" s="25" t="str">
        <f>IF(A518="","",SUMIF(Accounts[Счёт],F518,Accounts[Начальный])+SUMIFS($Q$7:Q518,$F$7:F518,F518)+SUMIFS($E$7:E518,$G$7:G518,F518,$C$7:C518,"Перевод",$L$7:L518,"Проведён"))</f>
        <v/>
      </c>
    </row>
    <row r="519" spans="1:23" x14ac:dyDescent="0.25">
      <c r="A519" s="22"/>
      <c r="B519" s="23"/>
      <c r="C519" s="22"/>
      <c r="D519" s="22"/>
      <c r="E519" s="27"/>
      <c r="F519" s="22"/>
      <c r="G519" s="22"/>
      <c r="H519" s="22"/>
      <c r="I519" s="22"/>
      <c r="J519" s="22"/>
      <c r="K519" s="22"/>
      <c r="L519" s="22"/>
      <c r="M519" s="22"/>
      <c r="N519" s="27"/>
      <c r="O519" s="22"/>
      <c r="P519" s="5" t="str">
        <f>IF(A519="","",IF(COUNTIF(Типы,C519)=0,0,VLOOKUP(C519,СПРАВОЧНИКИ!$A$7:$E$22,2,FALSE)))</f>
        <v/>
      </c>
      <c r="Q519" s="25" t="str">
        <f t="shared" ref="Q519:Q582" si="8">IF(A519="","",IF(L519="Проведён",E519*P519,0))</f>
        <v/>
      </c>
      <c r="R519" s="5" t="str">
        <f>IF(A519="","",IF(COUNTIF(Типы,C519)=0,"НЕИЗВЕСТНЫЙ ТИП",VLOOKUP(C519,СПРАВОЧНИКИ!$A$7:$E$22,3,FALSE)))</f>
        <v/>
      </c>
      <c r="S519" s="26" t="str">
        <f>IF(A519="","",IF(L519="Проведён",E519*IF(COUNTIF(Типы,C519)=0,0,VLOOKUP(C519,СПРАВОЧНИКИ!$A$7:$E$22,4,FALSE)),0))</f>
        <v/>
      </c>
      <c r="T519" s="26" t="str">
        <f>IF(A519="","",IF(L519="Проведён",E519*IF(COUNTIF(Типы,C519)=0,0,VLOOKUP(C519,СПРАВОЧНИКИ!$A$7:$E$22,5,FALSE)),0))</f>
        <v/>
      </c>
      <c r="U519" s="5" t="str">
        <f>IF(A519="","",IF(COUNTIF(Контрагенты,H519)=0,"Не задан",VLOOKUP(H519,СПРАВОЧНИКИ!$G$7:$H$66,2,FALSE)))</f>
        <v/>
      </c>
      <c r="V519" s="4" t="str">
        <f>IF(A519="",IF(COUNTA(B519:O519)&gt;0,"НЕТ ID",""),IF(OR(AND(OR(C519="Оплата клиента",C519="Возврат клиенту"),COUNTIFS(Docs[ID],J519,Docs[Тип долга],"ДЗ")&lt;&gt;1),AND(OR(C519="Оплата поставщику",C519="Возврат поставщика"),COUNTIFS(Docs[ID],J519,Docs[Тип долга],"КЗ",Docs[Вид],"&lt;&gt;Дивиденды")&lt;&gt;1),AND(C519="Дивиденды",COUNTIFS(Docs[ID],J519,Docs[Вид],"Дивиденды")&lt;&gt;1),AND(C519="Проценты",COUNTIFS(Docs[ID],J519,Docs[Вид],"Проценты")&lt;&gt;1),COUNTIF(Cash[ID],A519)&gt;1,NOT(ISNUMBER(B519)),B519&lt;НачалоУчета,YEAR(B519)&lt;&gt;Год,NOT(ISNUMBER(E519)),E519&lt;=0,N519&lt;0,COUNTIF(Типы,C519)&lt;&gt;1,COUNTIF(Категории,D519)&lt;&gt;1,COUNTIF(Счета,F519)&lt;&gt;1,COUNTIF(Проекты,I519)&lt;&gt;1,AND(H519&lt;&gt;"",COUNTIF(Контрагенты,H519)&lt;&gt;1),AND(C519="Перевод",OR(F519=G519,COUNTIF(Счета,G519)&lt;&gt;1)),AND(S519&lt;&gt;0,COUNTIF(Docs[ID],J519)&lt;&gt;1),AND(Форма="ООО",C519="Вывод ИП"),AND(Форма="ИП",C519="Дивиденды"),AND(L519&lt;&gt;"Проведён",L519&lt;&gt;"Черновик")),"ОШИБКА","ОК"))</f>
        <v/>
      </c>
      <c r="W519" s="25" t="str">
        <f>IF(A519="","",SUMIF(Accounts[Счёт],F519,Accounts[Начальный])+SUMIFS($Q$7:Q519,$F$7:F519,F519)+SUMIFS($E$7:E519,$G$7:G519,F519,$C$7:C519,"Перевод",$L$7:L519,"Проведён"))</f>
        <v/>
      </c>
    </row>
    <row r="520" spans="1:23" x14ac:dyDescent="0.25">
      <c r="A520" s="22"/>
      <c r="B520" s="23"/>
      <c r="C520" s="22"/>
      <c r="D520" s="22"/>
      <c r="E520" s="27"/>
      <c r="F520" s="22"/>
      <c r="G520" s="22"/>
      <c r="H520" s="22"/>
      <c r="I520" s="22"/>
      <c r="J520" s="22"/>
      <c r="K520" s="22"/>
      <c r="L520" s="22"/>
      <c r="M520" s="22"/>
      <c r="N520" s="27"/>
      <c r="O520" s="22"/>
      <c r="P520" s="5" t="str">
        <f>IF(A520="","",IF(COUNTIF(Типы,C520)=0,0,VLOOKUP(C520,СПРАВОЧНИКИ!$A$7:$E$22,2,FALSE)))</f>
        <v/>
      </c>
      <c r="Q520" s="25" t="str">
        <f t="shared" si="8"/>
        <v/>
      </c>
      <c r="R520" s="5" t="str">
        <f>IF(A520="","",IF(COUNTIF(Типы,C520)=0,"НЕИЗВЕСТНЫЙ ТИП",VLOOKUP(C520,СПРАВОЧНИКИ!$A$7:$E$22,3,FALSE)))</f>
        <v/>
      </c>
      <c r="S520" s="26" t="str">
        <f>IF(A520="","",IF(L520="Проведён",E520*IF(COUNTIF(Типы,C520)=0,0,VLOOKUP(C520,СПРАВОЧНИКИ!$A$7:$E$22,4,FALSE)),0))</f>
        <v/>
      </c>
      <c r="T520" s="26" t="str">
        <f>IF(A520="","",IF(L520="Проведён",E520*IF(COUNTIF(Типы,C520)=0,0,VLOOKUP(C520,СПРАВОЧНИКИ!$A$7:$E$22,5,FALSE)),0))</f>
        <v/>
      </c>
      <c r="U520" s="5" t="str">
        <f>IF(A520="","",IF(COUNTIF(Контрагенты,H520)=0,"Не задан",VLOOKUP(H520,СПРАВОЧНИКИ!$G$7:$H$66,2,FALSE)))</f>
        <v/>
      </c>
      <c r="V520" s="4" t="str">
        <f>IF(A520="",IF(COUNTA(B520:O520)&gt;0,"НЕТ ID",""),IF(OR(AND(OR(C520="Оплата клиента",C520="Возврат клиенту"),COUNTIFS(Docs[ID],J520,Docs[Тип долга],"ДЗ")&lt;&gt;1),AND(OR(C520="Оплата поставщику",C520="Возврат поставщика"),COUNTIFS(Docs[ID],J520,Docs[Тип долга],"КЗ",Docs[Вид],"&lt;&gt;Дивиденды")&lt;&gt;1),AND(C520="Дивиденды",COUNTIFS(Docs[ID],J520,Docs[Вид],"Дивиденды")&lt;&gt;1),AND(C520="Проценты",COUNTIFS(Docs[ID],J520,Docs[Вид],"Проценты")&lt;&gt;1),COUNTIF(Cash[ID],A520)&gt;1,NOT(ISNUMBER(B520)),B520&lt;НачалоУчета,YEAR(B520)&lt;&gt;Год,NOT(ISNUMBER(E520)),E520&lt;=0,N520&lt;0,COUNTIF(Типы,C520)&lt;&gt;1,COUNTIF(Категории,D520)&lt;&gt;1,COUNTIF(Счета,F520)&lt;&gt;1,COUNTIF(Проекты,I520)&lt;&gt;1,AND(H520&lt;&gt;"",COUNTIF(Контрагенты,H520)&lt;&gt;1),AND(C520="Перевод",OR(F520=G520,COUNTIF(Счета,G520)&lt;&gt;1)),AND(S520&lt;&gt;0,COUNTIF(Docs[ID],J520)&lt;&gt;1),AND(Форма="ООО",C520="Вывод ИП"),AND(Форма="ИП",C520="Дивиденды"),AND(L520&lt;&gt;"Проведён",L520&lt;&gt;"Черновик")),"ОШИБКА","ОК"))</f>
        <v/>
      </c>
      <c r="W520" s="25" t="str">
        <f>IF(A520="","",SUMIF(Accounts[Счёт],F520,Accounts[Начальный])+SUMIFS($Q$7:Q520,$F$7:F520,F520)+SUMIFS($E$7:E520,$G$7:G520,F520,$C$7:C520,"Перевод",$L$7:L520,"Проведён"))</f>
        <v/>
      </c>
    </row>
    <row r="521" spans="1:23" x14ac:dyDescent="0.25">
      <c r="A521" s="22"/>
      <c r="B521" s="23"/>
      <c r="C521" s="22"/>
      <c r="D521" s="22"/>
      <c r="E521" s="27"/>
      <c r="F521" s="22"/>
      <c r="G521" s="22"/>
      <c r="H521" s="22"/>
      <c r="I521" s="22"/>
      <c r="J521" s="22"/>
      <c r="K521" s="22"/>
      <c r="L521" s="22"/>
      <c r="M521" s="22"/>
      <c r="N521" s="27"/>
      <c r="O521" s="22"/>
      <c r="P521" s="5" t="str">
        <f>IF(A521="","",IF(COUNTIF(Типы,C521)=0,0,VLOOKUP(C521,СПРАВОЧНИКИ!$A$7:$E$22,2,FALSE)))</f>
        <v/>
      </c>
      <c r="Q521" s="25" t="str">
        <f t="shared" si="8"/>
        <v/>
      </c>
      <c r="R521" s="5" t="str">
        <f>IF(A521="","",IF(COUNTIF(Типы,C521)=0,"НЕИЗВЕСТНЫЙ ТИП",VLOOKUP(C521,СПРАВОЧНИКИ!$A$7:$E$22,3,FALSE)))</f>
        <v/>
      </c>
      <c r="S521" s="26" t="str">
        <f>IF(A521="","",IF(L521="Проведён",E521*IF(COUNTIF(Типы,C521)=0,0,VLOOKUP(C521,СПРАВОЧНИКИ!$A$7:$E$22,4,FALSE)),0))</f>
        <v/>
      </c>
      <c r="T521" s="26" t="str">
        <f>IF(A521="","",IF(L521="Проведён",E521*IF(COUNTIF(Типы,C521)=0,0,VLOOKUP(C521,СПРАВОЧНИКИ!$A$7:$E$22,5,FALSE)),0))</f>
        <v/>
      </c>
      <c r="U521" s="5" t="str">
        <f>IF(A521="","",IF(COUNTIF(Контрагенты,H521)=0,"Не задан",VLOOKUP(H521,СПРАВОЧНИКИ!$G$7:$H$66,2,FALSE)))</f>
        <v/>
      </c>
      <c r="V521" s="4" t="str">
        <f>IF(A521="",IF(COUNTA(B521:O521)&gt;0,"НЕТ ID",""),IF(OR(AND(OR(C521="Оплата клиента",C521="Возврат клиенту"),COUNTIFS(Docs[ID],J521,Docs[Тип долга],"ДЗ")&lt;&gt;1),AND(OR(C521="Оплата поставщику",C521="Возврат поставщика"),COUNTIFS(Docs[ID],J521,Docs[Тип долга],"КЗ",Docs[Вид],"&lt;&gt;Дивиденды")&lt;&gt;1),AND(C521="Дивиденды",COUNTIFS(Docs[ID],J521,Docs[Вид],"Дивиденды")&lt;&gt;1),AND(C521="Проценты",COUNTIFS(Docs[ID],J521,Docs[Вид],"Проценты")&lt;&gt;1),COUNTIF(Cash[ID],A521)&gt;1,NOT(ISNUMBER(B521)),B521&lt;НачалоУчета,YEAR(B521)&lt;&gt;Год,NOT(ISNUMBER(E521)),E521&lt;=0,N521&lt;0,COUNTIF(Типы,C521)&lt;&gt;1,COUNTIF(Категории,D521)&lt;&gt;1,COUNTIF(Счета,F521)&lt;&gt;1,COUNTIF(Проекты,I521)&lt;&gt;1,AND(H521&lt;&gt;"",COUNTIF(Контрагенты,H521)&lt;&gt;1),AND(C521="Перевод",OR(F521=G521,COUNTIF(Счета,G521)&lt;&gt;1)),AND(S521&lt;&gt;0,COUNTIF(Docs[ID],J521)&lt;&gt;1),AND(Форма="ООО",C521="Вывод ИП"),AND(Форма="ИП",C521="Дивиденды"),AND(L521&lt;&gt;"Проведён",L521&lt;&gt;"Черновик")),"ОШИБКА","ОК"))</f>
        <v/>
      </c>
      <c r="W521" s="25" t="str">
        <f>IF(A521="","",SUMIF(Accounts[Счёт],F521,Accounts[Начальный])+SUMIFS($Q$7:Q521,$F$7:F521,F521)+SUMIFS($E$7:E521,$G$7:G521,F521,$C$7:C521,"Перевод",$L$7:L521,"Проведён"))</f>
        <v/>
      </c>
    </row>
    <row r="522" spans="1:23" x14ac:dyDescent="0.25">
      <c r="A522" s="22"/>
      <c r="B522" s="23"/>
      <c r="C522" s="22"/>
      <c r="D522" s="22"/>
      <c r="E522" s="27"/>
      <c r="F522" s="22"/>
      <c r="G522" s="22"/>
      <c r="H522" s="22"/>
      <c r="I522" s="22"/>
      <c r="J522" s="22"/>
      <c r="K522" s="22"/>
      <c r="L522" s="22"/>
      <c r="M522" s="22"/>
      <c r="N522" s="27"/>
      <c r="O522" s="22"/>
      <c r="P522" s="5" t="str">
        <f>IF(A522="","",IF(COUNTIF(Типы,C522)=0,0,VLOOKUP(C522,СПРАВОЧНИКИ!$A$7:$E$22,2,FALSE)))</f>
        <v/>
      </c>
      <c r="Q522" s="25" t="str">
        <f t="shared" si="8"/>
        <v/>
      </c>
      <c r="R522" s="5" t="str">
        <f>IF(A522="","",IF(COUNTIF(Типы,C522)=0,"НЕИЗВЕСТНЫЙ ТИП",VLOOKUP(C522,СПРАВОЧНИКИ!$A$7:$E$22,3,FALSE)))</f>
        <v/>
      </c>
      <c r="S522" s="26" t="str">
        <f>IF(A522="","",IF(L522="Проведён",E522*IF(COUNTIF(Типы,C522)=0,0,VLOOKUP(C522,СПРАВОЧНИКИ!$A$7:$E$22,4,FALSE)),0))</f>
        <v/>
      </c>
      <c r="T522" s="26" t="str">
        <f>IF(A522="","",IF(L522="Проведён",E522*IF(COUNTIF(Типы,C522)=0,0,VLOOKUP(C522,СПРАВОЧНИКИ!$A$7:$E$22,5,FALSE)),0))</f>
        <v/>
      </c>
      <c r="U522" s="5" t="str">
        <f>IF(A522="","",IF(COUNTIF(Контрагенты,H522)=0,"Не задан",VLOOKUP(H522,СПРАВОЧНИКИ!$G$7:$H$66,2,FALSE)))</f>
        <v/>
      </c>
      <c r="V522" s="4" t="str">
        <f>IF(A522="",IF(COUNTA(B522:O522)&gt;0,"НЕТ ID",""),IF(OR(AND(OR(C522="Оплата клиента",C522="Возврат клиенту"),COUNTIFS(Docs[ID],J522,Docs[Тип долга],"ДЗ")&lt;&gt;1),AND(OR(C522="Оплата поставщику",C522="Возврат поставщика"),COUNTIFS(Docs[ID],J522,Docs[Тип долга],"КЗ",Docs[Вид],"&lt;&gt;Дивиденды")&lt;&gt;1),AND(C522="Дивиденды",COUNTIFS(Docs[ID],J522,Docs[Вид],"Дивиденды")&lt;&gt;1),AND(C522="Проценты",COUNTIFS(Docs[ID],J522,Docs[Вид],"Проценты")&lt;&gt;1),COUNTIF(Cash[ID],A522)&gt;1,NOT(ISNUMBER(B522)),B522&lt;НачалоУчета,YEAR(B522)&lt;&gt;Год,NOT(ISNUMBER(E522)),E522&lt;=0,N522&lt;0,COUNTIF(Типы,C522)&lt;&gt;1,COUNTIF(Категории,D522)&lt;&gt;1,COUNTIF(Счета,F522)&lt;&gt;1,COUNTIF(Проекты,I522)&lt;&gt;1,AND(H522&lt;&gt;"",COUNTIF(Контрагенты,H522)&lt;&gt;1),AND(C522="Перевод",OR(F522=G522,COUNTIF(Счета,G522)&lt;&gt;1)),AND(S522&lt;&gt;0,COUNTIF(Docs[ID],J522)&lt;&gt;1),AND(Форма="ООО",C522="Вывод ИП"),AND(Форма="ИП",C522="Дивиденды"),AND(L522&lt;&gt;"Проведён",L522&lt;&gt;"Черновик")),"ОШИБКА","ОК"))</f>
        <v/>
      </c>
      <c r="W522" s="25" t="str">
        <f>IF(A522="","",SUMIF(Accounts[Счёт],F522,Accounts[Начальный])+SUMIFS($Q$7:Q522,$F$7:F522,F522)+SUMIFS($E$7:E522,$G$7:G522,F522,$C$7:C522,"Перевод",$L$7:L522,"Проведён"))</f>
        <v/>
      </c>
    </row>
    <row r="523" spans="1:23" x14ac:dyDescent="0.25">
      <c r="A523" s="22"/>
      <c r="B523" s="23"/>
      <c r="C523" s="22"/>
      <c r="D523" s="22"/>
      <c r="E523" s="27"/>
      <c r="F523" s="22"/>
      <c r="G523" s="22"/>
      <c r="H523" s="22"/>
      <c r="I523" s="22"/>
      <c r="J523" s="22"/>
      <c r="K523" s="22"/>
      <c r="L523" s="22"/>
      <c r="M523" s="22"/>
      <c r="N523" s="27"/>
      <c r="O523" s="22"/>
      <c r="P523" s="5" t="str">
        <f>IF(A523="","",IF(COUNTIF(Типы,C523)=0,0,VLOOKUP(C523,СПРАВОЧНИКИ!$A$7:$E$22,2,FALSE)))</f>
        <v/>
      </c>
      <c r="Q523" s="25" t="str">
        <f t="shared" si="8"/>
        <v/>
      </c>
      <c r="R523" s="5" t="str">
        <f>IF(A523="","",IF(COUNTIF(Типы,C523)=0,"НЕИЗВЕСТНЫЙ ТИП",VLOOKUP(C523,СПРАВОЧНИКИ!$A$7:$E$22,3,FALSE)))</f>
        <v/>
      </c>
      <c r="S523" s="26" t="str">
        <f>IF(A523="","",IF(L523="Проведён",E523*IF(COUNTIF(Типы,C523)=0,0,VLOOKUP(C523,СПРАВОЧНИКИ!$A$7:$E$22,4,FALSE)),0))</f>
        <v/>
      </c>
      <c r="T523" s="26" t="str">
        <f>IF(A523="","",IF(L523="Проведён",E523*IF(COUNTIF(Типы,C523)=0,0,VLOOKUP(C523,СПРАВОЧНИКИ!$A$7:$E$22,5,FALSE)),0))</f>
        <v/>
      </c>
      <c r="U523" s="5" t="str">
        <f>IF(A523="","",IF(COUNTIF(Контрагенты,H523)=0,"Не задан",VLOOKUP(H523,СПРАВОЧНИКИ!$G$7:$H$66,2,FALSE)))</f>
        <v/>
      </c>
      <c r="V523" s="4" t="str">
        <f>IF(A523="",IF(COUNTA(B523:O523)&gt;0,"НЕТ ID",""),IF(OR(AND(OR(C523="Оплата клиента",C523="Возврат клиенту"),COUNTIFS(Docs[ID],J523,Docs[Тип долга],"ДЗ")&lt;&gt;1),AND(OR(C523="Оплата поставщику",C523="Возврат поставщика"),COUNTIFS(Docs[ID],J523,Docs[Тип долга],"КЗ",Docs[Вид],"&lt;&gt;Дивиденды")&lt;&gt;1),AND(C523="Дивиденды",COUNTIFS(Docs[ID],J523,Docs[Вид],"Дивиденды")&lt;&gt;1),AND(C523="Проценты",COUNTIFS(Docs[ID],J523,Docs[Вид],"Проценты")&lt;&gt;1),COUNTIF(Cash[ID],A523)&gt;1,NOT(ISNUMBER(B523)),B523&lt;НачалоУчета,YEAR(B523)&lt;&gt;Год,NOT(ISNUMBER(E523)),E523&lt;=0,N523&lt;0,COUNTIF(Типы,C523)&lt;&gt;1,COUNTIF(Категории,D523)&lt;&gt;1,COUNTIF(Счета,F523)&lt;&gt;1,COUNTIF(Проекты,I523)&lt;&gt;1,AND(H523&lt;&gt;"",COUNTIF(Контрагенты,H523)&lt;&gt;1),AND(C523="Перевод",OR(F523=G523,COUNTIF(Счета,G523)&lt;&gt;1)),AND(S523&lt;&gt;0,COUNTIF(Docs[ID],J523)&lt;&gt;1),AND(Форма="ООО",C523="Вывод ИП"),AND(Форма="ИП",C523="Дивиденды"),AND(L523&lt;&gt;"Проведён",L523&lt;&gt;"Черновик")),"ОШИБКА","ОК"))</f>
        <v/>
      </c>
      <c r="W523" s="25" t="str">
        <f>IF(A523="","",SUMIF(Accounts[Счёт],F523,Accounts[Начальный])+SUMIFS($Q$7:Q523,$F$7:F523,F523)+SUMIFS($E$7:E523,$G$7:G523,F523,$C$7:C523,"Перевод",$L$7:L523,"Проведён"))</f>
        <v/>
      </c>
    </row>
    <row r="524" spans="1:23" x14ac:dyDescent="0.25">
      <c r="A524" s="22"/>
      <c r="B524" s="23"/>
      <c r="C524" s="22"/>
      <c r="D524" s="22"/>
      <c r="E524" s="27"/>
      <c r="F524" s="22"/>
      <c r="G524" s="22"/>
      <c r="H524" s="22"/>
      <c r="I524" s="22"/>
      <c r="J524" s="22"/>
      <c r="K524" s="22"/>
      <c r="L524" s="22"/>
      <c r="M524" s="22"/>
      <c r="N524" s="27"/>
      <c r="O524" s="22"/>
      <c r="P524" s="5" t="str">
        <f>IF(A524="","",IF(COUNTIF(Типы,C524)=0,0,VLOOKUP(C524,СПРАВОЧНИКИ!$A$7:$E$22,2,FALSE)))</f>
        <v/>
      </c>
      <c r="Q524" s="25" t="str">
        <f t="shared" si="8"/>
        <v/>
      </c>
      <c r="R524" s="5" t="str">
        <f>IF(A524="","",IF(COUNTIF(Типы,C524)=0,"НЕИЗВЕСТНЫЙ ТИП",VLOOKUP(C524,СПРАВОЧНИКИ!$A$7:$E$22,3,FALSE)))</f>
        <v/>
      </c>
      <c r="S524" s="26" t="str">
        <f>IF(A524="","",IF(L524="Проведён",E524*IF(COUNTIF(Типы,C524)=0,0,VLOOKUP(C524,СПРАВОЧНИКИ!$A$7:$E$22,4,FALSE)),0))</f>
        <v/>
      </c>
      <c r="T524" s="26" t="str">
        <f>IF(A524="","",IF(L524="Проведён",E524*IF(COUNTIF(Типы,C524)=0,0,VLOOKUP(C524,СПРАВОЧНИКИ!$A$7:$E$22,5,FALSE)),0))</f>
        <v/>
      </c>
      <c r="U524" s="5" t="str">
        <f>IF(A524="","",IF(COUNTIF(Контрагенты,H524)=0,"Не задан",VLOOKUP(H524,СПРАВОЧНИКИ!$G$7:$H$66,2,FALSE)))</f>
        <v/>
      </c>
      <c r="V524" s="4" t="str">
        <f>IF(A524="",IF(COUNTA(B524:O524)&gt;0,"НЕТ ID",""),IF(OR(AND(OR(C524="Оплата клиента",C524="Возврат клиенту"),COUNTIFS(Docs[ID],J524,Docs[Тип долга],"ДЗ")&lt;&gt;1),AND(OR(C524="Оплата поставщику",C524="Возврат поставщика"),COUNTIFS(Docs[ID],J524,Docs[Тип долга],"КЗ",Docs[Вид],"&lt;&gt;Дивиденды")&lt;&gt;1),AND(C524="Дивиденды",COUNTIFS(Docs[ID],J524,Docs[Вид],"Дивиденды")&lt;&gt;1),AND(C524="Проценты",COUNTIFS(Docs[ID],J524,Docs[Вид],"Проценты")&lt;&gt;1),COUNTIF(Cash[ID],A524)&gt;1,NOT(ISNUMBER(B524)),B524&lt;НачалоУчета,YEAR(B524)&lt;&gt;Год,NOT(ISNUMBER(E524)),E524&lt;=0,N524&lt;0,COUNTIF(Типы,C524)&lt;&gt;1,COUNTIF(Категории,D524)&lt;&gt;1,COUNTIF(Счета,F524)&lt;&gt;1,COUNTIF(Проекты,I524)&lt;&gt;1,AND(H524&lt;&gt;"",COUNTIF(Контрагенты,H524)&lt;&gt;1),AND(C524="Перевод",OR(F524=G524,COUNTIF(Счета,G524)&lt;&gt;1)),AND(S524&lt;&gt;0,COUNTIF(Docs[ID],J524)&lt;&gt;1),AND(Форма="ООО",C524="Вывод ИП"),AND(Форма="ИП",C524="Дивиденды"),AND(L524&lt;&gt;"Проведён",L524&lt;&gt;"Черновик")),"ОШИБКА","ОК"))</f>
        <v/>
      </c>
      <c r="W524" s="25" t="str">
        <f>IF(A524="","",SUMIF(Accounts[Счёт],F524,Accounts[Начальный])+SUMIFS($Q$7:Q524,$F$7:F524,F524)+SUMIFS($E$7:E524,$G$7:G524,F524,$C$7:C524,"Перевод",$L$7:L524,"Проведён"))</f>
        <v/>
      </c>
    </row>
    <row r="525" spans="1:23" x14ac:dyDescent="0.25">
      <c r="A525" s="22"/>
      <c r="B525" s="23"/>
      <c r="C525" s="22"/>
      <c r="D525" s="22"/>
      <c r="E525" s="27"/>
      <c r="F525" s="22"/>
      <c r="G525" s="22"/>
      <c r="H525" s="22"/>
      <c r="I525" s="22"/>
      <c r="J525" s="22"/>
      <c r="K525" s="22"/>
      <c r="L525" s="22"/>
      <c r="M525" s="22"/>
      <c r="N525" s="27"/>
      <c r="O525" s="22"/>
      <c r="P525" s="5" t="str">
        <f>IF(A525="","",IF(COUNTIF(Типы,C525)=0,0,VLOOKUP(C525,СПРАВОЧНИКИ!$A$7:$E$22,2,FALSE)))</f>
        <v/>
      </c>
      <c r="Q525" s="25" t="str">
        <f t="shared" si="8"/>
        <v/>
      </c>
      <c r="R525" s="5" t="str">
        <f>IF(A525="","",IF(COUNTIF(Типы,C525)=0,"НЕИЗВЕСТНЫЙ ТИП",VLOOKUP(C525,СПРАВОЧНИКИ!$A$7:$E$22,3,FALSE)))</f>
        <v/>
      </c>
      <c r="S525" s="26" t="str">
        <f>IF(A525="","",IF(L525="Проведён",E525*IF(COUNTIF(Типы,C525)=0,0,VLOOKUP(C525,СПРАВОЧНИКИ!$A$7:$E$22,4,FALSE)),0))</f>
        <v/>
      </c>
      <c r="T525" s="26" t="str">
        <f>IF(A525="","",IF(L525="Проведён",E525*IF(COUNTIF(Типы,C525)=0,0,VLOOKUP(C525,СПРАВОЧНИКИ!$A$7:$E$22,5,FALSE)),0))</f>
        <v/>
      </c>
      <c r="U525" s="5" t="str">
        <f>IF(A525="","",IF(COUNTIF(Контрагенты,H525)=0,"Не задан",VLOOKUP(H525,СПРАВОЧНИКИ!$G$7:$H$66,2,FALSE)))</f>
        <v/>
      </c>
      <c r="V525" s="4" t="str">
        <f>IF(A525="",IF(COUNTA(B525:O525)&gt;0,"НЕТ ID",""),IF(OR(AND(OR(C525="Оплата клиента",C525="Возврат клиенту"),COUNTIFS(Docs[ID],J525,Docs[Тип долга],"ДЗ")&lt;&gt;1),AND(OR(C525="Оплата поставщику",C525="Возврат поставщика"),COUNTIFS(Docs[ID],J525,Docs[Тип долга],"КЗ",Docs[Вид],"&lt;&gt;Дивиденды")&lt;&gt;1),AND(C525="Дивиденды",COUNTIFS(Docs[ID],J525,Docs[Вид],"Дивиденды")&lt;&gt;1),AND(C525="Проценты",COUNTIFS(Docs[ID],J525,Docs[Вид],"Проценты")&lt;&gt;1),COUNTIF(Cash[ID],A525)&gt;1,NOT(ISNUMBER(B525)),B525&lt;НачалоУчета,YEAR(B525)&lt;&gt;Год,NOT(ISNUMBER(E525)),E525&lt;=0,N525&lt;0,COUNTIF(Типы,C525)&lt;&gt;1,COUNTIF(Категории,D525)&lt;&gt;1,COUNTIF(Счета,F525)&lt;&gt;1,COUNTIF(Проекты,I525)&lt;&gt;1,AND(H525&lt;&gt;"",COUNTIF(Контрагенты,H525)&lt;&gt;1),AND(C525="Перевод",OR(F525=G525,COUNTIF(Счета,G525)&lt;&gt;1)),AND(S525&lt;&gt;0,COUNTIF(Docs[ID],J525)&lt;&gt;1),AND(Форма="ООО",C525="Вывод ИП"),AND(Форма="ИП",C525="Дивиденды"),AND(L525&lt;&gt;"Проведён",L525&lt;&gt;"Черновик")),"ОШИБКА","ОК"))</f>
        <v/>
      </c>
      <c r="W525" s="25" t="str">
        <f>IF(A525="","",SUMIF(Accounts[Счёт],F525,Accounts[Начальный])+SUMIFS($Q$7:Q525,$F$7:F525,F525)+SUMIFS($E$7:E525,$G$7:G525,F525,$C$7:C525,"Перевод",$L$7:L525,"Проведён"))</f>
        <v/>
      </c>
    </row>
    <row r="526" spans="1:23" x14ac:dyDescent="0.25">
      <c r="A526" s="22"/>
      <c r="B526" s="23"/>
      <c r="C526" s="22"/>
      <c r="D526" s="22"/>
      <c r="E526" s="27"/>
      <c r="F526" s="22"/>
      <c r="G526" s="22"/>
      <c r="H526" s="22"/>
      <c r="I526" s="22"/>
      <c r="J526" s="22"/>
      <c r="K526" s="22"/>
      <c r="L526" s="22"/>
      <c r="M526" s="22"/>
      <c r="N526" s="27"/>
      <c r="O526" s="22"/>
      <c r="P526" s="5" t="str">
        <f>IF(A526="","",IF(COUNTIF(Типы,C526)=0,0,VLOOKUP(C526,СПРАВОЧНИКИ!$A$7:$E$22,2,FALSE)))</f>
        <v/>
      </c>
      <c r="Q526" s="25" t="str">
        <f t="shared" si="8"/>
        <v/>
      </c>
      <c r="R526" s="5" t="str">
        <f>IF(A526="","",IF(COUNTIF(Типы,C526)=0,"НЕИЗВЕСТНЫЙ ТИП",VLOOKUP(C526,СПРАВОЧНИКИ!$A$7:$E$22,3,FALSE)))</f>
        <v/>
      </c>
      <c r="S526" s="26" t="str">
        <f>IF(A526="","",IF(L526="Проведён",E526*IF(COUNTIF(Типы,C526)=0,0,VLOOKUP(C526,СПРАВОЧНИКИ!$A$7:$E$22,4,FALSE)),0))</f>
        <v/>
      </c>
      <c r="T526" s="26" t="str">
        <f>IF(A526="","",IF(L526="Проведён",E526*IF(COUNTIF(Типы,C526)=0,0,VLOOKUP(C526,СПРАВОЧНИКИ!$A$7:$E$22,5,FALSE)),0))</f>
        <v/>
      </c>
      <c r="U526" s="5" t="str">
        <f>IF(A526="","",IF(COUNTIF(Контрагенты,H526)=0,"Не задан",VLOOKUP(H526,СПРАВОЧНИКИ!$G$7:$H$66,2,FALSE)))</f>
        <v/>
      </c>
      <c r="V526" s="4" t="str">
        <f>IF(A526="",IF(COUNTA(B526:O526)&gt;0,"НЕТ ID",""),IF(OR(AND(OR(C526="Оплата клиента",C526="Возврат клиенту"),COUNTIFS(Docs[ID],J526,Docs[Тип долга],"ДЗ")&lt;&gt;1),AND(OR(C526="Оплата поставщику",C526="Возврат поставщика"),COUNTIFS(Docs[ID],J526,Docs[Тип долга],"КЗ",Docs[Вид],"&lt;&gt;Дивиденды")&lt;&gt;1),AND(C526="Дивиденды",COUNTIFS(Docs[ID],J526,Docs[Вид],"Дивиденды")&lt;&gt;1),AND(C526="Проценты",COUNTIFS(Docs[ID],J526,Docs[Вид],"Проценты")&lt;&gt;1),COUNTIF(Cash[ID],A526)&gt;1,NOT(ISNUMBER(B526)),B526&lt;НачалоУчета,YEAR(B526)&lt;&gt;Год,NOT(ISNUMBER(E526)),E526&lt;=0,N526&lt;0,COUNTIF(Типы,C526)&lt;&gt;1,COUNTIF(Категории,D526)&lt;&gt;1,COUNTIF(Счета,F526)&lt;&gt;1,COUNTIF(Проекты,I526)&lt;&gt;1,AND(H526&lt;&gt;"",COUNTIF(Контрагенты,H526)&lt;&gt;1),AND(C526="Перевод",OR(F526=G526,COUNTIF(Счета,G526)&lt;&gt;1)),AND(S526&lt;&gt;0,COUNTIF(Docs[ID],J526)&lt;&gt;1),AND(Форма="ООО",C526="Вывод ИП"),AND(Форма="ИП",C526="Дивиденды"),AND(L526&lt;&gt;"Проведён",L526&lt;&gt;"Черновик")),"ОШИБКА","ОК"))</f>
        <v/>
      </c>
      <c r="W526" s="25" t="str">
        <f>IF(A526="","",SUMIF(Accounts[Счёт],F526,Accounts[Начальный])+SUMIFS($Q$7:Q526,$F$7:F526,F526)+SUMIFS($E$7:E526,$G$7:G526,F526,$C$7:C526,"Перевод",$L$7:L526,"Проведён"))</f>
        <v/>
      </c>
    </row>
    <row r="527" spans="1:23" x14ac:dyDescent="0.25">
      <c r="A527" s="22"/>
      <c r="B527" s="23"/>
      <c r="C527" s="22"/>
      <c r="D527" s="22"/>
      <c r="E527" s="27"/>
      <c r="F527" s="22"/>
      <c r="G527" s="22"/>
      <c r="H527" s="22"/>
      <c r="I527" s="22"/>
      <c r="J527" s="22"/>
      <c r="K527" s="22"/>
      <c r="L527" s="22"/>
      <c r="M527" s="22"/>
      <c r="N527" s="27"/>
      <c r="O527" s="22"/>
      <c r="P527" s="5" t="str">
        <f>IF(A527="","",IF(COUNTIF(Типы,C527)=0,0,VLOOKUP(C527,СПРАВОЧНИКИ!$A$7:$E$22,2,FALSE)))</f>
        <v/>
      </c>
      <c r="Q527" s="25" t="str">
        <f t="shared" si="8"/>
        <v/>
      </c>
      <c r="R527" s="5" t="str">
        <f>IF(A527="","",IF(COUNTIF(Типы,C527)=0,"НЕИЗВЕСТНЫЙ ТИП",VLOOKUP(C527,СПРАВОЧНИКИ!$A$7:$E$22,3,FALSE)))</f>
        <v/>
      </c>
      <c r="S527" s="26" t="str">
        <f>IF(A527="","",IF(L527="Проведён",E527*IF(COUNTIF(Типы,C527)=0,0,VLOOKUP(C527,СПРАВОЧНИКИ!$A$7:$E$22,4,FALSE)),0))</f>
        <v/>
      </c>
      <c r="T527" s="26" t="str">
        <f>IF(A527="","",IF(L527="Проведён",E527*IF(COUNTIF(Типы,C527)=0,0,VLOOKUP(C527,СПРАВОЧНИКИ!$A$7:$E$22,5,FALSE)),0))</f>
        <v/>
      </c>
      <c r="U527" s="5" t="str">
        <f>IF(A527="","",IF(COUNTIF(Контрагенты,H527)=0,"Не задан",VLOOKUP(H527,СПРАВОЧНИКИ!$G$7:$H$66,2,FALSE)))</f>
        <v/>
      </c>
      <c r="V527" s="4" t="str">
        <f>IF(A527="",IF(COUNTA(B527:O527)&gt;0,"НЕТ ID",""),IF(OR(AND(OR(C527="Оплата клиента",C527="Возврат клиенту"),COUNTIFS(Docs[ID],J527,Docs[Тип долга],"ДЗ")&lt;&gt;1),AND(OR(C527="Оплата поставщику",C527="Возврат поставщика"),COUNTIFS(Docs[ID],J527,Docs[Тип долга],"КЗ",Docs[Вид],"&lt;&gt;Дивиденды")&lt;&gt;1),AND(C527="Дивиденды",COUNTIFS(Docs[ID],J527,Docs[Вид],"Дивиденды")&lt;&gt;1),AND(C527="Проценты",COUNTIFS(Docs[ID],J527,Docs[Вид],"Проценты")&lt;&gt;1),COUNTIF(Cash[ID],A527)&gt;1,NOT(ISNUMBER(B527)),B527&lt;НачалоУчета,YEAR(B527)&lt;&gt;Год,NOT(ISNUMBER(E527)),E527&lt;=0,N527&lt;0,COUNTIF(Типы,C527)&lt;&gt;1,COUNTIF(Категории,D527)&lt;&gt;1,COUNTIF(Счета,F527)&lt;&gt;1,COUNTIF(Проекты,I527)&lt;&gt;1,AND(H527&lt;&gt;"",COUNTIF(Контрагенты,H527)&lt;&gt;1),AND(C527="Перевод",OR(F527=G527,COUNTIF(Счета,G527)&lt;&gt;1)),AND(S527&lt;&gt;0,COUNTIF(Docs[ID],J527)&lt;&gt;1),AND(Форма="ООО",C527="Вывод ИП"),AND(Форма="ИП",C527="Дивиденды"),AND(L527&lt;&gt;"Проведён",L527&lt;&gt;"Черновик")),"ОШИБКА","ОК"))</f>
        <v/>
      </c>
      <c r="W527" s="25" t="str">
        <f>IF(A527="","",SUMIF(Accounts[Счёт],F527,Accounts[Начальный])+SUMIFS($Q$7:Q527,$F$7:F527,F527)+SUMIFS($E$7:E527,$G$7:G527,F527,$C$7:C527,"Перевод",$L$7:L527,"Проведён"))</f>
        <v/>
      </c>
    </row>
    <row r="528" spans="1:23" x14ac:dyDescent="0.25">
      <c r="A528" s="22"/>
      <c r="B528" s="23"/>
      <c r="C528" s="22"/>
      <c r="D528" s="22"/>
      <c r="E528" s="27"/>
      <c r="F528" s="22"/>
      <c r="G528" s="22"/>
      <c r="H528" s="22"/>
      <c r="I528" s="22"/>
      <c r="J528" s="22"/>
      <c r="K528" s="22"/>
      <c r="L528" s="22"/>
      <c r="M528" s="22"/>
      <c r="N528" s="27"/>
      <c r="O528" s="22"/>
      <c r="P528" s="5" t="str">
        <f>IF(A528="","",IF(COUNTIF(Типы,C528)=0,0,VLOOKUP(C528,СПРАВОЧНИКИ!$A$7:$E$22,2,FALSE)))</f>
        <v/>
      </c>
      <c r="Q528" s="25" t="str">
        <f t="shared" si="8"/>
        <v/>
      </c>
      <c r="R528" s="5" t="str">
        <f>IF(A528="","",IF(COUNTIF(Типы,C528)=0,"НЕИЗВЕСТНЫЙ ТИП",VLOOKUP(C528,СПРАВОЧНИКИ!$A$7:$E$22,3,FALSE)))</f>
        <v/>
      </c>
      <c r="S528" s="26" t="str">
        <f>IF(A528="","",IF(L528="Проведён",E528*IF(COUNTIF(Типы,C528)=0,0,VLOOKUP(C528,СПРАВОЧНИКИ!$A$7:$E$22,4,FALSE)),0))</f>
        <v/>
      </c>
      <c r="T528" s="26" t="str">
        <f>IF(A528="","",IF(L528="Проведён",E528*IF(COUNTIF(Типы,C528)=0,0,VLOOKUP(C528,СПРАВОЧНИКИ!$A$7:$E$22,5,FALSE)),0))</f>
        <v/>
      </c>
      <c r="U528" s="5" t="str">
        <f>IF(A528="","",IF(COUNTIF(Контрагенты,H528)=0,"Не задан",VLOOKUP(H528,СПРАВОЧНИКИ!$G$7:$H$66,2,FALSE)))</f>
        <v/>
      </c>
      <c r="V528" s="4" t="str">
        <f>IF(A528="",IF(COUNTA(B528:O528)&gt;0,"НЕТ ID",""),IF(OR(AND(OR(C528="Оплата клиента",C528="Возврат клиенту"),COUNTIFS(Docs[ID],J528,Docs[Тип долга],"ДЗ")&lt;&gt;1),AND(OR(C528="Оплата поставщику",C528="Возврат поставщика"),COUNTIFS(Docs[ID],J528,Docs[Тип долга],"КЗ",Docs[Вид],"&lt;&gt;Дивиденды")&lt;&gt;1),AND(C528="Дивиденды",COUNTIFS(Docs[ID],J528,Docs[Вид],"Дивиденды")&lt;&gt;1),AND(C528="Проценты",COUNTIFS(Docs[ID],J528,Docs[Вид],"Проценты")&lt;&gt;1),COUNTIF(Cash[ID],A528)&gt;1,NOT(ISNUMBER(B528)),B528&lt;НачалоУчета,YEAR(B528)&lt;&gt;Год,NOT(ISNUMBER(E528)),E528&lt;=0,N528&lt;0,COUNTIF(Типы,C528)&lt;&gt;1,COUNTIF(Категории,D528)&lt;&gt;1,COUNTIF(Счета,F528)&lt;&gt;1,COUNTIF(Проекты,I528)&lt;&gt;1,AND(H528&lt;&gt;"",COUNTIF(Контрагенты,H528)&lt;&gt;1),AND(C528="Перевод",OR(F528=G528,COUNTIF(Счета,G528)&lt;&gt;1)),AND(S528&lt;&gt;0,COUNTIF(Docs[ID],J528)&lt;&gt;1),AND(Форма="ООО",C528="Вывод ИП"),AND(Форма="ИП",C528="Дивиденды"),AND(L528&lt;&gt;"Проведён",L528&lt;&gt;"Черновик")),"ОШИБКА","ОК"))</f>
        <v/>
      </c>
      <c r="W528" s="25" t="str">
        <f>IF(A528="","",SUMIF(Accounts[Счёт],F528,Accounts[Начальный])+SUMIFS($Q$7:Q528,$F$7:F528,F528)+SUMIFS($E$7:E528,$G$7:G528,F528,$C$7:C528,"Перевод",$L$7:L528,"Проведён"))</f>
        <v/>
      </c>
    </row>
    <row r="529" spans="1:23" x14ac:dyDescent="0.25">
      <c r="A529" s="22"/>
      <c r="B529" s="23"/>
      <c r="C529" s="22"/>
      <c r="D529" s="22"/>
      <c r="E529" s="27"/>
      <c r="F529" s="22"/>
      <c r="G529" s="22"/>
      <c r="H529" s="22"/>
      <c r="I529" s="22"/>
      <c r="J529" s="22"/>
      <c r="K529" s="22"/>
      <c r="L529" s="22"/>
      <c r="M529" s="22"/>
      <c r="N529" s="27"/>
      <c r="O529" s="22"/>
      <c r="P529" s="5" t="str">
        <f>IF(A529="","",IF(COUNTIF(Типы,C529)=0,0,VLOOKUP(C529,СПРАВОЧНИКИ!$A$7:$E$22,2,FALSE)))</f>
        <v/>
      </c>
      <c r="Q529" s="25" t="str">
        <f t="shared" si="8"/>
        <v/>
      </c>
      <c r="R529" s="5" t="str">
        <f>IF(A529="","",IF(COUNTIF(Типы,C529)=0,"НЕИЗВЕСТНЫЙ ТИП",VLOOKUP(C529,СПРАВОЧНИКИ!$A$7:$E$22,3,FALSE)))</f>
        <v/>
      </c>
      <c r="S529" s="26" t="str">
        <f>IF(A529="","",IF(L529="Проведён",E529*IF(COUNTIF(Типы,C529)=0,0,VLOOKUP(C529,СПРАВОЧНИКИ!$A$7:$E$22,4,FALSE)),0))</f>
        <v/>
      </c>
      <c r="T529" s="26" t="str">
        <f>IF(A529="","",IF(L529="Проведён",E529*IF(COUNTIF(Типы,C529)=0,0,VLOOKUP(C529,СПРАВОЧНИКИ!$A$7:$E$22,5,FALSE)),0))</f>
        <v/>
      </c>
      <c r="U529" s="5" t="str">
        <f>IF(A529="","",IF(COUNTIF(Контрагенты,H529)=0,"Не задан",VLOOKUP(H529,СПРАВОЧНИКИ!$G$7:$H$66,2,FALSE)))</f>
        <v/>
      </c>
      <c r="V529" s="4" t="str">
        <f>IF(A529="",IF(COUNTA(B529:O529)&gt;0,"НЕТ ID",""),IF(OR(AND(OR(C529="Оплата клиента",C529="Возврат клиенту"),COUNTIFS(Docs[ID],J529,Docs[Тип долга],"ДЗ")&lt;&gt;1),AND(OR(C529="Оплата поставщику",C529="Возврат поставщика"),COUNTIFS(Docs[ID],J529,Docs[Тип долга],"КЗ",Docs[Вид],"&lt;&gt;Дивиденды")&lt;&gt;1),AND(C529="Дивиденды",COUNTIFS(Docs[ID],J529,Docs[Вид],"Дивиденды")&lt;&gt;1),AND(C529="Проценты",COUNTIFS(Docs[ID],J529,Docs[Вид],"Проценты")&lt;&gt;1),COUNTIF(Cash[ID],A529)&gt;1,NOT(ISNUMBER(B529)),B529&lt;НачалоУчета,YEAR(B529)&lt;&gt;Год,NOT(ISNUMBER(E529)),E529&lt;=0,N529&lt;0,COUNTIF(Типы,C529)&lt;&gt;1,COUNTIF(Категории,D529)&lt;&gt;1,COUNTIF(Счета,F529)&lt;&gt;1,COUNTIF(Проекты,I529)&lt;&gt;1,AND(H529&lt;&gt;"",COUNTIF(Контрагенты,H529)&lt;&gt;1),AND(C529="Перевод",OR(F529=G529,COUNTIF(Счета,G529)&lt;&gt;1)),AND(S529&lt;&gt;0,COUNTIF(Docs[ID],J529)&lt;&gt;1),AND(Форма="ООО",C529="Вывод ИП"),AND(Форма="ИП",C529="Дивиденды"),AND(L529&lt;&gt;"Проведён",L529&lt;&gt;"Черновик")),"ОШИБКА","ОК"))</f>
        <v/>
      </c>
      <c r="W529" s="25" t="str">
        <f>IF(A529="","",SUMIF(Accounts[Счёт],F529,Accounts[Начальный])+SUMIFS($Q$7:Q529,$F$7:F529,F529)+SUMIFS($E$7:E529,$G$7:G529,F529,$C$7:C529,"Перевод",$L$7:L529,"Проведён"))</f>
        <v/>
      </c>
    </row>
    <row r="530" spans="1:23" x14ac:dyDescent="0.25">
      <c r="A530" s="22"/>
      <c r="B530" s="23"/>
      <c r="C530" s="22"/>
      <c r="D530" s="22"/>
      <c r="E530" s="27"/>
      <c r="F530" s="22"/>
      <c r="G530" s="22"/>
      <c r="H530" s="22"/>
      <c r="I530" s="22"/>
      <c r="J530" s="22"/>
      <c r="K530" s="22"/>
      <c r="L530" s="22"/>
      <c r="M530" s="22"/>
      <c r="N530" s="27"/>
      <c r="O530" s="22"/>
      <c r="P530" s="5" t="str">
        <f>IF(A530="","",IF(COUNTIF(Типы,C530)=0,0,VLOOKUP(C530,СПРАВОЧНИКИ!$A$7:$E$22,2,FALSE)))</f>
        <v/>
      </c>
      <c r="Q530" s="25" t="str">
        <f t="shared" si="8"/>
        <v/>
      </c>
      <c r="R530" s="5" t="str">
        <f>IF(A530="","",IF(COUNTIF(Типы,C530)=0,"НЕИЗВЕСТНЫЙ ТИП",VLOOKUP(C530,СПРАВОЧНИКИ!$A$7:$E$22,3,FALSE)))</f>
        <v/>
      </c>
      <c r="S530" s="26" t="str">
        <f>IF(A530="","",IF(L530="Проведён",E530*IF(COUNTIF(Типы,C530)=0,0,VLOOKUP(C530,СПРАВОЧНИКИ!$A$7:$E$22,4,FALSE)),0))</f>
        <v/>
      </c>
      <c r="T530" s="26" t="str">
        <f>IF(A530="","",IF(L530="Проведён",E530*IF(COUNTIF(Типы,C530)=0,0,VLOOKUP(C530,СПРАВОЧНИКИ!$A$7:$E$22,5,FALSE)),0))</f>
        <v/>
      </c>
      <c r="U530" s="5" t="str">
        <f>IF(A530="","",IF(COUNTIF(Контрагенты,H530)=0,"Не задан",VLOOKUP(H530,СПРАВОЧНИКИ!$G$7:$H$66,2,FALSE)))</f>
        <v/>
      </c>
      <c r="V530" s="4" t="str">
        <f>IF(A530="",IF(COUNTA(B530:O530)&gt;0,"НЕТ ID",""),IF(OR(AND(OR(C530="Оплата клиента",C530="Возврат клиенту"),COUNTIFS(Docs[ID],J530,Docs[Тип долга],"ДЗ")&lt;&gt;1),AND(OR(C530="Оплата поставщику",C530="Возврат поставщика"),COUNTIFS(Docs[ID],J530,Docs[Тип долга],"КЗ",Docs[Вид],"&lt;&gt;Дивиденды")&lt;&gt;1),AND(C530="Дивиденды",COUNTIFS(Docs[ID],J530,Docs[Вид],"Дивиденды")&lt;&gt;1),AND(C530="Проценты",COUNTIFS(Docs[ID],J530,Docs[Вид],"Проценты")&lt;&gt;1),COUNTIF(Cash[ID],A530)&gt;1,NOT(ISNUMBER(B530)),B530&lt;НачалоУчета,YEAR(B530)&lt;&gt;Год,NOT(ISNUMBER(E530)),E530&lt;=0,N530&lt;0,COUNTIF(Типы,C530)&lt;&gt;1,COUNTIF(Категории,D530)&lt;&gt;1,COUNTIF(Счета,F530)&lt;&gt;1,COUNTIF(Проекты,I530)&lt;&gt;1,AND(H530&lt;&gt;"",COUNTIF(Контрагенты,H530)&lt;&gt;1),AND(C530="Перевод",OR(F530=G530,COUNTIF(Счета,G530)&lt;&gt;1)),AND(S530&lt;&gt;0,COUNTIF(Docs[ID],J530)&lt;&gt;1),AND(Форма="ООО",C530="Вывод ИП"),AND(Форма="ИП",C530="Дивиденды"),AND(L530&lt;&gt;"Проведён",L530&lt;&gt;"Черновик")),"ОШИБКА","ОК"))</f>
        <v/>
      </c>
      <c r="W530" s="25" t="str">
        <f>IF(A530="","",SUMIF(Accounts[Счёт],F530,Accounts[Начальный])+SUMIFS($Q$7:Q530,$F$7:F530,F530)+SUMIFS($E$7:E530,$G$7:G530,F530,$C$7:C530,"Перевод",$L$7:L530,"Проведён"))</f>
        <v/>
      </c>
    </row>
    <row r="531" spans="1:23" x14ac:dyDescent="0.25">
      <c r="A531" s="22"/>
      <c r="B531" s="23"/>
      <c r="C531" s="22"/>
      <c r="D531" s="22"/>
      <c r="E531" s="27"/>
      <c r="F531" s="22"/>
      <c r="G531" s="22"/>
      <c r="H531" s="22"/>
      <c r="I531" s="22"/>
      <c r="J531" s="22"/>
      <c r="K531" s="22"/>
      <c r="L531" s="22"/>
      <c r="M531" s="22"/>
      <c r="N531" s="27"/>
      <c r="O531" s="22"/>
      <c r="P531" s="5" t="str">
        <f>IF(A531="","",IF(COUNTIF(Типы,C531)=0,0,VLOOKUP(C531,СПРАВОЧНИКИ!$A$7:$E$22,2,FALSE)))</f>
        <v/>
      </c>
      <c r="Q531" s="25" t="str">
        <f t="shared" si="8"/>
        <v/>
      </c>
      <c r="R531" s="5" t="str">
        <f>IF(A531="","",IF(COUNTIF(Типы,C531)=0,"НЕИЗВЕСТНЫЙ ТИП",VLOOKUP(C531,СПРАВОЧНИКИ!$A$7:$E$22,3,FALSE)))</f>
        <v/>
      </c>
      <c r="S531" s="26" t="str">
        <f>IF(A531="","",IF(L531="Проведён",E531*IF(COUNTIF(Типы,C531)=0,0,VLOOKUP(C531,СПРАВОЧНИКИ!$A$7:$E$22,4,FALSE)),0))</f>
        <v/>
      </c>
      <c r="T531" s="26" t="str">
        <f>IF(A531="","",IF(L531="Проведён",E531*IF(COUNTIF(Типы,C531)=0,0,VLOOKUP(C531,СПРАВОЧНИКИ!$A$7:$E$22,5,FALSE)),0))</f>
        <v/>
      </c>
      <c r="U531" s="5" t="str">
        <f>IF(A531="","",IF(COUNTIF(Контрагенты,H531)=0,"Не задан",VLOOKUP(H531,СПРАВОЧНИКИ!$G$7:$H$66,2,FALSE)))</f>
        <v/>
      </c>
      <c r="V531" s="4" t="str">
        <f>IF(A531="",IF(COUNTA(B531:O531)&gt;0,"НЕТ ID",""),IF(OR(AND(OR(C531="Оплата клиента",C531="Возврат клиенту"),COUNTIFS(Docs[ID],J531,Docs[Тип долга],"ДЗ")&lt;&gt;1),AND(OR(C531="Оплата поставщику",C531="Возврат поставщика"),COUNTIFS(Docs[ID],J531,Docs[Тип долга],"КЗ",Docs[Вид],"&lt;&gt;Дивиденды")&lt;&gt;1),AND(C531="Дивиденды",COUNTIFS(Docs[ID],J531,Docs[Вид],"Дивиденды")&lt;&gt;1),AND(C531="Проценты",COUNTIFS(Docs[ID],J531,Docs[Вид],"Проценты")&lt;&gt;1),COUNTIF(Cash[ID],A531)&gt;1,NOT(ISNUMBER(B531)),B531&lt;НачалоУчета,YEAR(B531)&lt;&gt;Год,NOT(ISNUMBER(E531)),E531&lt;=0,N531&lt;0,COUNTIF(Типы,C531)&lt;&gt;1,COUNTIF(Категории,D531)&lt;&gt;1,COUNTIF(Счета,F531)&lt;&gt;1,COUNTIF(Проекты,I531)&lt;&gt;1,AND(H531&lt;&gt;"",COUNTIF(Контрагенты,H531)&lt;&gt;1),AND(C531="Перевод",OR(F531=G531,COUNTIF(Счета,G531)&lt;&gt;1)),AND(S531&lt;&gt;0,COUNTIF(Docs[ID],J531)&lt;&gt;1),AND(Форма="ООО",C531="Вывод ИП"),AND(Форма="ИП",C531="Дивиденды"),AND(L531&lt;&gt;"Проведён",L531&lt;&gt;"Черновик")),"ОШИБКА","ОК"))</f>
        <v/>
      </c>
      <c r="W531" s="25" t="str">
        <f>IF(A531="","",SUMIF(Accounts[Счёт],F531,Accounts[Начальный])+SUMIFS($Q$7:Q531,$F$7:F531,F531)+SUMIFS($E$7:E531,$G$7:G531,F531,$C$7:C531,"Перевод",$L$7:L531,"Проведён"))</f>
        <v/>
      </c>
    </row>
    <row r="532" spans="1:23" x14ac:dyDescent="0.25">
      <c r="A532" s="22"/>
      <c r="B532" s="23"/>
      <c r="C532" s="22"/>
      <c r="D532" s="22"/>
      <c r="E532" s="27"/>
      <c r="F532" s="22"/>
      <c r="G532" s="22"/>
      <c r="H532" s="22"/>
      <c r="I532" s="22"/>
      <c r="J532" s="22"/>
      <c r="K532" s="22"/>
      <c r="L532" s="22"/>
      <c r="M532" s="22"/>
      <c r="N532" s="27"/>
      <c r="O532" s="22"/>
      <c r="P532" s="5" t="str">
        <f>IF(A532="","",IF(COUNTIF(Типы,C532)=0,0,VLOOKUP(C532,СПРАВОЧНИКИ!$A$7:$E$22,2,FALSE)))</f>
        <v/>
      </c>
      <c r="Q532" s="25" t="str">
        <f t="shared" si="8"/>
        <v/>
      </c>
      <c r="R532" s="5" t="str">
        <f>IF(A532="","",IF(COUNTIF(Типы,C532)=0,"НЕИЗВЕСТНЫЙ ТИП",VLOOKUP(C532,СПРАВОЧНИКИ!$A$7:$E$22,3,FALSE)))</f>
        <v/>
      </c>
      <c r="S532" s="26" t="str">
        <f>IF(A532="","",IF(L532="Проведён",E532*IF(COUNTIF(Типы,C532)=0,0,VLOOKUP(C532,СПРАВОЧНИКИ!$A$7:$E$22,4,FALSE)),0))</f>
        <v/>
      </c>
      <c r="T532" s="26" t="str">
        <f>IF(A532="","",IF(L532="Проведён",E532*IF(COUNTIF(Типы,C532)=0,0,VLOOKUP(C532,СПРАВОЧНИКИ!$A$7:$E$22,5,FALSE)),0))</f>
        <v/>
      </c>
      <c r="U532" s="5" t="str">
        <f>IF(A532="","",IF(COUNTIF(Контрагенты,H532)=0,"Не задан",VLOOKUP(H532,СПРАВОЧНИКИ!$G$7:$H$66,2,FALSE)))</f>
        <v/>
      </c>
      <c r="V532" s="4" t="str">
        <f>IF(A532="",IF(COUNTA(B532:O532)&gt;0,"НЕТ ID",""),IF(OR(AND(OR(C532="Оплата клиента",C532="Возврат клиенту"),COUNTIFS(Docs[ID],J532,Docs[Тип долга],"ДЗ")&lt;&gt;1),AND(OR(C532="Оплата поставщику",C532="Возврат поставщика"),COUNTIFS(Docs[ID],J532,Docs[Тип долга],"КЗ",Docs[Вид],"&lt;&gt;Дивиденды")&lt;&gt;1),AND(C532="Дивиденды",COUNTIFS(Docs[ID],J532,Docs[Вид],"Дивиденды")&lt;&gt;1),AND(C532="Проценты",COUNTIFS(Docs[ID],J532,Docs[Вид],"Проценты")&lt;&gt;1),COUNTIF(Cash[ID],A532)&gt;1,NOT(ISNUMBER(B532)),B532&lt;НачалоУчета,YEAR(B532)&lt;&gt;Год,NOT(ISNUMBER(E532)),E532&lt;=0,N532&lt;0,COUNTIF(Типы,C532)&lt;&gt;1,COUNTIF(Категории,D532)&lt;&gt;1,COUNTIF(Счета,F532)&lt;&gt;1,COUNTIF(Проекты,I532)&lt;&gt;1,AND(H532&lt;&gt;"",COUNTIF(Контрагенты,H532)&lt;&gt;1),AND(C532="Перевод",OR(F532=G532,COUNTIF(Счета,G532)&lt;&gt;1)),AND(S532&lt;&gt;0,COUNTIF(Docs[ID],J532)&lt;&gt;1),AND(Форма="ООО",C532="Вывод ИП"),AND(Форма="ИП",C532="Дивиденды"),AND(L532&lt;&gt;"Проведён",L532&lt;&gt;"Черновик")),"ОШИБКА","ОК"))</f>
        <v/>
      </c>
      <c r="W532" s="25" t="str">
        <f>IF(A532="","",SUMIF(Accounts[Счёт],F532,Accounts[Начальный])+SUMIFS($Q$7:Q532,$F$7:F532,F532)+SUMIFS($E$7:E532,$G$7:G532,F532,$C$7:C532,"Перевод",$L$7:L532,"Проведён"))</f>
        <v/>
      </c>
    </row>
    <row r="533" spans="1:23" x14ac:dyDescent="0.25">
      <c r="A533" s="22"/>
      <c r="B533" s="23"/>
      <c r="C533" s="22"/>
      <c r="D533" s="22"/>
      <c r="E533" s="27"/>
      <c r="F533" s="22"/>
      <c r="G533" s="22"/>
      <c r="H533" s="22"/>
      <c r="I533" s="22"/>
      <c r="J533" s="22"/>
      <c r="K533" s="22"/>
      <c r="L533" s="22"/>
      <c r="M533" s="22"/>
      <c r="N533" s="27"/>
      <c r="O533" s="22"/>
      <c r="P533" s="5" t="str">
        <f>IF(A533="","",IF(COUNTIF(Типы,C533)=0,0,VLOOKUP(C533,СПРАВОЧНИКИ!$A$7:$E$22,2,FALSE)))</f>
        <v/>
      </c>
      <c r="Q533" s="25" t="str">
        <f t="shared" si="8"/>
        <v/>
      </c>
      <c r="R533" s="5" t="str">
        <f>IF(A533="","",IF(COUNTIF(Типы,C533)=0,"НЕИЗВЕСТНЫЙ ТИП",VLOOKUP(C533,СПРАВОЧНИКИ!$A$7:$E$22,3,FALSE)))</f>
        <v/>
      </c>
      <c r="S533" s="26" t="str">
        <f>IF(A533="","",IF(L533="Проведён",E533*IF(COUNTIF(Типы,C533)=0,0,VLOOKUP(C533,СПРАВОЧНИКИ!$A$7:$E$22,4,FALSE)),0))</f>
        <v/>
      </c>
      <c r="T533" s="26" t="str">
        <f>IF(A533="","",IF(L533="Проведён",E533*IF(COUNTIF(Типы,C533)=0,0,VLOOKUP(C533,СПРАВОЧНИКИ!$A$7:$E$22,5,FALSE)),0))</f>
        <v/>
      </c>
      <c r="U533" s="5" t="str">
        <f>IF(A533="","",IF(COUNTIF(Контрагенты,H533)=0,"Не задан",VLOOKUP(H533,СПРАВОЧНИКИ!$G$7:$H$66,2,FALSE)))</f>
        <v/>
      </c>
      <c r="V533" s="4" t="str">
        <f>IF(A533="",IF(COUNTA(B533:O533)&gt;0,"НЕТ ID",""),IF(OR(AND(OR(C533="Оплата клиента",C533="Возврат клиенту"),COUNTIFS(Docs[ID],J533,Docs[Тип долга],"ДЗ")&lt;&gt;1),AND(OR(C533="Оплата поставщику",C533="Возврат поставщика"),COUNTIFS(Docs[ID],J533,Docs[Тип долга],"КЗ",Docs[Вид],"&lt;&gt;Дивиденды")&lt;&gt;1),AND(C533="Дивиденды",COUNTIFS(Docs[ID],J533,Docs[Вид],"Дивиденды")&lt;&gt;1),AND(C533="Проценты",COUNTIFS(Docs[ID],J533,Docs[Вид],"Проценты")&lt;&gt;1),COUNTIF(Cash[ID],A533)&gt;1,NOT(ISNUMBER(B533)),B533&lt;НачалоУчета,YEAR(B533)&lt;&gt;Год,NOT(ISNUMBER(E533)),E533&lt;=0,N533&lt;0,COUNTIF(Типы,C533)&lt;&gt;1,COUNTIF(Категории,D533)&lt;&gt;1,COUNTIF(Счета,F533)&lt;&gt;1,COUNTIF(Проекты,I533)&lt;&gt;1,AND(H533&lt;&gt;"",COUNTIF(Контрагенты,H533)&lt;&gt;1),AND(C533="Перевод",OR(F533=G533,COUNTIF(Счета,G533)&lt;&gt;1)),AND(S533&lt;&gt;0,COUNTIF(Docs[ID],J533)&lt;&gt;1),AND(Форма="ООО",C533="Вывод ИП"),AND(Форма="ИП",C533="Дивиденды"),AND(L533&lt;&gt;"Проведён",L533&lt;&gt;"Черновик")),"ОШИБКА","ОК"))</f>
        <v/>
      </c>
      <c r="W533" s="25" t="str">
        <f>IF(A533="","",SUMIF(Accounts[Счёт],F533,Accounts[Начальный])+SUMIFS($Q$7:Q533,$F$7:F533,F533)+SUMIFS($E$7:E533,$G$7:G533,F533,$C$7:C533,"Перевод",$L$7:L533,"Проведён"))</f>
        <v/>
      </c>
    </row>
    <row r="534" spans="1:23" x14ac:dyDescent="0.25">
      <c r="A534" s="22"/>
      <c r="B534" s="23"/>
      <c r="C534" s="22"/>
      <c r="D534" s="22"/>
      <c r="E534" s="27"/>
      <c r="F534" s="22"/>
      <c r="G534" s="22"/>
      <c r="H534" s="22"/>
      <c r="I534" s="22"/>
      <c r="J534" s="22"/>
      <c r="K534" s="22"/>
      <c r="L534" s="22"/>
      <c r="M534" s="22"/>
      <c r="N534" s="27"/>
      <c r="O534" s="22"/>
      <c r="P534" s="5" t="str">
        <f>IF(A534="","",IF(COUNTIF(Типы,C534)=0,0,VLOOKUP(C534,СПРАВОЧНИКИ!$A$7:$E$22,2,FALSE)))</f>
        <v/>
      </c>
      <c r="Q534" s="25" t="str">
        <f t="shared" si="8"/>
        <v/>
      </c>
      <c r="R534" s="5" t="str">
        <f>IF(A534="","",IF(COUNTIF(Типы,C534)=0,"НЕИЗВЕСТНЫЙ ТИП",VLOOKUP(C534,СПРАВОЧНИКИ!$A$7:$E$22,3,FALSE)))</f>
        <v/>
      </c>
      <c r="S534" s="26" t="str">
        <f>IF(A534="","",IF(L534="Проведён",E534*IF(COUNTIF(Типы,C534)=0,0,VLOOKUP(C534,СПРАВОЧНИКИ!$A$7:$E$22,4,FALSE)),0))</f>
        <v/>
      </c>
      <c r="T534" s="26" t="str">
        <f>IF(A534="","",IF(L534="Проведён",E534*IF(COUNTIF(Типы,C534)=0,0,VLOOKUP(C534,СПРАВОЧНИКИ!$A$7:$E$22,5,FALSE)),0))</f>
        <v/>
      </c>
      <c r="U534" s="5" t="str">
        <f>IF(A534="","",IF(COUNTIF(Контрагенты,H534)=0,"Не задан",VLOOKUP(H534,СПРАВОЧНИКИ!$G$7:$H$66,2,FALSE)))</f>
        <v/>
      </c>
      <c r="V534" s="4" t="str">
        <f>IF(A534="",IF(COUNTA(B534:O534)&gt;0,"НЕТ ID",""),IF(OR(AND(OR(C534="Оплата клиента",C534="Возврат клиенту"),COUNTIFS(Docs[ID],J534,Docs[Тип долга],"ДЗ")&lt;&gt;1),AND(OR(C534="Оплата поставщику",C534="Возврат поставщика"),COUNTIFS(Docs[ID],J534,Docs[Тип долга],"КЗ",Docs[Вид],"&lt;&gt;Дивиденды")&lt;&gt;1),AND(C534="Дивиденды",COUNTIFS(Docs[ID],J534,Docs[Вид],"Дивиденды")&lt;&gt;1),AND(C534="Проценты",COUNTIFS(Docs[ID],J534,Docs[Вид],"Проценты")&lt;&gt;1),COUNTIF(Cash[ID],A534)&gt;1,NOT(ISNUMBER(B534)),B534&lt;НачалоУчета,YEAR(B534)&lt;&gt;Год,NOT(ISNUMBER(E534)),E534&lt;=0,N534&lt;0,COUNTIF(Типы,C534)&lt;&gt;1,COUNTIF(Категории,D534)&lt;&gt;1,COUNTIF(Счета,F534)&lt;&gt;1,COUNTIF(Проекты,I534)&lt;&gt;1,AND(H534&lt;&gt;"",COUNTIF(Контрагенты,H534)&lt;&gt;1),AND(C534="Перевод",OR(F534=G534,COUNTIF(Счета,G534)&lt;&gt;1)),AND(S534&lt;&gt;0,COUNTIF(Docs[ID],J534)&lt;&gt;1),AND(Форма="ООО",C534="Вывод ИП"),AND(Форма="ИП",C534="Дивиденды"),AND(L534&lt;&gt;"Проведён",L534&lt;&gt;"Черновик")),"ОШИБКА","ОК"))</f>
        <v/>
      </c>
      <c r="W534" s="25" t="str">
        <f>IF(A534="","",SUMIF(Accounts[Счёт],F534,Accounts[Начальный])+SUMIFS($Q$7:Q534,$F$7:F534,F534)+SUMIFS($E$7:E534,$G$7:G534,F534,$C$7:C534,"Перевод",$L$7:L534,"Проведён"))</f>
        <v/>
      </c>
    </row>
    <row r="535" spans="1:23" x14ac:dyDescent="0.25">
      <c r="A535" s="22"/>
      <c r="B535" s="23"/>
      <c r="C535" s="22"/>
      <c r="D535" s="22"/>
      <c r="E535" s="27"/>
      <c r="F535" s="22"/>
      <c r="G535" s="22"/>
      <c r="H535" s="22"/>
      <c r="I535" s="22"/>
      <c r="J535" s="22"/>
      <c r="K535" s="22"/>
      <c r="L535" s="22"/>
      <c r="M535" s="22"/>
      <c r="N535" s="27"/>
      <c r="O535" s="22"/>
      <c r="P535" s="5" t="str">
        <f>IF(A535="","",IF(COUNTIF(Типы,C535)=0,0,VLOOKUP(C535,СПРАВОЧНИКИ!$A$7:$E$22,2,FALSE)))</f>
        <v/>
      </c>
      <c r="Q535" s="25" t="str">
        <f t="shared" si="8"/>
        <v/>
      </c>
      <c r="R535" s="5" t="str">
        <f>IF(A535="","",IF(COUNTIF(Типы,C535)=0,"НЕИЗВЕСТНЫЙ ТИП",VLOOKUP(C535,СПРАВОЧНИКИ!$A$7:$E$22,3,FALSE)))</f>
        <v/>
      </c>
      <c r="S535" s="26" t="str">
        <f>IF(A535="","",IF(L535="Проведён",E535*IF(COUNTIF(Типы,C535)=0,0,VLOOKUP(C535,СПРАВОЧНИКИ!$A$7:$E$22,4,FALSE)),0))</f>
        <v/>
      </c>
      <c r="T535" s="26" t="str">
        <f>IF(A535="","",IF(L535="Проведён",E535*IF(COUNTIF(Типы,C535)=0,0,VLOOKUP(C535,СПРАВОЧНИКИ!$A$7:$E$22,5,FALSE)),0))</f>
        <v/>
      </c>
      <c r="U535" s="5" t="str">
        <f>IF(A535="","",IF(COUNTIF(Контрагенты,H535)=0,"Не задан",VLOOKUP(H535,СПРАВОЧНИКИ!$G$7:$H$66,2,FALSE)))</f>
        <v/>
      </c>
      <c r="V535" s="4" t="str">
        <f>IF(A535="",IF(COUNTA(B535:O535)&gt;0,"НЕТ ID",""),IF(OR(AND(OR(C535="Оплата клиента",C535="Возврат клиенту"),COUNTIFS(Docs[ID],J535,Docs[Тип долга],"ДЗ")&lt;&gt;1),AND(OR(C535="Оплата поставщику",C535="Возврат поставщика"),COUNTIFS(Docs[ID],J535,Docs[Тип долга],"КЗ",Docs[Вид],"&lt;&gt;Дивиденды")&lt;&gt;1),AND(C535="Дивиденды",COUNTIFS(Docs[ID],J535,Docs[Вид],"Дивиденды")&lt;&gt;1),AND(C535="Проценты",COUNTIFS(Docs[ID],J535,Docs[Вид],"Проценты")&lt;&gt;1),COUNTIF(Cash[ID],A535)&gt;1,NOT(ISNUMBER(B535)),B535&lt;НачалоУчета,YEAR(B535)&lt;&gt;Год,NOT(ISNUMBER(E535)),E535&lt;=0,N535&lt;0,COUNTIF(Типы,C535)&lt;&gt;1,COUNTIF(Категории,D535)&lt;&gt;1,COUNTIF(Счета,F535)&lt;&gt;1,COUNTIF(Проекты,I535)&lt;&gt;1,AND(H535&lt;&gt;"",COUNTIF(Контрагенты,H535)&lt;&gt;1),AND(C535="Перевод",OR(F535=G535,COUNTIF(Счета,G535)&lt;&gt;1)),AND(S535&lt;&gt;0,COUNTIF(Docs[ID],J535)&lt;&gt;1),AND(Форма="ООО",C535="Вывод ИП"),AND(Форма="ИП",C535="Дивиденды"),AND(L535&lt;&gt;"Проведён",L535&lt;&gt;"Черновик")),"ОШИБКА","ОК"))</f>
        <v/>
      </c>
      <c r="W535" s="25" t="str">
        <f>IF(A535="","",SUMIF(Accounts[Счёт],F535,Accounts[Начальный])+SUMIFS($Q$7:Q535,$F$7:F535,F535)+SUMIFS($E$7:E535,$G$7:G535,F535,$C$7:C535,"Перевод",$L$7:L535,"Проведён"))</f>
        <v/>
      </c>
    </row>
    <row r="536" spans="1:23" x14ac:dyDescent="0.25">
      <c r="A536" s="22"/>
      <c r="B536" s="23"/>
      <c r="C536" s="22"/>
      <c r="D536" s="22"/>
      <c r="E536" s="27"/>
      <c r="F536" s="22"/>
      <c r="G536" s="22"/>
      <c r="H536" s="22"/>
      <c r="I536" s="22"/>
      <c r="J536" s="22"/>
      <c r="K536" s="22"/>
      <c r="L536" s="22"/>
      <c r="M536" s="22"/>
      <c r="N536" s="27"/>
      <c r="O536" s="22"/>
      <c r="P536" s="5" t="str">
        <f>IF(A536="","",IF(COUNTIF(Типы,C536)=0,0,VLOOKUP(C536,СПРАВОЧНИКИ!$A$7:$E$22,2,FALSE)))</f>
        <v/>
      </c>
      <c r="Q536" s="25" t="str">
        <f t="shared" si="8"/>
        <v/>
      </c>
      <c r="R536" s="5" t="str">
        <f>IF(A536="","",IF(COUNTIF(Типы,C536)=0,"НЕИЗВЕСТНЫЙ ТИП",VLOOKUP(C536,СПРАВОЧНИКИ!$A$7:$E$22,3,FALSE)))</f>
        <v/>
      </c>
      <c r="S536" s="26" t="str">
        <f>IF(A536="","",IF(L536="Проведён",E536*IF(COUNTIF(Типы,C536)=0,0,VLOOKUP(C536,СПРАВОЧНИКИ!$A$7:$E$22,4,FALSE)),0))</f>
        <v/>
      </c>
      <c r="T536" s="26" t="str">
        <f>IF(A536="","",IF(L536="Проведён",E536*IF(COUNTIF(Типы,C536)=0,0,VLOOKUP(C536,СПРАВОЧНИКИ!$A$7:$E$22,5,FALSE)),0))</f>
        <v/>
      </c>
      <c r="U536" s="5" t="str">
        <f>IF(A536="","",IF(COUNTIF(Контрагенты,H536)=0,"Не задан",VLOOKUP(H536,СПРАВОЧНИКИ!$G$7:$H$66,2,FALSE)))</f>
        <v/>
      </c>
      <c r="V536" s="4" t="str">
        <f>IF(A536="",IF(COUNTA(B536:O536)&gt;0,"НЕТ ID",""),IF(OR(AND(OR(C536="Оплата клиента",C536="Возврат клиенту"),COUNTIFS(Docs[ID],J536,Docs[Тип долга],"ДЗ")&lt;&gt;1),AND(OR(C536="Оплата поставщику",C536="Возврат поставщика"),COUNTIFS(Docs[ID],J536,Docs[Тип долга],"КЗ",Docs[Вид],"&lt;&gt;Дивиденды")&lt;&gt;1),AND(C536="Дивиденды",COUNTIFS(Docs[ID],J536,Docs[Вид],"Дивиденды")&lt;&gt;1),AND(C536="Проценты",COUNTIFS(Docs[ID],J536,Docs[Вид],"Проценты")&lt;&gt;1),COUNTIF(Cash[ID],A536)&gt;1,NOT(ISNUMBER(B536)),B536&lt;НачалоУчета,YEAR(B536)&lt;&gt;Год,NOT(ISNUMBER(E536)),E536&lt;=0,N536&lt;0,COUNTIF(Типы,C536)&lt;&gt;1,COUNTIF(Категории,D536)&lt;&gt;1,COUNTIF(Счета,F536)&lt;&gt;1,COUNTIF(Проекты,I536)&lt;&gt;1,AND(H536&lt;&gt;"",COUNTIF(Контрагенты,H536)&lt;&gt;1),AND(C536="Перевод",OR(F536=G536,COUNTIF(Счета,G536)&lt;&gt;1)),AND(S536&lt;&gt;0,COUNTIF(Docs[ID],J536)&lt;&gt;1),AND(Форма="ООО",C536="Вывод ИП"),AND(Форма="ИП",C536="Дивиденды"),AND(L536&lt;&gt;"Проведён",L536&lt;&gt;"Черновик")),"ОШИБКА","ОК"))</f>
        <v/>
      </c>
      <c r="W536" s="25" t="str">
        <f>IF(A536="","",SUMIF(Accounts[Счёт],F536,Accounts[Начальный])+SUMIFS($Q$7:Q536,$F$7:F536,F536)+SUMIFS($E$7:E536,$G$7:G536,F536,$C$7:C536,"Перевод",$L$7:L536,"Проведён"))</f>
        <v/>
      </c>
    </row>
    <row r="537" spans="1:23" x14ac:dyDescent="0.25">
      <c r="A537" s="22"/>
      <c r="B537" s="23"/>
      <c r="C537" s="22"/>
      <c r="D537" s="22"/>
      <c r="E537" s="27"/>
      <c r="F537" s="22"/>
      <c r="G537" s="22"/>
      <c r="H537" s="22"/>
      <c r="I537" s="22"/>
      <c r="J537" s="22"/>
      <c r="K537" s="22"/>
      <c r="L537" s="22"/>
      <c r="M537" s="22"/>
      <c r="N537" s="27"/>
      <c r="O537" s="22"/>
      <c r="P537" s="5" t="str">
        <f>IF(A537="","",IF(COUNTIF(Типы,C537)=0,0,VLOOKUP(C537,СПРАВОЧНИКИ!$A$7:$E$22,2,FALSE)))</f>
        <v/>
      </c>
      <c r="Q537" s="25" t="str">
        <f t="shared" si="8"/>
        <v/>
      </c>
      <c r="R537" s="5" t="str">
        <f>IF(A537="","",IF(COUNTIF(Типы,C537)=0,"НЕИЗВЕСТНЫЙ ТИП",VLOOKUP(C537,СПРАВОЧНИКИ!$A$7:$E$22,3,FALSE)))</f>
        <v/>
      </c>
      <c r="S537" s="26" t="str">
        <f>IF(A537="","",IF(L537="Проведён",E537*IF(COUNTIF(Типы,C537)=0,0,VLOOKUP(C537,СПРАВОЧНИКИ!$A$7:$E$22,4,FALSE)),0))</f>
        <v/>
      </c>
      <c r="T537" s="26" t="str">
        <f>IF(A537="","",IF(L537="Проведён",E537*IF(COUNTIF(Типы,C537)=0,0,VLOOKUP(C537,СПРАВОЧНИКИ!$A$7:$E$22,5,FALSE)),0))</f>
        <v/>
      </c>
      <c r="U537" s="5" t="str">
        <f>IF(A537="","",IF(COUNTIF(Контрагенты,H537)=0,"Не задан",VLOOKUP(H537,СПРАВОЧНИКИ!$G$7:$H$66,2,FALSE)))</f>
        <v/>
      </c>
      <c r="V537" s="4" t="str">
        <f>IF(A537="",IF(COUNTA(B537:O537)&gt;0,"НЕТ ID",""),IF(OR(AND(OR(C537="Оплата клиента",C537="Возврат клиенту"),COUNTIFS(Docs[ID],J537,Docs[Тип долга],"ДЗ")&lt;&gt;1),AND(OR(C537="Оплата поставщику",C537="Возврат поставщика"),COUNTIFS(Docs[ID],J537,Docs[Тип долга],"КЗ",Docs[Вид],"&lt;&gt;Дивиденды")&lt;&gt;1),AND(C537="Дивиденды",COUNTIFS(Docs[ID],J537,Docs[Вид],"Дивиденды")&lt;&gt;1),AND(C537="Проценты",COUNTIFS(Docs[ID],J537,Docs[Вид],"Проценты")&lt;&gt;1),COUNTIF(Cash[ID],A537)&gt;1,NOT(ISNUMBER(B537)),B537&lt;НачалоУчета,YEAR(B537)&lt;&gt;Год,NOT(ISNUMBER(E537)),E537&lt;=0,N537&lt;0,COUNTIF(Типы,C537)&lt;&gt;1,COUNTIF(Категории,D537)&lt;&gt;1,COUNTIF(Счета,F537)&lt;&gt;1,COUNTIF(Проекты,I537)&lt;&gt;1,AND(H537&lt;&gt;"",COUNTIF(Контрагенты,H537)&lt;&gt;1),AND(C537="Перевод",OR(F537=G537,COUNTIF(Счета,G537)&lt;&gt;1)),AND(S537&lt;&gt;0,COUNTIF(Docs[ID],J537)&lt;&gt;1),AND(Форма="ООО",C537="Вывод ИП"),AND(Форма="ИП",C537="Дивиденды"),AND(L537&lt;&gt;"Проведён",L537&lt;&gt;"Черновик")),"ОШИБКА","ОК"))</f>
        <v/>
      </c>
      <c r="W537" s="25" t="str">
        <f>IF(A537="","",SUMIF(Accounts[Счёт],F537,Accounts[Начальный])+SUMIFS($Q$7:Q537,$F$7:F537,F537)+SUMIFS($E$7:E537,$G$7:G537,F537,$C$7:C537,"Перевод",$L$7:L537,"Проведён"))</f>
        <v/>
      </c>
    </row>
    <row r="538" spans="1:23" x14ac:dyDescent="0.25">
      <c r="A538" s="22"/>
      <c r="B538" s="23"/>
      <c r="C538" s="22"/>
      <c r="D538" s="22"/>
      <c r="E538" s="27"/>
      <c r="F538" s="22"/>
      <c r="G538" s="22"/>
      <c r="H538" s="22"/>
      <c r="I538" s="22"/>
      <c r="J538" s="22"/>
      <c r="K538" s="22"/>
      <c r="L538" s="22"/>
      <c r="M538" s="22"/>
      <c r="N538" s="27"/>
      <c r="O538" s="22"/>
      <c r="P538" s="5" t="str">
        <f>IF(A538="","",IF(COUNTIF(Типы,C538)=0,0,VLOOKUP(C538,СПРАВОЧНИКИ!$A$7:$E$22,2,FALSE)))</f>
        <v/>
      </c>
      <c r="Q538" s="25" t="str">
        <f t="shared" si="8"/>
        <v/>
      </c>
      <c r="R538" s="5" t="str">
        <f>IF(A538="","",IF(COUNTIF(Типы,C538)=0,"НЕИЗВЕСТНЫЙ ТИП",VLOOKUP(C538,СПРАВОЧНИКИ!$A$7:$E$22,3,FALSE)))</f>
        <v/>
      </c>
      <c r="S538" s="26" t="str">
        <f>IF(A538="","",IF(L538="Проведён",E538*IF(COUNTIF(Типы,C538)=0,0,VLOOKUP(C538,СПРАВОЧНИКИ!$A$7:$E$22,4,FALSE)),0))</f>
        <v/>
      </c>
      <c r="T538" s="26" t="str">
        <f>IF(A538="","",IF(L538="Проведён",E538*IF(COUNTIF(Типы,C538)=0,0,VLOOKUP(C538,СПРАВОЧНИКИ!$A$7:$E$22,5,FALSE)),0))</f>
        <v/>
      </c>
      <c r="U538" s="5" t="str">
        <f>IF(A538="","",IF(COUNTIF(Контрагенты,H538)=0,"Не задан",VLOOKUP(H538,СПРАВОЧНИКИ!$G$7:$H$66,2,FALSE)))</f>
        <v/>
      </c>
      <c r="V538" s="4" t="str">
        <f>IF(A538="",IF(COUNTA(B538:O538)&gt;0,"НЕТ ID",""),IF(OR(AND(OR(C538="Оплата клиента",C538="Возврат клиенту"),COUNTIFS(Docs[ID],J538,Docs[Тип долга],"ДЗ")&lt;&gt;1),AND(OR(C538="Оплата поставщику",C538="Возврат поставщика"),COUNTIFS(Docs[ID],J538,Docs[Тип долга],"КЗ",Docs[Вид],"&lt;&gt;Дивиденды")&lt;&gt;1),AND(C538="Дивиденды",COUNTIFS(Docs[ID],J538,Docs[Вид],"Дивиденды")&lt;&gt;1),AND(C538="Проценты",COUNTIFS(Docs[ID],J538,Docs[Вид],"Проценты")&lt;&gt;1),COUNTIF(Cash[ID],A538)&gt;1,NOT(ISNUMBER(B538)),B538&lt;НачалоУчета,YEAR(B538)&lt;&gt;Год,NOT(ISNUMBER(E538)),E538&lt;=0,N538&lt;0,COUNTIF(Типы,C538)&lt;&gt;1,COUNTIF(Категории,D538)&lt;&gt;1,COUNTIF(Счета,F538)&lt;&gt;1,COUNTIF(Проекты,I538)&lt;&gt;1,AND(H538&lt;&gt;"",COUNTIF(Контрагенты,H538)&lt;&gt;1),AND(C538="Перевод",OR(F538=G538,COUNTIF(Счета,G538)&lt;&gt;1)),AND(S538&lt;&gt;0,COUNTIF(Docs[ID],J538)&lt;&gt;1),AND(Форма="ООО",C538="Вывод ИП"),AND(Форма="ИП",C538="Дивиденды"),AND(L538&lt;&gt;"Проведён",L538&lt;&gt;"Черновик")),"ОШИБКА","ОК"))</f>
        <v/>
      </c>
      <c r="W538" s="25" t="str">
        <f>IF(A538="","",SUMIF(Accounts[Счёт],F538,Accounts[Начальный])+SUMIFS($Q$7:Q538,$F$7:F538,F538)+SUMIFS($E$7:E538,$G$7:G538,F538,$C$7:C538,"Перевод",$L$7:L538,"Проведён"))</f>
        <v/>
      </c>
    </row>
    <row r="539" spans="1:23" x14ac:dyDescent="0.25">
      <c r="A539" s="22"/>
      <c r="B539" s="23"/>
      <c r="C539" s="22"/>
      <c r="D539" s="22"/>
      <c r="E539" s="27"/>
      <c r="F539" s="22"/>
      <c r="G539" s="22"/>
      <c r="H539" s="22"/>
      <c r="I539" s="22"/>
      <c r="J539" s="22"/>
      <c r="K539" s="22"/>
      <c r="L539" s="22"/>
      <c r="M539" s="22"/>
      <c r="N539" s="27"/>
      <c r="O539" s="22"/>
      <c r="P539" s="5" t="str">
        <f>IF(A539="","",IF(COUNTIF(Типы,C539)=0,0,VLOOKUP(C539,СПРАВОЧНИКИ!$A$7:$E$22,2,FALSE)))</f>
        <v/>
      </c>
      <c r="Q539" s="25" t="str">
        <f t="shared" si="8"/>
        <v/>
      </c>
      <c r="R539" s="5" t="str">
        <f>IF(A539="","",IF(COUNTIF(Типы,C539)=0,"НЕИЗВЕСТНЫЙ ТИП",VLOOKUP(C539,СПРАВОЧНИКИ!$A$7:$E$22,3,FALSE)))</f>
        <v/>
      </c>
      <c r="S539" s="26" t="str">
        <f>IF(A539="","",IF(L539="Проведён",E539*IF(COUNTIF(Типы,C539)=0,0,VLOOKUP(C539,СПРАВОЧНИКИ!$A$7:$E$22,4,FALSE)),0))</f>
        <v/>
      </c>
      <c r="T539" s="26" t="str">
        <f>IF(A539="","",IF(L539="Проведён",E539*IF(COUNTIF(Типы,C539)=0,0,VLOOKUP(C539,СПРАВОЧНИКИ!$A$7:$E$22,5,FALSE)),0))</f>
        <v/>
      </c>
      <c r="U539" s="5" t="str">
        <f>IF(A539="","",IF(COUNTIF(Контрагенты,H539)=0,"Не задан",VLOOKUP(H539,СПРАВОЧНИКИ!$G$7:$H$66,2,FALSE)))</f>
        <v/>
      </c>
      <c r="V539" s="4" t="str">
        <f>IF(A539="",IF(COUNTA(B539:O539)&gt;0,"НЕТ ID",""),IF(OR(AND(OR(C539="Оплата клиента",C539="Возврат клиенту"),COUNTIFS(Docs[ID],J539,Docs[Тип долга],"ДЗ")&lt;&gt;1),AND(OR(C539="Оплата поставщику",C539="Возврат поставщика"),COUNTIFS(Docs[ID],J539,Docs[Тип долга],"КЗ",Docs[Вид],"&lt;&gt;Дивиденды")&lt;&gt;1),AND(C539="Дивиденды",COUNTIFS(Docs[ID],J539,Docs[Вид],"Дивиденды")&lt;&gt;1),AND(C539="Проценты",COUNTIFS(Docs[ID],J539,Docs[Вид],"Проценты")&lt;&gt;1),COUNTIF(Cash[ID],A539)&gt;1,NOT(ISNUMBER(B539)),B539&lt;НачалоУчета,YEAR(B539)&lt;&gt;Год,NOT(ISNUMBER(E539)),E539&lt;=0,N539&lt;0,COUNTIF(Типы,C539)&lt;&gt;1,COUNTIF(Категории,D539)&lt;&gt;1,COUNTIF(Счета,F539)&lt;&gt;1,COUNTIF(Проекты,I539)&lt;&gt;1,AND(H539&lt;&gt;"",COUNTIF(Контрагенты,H539)&lt;&gt;1),AND(C539="Перевод",OR(F539=G539,COUNTIF(Счета,G539)&lt;&gt;1)),AND(S539&lt;&gt;0,COUNTIF(Docs[ID],J539)&lt;&gt;1),AND(Форма="ООО",C539="Вывод ИП"),AND(Форма="ИП",C539="Дивиденды"),AND(L539&lt;&gt;"Проведён",L539&lt;&gt;"Черновик")),"ОШИБКА","ОК"))</f>
        <v/>
      </c>
      <c r="W539" s="25" t="str">
        <f>IF(A539="","",SUMIF(Accounts[Счёт],F539,Accounts[Начальный])+SUMIFS($Q$7:Q539,$F$7:F539,F539)+SUMIFS($E$7:E539,$G$7:G539,F539,$C$7:C539,"Перевод",$L$7:L539,"Проведён"))</f>
        <v/>
      </c>
    </row>
    <row r="540" spans="1:23" x14ac:dyDescent="0.25">
      <c r="A540" s="22"/>
      <c r="B540" s="23"/>
      <c r="C540" s="22"/>
      <c r="D540" s="22"/>
      <c r="E540" s="27"/>
      <c r="F540" s="22"/>
      <c r="G540" s="22"/>
      <c r="H540" s="22"/>
      <c r="I540" s="22"/>
      <c r="J540" s="22"/>
      <c r="K540" s="22"/>
      <c r="L540" s="22"/>
      <c r="M540" s="22"/>
      <c r="N540" s="27"/>
      <c r="O540" s="22"/>
      <c r="P540" s="5" t="str">
        <f>IF(A540="","",IF(COUNTIF(Типы,C540)=0,0,VLOOKUP(C540,СПРАВОЧНИКИ!$A$7:$E$22,2,FALSE)))</f>
        <v/>
      </c>
      <c r="Q540" s="25" t="str">
        <f t="shared" si="8"/>
        <v/>
      </c>
      <c r="R540" s="5" t="str">
        <f>IF(A540="","",IF(COUNTIF(Типы,C540)=0,"НЕИЗВЕСТНЫЙ ТИП",VLOOKUP(C540,СПРАВОЧНИКИ!$A$7:$E$22,3,FALSE)))</f>
        <v/>
      </c>
      <c r="S540" s="26" t="str">
        <f>IF(A540="","",IF(L540="Проведён",E540*IF(COUNTIF(Типы,C540)=0,0,VLOOKUP(C540,СПРАВОЧНИКИ!$A$7:$E$22,4,FALSE)),0))</f>
        <v/>
      </c>
      <c r="T540" s="26" t="str">
        <f>IF(A540="","",IF(L540="Проведён",E540*IF(COUNTIF(Типы,C540)=0,0,VLOOKUP(C540,СПРАВОЧНИКИ!$A$7:$E$22,5,FALSE)),0))</f>
        <v/>
      </c>
      <c r="U540" s="5" t="str">
        <f>IF(A540="","",IF(COUNTIF(Контрагенты,H540)=0,"Не задан",VLOOKUP(H540,СПРАВОЧНИКИ!$G$7:$H$66,2,FALSE)))</f>
        <v/>
      </c>
      <c r="V540" s="4" t="str">
        <f>IF(A540="",IF(COUNTA(B540:O540)&gt;0,"НЕТ ID",""),IF(OR(AND(OR(C540="Оплата клиента",C540="Возврат клиенту"),COUNTIFS(Docs[ID],J540,Docs[Тип долга],"ДЗ")&lt;&gt;1),AND(OR(C540="Оплата поставщику",C540="Возврат поставщика"),COUNTIFS(Docs[ID],J540,Docs[Тип долга],"КЗ",Docs[Вид],"&lt;&gt;Дивиденды")&lt;&gt;1),AND(C540="Дивиденды",COUNTIFS(Docs[ID],J540,Docs[Вид],"Дивиденды")&lt;&gt;1),AND(C540="Проценты",COUNTIFS(Docs[ID],J540,Docs[Вид],"Проценты")&lt;&gt;1),COUNTIF(Cash[ID],A540)&gt;1,NOT(ISNUMBER(B540)),B540&lt;НачалоУчета,YEAR(B540)&lt;&gt;Год,NOT(ISNUMBER(E540)),E540&lt;=0,N540&lt;0,COUNTIF(Типы,C540)&lt;&gt;1,COUNTIF(Категории,D540)&lt;&gt;1,COUNTIF(Счета,F540)&lt;&gt;1,COUNTIF(Проекты,I540)&lt;&gt;1,AND(H540&lt;&gt;"",COUNTIF(Контрагенты,H540)&lt;&gt;1),AND(C540="Перевод",OR(F540=G540,COUNTIF(Счета,G540)&lt;&gt;1)),AND(S540&lt;&gt;0,COUNTIF(Docs[ID],J540)&lt;&gt;1),AND(Форма="ООО",C540="Вывод ИП"),AND(Форма="ИП",C540="Дивиденды"),AND(L540&lt;&gt;"Проведён",L540&lt;&gt;"Черновик")),"ОШИБКА","ОК"))</f>
        <v/>
      </c>
      <c r="W540" s="25" t="str">
        <f>IF(A540="","",SUMIF(Accounts[Счёт],F540,Accounts[Начальный])+SUMIFS($Q$7:Q540,$F$7:F540,F540)+SUMIFS($E$7:E540,$G$7:G540,F540,$C$7:C540,"Перевод",$L$7:L540,"Проведён"))</f>
        <v/>
      </c>
    </row>
    <row r="541" spans="1:23" x14ac:dyDescent="0.25">
      <c r="A541" s="22"/>
      <c r="B541" s="23"/>
      <c r="C541" s="22"/>
      <c r="D541" s="22"/>
      <c r="E541" s="27"/>
      <c r="F541" s="22"/>
      <c r="G541" s="22"/>
      <c r="H541" s="22"/>
      <c r="I541" s="22"/>
      <c r="J541" s="22"/>
      <c r="K541" s="22"/>
      <c r="L541" s="22"/>
      <c r="M541" s="22"/>
      <c r="N541" s="27"/>
      <c r="O541" s="22"/>
      <c r="P541" s="5" t="str">
        <f>IF(A541="","",IF(COUNTIF(Типы,C541)=0,0,VLOOKUP(C541,СПРАВОЧНИКИ!$A$7:$E$22,2,FALSE)))</f>
        <v/>
      </c>
      <c r="Q541" s="25" t="str">
        <f t="shared" si="8"/>
        <v/>
      </c>
      <c r="R541" s="5" t="str">
        <f>IF(A541="","",IF(COUNTIF(Типы,C541)=0,"НЕИЗВЕСТНЫЙ ТИП",VLOOKUP(C541,СПРАВОЧНИКИ!$A$7:$E$22,3,FALSE)))</f>
        <v/>
      </c>
      <c r="S541" s="26" t="str">
        <f>IF(A541="","",IF(L541="Проведён",E541*IF(COUNTIF(Типы,C541)=0,0,VLOOKUP(C541,СПРАВОЧНИКИ!$A$7:$E$22,4,FALSE)),0))</f>
        <v/>
      </c>
      <c r="T541" s="26" t="str">
        <f>IF(A541="","",IF(L541="Проведён",E541*IF(COUNTIF(Типы,C541)=0,0,VLOOKUP(C541,СПРАВОЧНИКИ!$A$7:$E$22,5,FALSE)),0))</f>
        <v/>
      </c>
      <c r="U541" s="5" t="str">
        <f>IF(A541="","",IF(COUNTIF(Контрагенты,H541)=0,"Не задан",VLOOKUP(H541,СПРАВОЧНИКИ!$G$7:$H$66,2,FALSE)))</f>
        <v/>
      </c>
      <c r="V541" s="4" t="str">
        <f>IF(A541="",IF(COUNTA(B541:O541)&gt;0,"НЕТ ID",""),IF(OR(AND(OR(C541="Оплата клиента",C541="Возврат клиенту"),COUNTIFS(Docs[ID],J541,Docs[Тип долга],"ДЗ")&lt;&gt;1),AND(OR(C541="Оплата поставщику",C541="Возврат поставщика"),COUNTIFS(Docs[ID],J541,Docs[Тип долга],"КЗ",Docs[Вид],"&lt;&gt;Дивиденды")&lt;&gt;1),AND(C541="Дивиденды",COUNTIFS(Docs[ID],J541,Docs[Вид],"Дивиденды")&lt;&gt;1),AND(C541="Проценты",COUNTIFS(Docs[ID],J541,Docs[Вид],"Проценты")&lt;&gt;1),COUNTIF(Cash[ID],A541)&gt;1,NOT(ISNUMBER(B541)),B541&lt;НачалоУчета,YEAR(B541)&lt;&gt;Год,NOT(ISNUMBER(E541)),E541&lt;=0,N541&lt;0,COUNTIF(Типы,C541)&lt;&gt;1,COUNTIF(Категории,D541)&lt;&gt;1,COUNTIF(Счета,F541)&lt;&gt;1,COUNTIF(Проекты,I541)&lt;&gt;1,AND(H541&lt;&gt;"",COUNTIF(Контрагенты,H541)&lt;&gt;1),AND(C541="Перевод",OR(F541=G541,COUNTIF(Счета,G541)&lt;&gt;1)),AND(S541&lt;&gt;0,COUNTIF(Docs[ID],J541)&lt;&gt;1),AND(Форма="ООО",C541="Вывод ИП"),AND(Форма="ИП",C541="Дивиденды"),AND(L541&lt;&gt;"Проведён",L541&lt;&gt;"Черновик")),"ОШИБКА","ОК"))</f>
        <v/>
      </c>
      <c r="W541" s="25" t="str">
        <f>IF(A541="","",SUMIF(Accounts[Счёт],F541,Accounts[Начальный])+SUMIFS($Q$7:Q541,$F$7:F541,F541)+SUMIFS($E$7:E541,$G$7:G541,F541,$C$7:C541,"Перевод",$L$7:L541,"Проведён"))</f>
        <v/>
      </c>
    </row>
    <row r="542" spans="1:23" x14ac:dyDescent="0.25">
      <c r="A542" s="22"/>
      <c r="B542" s="23"/>
      <c r="C542" s="22"/>
      <c r="D542" s="22"/>
      <c r="E542" s="27"/>
      <c r="F542" s="22"/>
      <c r="G542" s="22"/>
      <c r="H542" s="22"/>
      <c r="I542" s="22"/>
      <c r="J542" s="22"/>
      <c r="K542" s="22"/>
      <c r="L542" s="22"/>
      <c r="M542" s="22"/>
      <c r="N542" s="27"/>
      <c r="O542" s="22"/>
      <c r="P542" s="5" t="str">
        <f>IF(A542="","",IF(COUNTIF(Типы,C542)=0,0,VLOOKUP(C542,СПРАВОЧНИКИ!$A$7:$E$22,2,FALSE)))</f>
        <v/>
      </c>
      <c r="Q542" s="25" t="str">
        <f t="shared" si="8"/>
        <v/>
      </c>
      <c r="R542" s="5" t="str">
        <f>IF(A542="","",IF(COUNTIF(Типы,C542)=0,"НЕИЗВЕСТНЫЙ ТИП",VLOOKUP(C542,СПРАВОЧНИКИ!$A$7:$E$22,3,FALSE)))</f>
        <v/>
      </c>
      <c r="S542" s="26" t="str">
        <f>IF(A542="","",IF(L542="Проведён",E542*IF(COUNTIF(Типы,C542)=0,0,VLOOKUP(C542,СПРАВОЧНИКИ!$A$7:$E$22,4,FALSE)),0))</f>
        <v/>
      </c>
      <c r="T542" s="26" t="str">
        <f>IF(A542="","",IF(L542="Проведён",E542*IF(COUNTIF(Типы,C542)=0,0,VLOOKUP(C542,СПРАВОЧНИКИ!$A$7:$E$22,5,FALSE)),0))</f>
        <v/>
      </c>
      <c r="U542" s="5" t="str">
        <f>IF(A542="","",IF(COUNTIF(Контрагенты,H542)=0,"Не задан",VLOOKUP(H542,СПРАВОЧНИКИ!$G$7:$H$66,2,FALSE)))</f>
        <v/>
      </c>
      <c r="V542" s="4" t="str">
        <f>IF(A542="",IF(COUNTA(B542:O542)&gt;0,"НЕТ ID",""),IF(OR(AND(OR(C542="Оплата клиента",C542="Возврат клиенту"),COUNTIFS(Docs[ID],J542,Docs[Тип долга],"ДЗ")&lt;&gt;1),AND(OR(C542="Оплата поставщику",C542="Возврат поставщика"),COUNTIFS(Docs[ID],J542,Docs[Тип долга],"КЗ",Docs[Вид],"&lt;&gt;Дивиденды")&lt;&gt;1),AND(C542="Дивиденды",COUNTIFS(Docs[ID],J542,Docs[Вид],"Дивиденды")&lt;&gt;1),AND(C542="Проценты",COUNTIFS(Docs[ID],J542,Docs[Вид],"Проценты")&lt;&gt;1),COUNTIF(Cash[ID],A542)&gt;1,NOT(ISNUMBER(B542)),B542&lt;НачалоУчета,YEAR(B542)&lt;&gt;Год,NOT(ISNUMBER(E542)),E542&lt;=0,N542&lt;0,COUNTIF(Типы,C542)&lt;&gt;1,COUNTIF(Категории,D542)&lt;&gt;1,COUNTIF(Счета,F542)&lt;&gt;1,COUNTIF(Проекты,I542)&lt;&gt;1,AND(H542&lt;&gt;"",COUNTIF(Контрагенты,H542)&lt;&gt;1),AND(C542="Перевод",OR(F542=G542,COUNTIF(Счета,G542)&lt;&gt;1)),AND(S542&lt;&gt;0,COUNTIF(Docs[ID],J542)&lt;&gt;1),AND(Форма="ООО",C542="Вывод ИП"),AND(Форма="ИП",C542="Дивиденды"),AND(L542&lt;&gt;"Проведён",L542&lt;&gt;"Черновик")),"ОШИБКА","ОК"))</f>
        <v/>
      </c>
      <c r="W542" s="25" t="str">
        <f>IF(A542="","",SUMIF(Accounts[Счёт],F542,Accounts[Начальный])+SUMIFS($Q$7:Q542,$F$7:F542,F542)+SUMIFS($E$7:E542,$G$7:G542,F542,$C$7:C542,"Перевод",$L$7:L542,"Проведён"))</f>
        <v/>
      </c>
    </row>
    <row r="543" spans="1:23" x14ac:dyDescent="0.25">
      <c r="A543" s="22"/>
      <c r="B543" s="23"/>
      <c r="C543" s="22"/>
      <c r="D543" s="22"/>
      <c r="E543" s="27"/>
      <c r="F543" s="22"/>
      <c r="G543" s="22"/>
      <c r="H543" s="22"/>
      <c r="I543" s="22"/>
      <c r="J543" s="22"/>
      <c r="K543" s="22"/>
      <c r="L543" s="22"/>
      <c r="M543" s="22"/>
      <c r="N543" s="27"/>
      <c r="O543" s="22"/>
      <c r="P543" s="5" t="str">
        <f>IF(A543="","",IF(COUNTIF(Типы,C543)=0,0,VLOOKUP(C543,СПРАВОЧНИКИ!$A$7:$E$22,2,FALSE)))</f>
        <v/>
      </c>
      <c r="Q543" s="25" t="str">
        <f t="shared" si="8"/>
        <v/>
      </c>
      <c r="R543" s="5" t="str">
        <f>IF(A543="","",IF(COUNTIF(Типы,C543)=0,"НЕИЗВЕСТНЫЙ ТИП",VLOOKUP(C543,СПРАВОЧНИКИ!$A$7:$E$22,3,FALSE)))</f>
        <v/>
      </c>
      <c r="S543" s="26" t="str">
        <f>IF(A543="","",IF(L543="Проведён",E543*IF(COUNTIF(Типы,C543)=0,0,VLOOKUP(C543,СПРАВОЧНИКИ!$A$7:$E$22,4,FALSE)),0))</f>
        <v/>
      </c>
      <c r="T543" s="26" t="str">
        <f>IF(A543="","",IF(L543="Проведён",E543*IF(COUNTIF(Типы,C543)=0,0,VLOOKUP(C543,СПРАВОЧНИКИ!$A$7:$E$22,5,FALSE)),0))</f>
        <v/>
      </c>
      <c r="U543" s="5" t="str">
        <f>IF(A543="","",IF(COUNTIF(Контрагенты,H543)=0,"Не задан",VLOOKUP(H543,СПРАВОЧНИКИ!$G$7:$H$66,2,FALSE)))</f>
        <v/>
      </c>
      <c r="V543" s="4" t="str">
        <f>IF(A543="",IF(COUNTA(B543:O543)&gt;0,"НЕТ ID",""),IF(OR(AND(OR(C543="Оплата клиента",C543="Возврат клиенту"),COUNTIFS(Docs[ID],J543,Docs[Тип долга],"ДЗ")&lt;&gt;1),AND(OR(C543="Оплата поставщику",C543="Возврат поставщика"),COUNTIFS(Docs[ID],J543,Docs[Тип долга],"КЗ",Docs[Вид],"&lt;&gt;Дивиденды")&lt;&gt;1),AND(C543="Дивиденды",COUNTIFS(Docs[ID],J543,Docs[Вид],"Дивиденды")&lt;&gt;1),AND(C543="Проценты",COUNTIFS(Docs[ID],J543,Docs[Вид],"Проценты")&lt;&gt;1),COUNTIF(Cash[ID],A543)&gt;1,NOT(ISNUMBER(B543)),B543&lt;НачалоУчета,YEAR(B543)&lt;&gt;Год,NOT(ISNUMBER(E543)),E543&lt;=0,N543&lt;0,COUNTIF(Типы,C543)&lt;&gt;1,COUNTIF(Категории,D543)&lt;&gt;1,COUNTIF(Счета,F543)&lt;&gt;1,COUNTIF(Проекты,I543)&lt;&gt;1,AND(H543&lt;&gt;"",COUNTIF(Контрагенты,H543)&lt;&gt;1),AND(C543="Перевод",OR(F543=G543,COUNTIF(Счета,G543)&lt;&gt;1)),AND(S543&lt;&gt;0,COUNTIF(Docs[ID],J543)&lt;&gt;1),AND(Форма="ООО",C543="Вывод ИП"),AND(Форма="ИП",C543="Дивиденды"),AND(L543&lt;&gt;"Проведён",L543&lt;&gt;"Черновик")),"ОШИБКА","ОК"))</f>
        <v/>
      </c>
      <c r="W543" s="25" t="str">
        <f>IF(A543="","",SUMIF(Accounts[Счёт],F543,Accounts[Начальный])+SUMIFS($Q$7:Q543,$F$7:F543,F543)+SUMIFS($E$7:E543,$G$7:G543,F543,$C$7:C543,"Перевод",$L$7:L543,"Проведён"))</f>
        <v/>
      </c>
    </row>
    <row r="544" spans="1:23" x14ac:dyDescent="0.25">
      <c r="A544" s="22"/>
      <c r="B544" s="23"/>
      <c r="C544" s="22"/>
      <c r="D544" s="22"/>
      <c r="E544" s="27"/>
      <c r="F544" s="22"/>
      <c r="G544" s="22"/>
      <c r="H544" s="22"/>
      <c r="I544" s="22"/>
      <c r="J544" s="22"/>
      <c r="K544" s="22"/>
      <c r="L544" s="22"/>
      <c r="M544" s="22"/>
      <c r="N544" s="27"/>
      <c r="O544" s="22"/>
      <c r="P544" s="5" t="str">
        <f>IF(A544="","",IF(COUNTIF(Типы,C544)=0,0,VLOOKUP(C544,СПРАВОЧНИКИ!$A$7:$E$22,2,FALSE)))</f>
        <v/>
      </c>
      <c r="Q544" s="25" t="str">
        <f t="shared" si="8"/>
        <v/>
      </c>
      <c r="R544" s="5" t="str">
        <f>IF(A544="","",IF(COUNTIF(Типы,C544)=0,"НЕИЗВЕСТНЫЙ ТИП",VLOOKUP(C544,СПРАВОЧНИКИ!$A$7:$E$22,3,FALSE)))</f>
        <v/>
      </c>
      <c r="S544" s="26" t="str">
        <f>IF(A544="","",IF(L544="Проведён",E544*IF(COUNTIF(Типы,C544)=0,0,VLOOKUP(C544,СПРАВОЧНИКИ!$A$7:$E$22,4,FALSE)),0))</f>
        <v/>
      </c>
      <c r="T544" s="26" t="str">
        <f>IF(A544="","",IF(L544="Проведён",E544*IF(COUNTIF(Типы,C544)=0,0,VLOOKUP(C544,СПРАВОЧНИКИ!$A$7:$E$22,5,FALSE)),0))</f>
        <v/>
      </c>
      <c r="U544" s="5" t="str">
        <f>IF(A544="","",IF(COUNTIF(Контрагенты,H544)=0,"Не задан",VLOOKUP(H544,СПРАВОЧНИКИ!$G$7:$H$66,2,FALSE)))</f>
        <v/>
      </c>
      <c r="V544" s="4" t="str">
        <f>IF(A544="",IF(COUNTA(B544:O544)&gt;0,"НЕТ ID",""),IF(OR(AND(OR(C544="Оплата клиента",C544="Возврат клиенту"),COUNTIFS(Docs[ID],J544,Docs[Тип долга],"ДЗ")&lt;&gt;1),AND(OR(C544="Оплата поставщику",C544="Возврат поставщика"),COUNTIFS(Docs[ID],J544,Docs[Тип долга],"КЗ",Docs[Вид],"&lt;&gt;Дивиденды")&lt;&gt;1),AND(C544="Дивиденды",COUNTIFS(Docs[ID],J544,Docs[Вид],"Дивиденды")&lt;&gt;1),AND(C544="Проценты",COUNTIFS(Docs[ID],J544,Docs[Вид],"Проценты")&lt;&gt;1),COUNTIF(Cash[ID],A544)&gt;1,NOT(ISNUMBER(B544)),B544&lt;НачалоУчета,YEAR(B544)&lt;&gt;Год,NOT(ISNUMBER(E544)),E544&lt;=0,N544&lt;0,COUNTIF(Типы,C544)&lt;&gt;1,COUNTIF(Категории,D544)&lt;&gt;1,COUNTIF(Счета,F544)&lt;&gt;1,COUNTIF(Проекты,I544)&lt;&gt;1,AND(H544&lt;&gt;"",COUNTIF(Контрагенты,H544)&lt;&gt;1),AND(C544="Перевод",OR(F544=G544,COUNTIF(Счета,G544)&lt;&gt;1)),AND(S544&lt;&gt;0,COUNTIF(Docs[ID],J544)&lt;&gt;1),AND(Форма="ООО",C544="Вывод ИП"),AND(Форма="ИП",C544="Дивиденды"),AND(L544&lt;&gt;"Проведён",L544&lt;&gt;"Черновик")),"ОШИБКА","ОК"))</f>
        <v/>
      </c>
      <c r="W544" s="25" t="str">
        <f>IF(A544="","",SUMIF(Accounts[Счёт],F544,Accounts[Начальный])+SUMIFS($Q$7:Q544,$F$7:F544,F544)+SUMIFS($E$7:E544,$G$7:G544,F544,$C$7:C544,"Перевод",$L$7:L544,"Проведён"))</f>
        <v/>
      </c>
    </row>
    <row r="545" spans="1:23" x14ac:dyDescent="0.25">
      <c r="A545" s="22"/>
      <c r="B545" s="23"/>
      <c r="C545" s="22"/>
      <c r="D545" s="22"/>
      <c r="E545" s="27"/>
      <c r="F545" s="22"/>
      <c r="G545" s="22"/>
      <c r="H545" s="22"/>
      <c r="I545" s="22"/>
      <c r="J545" s="22"/>
      <c r="K545" s="22"/>
      <c r="L545" s="22"/>
      <c r="M545" s="22"/>
      <c r="N545" s="27"/>
      <c r="O545" s="22"/>
      <c r="P545" s="5" t="str">
        <f>IF(A545="","",IF(COUNTIF(Типы,C545)=0,0,VLOOKUP(C545,СПРАВОЧНИКИ!$A$7:$E$22,2,FALSE)))</f>
        <v/>
      </c>
      <c r="Q545" s="25" t="str">
        <f t="shared" si="8"/>
        <v/>
      </c>
      <c r="R545" s="5" t="str">
        <f>IF(A545="","",IF(COUNTIF(Типы,C545)=0,"НЕИЗВЕСТНЫЙ ТИП",VLOOKUP(C545,СПРАВОЧНИКИ!$A$7:$E$22,3,FALSE)))</f>
        <v/>
      </c>
      <c r="S545" s="26" t="str">
        <f>IF(A545="","",IF(L545="Проведён",E545*IF(COUNTIF(Типы,C545)=0,0,VLOOKUP(C545,СПРАВОЧНИКИ!$A$7:$E$22,4,FALSE)),0))</f>
        <v/>
      </c>
      <c r="T545" s="26" t="str">
        <f>IF(A545="","",IF(L545="Проведён",E545*IF(COUNTIF(Типы,C545)=0,0,VLOOKUP(C545,СПРАВОЧНИКИ!$A$7:$E$22,5,FALSE)),0))</f>
        <v/>
      </c>
      <c r="U545" s="5" t="str">
        <f>IF(A545="","",IF(COUNTIF(Контрагенты,H545)=0,"Не задан",VLOOKUP(H545,СПРАВОЧНИКИ!$G$7:$H$66,2,FALSE)))</f>
        <v/>
      </c>
      <c r="V545" s="4" t="str">
        <f>IF(A545="",IF(COUNTA(B545:O545)&gt;0,"НЕТ ID",""),IF(OR(AND(OR(C545="Оплата клиента",C545="Возврат клиенту"),COUNTIFS(Docs[ID],J545,Docs[Тип долга],"ДЗ")&lt;&gt;1),AND(OR(C545="Оплата поставщику",C545="Возврат поставщика"),COUNTIFS(Docs[ID],J545,Docs[Тип долга],"КЗ",Docs[Вид],"&lt;&gt;Дивиденды")&lt;&gt;1),AND(C545="Дивиденды",COUNTIFS(Docs[ID],J545,Docs[Вид],"Дивиденды")&lt;&gt;1),AND(C545="Проценты",COUNTIFS(Docs[ID],J545,Docs[Вид],"Проценты")&lt;&gt;1),COUNTIF(Cash[ID],A545)&gt;1,NOT(ISNUMBER(B545)),B545&lt;НачалоУчета,YEAR(B545)&lt;&gt;Год,NOT(ISNUMBER(E545)),E545&lt;=0,N545&lt;0,COUNTIF(Типы,C545)&lt;&gt;1,COUNTIF(Категории,D545)&lt;&gt;1,COUNTIF(Счета,F545)&lt;&gt;1,COUNTIF(Проекты,I545)&lt;&gt;1,AND(H545&lt;&gt;"",COUNTIF(Контрагенты,H545)&lt;&gt;1),AND(C545="Перевод",OR(F545=G545,COUNTIF(Счета,G545)&lt;&gt;1)),AND(S545&lt;&gt;0,COUNTIF(Docs[ID],J545)&lt;&gt;1),AND(Форма="ООО",C545="Вывод ИП"),AND(Форма="ИП",C545="Дивиденды"),AND(L545&lt;&gt;"Проведён",L545&lt;&gt;"Черновик")),"ОШИБКА","ОК"))</f>
        <v/>
      </c>
      <c r="W545" s="25" t="str">
        <f>IF(A545="","",SUMIF(Accounts[Счёт],F545,Accounts[Начальный])+SUMIFS($Q$7:Q545,$F$7:F545,F545)+SUMIFS($E$7:E545,$G$7:G545,F545,$C$7:C545,"Перевод",$L$7:L545,"Проведён"))</f>
        <v/>
      </c>
    </row>
    <row r="546" spans="1:23" x14ac:dyDescent="0.25">
      <c r="A546" s="22"/>
      <c r="B546" s="23"/>
      <c r="C546" s="22"/>
      <c r="D546" s="22"/>
      <c r="E546" s="27"/>
      <c r="F546" s="22"/>
      <c r="G546" s="22"/>
      <c r="H546" s="22"/>
      <c r="I546" s="22"/>
      <c r="J546" s="22"/>
      <c r="K546" s="22"/>
      <c r="L546" s="22"/>
      <c r="M546" s="22"/>
      <c r="N546" s="27"/>
      <c r="O546" s="22"/>
      <c r="P546" s="5" t="str">
        <f>IF(A546="","",IF(COUNTIF(Типы,C546)=0,0,VLOOKUP(C546,СПРАВОЧНИКИ!$A$7:$E$22,2,FALSE)))</f>
        <v/>
      </c>
      <c r="Q546" s="25" t="str">
        <f t="shared" si="8"/>
        <v/>
      </c>
      <c r="R546" s="5" t="str">
        <f>IF(A546="","",IF(COUNTIF(Типы,C546)=0,"НЕИЗВЕСТНЫЙ ТИП",VLOOKUP(C546,СПРАВОЧНИКИ!$A$7:$E$22,3,FALSE)))</f>
        <v/>
      </c>
      <c r="S546" s="26" t="str">
        <f>IF(A546="","",IF(L546="Проведён",E546*IF(COUNTIF(Типы,C546)=0,0,VLOOKUP(C546,СПРАВОЧНИКИ!$A$7:$E$22,4,FALSE)),0))</f>
        <v/>
      </c>
      <c r="T546" s="26" t="str">
        <f>IF(A546="","",IF(L546="Проведён",E546*IF(COUNTIF(Типы,C546)=0,0,VLOOKUP(C546,СПРАВОЧНИКИ!$A$7:$E$22,5,FALSE)),0))</f>
        <v/>
      </c>
      <c r="U546" s="5" t="str">
        <f>IF(A546="","",IF(COUNTIF(Контрагенты,H546)=0,"Не задан",VLOOKUP(H546,СПРАВОЧНИКИ!$G$7:$H$66,2,FALSE)))</f>
        <v/>
      </c>
      <c r="V546" s="4" t="str">
        <f>IF(A546="",IF(COUNTA(B546:O546)&gt;0,"НЕТ ID",""),IF(OR(AND(OR(C546="Оплата клиента",C546="Возврат клиенту"),COUNTIFS(Docs[ID],J546,Docs[Тип долга],"ДЗ")&lt;&gt;1),AND(OR(C546="Оплата поставщику",C546="Возврат поставщика"),COUNTIFS(Docs[ID],J546,Docs[Тип долга],"КЗ",Docs[Вид],"&lt;&gt;Дивиденды")&lt;&gt;1),AND(C546="Дивиденды",COUNTIFS(Docs[ID],J546,Docs[Вид],"Дивиденды")&lt;&gt;1),AND(C546="Проценты",COUNTIFS(Docs[ID],J546,Docs[Вид],"Проценты")&lt;&gt;1),COUNTIF(Cash[ID],A546)&gt;1,NOT(ISNUMBER(B546)),B546&lt;НачалоУчета,YEAR(B546)&lt;&gt;Год,NOT(ISNUMBER(E546)),E546&lt;=0,N546&lt;0,COUNTIF(Типы,C546)&lt;&gt;1,COUNTIF(Категории,D546)&lt;&gt;1,COUNTIF(Счета,F546)&lt;&gt;1,COUNTIF(Проекты,I546)&lt;&gt;1,AND(H546&lt;&gt;"",COUNTIF(Контрагенты,H546)&lt;&gt;1),AND(C546="Перевод",OR(F546=G546,COUNTIF(Счета,G546)&lt;&gt;1)),AND(S546&lt;&gt;0,COUNTIF(Docs[ID],J546)&lt;&gt;1),AND(Форма="ООО",C546="Вывод ИП"),AND(Форма="ИП",C546="Дивиденды"),AND(L546&lt;&gt;"Проведён",L546&lt;&gt;"Черновик")),"ОШИБКА","ОК"))</f>
        <v/>
      </c>
      <c r="W546" s="25" t="str">
        <f>IF(A546="","",SUMIF(Accounts[Счёт],F546,Accounts[Начальный])+SUMIFS($Q$7:Q546,$F$7:F546,F546)+SUMIFS($E$7:E546,$G$7:G546,F546,$C$7:C546,"Перевод",$L$7:L546,"Проведён"))</f>
        <v/>
      </c>
    </row>
    <row r="547" spans="1:23" x14ac:dyDescent="0.25">
      <c r="A547" s="22"/>
      <c r="B547" s="23"/>
      <c r="C547" s="22"/>
      <c r="D547" s="22"/>
      <c r="E547" s="27"/>
      <c r="F547" s="22"/>
      <c r="G547" s="22"/>
      <c r="H547" s="22"/>
      <c r="I547" s="22"/>
      <c r="J547" s="22"/>
      <c r="K547" s="22"/>
      <c r="L547" s="22"/>
      <c r="M547" s="22"/>
      <c r="N547" s="27"/>
      <c r="O547" s="22"/>
      <c r="P547" s="5" t="str">
        <f>IF(A547="","",IF(COUNTIF(Типы,C547)=0,0,VLOOKUP(C547,СПРАВОЧНИКИ!$A$7:$E$22,2,FALSE)))</f>
        <v/>
      </c>
      <c r="Q547" s="25" t="str">
        <f t="shared" si="8"/>
        <v/>
      </c>
      <c r="R547" s="5" t="str">
        <f>IF(A547="","",IF(COUNTIF(Типы,C547)=0,"НЕИЗВЕСТНЫЙ ТИП",VLOOKUP(C547,СПРАВОЧНИКИ!$A$7:$E$22,3,FALSE)))</f>
        <v/>
      </c>
      <c r="S547" s="26" t="str">
        <f>IF(A547="","",IF(L547="Проведён",E547*IF(COUNTIF(Типы,C547)=0,0,VLOOKUP(C547,СПРАВОЧНИКИ!$A$7:$E$22,4,FALSE)),0))</f>
        <v/>
      </c>
      <c r="T547" s="26" t="str">
        <f>IF(A547="","",IF(L547="Проведён",E547*IF(COUNTIF(Типы,C547)=0,0,VLOOKUP(C547,СПРАВОЧНИКИ!$A$7:$E$22,5,FALSE)),0))</f>
        <v/>
      </c>
      <c r="U547" s="5" t="str">
        <f>IF(A547="","",IF(COUNTIF(Контрагенты,H547)=0,"Не задан",VLOOKUP(H547,СПРАВОЧНИКИ!$G$7:$H$66,2,FALSE)))</f>
        <v/>
      </c>
      <c r="V547" s="4" t="str">
        <f>IF(A547="",IF(COUNTA(B547:O547)&gt;0,"НЕТ ID",""),IF(OR(AND(OR(C547="Оплата клиента",C547="Возврат клиенту"),COUNTIFS(Docs[ID],J547,Docs[Тип долга],"ДЗ")&lt;&gt;1),AND(OR(C547="Оплата поставщику",C547="Возврат поставщика"),COUNTIFS(Docs[ID],J547,Docs[Тип долга],"КЗ",Docs[Вид],"&lt;&gt;Дивиденды")&lt;&gt;1),AND(C547="Дивиденды",COUNTIFS(Docs[ID],J547,Docs[Вид],"Дивиденды")&lt;&gt;1),AND(C547="Проценты",COUNTIFS(Docs[ID],J547,Docs[Вид],"Проценты")&lt;&gt;1),COUNTIF(Cash[ID],A547)&gt;1,NOT(ISNUMBER(B547)),B547&lt;НачалоУчета,YEAR(B547)&lt;&gt;Год,NOT(ISNUMBER(E547)),E547&lt;=0,N547&lt;0,COUNTIF(Типы,C547)&lt;&gt;1,COUNTIF(Категории,D547)&lt;&gt;1,COUNTIF(Счета,F547)&lt;&gt;1,COUNTIF(Проекты,I547)&lt;&gt;1,AND(H547&lt;&gt;"",COUNTIF(Контрагенты,H547)&lt;&gt;1),AND(C547="Перевод",OR(F547=G547,COUNTIF(Счета,G547)&lt;&gt;1)),AND(S547&lt;&gt;0,COUNTIF(Docs[ID],J547)&lt;&gt;1),AND(Форма="ООО",C547="Вывод ИП"),AND(Форма="ИП",C547="Дивиденды"),AND(L547&lt;&gt;"Проведён",L547&lt;&gt;"Черновик")),"ОШИБКА","ОК"))</f>
        <v/>
      </c>
      <c r="W547" s="25" t="str">
        <f>IF(A547="","",SUMIF(Accounts[Счёт],F547,Accounts[Начальный])+SUMIFS($Q$7:Q547,$F$7:F547,F547)+SUMIFS($E$7:E547,$G$7:G547,F547,$C$7:C547,"Перевод",$L$7:L547,"Проведён"))</f>
        <v/>
      </c>
    </row>
    <row r="548" spans="1:23" x14ac:dyDescent="0.25">
      <c r="A548" s="22"/>
      <c r="B548" s="23"/>
      <c r="C548" s="22"/>
      <c r="D548" s="22"/>
      <c r="E548" s="27"/>
      <c r="F548" s="22"/>
      <c r="G548" s="22"/>
      <c r="H548" s="22"/>
      <c r="I548" s="22"/>
      <c r="J548" s="22"/>
      <c r="K548" s="22"/>
      <c r="L548" s="22"/>
      <c r="M548" s="22"/>
      <c r="N548" s="27"/>
      <c r="O548" s="22"/>
      <c r="P548" s="5" t="str">
        <f>IF(A548="","",IF(COUNTIF(Типы,C548)=0,0,VLOOKUP(C548,СПРАВОЧНИКИ!$A$7:$E$22,2,FALSE)))</f>
        <v/>
      </c>
      <c r="Q548" s="25" t="str">
        <f t="shared" si="8"/>
        <v/>
      </c>
      <c r="R548" s="5" t="str">
        <f>IF(A548="","",IF(COUNTIF(Типы,C548)=0,"НЕИЗВЕСТНЫЙ ТИП",VLOOKUP(C548,СПРАВОЧНИКИ!$A$7:$E$22,3,FALSE)))</f>
        <v/>
      </c>
      <c r="S548" s="26" t="str">
        <f>IF(A548="","",IF(L548="Проведён",E548*IF(COUNTIF(Типы,C548)=0,0,VLOOKUP(C548,СПРАВОЧНИКИ!$A$7:$E$22,4,FALSE)),0))</f>
        <v/>
      </c>
      <c r="T548" s="26" t="str">
        <f>IF(A548="","",IF(L548="Проведён",E548*IF(COUNTIF(Типы,C548)=0,0,VLOOKUP(C548,СПРАВОЧНИКИ!$A$7:$E$22,5,FALSE)),0))</f>
        <v/>
      </c>
      <c r="U548" s="5" t="str">
        <f>IF(A548="","",IF(COUNTIF(Контрагенты,H548)=0,"Не задан",VLOOKUP(H548,СПРАВОЧНИКИ!$G$7:$H$66,2,FALSE)))</f>
        <v/>
      </c>
      <c r="V548" s="4" t="str">
        <f>IF(A548="",IF(COUNTA(B548:O548)&gt;0,"НЕТ ID",""),IF(OR(AND(OR(C548="Оплата клиента",C548="Возврат клиенту"),COUNTIFS(Docs[ID],J548,Docs[Тип долга],"ДЗ")&lt;&gt;1),AND(OR(C548="Оплата поставщику",C548="Возврат поставщика"),COUNTIFS(Docs[ID],J548,Docs[Тип долга],"КЗ",Docs[Вид],"&lt;&gt;Дивиденды")&lt;&gt;1),AND(C548="Дивиденды",COUNTIFS(Docs[ID],J548,Docs[Вид],"Дивиденды")&lt;&gt;1),AND(C548="Проценты",COUNTIFS(Docs[ID],J548,Docs[Вид],"Проценты")&lt;&gt;1),COUNTIF(Cash[ID],A548)&gt;1,NOT(ISNUMBER(B548)),B548&lt;НачалоУчета,YEAR(B548)&lt;&gt;Год,NOT(ISNUMBER(E548)),E548&lt;=0,N548&lt;0,COUNTIF(Типы,C548)&lt;&gt;1,COUNTIF(Категории,D548)&lt;&gt;1,COUNTIF(Счета,F548)&lt;&gt;1,COUNTIF(Проекты,I548)&lt;&gt;1,AND(H548&lt;&gt;"",COUNTIF(Контрагенты,H548)&lt;&gt;1),AND(C548="Перевод",OR(F548=G548,COUNTIF(Счета,G548)&lt;&gt;1)),AND(S548&lt;&gt;0,COUNTIF(Docs[ID],J548)&lt;&gt;1),AND(Форма="ООО",C548="Вывод ИП"),AND(Форма="ИП",C548="Дивиденды"),AND(L548&lt;&gt;"Проведён",L548&lt;&gt;"Черновик")),"ОШИБКА","ОК"))</f>
        <v/>
      </c>
      <c r="W548" s="25" t="str">
        <f>IF(A548="","",SUMIF(Accounts[Счёт],F548,Accounts[Начальный])+SUMIFS($Q$7:Q548,$F$7:F548,F548)+SUMIFS($E$7:E548,$G$7:G548,F548,$C$7:C548,"Перевод",$L$7:L548,"Проведён"))</f>
        <v/>
      </c>
    </row>
    <row r="549" spans="1:23" x14ac:dyDescent="0.25">
      <c r="A549" s="22"/>
      <c r="B549" s="23"/>
      <c r="C549" s="22"/>
      <c r="D549" s="22"/>
      <c r="E549" s="27"/>
      <c r="F549" s="22"/>
      <c r="G549" s="22"/>
      <c r="H549" s="22"/>
      <c r="I549" s="22"/>
      <c r="J549" s="22"/>
      <c r="K549" s="22"/>
      <c r="L549" s="22"/>
      <c r="M549" s="22"/>
      <c r="N549" s="27"/>
      <c r="O549" s="22"/>
      <c r="P549" s="5" t="str">
        <f>IF(A549="","",IF(COUNTIF(Типы,C549)=0,0,VLOOKUP(C549,СПРАВОЧНИКИ!$A$7:$E$22,2,FALSE)))</f>
        <v/>
      </c>
      <c r="Q549" s="25" t="str">
        <f t="shared" si="8"/>
        <v/>
      </c>
      <c r="R549" s="5" t="str">
        <f>IF(A549="","",IF(COUNTIF(Типы,C549)=0,"НЕИЗВЕСТНЫЙ ТИП",VLOOKUP(C549,СПРАВОЧНИКИ!$A$7:$E$22,3,FALSE)))</f>
        <v/>
      </c>
      <c r="S549" s="26" t="str">
        <f>IF(A549="","",IF(L549="Проведён",E549*IF(COUNTIF(Типы,C549)=0,0,VLOOKUP(C549,СПРАВОЧНИКИ!$A$7:$E$22,4,FALSE)),0))</f>
        <v/>
      </c>
      <c r="T549" s="26" t="str">
        <f>IF(A549="","",IF(L549="Проведён",E549*IF(COUNTIF(Типы,C549)=0,0,VLOOKUP(C549,СПРАВОЧНИКИ!$A$7:$E$22,5,FALSE)),0))</f>
        <v/>
      </c>
      <c r="U549" s="5" t="str">
        <f>IF(A549="","",IF(COUNTIF(Контрагенты,H549)=0,"Не задан",VLOOKUP(H549,СПРАВОЧНИКИ!$G$7:$H$66,2,FALSE)))</f>
        <v/>
      </c>
      <c r="V549" s="4" t="str">
        <f>IF(A549="",IF(COUNTA(B549:O549)&gt;0,"НЕТ ID",""),IF(OR(AND(OR(C549="Оплата клиента",C549="Возврат клиенту"),COUNTIFS(Docs[ID],J549,Docs[Тип долга],"ДЗ")&lt;&gt;1),AND(OR(C549="Оплата поставщику",C549="Возврат поставщика"),COUNTIFS(Docs[ID],J549,Docs[Тип долга],"КЗ",Docs[Вид],"&lt;&gt;Дивиденды")&lt;&gt;1),AND(C549="Дивиденды",COUNTIFS(Docs[ID],J549,Docs[Вид],"Дивиденды")&lt;&gt;1),AND(C549="Проценты",COUNTIFS(Docs[ID],J549,Docs[Вид],"Проценты")&lt;&gt;1),COUNTIF(Cash[ID],A549)&gt;1,NOT(ISNUMBER(B549)),B549&lt;НачалоУчета,YEAR(B549)&lt;&gt;Год,NOT(ISNUMBER(E549)),E549&lt;=0,N549&lt;0,COUNTIF(Типы,C549)&lt;&gt;1,COUNTIF(Категории,D549)&lt;&gt;1,COUNTIF(Счета,F549)&lt;&gt;1,COUNTIF(Проекты,I549)&lt;&gt;1,AND(H549&lt;&gt;"",COUNTIF(Контрагенты,H549)&lt;&gt;1),AND(C549="Перевод",OR(F549=G549,COUNTIF(Счета,G549)&lt;&gt;1)),AND(S549&lt;&gt;0,COUNTIF(Docs[ID],J549)&lt;&gt;1),AND(Форма="ООО",C549="Вывод ИП"),AND(Форма="ИП",C549="Дивиденды"),AND(L549&lt;&gt;"Проведён",L549&lt;&gt;"Черновик")),"ОШИБКА","ОК"))</f>
        <v/>
      </c>
      <c r="W549" s="25" t="str">
        <f>IF(A549="","",SUMIF(Accounts[Счёт],F549,Accounts[Начальный])+SUMIFS($Q$7:Q549,$F$7:F549,F549)+SUMIFS($E$7:E549,$G$7:G549,F549,$C$7:C549,"Перевод",$L$7:L549,"Проведён"))</f>
        <v/>
      </c>
    </row>
    <row r="550" spans="1:23" x14ac:dyDescent="0.25">
      <c r="A550" s="22"/>
      <c r="B550" s="23"/>
      <c r="C550" s="22"/>
      <c r="D550" s="22"/>
      <c r="E550" s="27"/>
      <c r="F550" s="22"/>
      <c r="G550" s="22"/>
      <c r="H550" s="22"/>
      <c r="I550" s="22"/>
      <c r="J550" s="22"/>
      <c r="K550" s="22"/>
      <c r="L550" s="22"/>
      <c r="M550" s="22"/>
      <c r="N550" s="27"/>
      <c r="O550" s="22"/>
      <c r="P550" s="5" t="str">
        <f>IF(A550="","",IF(COUNTIF(Типы,C550)=0,0,VLOOKUP(C550,СПРАВОЧНИКИ!$A$7:$E$22,2,FALSE)))</f>
        <v/>
      </c>
      <c r="Q550" s="25" t="str">
        <f t="shared" si="8"/>
        <v/>
      </c>
      <c r="R550" s="5" t="str">
        <f>IF(A550="","",IF(COUNTIF(Типы,C550)=0,"НЕИЗВЕСТНЫЙ ТИП",VLOOKUP(C550,СПРАВОЧНИКИ!$A$7:$E$22,3,FALSE)))</f>
        <v/>
      </c>
      <c r="S550" s="26" t="str">
        <f>IF(A550="","",IF(L550="Проведён",E550*IF(COUNTIF(Типы,C550)=0,0,VLOOKUP(C550,СПРАВОЧНИКИ!$A$7:$E$22,4,FALSE)),0))</f>
        <v/>
      </c>
      <c r="T550" s="26" t="str">
        <f>IF(A550="","",IF(L550="Проведён",E550*IF(COUNTIF(Типы,C550)=0,0,VLOOKUP(C550,СПРАВОЧНИКИ!$A$7:$E$22,5,FALSE)),0))</f>
        <v/>
      </c>
      <c r="U550" s="5" t="str">
        <f>IF(A550="","",IF(COUNTIF(Контрагенты,H550)=0,"Не задан",VLOOKUP(H550,СПРАВОЧНИКИ!$G$7:$H$66,2,FALSE)))</f>
        <v/>
      </c>
      <c r="V550" s="4" t="str">
        <f>IF(A550="",IF(COUNTA(B550:O550)&gt;0,"НЕТ ID",""),IF(OR(AND(OR(C550="Оплата клиента",C550="Возврат клиенту"),COUNTIFS(Docs[ID],J550,Docs[Тип долга],"ДЗ")&lt;&gt;1),AND(OR(C550="Оплата поставщику",C550="Возврат поставщика"),COUNTIFS(Docs[ID],J550,Docs[Тип долга],"КЗ",Docs[Вид],"&lt;&gt;Дивиденды")&lt;&gt;1),AND(C550="Дивиденды",COUNTIFS(Docs[ID],J550,Docs[Вид],"Дивиденды")&lt;&gt;1),AND(C550="Проценты",COUNTIFS(Docs[ID],J550,Docs[Вид],"Проценты")&lt;&gt;1),COUNTIF(Cash[ID],A550)&gt;1,NOT(ISNUMBER(B550)),B550&lt;НачалоУчета,YEAR(B550)&lt;&gt;Год,NOT(ISNUMBER(E550)),E550&lt;=0,N550&lt;0,COUNTIF(Типы,C550)&lt;&gt;1,COUNTIF(Категории,D550)&lt;&gt;1,COUNTIF(Счета,F550)&lt;&gt;1,COUNTIF(Проекты,I550)&lt;&gt;1,AND(H550&lt;&gt;"",COUNTIF(Контрагенты,H550)&lt;&gt;1),AND(C550="Перевод",OR(F550=G550,COUNTIF(Счета,G550)&lt;&gt;1)),AND(S550&lt;&gt;0,COUNTIF(Docs[ID],J550)&lt;&gt;1),AND(Форма="ООО",C550="Вывод ИП"),AND(Форма="ИП",C550="Дивиденды"),AND(L550&lt;&gt;"Проведён",L550&lt;&gt;"Черновик")),"ОШИБКА","ОК"))</f>
        <v/>
      </c>
      <c r="W550" s="25" t="str">
        <f>IF(A550="","",SUMIF(Accounts[Счёт],F550,Accounts[Начальный])+SUMIFS($Q$7:Q550,$F$7:F550,F550)+SUMIFS($E$7:E550,$G$7:G550,F550,$C$7:C550,"Перевод",$L$7:L550,"Проведён"))</f>
        <v/>
      </c>
    </row>
    <row r="551" spans="1:23" x14ac:dyDescent="0.25">
      <c r="A551" s="22"/>
      <c r="B551" s="23"/>
      <c r="C551" s="22"/>
      <c r="D551" s="22"/>
      <c r="E551" s="27"/>
      <c r="F551" s="22"/>
      <c r="G551" s="22"/>
      <c r="H551" s="22"/>
      <c r="I551" s="22"/>
      <c r="J551" s="22"/>
      <c r="K551" s="22"/>
      <c r="L551" s="22"/>
      <c r="M551" s="22"/>
      <c r="N551" s="27"/>
      <c r="O551" s="22"/>
      <c r="P551" s="5" t="str">
        <f>IF(A551="","",IF(COUNTIF(Типы,C551)=0,0,VLOOKUP(C551,СПРАВОЧНИКИ!$A$7:$E$22,2,FALSE)))</f>
        <v/>
      </c>
      <c r="Q551" s="25" t="str">
        <f t="shared" si="8"/>
        <v/>
      </c>
      <c r="R551" s="5" t="str">
        <f>IF(A551="","",IF(COUNTIF(Типы,C551)=0,"НЕИЗВЕСТНЫЙ ТИП",VLOOKUP(C551,СПРАВОЧНИКИ!$A$7:$E$22,3,FALSE)))</f>
        <v/>
      </c>
      <c r="S551" s="26" t="str">
        <f>IF(A551="","",IF(L551="Проведён",E551*IF(COUNTIF(Типы,C551)=0,0,VLOOKUP(C551,СПРАВОЧНИКИ!$A$7:$E$22,4,FALSE)),0))</f>
        <v/>
      </c>
      <c r="T551" s="26" t="str">
        <f>IF(A551="","",IF(L551="Проведён",E551*IF(COUNTIF(Типы,C551)=0,0,VLOOKUP(C551,СПРАВОЧНИКИ!$A$7:$E$22,5,FALSE)),0))</f>
        <v/>
      </c>
      <c r="U551" s="5" t="str">
        <f>IF(A551="","",IF(COUNTIF(Контрагенты,H551)=0,"Не задан",VLOOKUP(H551,СПРАВОЧНИКИ!$G$7:$H$66,2,FALSE)))</f>
        <v/>
      </c>
      <c r="V551" s="4" t="str">
        <f>IF(A551="",IF(COUNTA(B551:O551)&gt;0,"НЕТ ID",""),IF(OR(AND(OR(C551="Оплата клиента",C551="Возврат клиенту"),COUNTIFS(Docs[ID],J551,Docs[Тип долга],"ДЗ")&lt;&gt;1),AND(OR(C551="Оплата поставщику",C551="Возврат поставщика"),COUNTIFS(Docs[ID],J551,Docs[Тип долга],"КЗ",Docs[Вид],"&lt;&gt;Дивиденды")&lt;&gt;1),AND(C551="Дивиденды",COUNTIFS(Docs[ID],J551,Docs[Вид],"Дивиденды")&lt;&gt;1),AND(C551="Проценты",COUNTIFS(Docs[ID],J551,Docs[Вид],"Проценты")&lt;&gt;1),COUNTIF(Cash[ID],A551)&gt;1,NOT(ISNUMBER(B551)),B551&lt;НачалоУчета,YEAR(B551)&lt;&gt;Год,NOT(ISNUMBER(E551)),E551&lt;=0,N551&lt;0,COUNTIF(Типы,C551)&lt;&gt;1,COUNTIF(Категории,D551)&lt;&gt;1,COUNTIF(Счета,F551)&lt;&gt;1,COUNTIF(Проекты,I551)&lt;&gt;1,AND(H551&lt;&gt;"",COUNTIF(Контрагенты,H551)&lt;&gt;1),AND(C551="Перевод",OR(F551=G551,COUNTIF(Счета,G551)&lt;&gt;1)),AND(S551&lt;&gt;0,COUNTIF(Docs[ID],J551)&lt;&gt;1),AND(Форма="ООО",C551="Вывод ИП"),AND(Форма="ИП",C551="Дивиденды"),AND(L551&lt;&gt;"Проведён",L551&lt;&gt;"Черновик")),"ОШИБКА","ОК"))</f>
        <v/>
      </c>
      <c r="W551" s="25" t="str">
        <f>IF(A551="","",SUMIF(Accounts[Счёт],F551,Accounts[Начальный])+SUMIFS($Q$7:Q551,$F$7:F551,F551)+SUMIFS($E$7:E551,$G$7:G551,F551,$C$7:C551,"Перевод",$L$7:L551,"Проведён"))</f>
        <v/>
      </c>
    </row>
    <row r="552" spans="1:23" x14ac:dyDescent="0.25">
      <c r="A552" s="22"/>
      <c r="B552" s="23"/>
      <c r="C552" s="22"/>
      <c r="D552" s="22"/>
      <c r="E552" s="27"/>
      <c r="F552" s="22"/>
      <c r="G552" s="22"/>
      <c r="H552" s="22"/>
      <c r="I552" s="22"/>
      <c r="J552" s="22"/>
      <c r="K552" s="22"/>
      <c r="L552" s="22"/>
      <c r="M552" s="22"/>
      <c r="N552" s="27"/>
      <c r="O552" s="22"/>
      <c r="P552" s="5" t="str">
        <f>IF(A552="","",IF(COUNTIF(Типы,C552)=0,0,VLOOKUP(C552,СПРАВОЧНИКИ!$A$7:$E$22,2,FALSE)))</f>
        <v/>
      </c>
      <c r="Q552" s="25" t="str">
        <f t="shared" si="8"/>
        <v/>
      </c>
      <c r="R552" s="5" t="str">
        <f>IF(A552="","",IF(COUNTIF(Типы,C552)=0,"НЕИЗВЕСТНЫЙ ТИП",VLOOKUP(C552,СПРАВОЧНИКИ!$A$7:$E$22,3,FALSE)))</f>
        <v/>
      </c>
      <c r="S552" s="26" t="str">
        <f>IF(A552="","",IF(L552="Проведён",E552*IF(COUNTIF(Типы,C552)=0,0,VLOOKUP(C552,СПРАВОЧНИКИ!$A$7:$E$22,4,FALSE)),0))</f>
        <v/>
      </c>
      <c r="T552" s="26" t="str">
        <f>IF(A552="","",IF(L552="Проведён",E552*IF(COUNTIF(Типы,C552)=0,0,VLOOKUP(C552,СПРАВОЧНИКИ!$A$7:$E$22,5,FALSE)),0))</f>
        <v/>
      </c>
      <c r="U552" s="5" t="str">
        <f>IF(A552="","",IF(COUNTIF(Контрагенты,H552)=0,"Не задан",VLOOKUP(H552,СПРАВОЧНИКИ!$G$7:$H$66,2,FALSE)))</f>
        <v/>
      </c>
      <c r="V552" s="4" t="str">
        <f>IF(A552="",IF(COUNTA(B552:O552)&gt;0,"НЕТ ID",""),IF(OR(AND(OR(C552="Оплата клиента",C552="Возврат клиенту"),COUNTIFS(Docs[ID],J552,Docs[Тип долга],"ДЗ")&lt;&gt;1),AND(OR(C552="Оплата поставщику",C552="Возврат поставщика"),COUNTIFS(Docs[ID],J552,Docs[Тип долга],"КЗ",Docs[Вид],"&lt;&gt;Дивиденды")&lt;&gt;1),AND(C552="Дивиденды",COUNTIFS(Docs[ID],J552,Docs[Вид],"Дивиденды")&lt;&gt;1),AND(C552="Проценты",COUNTIFS(Docs[ID],J552,Docs[Вид],"Проценты")&lt;&gt;1),COUNTIF(Cash[ID],A552)&gt;1,NOT(ISNUMBER(B552)),B552&lt;НачалоУчета,YEAR(B552)&lt;&gt;Год,NOT(ISNUMBER(E552)),E552&lt;=0,N552&lt;0,COUNTIF(Типы,C552)&lt;&gt;1,COUNTIF(Категории,D552)&lt;&gt;1,COUNTIF(Счета,F552)&lt;&gt;1,COUNTIF(Проекты,I552)&lt;&gt;1,AND(H552&lt;&gt;"",COUNTIF(Контрагенты,H552)&lt;&gt;1),AND(C552="Перевод",OR(F552=G552,COUNTIF(Счета,G552)&lt;&gt;1)),AND(S552&lt;&gt;0,COUNTIF(Docs[ID],J552)&lt;&gt;1),AND(Форма="ООО",C552="Вывод ИП"),AND(Форма="ИП",C552="Дивиденды"),AND(L552&lt;&gt;"Проведён",L552&lt;&gt;"Черновик")),"ОШИБКА","ОК"))</f>
        <v/>
      </c>
      <c r="W552" s="25" t="str">
        <f>IF(A552="","",SUMIF(Accounts[Счёт],F552,Accounts[Начальный])+SUMIFS($Q$7:Q552,$F$7:F552,F552)+SUMIFS($E$7:E552,$G$7:G552,F552,$C$7:C552,"Перевод",$L$7:L552,"Проведён"))</f>
        <v/>
      </c>
    </row>
    <row r="553" spans="1:23" x14ac:dyDescent="0.25">
      <c r="A553" s="22"/>
      <c r="B553" s="23"/>
      <c r="C553" s="22"/>
      <c r="D553" s="22"/>
      <c r="E553" s="27"/>
      <c r="F553" s="22"/>
      <c r="G553" s="22"/>
      <c r="H553" s="22"/>
      <c r="I553" s="22"/>
      <c r="J553" s="22"/>
      <c r="K553" s="22"/>
      <c r="L553" s="22"/>
      <c r="M553" s="22"/>
      <c r="N553" s="27"/>
      <c r="O553" s="22"/>
      <c r="P553" s="5" t="str">
        <f>IF(A553="","",IF(COUNTIF(Типы,C553)=0,0,VLOOKUP(C553,СПРАВОЧНИКИ!$A$7:$E$22,2,FALSE)))</f>
        <v/>
      </c>
      <c r="Q553" s="25" t="str">
        <f t="shared" si="8"/>
        <v/>
      </c>
      <c r="R553" s="5" t="str">
        <f>IF(A553="","",IF(COUNTIF(Типы,C553)=0,"НЕИЗВЕСТНЫЙ ТИП",VLOOKUP(C553,СПРАВОЧНИКИ!$A$7:$E$22,3,FALSE)))</f>
        <v/>
      </c>
      <c r="S553" s="26" t="str">
        <f>IF(A553="","",IF(L553="Проведён",E553*IF(COUNTIF(Типы,C553)=0,0,VLOOKUP(C553,СПРАВОЧНИКИ!$A$7:$E$22,4,FALSE)),0))</f>
        <v/>
      </c>
      <c r="T553" s="26" t="str">
        <f>IF(A553="","",IF(L553="Проведён",E553*IF(COUNTIF(Типы,C553)=0,0,VLOOKUP(C553,СПРАВОЧНИКИ!$A$7:$E$22,5,FALSE)),0))</f>
        <v/>
      </c>
      <c r="U553" s="5" t="str">
        <f>IF(A553="","",IF(COUNTIF(Контрагенты,H553)=0,"Не задан",VLOOKUP(H553,СПРАВОЧНИКИ!$G$7:$H$66,2,FALSE)))</f>
        <v/>
      </c>
      <c r="V553" s="4" t="str">
        <f>IF(A553="",IF(COUNTA(B553:O553)&gt;0,"НЕТ ID",""),IF(OR(AND(OR(C553="Оплата клиента",C553="Возврат клиенту"),COUNTIFS(Docs[ID],J553,Docs[Тип долга],"ДЗ")&lt;&gt;1),AND(OR(C553="Оплата поставщику",C553="Возврат поставщика"),COUNTIFS(Docs[ID],J553,Docs[Тип долга],"КЗ",Docs[Вид],"&lt;&gt;Дивиденды")&lt;&gt;1),AND(C553="Дивиденды",COUNTIFS(Docs[ID],J553,Docs[Вид],"Дивиденды")&lt;&gt;1),AND(C553="Проценты",COUNTIFS(Docs[ID],J553,Docs[Вид],"Проценты")&lt;&gt;1),COUNTIF(Cash[ID],A553)&gt;1,NOT(ISNUMBER(B553)),B553&lt;НачалоУчета,YEAR(B553)&lt;&gt;Год,NOT(ISNUMBER(E553)),E553&lt;=0,N553&lt;0,COUNTIF(Типы,C553)&lt;&gt;1,COUNTIF(Категории,D553)&lt;&gt;1,COUNTIF(Счета,F553)&lt;&gt;1,COUNTIF(Проекты,I553)&lt;&gt;1,AND(H553&lt;&gt;"",COUNTIF(Контрагенты,H553)&lt;&gt;1),AND(C553="Перевод",OR(F553=G553,COUNTIF(Счета,G553)&lt;&gt;1)),AND(S553&lt;&gt;0,COUNTIF(Docs[ID],J553)&lt;&gt;1),AND(Форма="ООО",C553="Вывод ИП"),AND(Форма="ИП",C553="Дивиденды"),AND(L553&lt;&gt;"Проведён",L553&lt;&gt;"Черновик")),"ОШИБКА","ОК"))</f>
        <v/>
      </c>
      <c r="W553" s="25" t="str">
        <f>IF(A553="","",SUMIF(Accounts[Счёт],F553,Accounts[Начальный])+SUMIFS($Q$7:Q553,$F$7:F553,F553)+SUMIFS($E$7:E553,$G$7:G553,F553,$C$7:C553,"Перевод",$L$7:L553,"Проведён"))</f>
        <v/>
      </c>
    </row>
    <row r="554" spans="1:23" x14ac:dyDescent="0.25">
      <c r="A554" s="22"/>
      <c r="B554" s="23"/>
      <c r="C554" s="22"/>
      <c r="D554" s="22"/>
      <c r="E554" s="27"/>
      <c r="F554" s="22"/>
      <c r="G554" s="22"/>
      <c r="H554" s="22"/>
      <c r="I554" s="22"/>
      <c r="J554" s="22"/>
      <c r="K554" s="22"/>
      <c r="L554" s="22"/>
      <c r="M554" s="22"/>
      <c r="N554" s="27"/>
      <c r="O554" s="22"/>
      <c r="P554" s="5" t="str">
        <f>IF(A554="","",IF(COUNTIF(Типы,C554)=0,0,VLOOKUP(C554,СПРАВОЧНИКИ!$A$7:$E$22,2,FALSE)))</f>
        <v/>
      </c>
      <c r="Q554" s="25" t="str">
        <f t="shared" si="8"/>
        <v/>
      </c>
      <c r="R554" s="5" t="str">
        <f>IF(A554="","",IF(COUNTIF(Типы,C554)=0,"НЕИЗВЕСТНЫЙ ТИП",VLOOKUP(C554,СПРАВОЧНИКИ!$A$7:$E$22,3,FALSE)))</f>
        <v/>
      </c>
      <c r="S554" s="26" t="str">
        <f>IF(A554="","",IF(L554="Проведён",E554*IF(COUNTIF(Типы,C554)=0,0,VLOOKUP(C554,СПРАВОЧНИКИ!$A$7:$E$22,4,FALSE)),0))</f>
        <v/>
      </c>
      <c r="T554" s="26" t="str">
        <f>IF(A554="","",IF(L554="Проведён",E554*IF(COUNTIF(Типы,C554)=0,0,VLOOKUP(C554,СПРАВОЧНИКИ!$A$7:$E$22,5,FALSE)),0))</f>
        <v/>
      </c>
      <c r="U554" s="5" t="str">
        <f>IF(A554="","",IF(COUNTIF(Контрагенты,H554)=0,"Не задан",VLOOKUP(H554,СПРАВОЧНИКИ!$G$7:$H$66,2,FALSE)))</f>
        <v/>
      </c>
      <c r="V554" s="4" t="str">
        <f>IF(A554="",IF(COUNTA(B554:O554)&gt;0,"НЕТ ID",""),IF(OR(AND(OR(C554="Оплата клиента",C554="Возврат клиенту"),COUNTIFS(Docs[ID],J554,Docs[Тип долга],"ДЗ")&lt;&gt;1),AND(OR(C554="Оплата поставщику",C554="Возврат поставщика"),COUNTIFS(Docs[ID],J554,Docs[Тип долга],"КЗ",Docs[Вид],"&lt;&gt;Дивиденды")&lt;&gt;1),AND(C554="Дивиденды",COUNTIFS(Docs[ID],J554,Docs[Вид],"Дивиденды")&lt;&gt;1),AND(C554="Проценты",COUNTIFS(Docs[ID],J554,Docs[Вид],"Проценты")&lt;&gt;1),COUNTIF(Cash[ID],A554)&gt;1,NOT(ISNUMBER(B554)),B554&lt;НачалоУчета,YEAR(B554)&lt;&gt;Год,NOT(ISNUMBER(E554)),E554&lt;=0,N554&lt;0,COUNTIF(Типы,C554)&lt;&gt;1,COUNTIF(Категории,D554)&lt;&gt;1,COUNTIF(Счета,F554)&lt;&gt;1,COUNTIF(Проекты,I554)&lt;&gt;1,AND(H554&lt;&gt;"",COUNTIF(Контрагенты,H554)&lt;&gt;1),AND(C554="Перевод",OR(F554=G554,COUNTIF(Счета,G554)&lt;&gt;1)),AND(S554&lt;&gt;0,COUNTIF(Docs[ID],J554)&lt;&gt;1),AND(Форма="ООО",C554="Вывод ИП"),AND(Форма="ИП",C554="Дивиденды"),AND(L554&lt;&gt;"Проведён",L554&lt;&gt;"Черновик")),"ОШИБКА","ОК"))</f>
        <v/>
      </c>
      <c r="W554" s="25" t="str">
        <f>IF(A554="","",SUMIF(Accounts[Счёт],F554,Accounts[Начальный])+SUMIFS($Q$7:Q554,$F$7:F554,F554)+SUMIFS($E$7:E554,$G$7:G554,F554,$C$7:C554,"Перевод",$L$7:L554,"Проведён"))</f>
        <v/>
      </c>
    </row>
    <row r="555" spans="1:23" x14ac:dyDescent="0.25">
      <c r="A555" s="22"/>
      <c r="B555" s="23"/>
      <c r="C555" s="22"/>
      <c r="D555" s="22"/>
      <c r="E555" s="27"/>
      <c r="F555" s="22"/>
      <c r="G555" s="22"/>
      <c r="H555" s="22"/>
      <c r="I555" s="22"/>
      <c r="J555" s="22"/>
      <c r="K555" s="22"/>
      <c r="L555" s="22"/>
      <c r="M555" s="22"/>
      <c r="N555" s="27"/>
      <c r="O555" s="22"/>
      <c r="P555" s="5" t="str">
        <f>IF(A555="","",IF(COUNTIF(Типы,C555)=0,0,VLOOKUP(C555,СПРАВОЧНИКИ!$A$7:$E$22,2,FALSE)))</f>
        <v/>
      </c>
      <c r="Q555" s="25" t="str">
        <f t="shared" si="8"/>
        <v/>
      </c>
      <c r="R555" s="5" t="str">
        <f>IF(A555="","",IF(COUNTIF(Типы,C555)=0,"НЕИЗВЕСТНЫЙ ТИП",VLOOKUP(C555,СПРАВОЧНИКИ!$A$7:$E$22,3,FALSE)))</f>
        <v/>
      </c>
      <c r="S555" s="26" t="str">
        <f>IF(A555="","",IF(L555="Проведён",E555*IF(COUNTIF(Типы,C555)=0,0,VLOOKUP(C555,СПРАВОЧНИКИ!$A$7:$E$22,4,FALSE)),0))</f>
        <v/>
      </c>
      <c r="T555" s="26" t="str">
        <f>IF(A555="","",IF(L555="Проведён",E555*IF(COUNTIF(Типы,C555)=0,0,VLOOKUP(C555,СПРАВОЧНИКИ!$A$7:$E$22,5,FALSE)),0))</f>
        <v/>
      </c>
      <c r="U555" s="5" t="str">
        <f>IF(A555="","",IF(COUNTIF(Контрагенты,H555)=0,"Не задан",VLOOKUP(H555,СПРАВОЧНИКИ!$G$7:$H$66,2,FALSE)))</f>
        <v/>
      </c>
      <c r="V555" s="4" t="str">
        <f>IF(A555="",IF(COUNTA(B555:O555)&gt;0,"НЕТ ID",""),IF(OR(AND(OR(C555="Оплата клиента",C555="Возврат клиенту"),COUNTIFS(Docs[ID],J555,Docs[Тип долга],"ДЗ")&lt;&gt;1),AND(OR(C555="Оплата поставщику",C555="Возврат поставщика"),COUNTIFS(Docs[ID],J555,Docs[Тип долга],"КЗ",Docs[Вид],"&lt;&gt;Дивиденды")&lt;&gt;1),AND(C555="Дивиденды",COUNTIFS(Docs[ID],J555,Docs[Вид],"Дивиденды")&lt;&gt;1),AND(C555="Проценты",COUNTIFS(Docs[ID],J555,Docs[Вид],"Проценты")&lt;&gt;1),COUNTIF(Cash[ID],A555)&gt;1,NOT(ISNUMBER(B555)),B555&lt;НачалоУчета,YEAR(B555)&lt;&gt;Год,NOT(ISNUMBER(E555)),E555&lt;=0,N555&lt;0,COUNTIF(Типы,C555)&lt;&gt;1,COUNTIF(Категории,D555)&lt;&gt;1,COUNTIF(Счета,F555)&lt;&gt;1,COUNTIF(Проекты,I555)&lt;&gt;1,AND(H555&lt;&gt;"",COUNTIF(Контрагенты,H555)&lt;&gt;1),AND(C555="Перевод",OR(F555=G555,COUNTIF(Счета,G555)&lt;&gt;1)),AND(S555&lt;&gt;0,COUNTIF(Docs[ID],J555)&lt;&gt;1),AND(Форма="ООО",C555="Вывод ИП"),AND(Форма="ИП",C555="Дивиденды"),AND(L555&lt;&gt;"Проведён",L555&lt;&gt;"Черновик")),"ОШИБКА","ОК"))</f>
        <v/>
      </c>
      <c r="W555" s="25" t="str">
        <f>IF(A555="","",SUMIF(Accounts[Счёт],F555,Accounts[Начальный])+SUMIFS($Q$7:Q555,$F$7:F555,F555)+SUMIFS($E$7:E555,$G$7:G555,F555,$C$7:C555,"Перевод",$L$7:L555,"Проведён"))</f>
        <v/>
      </c>
    </row>
    <row r="556" spans="1:23" x14ac:dyDescent="0.25">
      <c r="A556" s="22"/>
      <c r="B556" s="23"/>
      <c r="C556" s="22"/>
      <c r="D556" s="22"/>
      <c r="E556" s="27"/>
      <c r="F556" s="22"/>
      <c r="G556" s="22"/>
      <c r="H556" s="22"/>
      <c r="I556" s="22"/>
      <c r="J556" s="22"/>
      <c r="K556" s="22"/>
      <c r="L556" s="22"/>
      <c r="M556" s="22"/>
      <c r="N556" s="27"/>
      <c r="O556" s="22"/>
      <c r="P556" s="5" t="str">
        <f>IF(A556="","",IF(COUNTIF(Типы,C556)=0,0,VLOOKUP(C556,СПРАВОЧНИКИ!$A$7:$E$22,2,FALSE)))</f>
        <v/>
      </c>
      <c r="Q556" s="25" t="str">
        <f t="shared" si="8"/>
        <v/>
      </c>
      <c r="R556" s="5" t="str">
        <f>IF(A556="","",IF(COUNTIF(Типы,C556)=0,"НЕИЗВЕСТНЫЙ ТИП",VLOOKUP(C556,СПРАВОЧНИКИ!$A$7:$E$22,3,FALSE)))</f>
        <v/>
      </c>
      <c r="S556" s="26" t="str">
        <f>IF(A556="","",IF(L556="Проведён",E556*IF(COUNTIF(Типы,C556)=0,0,VLOOKUP(C556,СПРАВОЧНИКИ!$A$7:$E$22,4,FALSE)),0))</f>
        <v/>
      </c>
      <c r="T556" s="26" t="str">
        <f>IF(A556="","",IF(L556="Проведён",E556*IF(COUNTIF(Типы,C556)=0,0,VLOOKUP(C556,СПРАВОЧНИКИ!$A$7:$E$22,5,FALSE)),0))</f>
        <v/>
      </c>
      <c r="U556" s="5" t="str">
        <f>IF(A556="","",IF(COUNTIF(Контрагенты,H556)=0,"Не задан",VLOOKUP(H556,СПРАВОЧНИКИ!$G$7:$H$66,2,FALSE)))</f>
        <v/>
      </c>
      <c r="V556" s="4" t="str">
        <f>IF(A556="",IF(COUNTA(B556:O556)&gt;0,"НЕТ ID",""),IF(OR(AND(OR(C556="Оплата клиента",C556="Возврат клиенту"),COUNTIFS(Docs[ID],J556,Docs[Тип долга],"ДЗ")&lt;&gt;1),AND(OR(C556="Оплата поставщику",C556="Возврат поставщика"),COUNTIFS(Docs[ID],J556,Docs[Тип долга],"КЗ",Docs[Вид],"&lt;&gt;Дивиденды")&lt;&gt;1),AND(C556="Дивиденды",COUNTIFS(Docs[ID],J556,Docs[Вид],"Дивиденды")&lt;&gt;1),AND(C556="Проценты",COUNTIFS(Docs[ID],J556,Docs[Вид],"Проценты")&lt;&gt;1),COUNTIF(Cash[ID],A556)&gt;1,NOT(ISNUMBER(B556)),B556&lt;НачалоУчета,YEAR(B556)&lt;&gt;Год,NOT(ISNUMBER(E556)),E556&lt;=0,N556&lt;0,COUNTIF(Типы,C556)&lt;&gt;1,COUNTIF(Категории,D556)&lt;&gt;1,COUNTIF(Счета,F556)&lt;&gt;1,COUNTIF(Проекты,I556)&lt;&gt;1,AND(H556&lt;&gt;"",COUNTIF(Контрагенты,H556)&lt;&gt;1),AND(C556="Перевод",OR(F556=G556,COUNTIF(Счета,G556)&lt;&gt;1)),AND(S556&lt;&gt;0,COUNTIF(Docs[ID],J556)&lt;&gt;1),AND(Форма="ООО",C556="Вывод ИП"),AND(Форма="ИП",C556="Дивиденды"),AND(L556&lt;&gt;"Проведён",L556&lt;&gt;"Черновик")),"ОШИБКА","ОК"))</f>
        <v/>
      </c>
      <c r="W556" s="25" t="str">
        <f>IF(A556="","",SUMIF(Accounts[Счёт],F556,Accounts[Начальный])+SUMIFS($Q$7:Q556,$F$7:F556,F556)+SUMIFS($E$7:E556,$G$7:G556,F556,$C$7:C556,"Перевод",$L$7:L556,"Проведён"))</f>
        <v/>
      </c>
    </row>
    <row r="557" spans="1:23" x14ac:dyDescent="0.25">
      <c r="A557" s="22"/>
      <c r="B557" s="23"/>
      <c r="C557" s="22"/>
      <c r="D557" s="22"/>
      <c r="E557" s="27"/>
      <c r="F557" s="22"/>
      <c r="G557" s="22"/>
      <c r="H557" s="22"/>
      <c r="I557" s="22"/>
      <c r="J557" s="22"/>
      <c r="K557" s="22"/>
      <c r="L557" s="22"/>
      <c r="M557" s="22"/>
      <c r="N557" s="27"/>
      <c r="O557" s="22"/>
      <c r="P557" s="5" t="str">
        <f>IF(A557="","",IF(COUNTIF(Типы,C557)=0,0,VLOOKUP(C557,СПРАВОЧНИКИ!$A$7:$E$22,2,FALSE)))</f>
        <v/>
      </c>
      <c r="Q557" s="25" t="str">
        <f t="shared" si="8"/>
        <v/>
      </c>
      <c r="R557" s="5" t="str">
        <f>IF(A557="","",IF(COUNTIF(Типы,C557)=0,"НЕИЗВЕСТНЫЙ ТИП",VLOOKUP(C557,СПРАВОЧНИКИ!$A$7:$E$22,3,FALSE)))</f>
        <v/>
      </c>
      <c r="S557" s="26" t="str">
        <f>IF(A557="","",IF(L557="Проведён",E557*IF(COUNTIF(Типы,C557)=0,0,VLOOKUP(C557,СПРАВОЧНИКИ!$A$7:$E$22,4,FALSE)),0))</f>
        <v/>
      </c>
      <c r="T557" s="26" t="str">
        <f>IF(A557="","",IF(L557="Проведён",E557*IF(COUNTIF(Типы,C557)=0,0,VLOOKUP(C557,СПРАВОЧНИКИ!$A$7:$E$22,5,FALSE)),0))</f>
        <v/>
      </c>
      <c r="U557" s="5" t="str">
        <f>IF(A557="","",IF(COUNTIF(Контрагенты,H557)=0,"Не задан",VLOOKUP(H557,СПРАВОЧНИКИ!$G$7:$H$66,2,FALSE)))</f>
        <v/>
      </c>
      <c r="V557" s="4" t="str">
        <f>IF(A557="",IF(COUNTA(B557:O557)&gt;0,"НЕТ ID",""),IF(OR(AND(OR(C557="Оплата клиента",C557="Возврат клиенту"),COUNTIFS(Docs[ID],J557,Docs[Тип долга],"ДЗ")&lt;&gt;1),AND(OR(C557="Оплата поставщику",C557="Возврат поставщика"),COUNTIFS(Docs[ID],J557,Docs[Тип долга],"КЗ",Docs[Вид],"&lt;&gt;Дивиденды")&lt;&gt;1),AND(C557="Дивиденды",COUNTIFS(Docs[ID],J557,Docs[Вид],"Дивиденды")&lt;&gt;1),AND(C557="Проценты",COUNTIFS(Docs[ID],J557,Docs[Вид],"Проценты")&lt;&gt;1),COUNTIF(Cash[ID],A557)&gt;1,NOT(ISNUMBER(B557)),B557&lt;НачалоУчета,YEAR(B557)&lt;&gt;Год,NOT(ISNUMBER(E557)),E557&lt;=0,N557&lt;0,COUNTIF(Типы,C557)&lt;&gt;1,COUNTIF(Категории,D557)&lt;&gt;1,COUNTIF(Счета,F557)&lt;&gt;1,COUNTIF(Проекты,I557)&lt;&gt;1,AND(H557&lt;&gt;"",COUNTIF(Контрагенты,H557)&lt;&gt;1),AND(C557="Перевод",OR(F557=G557,COUNTIF(Счета,G557)&lt;&gt;1)),AND(S557&lt;&gt;0,COUNTIF(Docs[ID],J557)&lt;&gt;1),AND(Форма="ООО",C557="Вывод ИП"),AND(Форма="ИП",C557="Дивиденды"),AND(L557&lt;&gt;"Проведён",L557&lt;&gt;"Черновик")),"ОШИБКА","ОК"))</f>
        <v/>
      </c>
      <c r="W557" s="25" t="str">
        <f>IF(A557="","",SUMIF(Accounts[Счёт],F557,Accounts[Начальный])+SUMIFS($Q$7:Q557,$F$7:F557,F557)+SUMIFS($E$7:E557,$G$7:G557,F557,$C$7:C557,"Перевод",$L$7:L557,"Проведён"))</f>
        <v/>
      </c>
    </row>
    <row r="558" spans="1:23" x14ac:dyDescent="0.25">
      <c r="A558" s="22"/>
      <c r="B558" s="23"/>
      <c r="C558" s="22"/>
      <c r="D558" s="22"/>
      <c r="E558" s="27"/>
      <c r="F558" s="22"/>
      <c r="G558" s="22"/>
      <c r="H558" s="22"/>
      <c r="I558" s="22"/>
      <c r="J558" s="22"/>
      <c r="K558" s="22"/>
      <c r="L558" s="22"/>
      <c r="M558" s="22"/>
      <c r="N558" s="27"/>
      <c r="O558" s="22"/>
      <c r="P558" s="5" t="str">
        <f>IF(A558="","",IF(COUNTIF(Типы,C558)=0,0,VLOOKUP(C558,СПРАВОЧНИКИ!$A$7:$E$22,2,FALSE)))</f>
        <v/>
      </c>
      <c r="Q558" s="25" t="str">
        <f t="shared" si="8"/>
        <v/>
      </c>
      <c r="R558" s="5" t="str">
        <f>IF(A558="","",IF(COUNTIF(Типы,C558)=0,"НЕИЗВЕСТНЫЙ ТИП",VLOOKUP(C558,СПРАВОЧНИКИ!$A$7:$E$22,3,FALSE)))</f>
        <v/>
      </c>
      <c r="S558" s="26" t="str">
        <f>IF(A558="","",IF(L558="Проведён",E558*IF(COUNTIF(Типы,C558)=0,0,VLOOKUP(C558,СПРАВОЧНИКИ!$A$7:$E$22,4,FALSE)),0))</f>
        <v/>
      </c>
      <c r="T558" s="26" t="str">
        <f>IF(A558="","",IF(L558="Проведён",E558*IF(COUNTIF(Типы,C558)=0,0,VLOOKUP(C558,СПРАВОЧНИКИ!$A$7:$E$22,5,FALSE)),0))</f>
        <v/>
      </c>
      <c r="U558" s="5" t="str">
        <f>IF(A558="","",IF(COUNTIF(Контрагенты,H558)=0,"Не задан",VLOOKUP(H558,СПРАВОЧНИКИ!$G$7:$H$66,2,FALSE)))</f>
        <v/>
      </c>
      <c r="V558" s="4" t="str">
        <f>IF(A558="",IF(COUNTA(B558:O558)&gt;0,"НЕТ ID",""),IF(OR(AND(OR(C558="Оплата клиента",C558="Возврат клиенту"),COUNTIFS(Docs[ID],J558,Docs[Тип долга],"ДЗ")&lt;&gt;1),AND(OR(C558="Оплата поставщику",C558="Возврат поставщика"),COUNTIFS(Docs[ID],J558,Docs[Тип долга],"КЗ",Docs[Вид],"&lt;&gt;Дивиденды")&lt;&gt;1),AND(C558="Дивиденды",COUNTIFS(Docs[ID],J558,Docs[Вид],"Дивиденды")&lt;&gt;1),AND(C558="Проценты",COUNTIFS(Docs[ID],J558,Docs[Вид],"Проценты")&lt;&gt;1),COUNTIF(Cash[ID],A558)&gt;1,NOT(ISNUMBER(B558)),B558&lt;НачалоУчета,YEAR(B558)&lt;&gt;Год,NOT(ISNUMBER(E558)),E558&lt;=0,N558&lt;0,COUNTIF(Типы,C558)&lt;&gt;1,COUNTIF(Категории,D558)&lt;&gt;1,COUNTIF(Счета,F558)&lt;&gt;1,COUNTIF(Проекты,I558)&lt;&gt;1,AND(H558&lt;&gt;"",COUNTIF(Контрагенты,H558)&lt;&gt;1),AND(C558="Перевод",OR(F558=G558,COUNTIF(Счета,G558)&lt;&gt;1)),AND(S558&lt;&gt;0,COUNTIF(Docs[ID],J558)&lt;&gt;1),AND(Форма="ООО",C558="Вывод ИП"),AND(Форма="ИП",C558="Дивиденды"),AND(L558&lt;&gt;"Проведён",L558&lt;&gt;"Черновик")),"ОШИБКА","ОК"))</f>
        <v/>
      </c>
      <c r="W558" s="25" t="str">
        <f>IF(A558="","",SUMIF(Accounts[Счёт],F558,Accounts[Начальный])+SUMIFS($Q$7:Q558,$F$7:F558,F558)+SUMIFS($E$7:E558,$G$7:G558,F558,$C$7:C558,"Перевод",$L$7:L558,"Проведён"))</f>
        <v/>
      </c>
    </row>
    <row r="559" spans="1:23" x14ac:dyDescent="0.25">
      <c r="A559" s="22"/>
      <c r="B559" s="23"/>
      <c r="C559" s="22"/>
      <c r="D559" s="22"/>
      <c r="E559" s="27"/>
      <c r="F559" s="22"/>
      <c r="G559" s="22"/>
      <c r="H559" s="22"/>
      <c r="I559" s="22"/>
      <c r="J559" s="22"/>
      <c r="K559" s="22"/>
      <c r="L559" s="22"/>
      <c r="M559" s="22"/>
      <c r="N559" s="27"/>
      <c r="O559" s="22"/>
      <c r="P559" s="5" t="str">
        <f>IF(A559="","",IF(COUNTIF(Типы,C559)=0,0,VLOOKUP(C559,СПРАВОЧНИКИ!$A$7:$E$22,2,FALSE)))</f>
        <v/>
      </c>
      <c r="Q559" s="25" t="str">
        <f t="shared" si="8"/>
        <v/>
      </c>
      <c r="R559" s="5" t="str">
        <f>IF(A559="","",IF(COUNTIF(Типы,C559)=0,"НЕИЗВЕСТНЫЙ ТИП",VLOOKUP(C559,СПРАВОЧНИКИ!$A$7:$E$22,3,FALSE)))</f>
        <v/>
      </c>
      <c r="S559" s="26" t="str">
        <f>IF(A559="","",IF(L559="Проведён",E559*IF(COUNTIF(Типы,C559)=0,0,VLOOKUP(C559,СПРАВОЧНИКИ!$A$7:$E$22,4,FALSE)),0))</f>
        <v/>
      </c>
      <c r="T559" s="26" t="str">
        <f>IF(A559="","",IF(L559="Проведён",E559*IF(COUNTIF(Типы,C559)=0,0,VLOOKUP(C559,СПРАВОЧНИКИ!$A$7:$E$22,5,FALSE)),0))</f>
        <v/>
      </c>
      <c r="U559" s="5" t="str">
        <f>IF(A559="","",IF(COUNTIF(Контрагенты,H559)=0,"Не задан",VLOOKUP(H559,СПРАВОЧНИКИ!$G$7:$H$66,2,FALSE)))</f>
        <v/>
      </c>
      <c r="V559" s="4" t="str">
        <f>IF(A559="",IF(COUNTA(B559:O559)&gt;0,"НЕТ ID",""),IF(OR(AND(OR(C559="Оплата клиента",C559="Возврат клиенту"),COUNTIFS(Docs[ID],J559,Docs[Тип долга],"ДЗ")&lt;&gt;1),AND(OR(C559="Оплата поставщику",C559="Возврат поставщика"),COUNTIFS(Docs[ID],J559,Docs[Тип долга],"КЗ",Docs[Вид],"&lt;&gt;Дивиденды")&lt;&gt;1),AND(C559="Дивиденды",COUNTIFS(Docs[ID],J559,Docs[Вид],"Дивиденды")&lt;&gt;1),AND(C559="Проценты",COUNTIFS(Docs[ID],J559,Docs[Вид],"Проценты")&lt;&gt;1),COUNTIF(Cash[ID],A559)&gt;1,NOT(ISNUMBER(B559)),B559&lt;НачалоУчета,YEAR(B559)&lt;&gt;Год,NOT(ISNUMBER(E559)),E559&lt;=0,N559&lt;0,COUNTIF(Типы,C559)&lt;&gt;1,COUNTIF(Категории,D559)&lt;&gt;1,COUNTIF(Счета,F559)&lt;&gt;1,COUNTIF(Проекты,I559)&lt;&gt;1,AND(H559&lt;&gt;"",COUNTIF(Контрагенты,H559)&lt;&gt;1),AND(C559="Перевод",OR(F559=G559,COUNTIF(Счета,G559)&lt;&gt;1)),AND(S559&lt;&gt;0,COUNTIF(Docs[ID],J559)&lt;&gt;1),AND(Форма="ООО",C559="Вывод ИП"),AND(Форма="ИП",C559="Дивиденды"),AND(L559&lt;&gt;"Проведён",L559&lt;&gt;"Черновик")),"ОШИБКА","ОК"))</f>
        <v/>
      </c>
      <c r="W559" s="25" t="str">
        <f>IF(A559="","",SUMIF(Accounts[Счёт],F559,Accounts[Начальный])+SUMIFS($Q$7:Q559,$F$7:F559,F559)+SUMIFS($E$7:E559,$G$7:G559,F559,$C$7:C559,"Перевод",$L$7:L559,"Проведён"))</f>
        <v/>
      </c>
    </row>
    <row r="560" spans="1:23" x14ac:dyDescent="0.25">
      <c r="A560" s="22"/>
      <c r="B560" s="23"/>
      <c r="C560" s="22"/>
      <c r="D560" s="22"/>
      <c r="E560" s="27"/>
      <c r="F560" s="22"/>
      <c r="G560" s="22"/>
      <c r="H560" s="22"/>
      <c r="I560" s="22"/>
      <c r="J560" s="22"/>
      <c r="K560" s="22"/>
      <c r="L560" s="22"/>
      <c r="M560" s="22"/>
      <c r="N560" s="27"/>
      <c r="O560" s="22"/>
      <c r="P560" s="5" t="str">
        <f>IF(A560="","",IF(COUNTIF(Типы,C560)=0,0,VLOOKUP(C560,СПРАВОЧНИКИ!$A$7:$E$22,2,FALSE)))</f>
        <v/>
      </c>
      <c r="Q560" s="25" t="str">
        <f t="shared" si="8"/>
        <v/>
      </c>
      <c r="R560" s="5" t="str">
        <f>IF(A560="","",IF(COUNTIF(Типы,C560)=0,"НЕИЗВЕСТНЫЙ ТИП",VLOOKUP(C560,СПРАВОЧНИКИ!$A$7:$E$22,3,FALSE)))</f>
        <v/>
      </c>
      <c r="S560" s="26" t="str">
        <f>IF(A560="","",IF(L560="Проведён",E560*IF(COUNTIF(Типы,C560)=0,0,VLOOKUP(C560,СПРАВОЧНИКИ!$A$7:$E$22,4,FALSE)),0))</f>
        <v/>
      </c>
      <c r="T560" s="26" t="str">
        <f>IF(A560="","",IF(L560="Проведён",E560*IF(COUNTIF(Типы,C560)=0,0,VLOOKUP(C560,СПРАВОЧНИКИ!$A$7:$E$22,5,FALSE)),0))</f>
        <v/>
      </c>
      <c r="U560" s="5" t="str">
        <f>IF(A560="","",IF(COUNTIF(Контрагенты,H560)=0,"Не задан",VLOOKUP(H560,СПРАВОЧНИКИ!$G$7:$H$66,2,FALSE)))</f>
        <v/>
      </c>
      <c r="V560" s="4" t="str">
        <f>IF(A560="",IF(COUNTA(B560:O560)&gt;0,"НЕТ ID",""),IF(OR(AND(OR(C560="Оплата клиента",C560="Возврат клиенту"),COUNTIFS(Docs[ID],J560,Docs[Тип долга],"ДЗ")&lt;&gt;1),AND(OR(C560="Оплата поставщику",C560="Возврат поставщика"),COUNTIFS(Docs[ID],J560,Docs[Тип долга],"КЗ",Docs[Вид],"&lt;&gt;Дивиденды")&lt;&gt;1),AND(C560="Дивиденды",COUNTIFS(Docs[ID],J560,Docs[Вид],"Дивиденды")&lt;&gt;1),AND(C560="Проценты",COUNTIFS(Docs[ID],J560,Docs[Вид],"Проценты")&lt;&gt;1),COUNTIF(Cash[ID],A560)&gt;1,NOT(ISNUMBER(B560)),B560&lt;НачалоУчета,YEAR(B560)&lt;&gt;Год,NOT(ISNUMBER(E560)),E560&lt;=0,N560&lt;0,COUNTIF(Типы,C560)&lt;&gt;1,COUNTIF(Категории,D560)&lt;&gt;1,COUNTIF(Счета,F560)&lt;&gt;1,COUNTIF(Проекты,I560)&lt;&gt;1,AND(H560&lt;&gt;"",COUNTIF(Контрагенты,H560)&lt;&gt;1),AND(C560="Перевод",OR(F560=G560,COUNTIF(Счета,G560)&lt;&gt;1)),AND(S560&lt;&gt;0,COUNTIF(Docs[ID],J560)&lt;&gt;1),AND(Форма="ООО",C560="Вывод ИП"),AND(Форма="ИП",C560="Дивиденды"),AND(L560&lt;&gt;"Проведён",L560&lt;&gt;"Черновик")),"ОШИБКА","ОК"))</f>
        <v/>
      </c>
      <c r="W560" s="25" t="str">
        <f>IF(A560="","",SUMIF(Accounts[Счёт],F560,Accounts[Начальный])+SUMIFS($Q$7:Q560,$F$7:F560,F560)+SUMIFS($E$7:E560,$G$7:G560,F560,$C$7:C560,"Перевод",$L$7:L560,"Проведён"))</f>
        <v/>
      </c>
    </row>
    <row r="561" spans="1:23" x14ac:dyDescent="0.25">
      <c r="A561" s="22"/>
      <c r="B561" s="23"/>
      <c r="C561" s="22"/>
      <c r="D561" s="22"/>
      <c r="E561" s="27"/>
      <c r="F561" s="22"/>
      <c r="G561" s="22"/>
      <c r="H561" s="22"/>
      <c r="I561" s="22"/>
      <c r="J561" s="22"/>
      <c r="K561" s="22"/>
      <c r="L561" s="22"/>
      <c r="M561" s="22"/>
      <c r="N561" s="27"/>
      <c r="O561" s="22"/>
      <c r="P561" s="5" t="str">
        <f>IF(A561="","",IF(COUNTIF(Типы,C561)=0,0,VLOOKUP(C561,СПРАВОЧНИКИ!$A$7:$E$22,2,FALSE)))</f>
        <v/>
      </c>
      <c r="Q561" s="25" t="str">
        <f t="shared" si="8"/>
        <v/>
      </c>
      <c r="R561" s="5" t="str">
        <f>IF(A561="","",IF(COUNTIF(Типы,C561)=0,"НЕИЗВЕСТНЫЙ ТИП",VLOOKUP(C561,СПРАВОЧНИКИ!$A$7:$E$22,3,FALSE)))</f>
        <v/>
      </c>
      <c r="S561" s="26" t="str">
        <f>IF(A561="","",IF(L561="Проведён",E561*IF(COUNTIF(Типы,C561)=0,0,VLOOKUP(C561,СПРАВОЧНИКИ!$A$7:$E$22,4,FALSE)),0))</f>
        <v/>
      </c>
      <c r="T561" s="26" t="str">
        <f>IF(A561="","",IF(L561="Проведён",E561*IF(COUNTIF(Типы,C561)=0,0,VLOOKUP(C561,СПРАВОЧНИКИ!$A$7:$E$22,5,FALSE)),0))</f>
        <v/>
      </c>
      <c r="U561" s="5" t="str">
        <f>IF(A561="","",IF(COUNTIF(Контрагенты,H561)=0,"Не задан",VLOOKUP(H561,СПРАВОЧНИКИ!$G$7:$H$66,2,FALSE)))</f>
        <v/>
      </c>
      <c r="V561" s="4" t="str">
        <f>IF(A561="",IF(COUNTA(B561:O561)&gt;0,"НЕТ ID",""),IF(OR(AND(OR(C561="Оплата клиента",C561="Возврат клиенту"),COUNTIFS(Docs[ID],J561,Docs[Тип долга],"ДЗ")&lt;&gt;1),AND(OR(C561="Оплата поставщику",C561="Возврат поставщика"),COUNTIFS(Docs[ID],J561,Docs[Тип долга],"КЗ",Docs[Вид],"&lt;&gt;Дивиденды")&lt;&gt;1),AND(C561="Дивиденды",COUNTIFS(Docs[ID],J561,Docs[Вид],"Дивиденды")&lt;&gt;1),AND(C561="Проценты",COUNTIFS(Docs[ID],J561,Docs[Вид],"Проценты")&lt;&gt;1),COUNTIF(Cash[ID],A561)&gt;1,NOT(ISNUMBER(B561)),B561&lt;НачалоУчета,YEAR(B561)&lt;&gt;Год,NOT(ISNUMBER(E561)),E561&lt;=0,N561&lt;0,COUNTIF(Типы,C561)&lt;&gt;1,COUNTIF(Категории,D561)&lt;&gt;1,COUNTIF(Счета,F561)&lt;&gt;1,COUNTIF(Проекты,I561)&lt;&gt;1,AND(H561&lt;&gt;"",COUNTIF(Контрагенты,H561)&lt;&gt;1),AND(C561="Перевод",OR(F561=G561,COUNTIF(Счета,G561)&lt;&gt;1)),AND(S561&lt;&gt;0,COUNTIF(Docs[ID],J561)&lt;&gt;1),AND(Форма="ООО",C561="Вывод ИП"),AND(Форма="ИП",C561="Дивиденды"),AND(L561&lt;&gt;"Проведён",L561&lt;&gt;"Черновик")),"ОШИБКА","ОК"))</f>
        <v/>
      </c>
      <c r="W561" s="25" t="str">
        <f>IF(A561="","",SUMIF(Accounts[Счёт],F561,Accounts[Начальный])+SUMIFS($Q$7:Q561,$F$7:F561,F561)+SUMIFS($E$7:E561,$G$7:G561,F561,$C$7:C561,"Перевод",$L$7:L561,"Проведён"))</f>
        <v/>
      </c>
    </row>
    <row r="562" spans="1:23" x14ac:dyDescent="0.25">
      <c r="A562" s="22"/>
      <c r="B562" s="23"/>
      <c r="C562" s="22"/>
      <c r="D562" s="22"/>
      <c r="E562" s="27"/>
      <c r="F562" s="22"/>
      <c r="G562" s="22"/>
      <c r="H562" s="22"/>
      <c r="I562" s="22"/>
      <c r="J562" s="22"/>
      <c r="K562" s="22"/>
      <c r="L562" s="22"/>
      <c r="M562" s="22"/>
      <c r="N562" s="27"/>
      <c r="O562" s="22"/>
      <c r="P562" s="5" t="str">
        <f>IF(A562="","",IF(COUNTIF(Типы,C562)=0,0,VLOOKUP(C562,СПРАВОЧНИКИ!$A$7:$E$22,2,FALSE)))</f>
        <v/>
      </c>
      <c r="Q562" s="25" t="str">
        <f t="shared" si="8"/>
        <v/>
      </c>
      <c r="R562" s="5" t="str">
        <f>IF(A562="","",IF(COUNTIF(Типы,C562)=0,"НЕИЗВЕСТНЫЙ ТИП",VLOOKUP(C562,СПРАВОЧНИКИ!$A$7:$E$22,3,FALSE)))</f>
        <v/>
      </c>
      <c r="S562" s="26" t="str">
        <f>IF(A562="","",IF(L562="Проведён",E562*IF(COUNTIF(Типы,C562)=0,0,VLOOKUP(C562,СПРАВОЧНИКИ!$A$7:$E$22,4,FALSE)),0))</f>
        <v/>
      </c>
      <c r="T562" s="26" t="str">
        <f>IF(A562="","",IF(L562="Проведён",E562*IF(COUNTIF(Типы,C562)=0,0,VLOOKUP(C562,СПРАВОЧНИКИ!$A$7:$E$22,5,FALSE)),0))</f>
        <v/>
      </c>
      <c r="U562" s="5" t="str">
        <f>IF(A562="","",IF(COUNTIF(Контрагенты,H562)=0,"Не задан",VLOOKUP(H562,СПРАВОЧНИКИ!$G$7:$H$66,2,FALSE)))</f>
        <v/>
      </c>
      <c r="V562" s="4" t="str">
        <f>IF(A562="",IF(COUNTA(B562:O562)&gt;0,"НЕТ ID",""),IF(OR(AND(OR(C562="Оплата клиента",C562="Возврат клиенту"),COUNTIFS(Docs[ID],J562,Docs[Тип долга],"ДЗ")&lt;&gt;1),AND(OR(C562="Оплата поставщику",C562="Возврат поставщика"),COUNTIFS(Docs[ID],J562,Docs[Тип долга],"КЗ",Docs[Вид],"&lt;&gt;Дивиденды")&lt;&gt;1),AND(C562="Дивиденды",COUNTIFS(Docs[ID],J562,Docs[Вид],"Дивиденды")&lt;&gt;1),AND(C562="Проценты",COUNTIFS(Docs[ID],J562,Docs[Вид],"Проценты")&lt;&gt;1),COUNTIF(Cash[ID],A562)&gt;1,NOT(ISNUMBER(B562)),B562&lt;НачалоУчета,YEAR(B562)&lt;&gt;Год,NOT(ISNUMBER(E562)),E562&lt;=0,N562&lt;0,COUNTIF(Типы,C562)&lt;&gt;1,COUNTIF(Категории,D562)&lt;&gt;1,COUNTIF(Счета,F562)&lt;&gt;1,COUNTIF(Проекты,I562)&lt;&gt;1,AND(H562&lt;&gt;"",COUNTIF(Контрагенты,H562)&lt;&gt;1),AND(C562="Перевод",OR(F562=G562,COUNTIF(Счета,G562)&lt;&gt;1)),AND(S562&lt;&gt;0,COUNTIF(Docs[ID],J562)&lt;&gt;1),AND(Форма="ООО",C562="Вывод ИП"),AND(Форма="ИП",C562="Дивиденды"),AND(L562&lt;&gt;"Проведён",L562&lt;&gt;"Черновик")),"ОШИБКА","ОК"))</f>
        <v/>
      </c>
      <c r="W562" s="25" t="str">
        <f>IF(A562="","",SUMIF(Accounts[Счёт],F562,Accounts[Начальный])+SUMIFS($Q$7:Q562,$F$7:F562,F562)+SUMIFS($E$7:E562,$G$7:G562,F562,$C$7:C562,"Перевод",$L$7:L562,"Проведён"))</f>
        <v/>
      </c>
    </row>
    <row r="563" spans="1:23" x14ac:dyDescent="0.25">
      <c r="A563" s="22"/>
      <c r="B563" s="23"/>
      <c r="C563" s="22"/>
      <c r="D563" s="22"/>
      <c r="E563" s="27"/>
      <c r="F563" s="22"/>
      <c r="G563" s="22"/>
      <c r="H563" s="22"/>
      <c r="I563" s="22"/>
      <c r="J563" s="22"/>
      <c r="K563" s="22"/>
      <c r="L563" s="22"/>
      <c r="M563" s="22"/>
      <c r="N563" s="27"/>
      <c r="O563" s="22"/>
      <c r="P563" s="5" t="str">
        <f>IF(A563="","",IF(COUNTIF(Типы,C563)=0,0,VLOOKUP(C563,СПРАВОЧНИКИ!$A$7:$E$22,2,FALSE)))</f>
        <v/>
      </c>
      <c r="Q563" s="25" t="str">
        <f t="shared" si="8"/>
        <v/>
      </c>
      <c r="R563" s="5" t="str">
        <f>IF(A563="","",IF(COUNTIF(Типы,C563)=0,"НЕИЗВЕСТНЫЙ ТИП",VLOOKUP(C563,СПРАВОЧНИКИ!$A$7:$E$22,3,FALSE)))</f>
        <v/>
      </c>
      <c r="S563" s="26" t="str">
        <f>IF(A563="","",IF(L563="Проведён",E563*IF(COUNTIF(Типы,C563)=0,0,VLOOKUP(C563,СПРАВОЧНИКИ!$A$7:$E$22,4,FALSE)),0))</f>
        <v/>
      </c>
      <c r="T563" s="26" t="str">
        <f>IF(A563="","",IF(L563="Проведён",E563*IF(COUNTIF(Типы,C563)=0,0,VLOOKUP(C563,СПРАВОЧНИКИ!$A$7:$E$22,5,FALSE)),0))</f>
        <v/>
      </c>
      <c r="U563" s="5" t="str">
        <f>IF(A563="","",IF(COUNTIF(Контрагенты,H563)=0,"Не задан",VLOOKUP(H563,СПРАВОЧНИКИ!$G$7:$H$66,2,FALSE)))</f>
        <v/>
      </c>
      <c r="V563" s="4" t="str">
        <f>IF(A563="",IF(COUNTA(B563:O563)&gt;0,"НЕТ ID",""),IF(OR(AND(OR(C563="Оплата клиента",C563="Возврат клиенту"),COUNTIFS(Docs[ID],J563,Docs[Тип долга],"ДЗ")&lt;&gt;1),AND(OR(C563="Оплата поставщику",C563="Возврат поставщика"),COUNTIFS(Docs[ID],J563,Docs[Тип долга],"КЗ",Docs[Вид],"&lt;&gt;Дивиденды")&lt;&gt;1),AND(C563="Дивиденды",COUNTIFS(Docs[ID],J563,Docs[Вид],"Дивиденды")&lt;&gt;1),AND(C563="Проценты",COUNTIFS(Docs[ID],J563,Docs[Вид],"Проценты")&lt;&gt;1),COUNTIF(Cash[ID],A563)&gt;1,NOT(ISNUMBER(B563)),B563&lt;НачалоУчета,YEAR(B563)&lt;&gt;Год,NOT(ISNUMBER(E563)),E563&lt;=0,N563&lt;0,COUNTIF(Типы,C563)&lt;&gt;1,COUNTIF(Категории,D563)&lt;&gt;1,COUNTIF(Счета,F563)&lt;&gt;1,COUNTIF(Проекты,I563)&lt;&gt;1,AND(H563&lt;&gt;"",COUNTIF(Контрагенты,H563)&lt;&gt;1),AND(C563="Перевод",OR(F563=G563,COUNTIF(Счета,G563)&lt;&gt;1)),AND(S563&lt;&gt;0,COUNTIF(Docs[ID],J563)&lt;&gt;1),AND(Форма="ООО",C563="Вывод ИП"),AND(Форма="ИП",C563="Дивиденды"),AND(L563&lt;&gt;"Проведён",L563&lt;&gt;"Черновик")),"ОШИБКА","ОК"))</f>
        <v/>
      </c>
      <c r="W563" s="25" t="str">
        <f>IF(A563="","",SUMIF(Accounts[Счёт],F563,Accounts[Начальный])+SUMIFS($Q$7:Q563,$F$7:F563,F563)+SUMIFS($E$7:E563,$G$7:G563,F563,$C$7:C563,"Перевод",$L$7:L563,"Проведён"))</f>
        <v/>
      </c>
    </row>
    <row r="564" spans="1:23" x14ac:dyDescent="0.25">
      <c r="A564" s="22"/>
      <c r="B564" s="23"/>
      <c r="C564" s="22"/>
      <c r="D564" s="22"/>
      <c r="E564" s="27"/>
      <c r="F564" s="22"/>
      <c r="G564" s="22"/>
      <c r="H564" s="22"/>
      <c r="I564" s="22"/>
      <c r="J564" s="22"/>
      <c r="K564" s="22"/>
      <c r="L564" s="22"/>
      <c r="M564" s="22"/>
      <c r="N564" s="27"/>
      <c r="O564" s="22"/>
      <c r="P564" s="5" t="str">
        <f>IF(A564="","",IF(COUNTIF(Типы,C564)=0,0,VLOOKUP(C564,СПРАВОЧНИКИ!$A$7:$E$22,2,FALSE)))</f>
        <v/>
      </c>
      <c r="Q564" s="25" t="str">
        <f t="shared" si="8"/>
        <v/>
      </c>
      <c r="R564" s="5" t="str">
        <f>IF(A564="","",IF(COUNTIF(Типы,C564)=0,"НЕИЗВЕСТНЫЙ ТИП",VLOOKUP(C564,СПРАВОЧНИКИ!$A$7:$E$22,3,FALSE)))</f>
        <v/>
      </c>
      <c r="S564" s="26" t="str">
        <f>IF(A564="","",IF(L564="Проведён",E564*IF(COUNTIF(Типы,C564)=0,0,VLOOKUP(C564,СПРАВОЧНИКИ!$A$7:$E$22,4,FALSE)),0))</f>
        <v/>
      </c>
      <c r="T564" s="26" t="str">
        <f>IF(A564="","",IF(L564="Проведён",E564*IF(COUNTIF(Типы,C564)=0,0,VLOOKUP(C564,СПРАВОЧНИКИ!$A$7:$E$22,5,FALSE)),0))</f>
        <v/>
      </c>
      <c r="U564" s="5" t="str">
        <f>IF(A564="","",IF(COUNTIF(Контрагенты,H564)=0,"Не задан",VLOOKUP(H564,СПРАВОЧНИКИ!$G$7:$H$66,2,FALSE)))</f>
        <v/>
      </c>
      <c r="V564" s="4" t="str">
        <f>IF(A564="",IF(COUNTA(B564:O564)&gt;0,"НЕТ ID",""),IF(OR(AND(OR(C564="Оплата клиента",C564="Возврат клиенту"),COUNTIFS(Docs[ID],J564,Docs[Тип долга],"ДЗ")&lt;&gt;1),AND(OR(C564="Оплата поставщику",C564="Возврат поставщика"),COUNTIFS(Docs[ID],J564,Docs[Тип долга],"КЗ",Docs[Вид],"&lt;&gt;Дивиденды")&lt;&gt;1),AND(C564="Дивиденды",COUNTIFS(Docs[ID],J564,Docs[Вид],"Дивиденды")&lt;&gt;1),AND(C564="Проценты",COUNTIFS(Docs[ID],J564,Docs[Вид],"Проценты")&lt;&gt;1),COUNTIF(Cash[ID],A564)&gt;1,NOT(ISNUMBER(B564)),B564&lt;НачалоУчета,YEAR(B564)&lt;&gt;Год,NOT(ISNUMBER(E564)),E564&lt;=0,N564&lt;0,COUNTIF(Типы,C564)&lt;&gt;1,COUNTIF(Категории,D564)&lt;&gt;1,COUNTIF(Счета,F564)&lt;&gt;1,COUNTIF(Проекты,I564)&lt;&gt;1,AND(H564&lt;&gt;"",COUNTIF(Контрагенты,H564)&lt;&gt;1),AND(C564="Перевод",OR(F564=G564,COUNTIF(Счета,G564)&lt;&gt;1)),AND(S564&lt;&gt;0,COUNTIF(Docs[ID],J564)&lt;&gt;1),AND(Форма="ООО",C564="Вывод ИП"),AND(Форма="ИП",C564="Дивиденды"),AND(L564&lt;&gt;"Проведён",L564&lt;&gt;"Черновик")),"ОШИБКА","ОК"))</f>
        <v/>
      </c>
      <c r="W564" s="25" t="str">
        <f>IF(A564="","",SUMIF(Accounts[Счёт],F564,Accounts[Начальный])+SUMIFS($Q$7:Q564,$F$7:F564,F564)+SUMIFS($E$7:E564,$G$7:G564,F564,$C$7:C564,"Перевод",$L$7:L564,"Проведён"))</f>
        <v/>
      </c>
    </row>
    <row r="565" spans="1:23" x14ac:dyDescent="0.25">
      <c r="A565" s="22"/>
      <c r="B565" s="23"/>
      <c r="C565" s="22"/>
      <c r="D565" s="22"/>
      <c r="E565" s="27"/>
      <c r="F565" s="22"/>
      <c r="G565" s="22"/>
      <c r="H565" s="22"/>
      <c r="I565" s="22"/>
      <c r="J565" s="22"/>
      <c r="K565" s="22"/>
      <c r="L565" s="22"/>
      <c r="M565" s="22"/>
      <c r="N565" s="27"/>
      <c r="O565" s="22"/>
      <c r="P565" s="5" t="str">
        <f>IF(A565="","",IF(COUNTIF(Типы,C565)=0,0,VLOOKUP(C565,СПРАВОЧНИКИ!$A$7:$E$22,2,FALSE)))</f>
        <v/>
      </c>
      <c r="Q565" s="25" t="str">
        <f t="shared" si="8"/>
        <v/>
      </c>
      <c r="R565" s="5" t="str">
        <f>IF(A565="","",IF(COUNTIF(Типы,C565)=0,"НЕИЗВЕСТНЫЙ ТИП",VLOOKUP(C565,СПРАВОЧНИКИ!$A$7:$E$22,3,FALSE)))</f>
        <v/>
      </c>
      <c r="S565" s="26" t="str">
        <f>IF(A565="","",IF(L565="Проведён",E565*IF(COUNTIF(Типы,C565)=0,0,VLOOKUP(C565,СПРАВОЧНИКИ!$A$7:$E$22,4,FALSE)),0))</f>
        <v/>
      </c>
      <c r="T565" s="26" t="str">
        <f>IF(A565="","",IF(L565="Проведён",E565*IF(COUNTIF(Типы,C565)=0,0,VLOOKUP(C565,СПРАВОЧНИКИ!$A$7:$E$22,5,FALSE)),0))</f>
        <v/>
      </c>
      <c r="U565" s="5" t="str">
        <f>IF(A565="","",IF(COUNTIF(Контрагенты,H565)=0,"Не задан",VLOOKUP(H565,СПРАВОЧНИКИ!$G$7:$H$66,2,FALSE)))</f>
        <v/>
      </c>
      <c r="V565" s="4" t="str">
        <f>IF(A565="",IF(COUNTA(B565:O565)&gt;0,"НЕТ ID",""),IF(OR(AND(OR(C565="Оплата клиента",C565="Возврат клиенту"),COUNTIFS(Docs[ID],J565,Docs[Тип долга],"ДЗ")&lt;&gt;1),AND(OR(C565="Оплата поставщику",C565="Возврат поставщика"),COUNTIFS(Docs[ID],J565,Docs[Тип долга],"КЗ",Docs[Вид],"&lt;&gt;Дивиденды")&lt;&gt;1),AND(C565="Дивиденды",COUNTIFS(Docs[ID],J565,Docs[Вид],"Дивиденды")&lt;&gt;1),AND(C565="Проценты",COUNTIFS(Docs[ID],J565,Docs[Вид],"Проценты")&lt;&gt;1),COUNTIF(Cash[ID],A565)&gt;1,NOT(ISNUMBER(B565)),B565&lt;НачалоУчета,YEAR(B565)&lt;&gt;Год,NOT(ISNUMBER(E565)),E565&lt;=0,N565&lt;0,COUNTIF(Типы,C565)&lt;&gt;1,COUNTIF(Категории,D565)&lt;&gt;1,COUNTIF(Счета,F565)&lt;&gt;1,COUNTIF(Проекты,I565)&lt;&gt;1,AND(H565&lt;&gt;"",COUNTIF(Контрагенты,H565)&lt;&gt;1),AND(C565="Перевод",OR(F565=G565,COUNTIF(Счета,G565)&lt;&gt;1)),AND(S565&lt;&gt;0,COUNTIF(Docs[ID],J565)&lt;&gt;1),AND(Форма="ООО",C565="Вывод ИП"),AND(Форма="ИП",C565="Дивиденды"),AND(L565&lt;&gt;"Проведён",L565&lt;&gt;"Черновик")),"ОШИБКА","ОК"))</f>
        <v/>
      </c>
      <c r="W565" s="25" t="str">
        <f>IF(A565="","",SUMIF(Accounts[Счёт],F565,Accounts[Начальный])+SUMIFS($Q$7:Q565,$F$7:F565,F565)+SUMIFS($E$7:E565,$G$7:G565,F565,$C$7:C565,"Перевод",$L$7:L565,"Проведён"))</f>
        <v/>
      </c>
    </row>
    <row r="566" spans="1:23" x14ac:dyDescent="0.25">
      <c r="A566" s="22"/>
      <c r="B566" s="23"/>
      <c r="C566" s="22"/>
      <c r="D566" s="22"/>
      <c r="E566" s="27"/>
      <c r="F566" s="22"/>
      <c r="G566" s="22"/>
      <c r="H566" s="22"/>
      <c r="I566" s="22"/>
      <c r="J566" s="22"/>
      <c r="K566" s="22"/>
      <c r="L566" s="22"/>
      <c r="M566" s="22"/>
      <c r="N566" s="27"/>
      <c r="O566" s="22"/>
      <c r="P566" s="5" t="str">
        <f>IF(A566="","",IF(COUNTIF(Типы,C566)=0,0,VLOOKUP(C566,СПРАВОЧНИКИ!$A$7:$E$22,2,FALSE)))</f>
        <v/>
      </c>
      <c r="Q566" s="25" t="str">
        <f t="shared" si="8"/>
        <v/>
      </c>
      <c r="R566" s="5" t="str">
        <f>IF(A566="","",IF(COUNTIF(Типы,C566)=0,"НЕИЗВЕСТНЫЙ ТИП",VLOOKUP(C566,СПРАВОЧНИКИ!$A$7:$E$22,3,FALSE)))</f>
        <v/>
      </c>
      <c r="S566" s="26" t="str">
        <f>IF(A566="","",IF(L566="Проведён",E566*IF(COUNTIF(Типы,C566)=0,0,VLOOKUP(C566,СПРАВОЧНИКИ!$A$7:$E$22,4,FALSE)),0))</f>
        <v/>
      </c>
      <c r="T566" s="26" t="str">
        <f>IF(A566="","",IF(L566="Проведён",E566*IF(COUNTIF(Типы,C566)=0,0,VLOOKUP(C566,СПРАВОЧНИКИ!$A$7:$E$22,5,FALSE)),0))</f>
        <v/>
      </c>
      <c r="U566" s="5" t="str">
        <f>IF(A566="","",IF(COUNTIF(Контрагенты,H566)=0,"Не задан",VLOOKUP(H566,СПРАВОЧНИКИ!$G$7:$H$66,2,FALSE)))</f>
        <v/>
      </c>
      <c r="V566" s="4" t="str">
        <f>IF(A566="",IF(COUNTA(B566:O566)&gt;0,"НЕТ ID",""),IF(OR(AND(OR(C566="Оплата клиента",C566="Возврат клиенту"),COUNTIFS(Docs[ID],J566,Docs[Тип долга],"ДЗ")&lt;&gt;1),AND(OR(C566="Оплата поставщику",C566="Возврат поставщика"),COUNTIFS(Docs[ID],J566,Docs[Тип долга],"КЗ",Docs[Вид],"&lt;&gt;Дивиденды")&lt;&gt;1),AND(C566="Дивиденды",COUNTIFS(Docs[ID],J566,Docs[Вид],"Дивиденды")&lt;&gt;1),AND(C566="Проценты",COUNTIFS(Docs[ID],J566,Docs[Вид],"Проценты")&lt;&gt;1),COUNTIF(Cash[ID],A566)&gt;1,NOT(ISNUMBER(B566)),B566&lt;НачалоУчета,YEAR(B566)&lt;&gt;Год,NOT(ISNUMBER(E566)),E566&lt;=0,N566&lt;0,COUNTIF(Типы,C566)&lt;&gt;1,COUNTIF(Категории,D566)&lt;&gt;1,COUNTIF(Счета,F566)&lt;&gt;1,COUNTIF(Проекты,I566)&lt;&gt;1,AND(H566&lt;&gt;"",COUNTIF(Контрагенты,H566)&lt;&gt;1),AND(C566="Перевод",OR(F566=G566,COUNTIF(Счета,G566)&lt;&gt;1)),AND(S566&lt;&gt;0,COUNTIF(Docs[ID],J566)&lt;&gt;1),AND(Форма="ООО",C566="Вывод ИП"),AND(Форма="ИП",C566="Дивиденды"),AND(L566&lt;&gt;"Проведён",L566&lt;&gt;"Черновик")),"ОШИБКА","ОК"))</f>
        <v/>
      </c>
      <c r="W566" s="25" t="str">
        <f>IF(A566="","",SUMIF(Accounts[Счёт],F566,Accounts[Начальный])+SUMIFS($Q$7:Q566,$F$7:F566,F566)+SUMIFS($E$7:E566,$G$7:G566,F566,$C$7:C566,"Перевод",$L$7:L566,"Проведён"))</f>
        <v/>
      </c>
    </row>
    <row r="567" spans="1:23" x14ac:dyDescent="0.25">
      <c r="A567" s="22"/>
      <c r="B567" s="23"/>
      <c r="C567" s="22"/>
      <c r="D567" s="22"/>
      <c r="E567" s="27"/>
      <c r="F567" s="22"/>
      <c r="G567" s="22"/>
      <c r="H567" s="22"/>
      <c r="I567" s="22"/>
      <c r="J567" s="22"/>
      <c r="K567" s="22"/>
      <c r="L567" s="22"/>
      <c r="M567" s="22"/>
      <c r="N567" s="27"/>
      <c r="O567" s="22"/>
      <c r="P567" s="5" t="str">
        <f>IF(A567="","",IF(COUNTIF(Типы,C567)=0,0,VLOOKUP(C567,СПРАВОЧНИКИ!$A$7:$E$22,2,FALSE)))</f>
        <v/>
      </c>
      <c r="Q567" s="25" t="str">
        <f t="shared" si="8"/>
        <v/>
      </c>
      <c r="R567" s="5" t="str">
        <f>IF(A567="","",IF(COUNTIF(Типы,C567)=0,"НЕИЗВЕСТНЫЙ ТИП",VLOOKUP(C567,СПРАВОЧНИКИ!$A$7:$E$22,3,FALSE)))</f>
        <v/>
      </c>
      <c r="S567" s="26" t="str">
        <f>IF(A567="","",IF(L567="Проведён",E567*IF(COUNTIF(Типы,C567)=0,0,VLOOKUP(C567,СПРАВОЧНИКИ!$A$7:$E$22,4,FALSE)),0))</f>
        <v/>
      </c>
      <c r="T567" s="26" t="str">
        <f>IF(A567="","",IF(L567="Проведён",E567*IF(COUNTIF(Типы,C567)=0,0,VLOOKUP(C567,СПРАВОЧНИКИ!$A$7:$E$22,5,FALSE)),0))</f>
        <v/>
      </c>
      <c r="U567" s="5" t="str">
        <f>IF(A567="","",IF(COUNTIF(Контрагенты,H567)=0,"Не задан",VLOOKUP(H567,СПРАВОЧНИКИ!$G$7:$H$66,2,FALSE)))</f>
        <v/>
      </c>
      <c r="V567" s="4" t="str">
        <f>IF(A567="",IF(COUNTA(B567:O567)&gt;0,"НЕТ ID",""),IF(OR(AND(OR(C567="Оплата клиента",C567="Возврат клиенту"),COUNTIFS(Docs[ID],J567,Docs[Тип долга],"ДЗ")&lt;&gt;1),AND(OR(C567="Оплата поставщику",C567="Возврат поставщика"),COUNTIFS(Docs[ID],J567,Docs[Тип долга],"КЗ",Docs[Вид],"&lt;&gt;Дивиденды")&lt;&gt;1),AND(C567="Дивиденды",COUNTIFS(Docs[ID],J567,Docs[Вид],"Дивиденды")&lt;&gt;1),AND(C567="Проценты",COUNTIFS(Docs[ID],J567,Docs[Вид],"Проценты")&lt;&gt;1),COUNTIF(Cash[ID],A567)&gt;1,NOT(ISNUMBER(B567)),B567&lt;НачалоУчета,YEAR(B567)&lt;&gt;Год,NOT(ISNUMBER(E567)),E567&lt;=0,N567&lt;0,COUNTIF(Типы,C567)&lt;&gt;1,COUNTIF(Категории,D567)&lt;&gt;1,COUNTIF(Счета,F567)&lt;&gt;1,COUNTIF(Проекты,I567)&lt;&gt;1,AND(H567&lt;&gt;"",COUNTIF(Контрагенты,H567)&lt;&gt;1),AND(C567="Перевод",OR(F567=G567,COUNTIF(Счета,G567)&lt;&gt;1)),AND(S567&lt;&gt;0,COUNTIF(Docs[ID],J567)&lt;&gt;1),AND(Форма="ООО",C567="Вывод ИП"),AND(Форма="ИП",C567="Дивиденды"),AND(L567&lt;&gt;"Проведён",L567&lt;&gt;"Черновик")),"ОШИБКА","ОК"))</f>
        <v/>
      </c>
      <c r="W567" s="25" t="str">
        <f>IF(A567="","",SUMIF(Accounts[Счёт],F567,Accounts[Начальный])+SUMIFS($Q$7:Q567,$F$7:F567,F567)+SUMIFS($E$7:E567,$G$7:G567,F567,$C$7:C567,"Перевод",$L$7:L567,"Проведён"))</f>
        <v/>
      </c>
    </row>
    <row r="568" spans="1:23" x14ac:dyDescent="0.25">
      <c r="A568" s="22"/>
      <c r="B568" s="23"/>
      <c r="C568" s="22"/>
      <c r="D568" s="22"/>
      <c r="E568" s="27"/>
      <c r="F568" s="22"/>
      <c r="G568" s="22"/>
      <c r="H568" s="22"/>
      <c r="I568" s="22"/>
      <c r="J568" s="22"/>
      <c r="K568" s="22"/>
      <c r="L568" s="22"/>
      <c r="M568" s="22"/>
      <c r="N568" s="27"/>
      <c r="O568" s="22"/>
      <c r="P568" s="5" t="str">
        <f>IF(A568="","",IF(COUNTIF(Типы,C568)=0,0,VLOOKUP(C568,СПРАВОЧНИКИ!$A$7:$E$22,2,FALSE)))</f>
        <v/>
      </c>
      <c r="Q568" s="25" t="str">
        <f t="shared" si="8"/>
        <v/>
      </c>
      <c r="R568" s="5" t="str">
        <f>IF(A568="","",IF(COUNTIF(Типы,C568)=0,"НЕИЗВЕСТНЫЙ ТИП",VLOOKUP(C568,СПРАВОЧНИКИ!$A$7:$E$22,3,FALSE)))</f>
        <v/>
      </c>
      <c r="S568" s="26" t="str">
        <f>IF(A568="","",IF(L568="Проведён",E568*IF(COUNTIF(Типы,C568)=0,0,VLOOKUP(C568,СПРАВОЧНИКИ!$A$7:$E$22,4,FALSE)),0))</f>
        <v/>
      </c>
      <c r="T568" s="26" t="str">
        <f>IF(A568="","",IF(L568="Проведён",E568*IF(COUNTIF(Типы,C568)=0,0,VLOOKUP(C568,СПРАВОЧНИКИ!$A$7:$E$22,5,FALSE)),0))</f>
        <v/>
      </c>
      <c r="U568" s="5" t="str">
        <f>IF(A568="","",IF(COUNTIF(Контрагенты,H568)=0,"Не задан",VLOOKUP(H568,СПРАВОЧНИКИ!$G$7:$H$66,2,FALSE)))</f>
        <v/>
      </c>
      <c r="V568" s="4" t="str">
        <f>IF(A568="",IF(COUNTA(B568:O568)&gt;0,"НЕТ ID",""),IF(OR(AND(OR(C568="Оплата клиента",C568="Возврат клиенту"),COUNTIFS(Docs[ID],J568,Docs[Тип долга],"ДЗ")&lt;&gt;1),AND(OR(C568="Оплата поставщику",C568="Возврат поставщика"),COUNTIFS(Docs[ID],J568,Docs[Тип долга],"КЗ",Docs[Вид],"&lt;&gt;Дивиденды")&lt;&gt;1),AND(C568="Дивиденды",COUNTIFS(Docs[ID],J568,Docs[Вид],"Дивиденды")&lt;&gt;1),AND(C568="Проценты",COUNTIFS(Docs[ID],J568,Docs[Вид],"Проценты")&lt;&gt;1),COUNTIF(Cash[ID],A568)&gt;1,NOT(ISNUMBER(B568)),B568&lt;НачалоУчета,YEAR(B568)&lt;&gt;Год,NOT(ISNUMBER(E568)),E568&lt;=0,N568&lt;0,COUNTIF(Типы,C568)&lt;&gt;1,COUNTIF(Категории,D568)&lt;&gt;1,COUNTIF(Счета,F568)&lt;&gt;1,COUNTIF(Проекты,I568)&lt;&gt;1,AND(H568&lt;&gt;"",COUNTIF(Контрагенты,H568)&lt;&gt;1),AND(C568="Перевод",OR(F568=G568,COUNTIF(Счета,G568)&lt;&gt;1)),AND(S568&lt;&gt;0,COUNTIF(Docs[ID],J568)&lt;&gt;1),AND(Форма="ООО",C568="Вывод ИП"),AND(Форма="ИП",C568="Дивиденды"),AND(L568&lt;&gt;"Проведён",L568&lt;&gt;"Черновик")),"ОШИБКА","ОК"))</f>
        <v/>
      </c>
      <c r="W568" s="25" t="str">
        <f>IF(A568="","",SUMIF(Accounts[Счёт],F568,Accounts[Начальный])+SUMIFS($Q$7:Q568,$F$7:F568,F568)+SUMIFS($E$7:E568,$G$7:G568,F568,$C$7:C568,"Перевод",$L$7:L568,"Проведён"))</f>
        <v/>
      </c>
    </row>
    <row r="569" spans="1:23" x14ac:dyDescent="0.25">
      <c r="A569" s="22"/>
      <c r="B569" s="23"/>
      <c r="C569" s="22"/>
      <c r="D569" s="22"/>
      <c r="E569" s="27"/>
      <c r="F569" s="22"/>
      <c r="G569" s="22"/>
      <c r="H569" s="22"/>
      <c r="I569" s="22"/>
      <c r="J569" s="22"/>
      <c r="K569" s="22"/>
      <c r="L569" s="22"/>
      <c r="M569" s="22"/>
      <c r="N569" s="27"/>
      <c r="O569" s="22"/>
      <c r="P569" s="5" t="str">
        <f>IF(A569="","",IF(COUNTIF(Типы,C569)=0,0,VLOOKUP(C569,СПРАВОЧНИКИ!$A$7:$E$22,2,FALSE)))</f>
        <v/>
      </c>
      <c r="Q569" s="25" t="str">
        <f t="shared" si="8"/>
        <v/>
      </c>
      <c r="R569" s="5" t="str">
        <f>IF(A569="","",IF(COUNTIF(Типы,C569)=0,"НЕИЗВЕСТНЫЙ ТИП",VLOOKUP(C569,СПРАВОЧНИКИ!$A$7:$E$22,3,FALSE)))</f>
        <v/>
      </c>
      <c r="S569" s="26" t="str">
        <f>IF(A569="","",IF(L569="Проведён",E569*IF(COUNTIF(Типы,C569)=0,0,VLOOKUP(C569,СПРАВОЧНИКИ!$A$7:$E$22,4,FALSE)),0))</f>
        <v/>
      </c>
      <c r="T569" s="26" t="str">
        <f>IF(A569="","",IF(L569="Проведён",E569*IF(COUNTIF(Типы,C569)=0,0,VLOOKUP(C569,СПРАВОЧНИКИ!$A$7:$E$22,5,FALSE)),0))</f>
        <v/>
      </c>
      <c r="U569" s="5" t="str">
        <f>IF(A569="","",IF(COUNTIF(Контрагенты,H569)=0,"Не задан",VLOOKUP(H569,СПРАВОЧНИКИ!$G$7:$H$66,2,FALSE)))</f>
        <v/>
      </c>
      <c r="V569" s="4" t="str">
        <f>IF(A569="",IF(COUNTA(B569:O569)&gt;0,"НЕТ ID",""),IF(OR(AND(OR(C569="Оплата клиента",C569="Возврат клиенту"),COUNTIFS(Docs[ID],J569,Docs[Тип долга],"ДЗ")&lt;&gt;1),AND(OR(C569="Оплата поставщику",C569="Возврат поставщика"),COUNTIFS(Docs[ID],J569,Docs[Тип долга],"КЗ",Docs[Вид],"&lt;&gt;Дивиденды")&lt;&gt;1),AND(C569="Дивиденды",COUNTIFS(Docs[ID],J569,Docs[Вид],"Дивиденды")&lt;&gt;1),AND(C569="Проценты",COUNTIFS(Docs[ID],J569,Docs[Вид],"Проценты")&lt;&gt;1),COUNTIF(Cash[ID],A569)&gt;1,NOT(ISNUMBER(B569)),B569&lt;НачалоУчета,YEAR(B569)&lt;&gt;Год,NOT(ISNUMBER(E569)),E569&lt;=0,N569&lt;0,COUNTIF(Типы,C569)&lt;&gt;1,COUNTIF(Категории,D569)&lt;&gt;1,COUNTIF(Счета,F569)&lt;&gt;1,COUNTIF(Проекты,I569)&lt;&gt;1,AND(H569&lt;&gt;"",COUNTIF(Контрагенты,H569)&lt;&gt;1),AND(C569="Перевод",OR(F569=G569,COUNTIF(Счета,G569)&lt;&gt;1)),AND(S569&lt;&gt;0,COUNTIF(Docs[ID],J569)&lt;&gt;1),AND(Форма="ООО",C569="Вывод ИП"),AND(Форма="ИП",C569="Дивиденды"),AND(L569&lt;&gt;"Проведён",L569&lt;&gt;"Черновик")),"ОШИБКА","ОК"))</f>
        <v/>
      </c>
      <c r="W569" s="25" t="str">
        <f>IF(A569="","",SUMIF(Accounts[Счёт],F569,Accounts[Начальный])+SUMIFS($Q$7:Q569,$F$7:F569,F569)+SUMIFS($E$7:E569,$G$7:G569,F569,$C$7:C569,"Перевод",$L$7:L569,"Проведён"))</f>
        <v/>
      </c>
    </row>
    <row r="570" spans="1:23" x14ac:dyDescent="0.25">
      <c r="A570" s="22"/>
      <c r="B570" s="23"/>
      <c r="C570" s="22"/>
      <c r="D570" s="22"/>
      <c r="E570" s="27"/>
      <c r="F570" s="22"/>
      <c r="G570" s="22"/>
      <c r="H570" s="22"/>
      <c r="I570" s="22"/>
      <c r="J570" s="22"/>
      <c r="K570" s="22"/>
      <c r="L570" s="22"/>
      <c r="M570" s="22"/>
      <c r="N570" s="27"/>
      <c r="O570" s="22"/>
      <c r="P570" s="5" t="str">
        <f>IF(A570="","",IF(COUNTIF(Типы,C570)=0,0,VLOOKUP(C570,СПРАВОЧНИКИ!$A$7:$E$22,2,FALSE)))</f>
        <v/>
      </c>
      <c r="Q570" s="25" t="str">
        <f t="shared" si="8"/>
        <v/>
      </c>
      <c r="R570" s="5" t="str">
        <f>IF(A570="","",IF(COUNTIF(Типы,C570)=0,"НЕИЗВЕСТНЫЙ ТИП",VLOOKUP(C570,СПРАВОЧНИКИ!$A$7:$E$22,3,FALSE)))</f>
        <v/>
      </c>
      <c r="S570" s="26" t="str">
        <f>IF(A570="","",IF(L570="Проведён",E570*IF(COUNTIF(Типы,C570)=0,0,VLOOKUP(C570,СПРАВОЧНИКИ!$A$7:$E$22,4,FALSE)),0))</f>
        <v/>
      </c>
      <c r="T570" s="26" t="str">
        <f>IF(A570="","",IF(L570="Проведён",E570*IF(COUNTIF(Типы,C570)=0,0,VLOOKUP(C570,СПРАВОЧНИКИ!$A$7:$E$22,5,FALSE)),0))</f>
        <v/>
      </c>
      <c r="U570" s="5" t="str">
        <f>IF(A570="","",IF(COUNTIF(Контрагенты,H570)=0,"Не задан",VLOOKUP(H570,СПРАВОЧНИКИ!$G$7:$H$66,2,FALSE)))</f>
        <v/>
      </c>
      <c r="V570" s="4" t="str">
        <f>IF(A570="",IF(COUNTA(B570:O570)&gt;0,"НЕТ ID",""),IF(OR(AND(OR(C570="Оплата клиента",C570="Возврат клиенту"),COUNTIFS(Docs[ID],J570,Docs[Тип долга],"ДЗ")&lt;&gt;1),AND(OR(C570="Оплата поставщику",C570="Возврат поставщика"),COUNTIFS(Docs[ID],J570,Docs[Тип долга],"КЗ",Docs[Вид],"&lt;&gt;Дивиденды")&lt;&gt;1),AND(C570="Дивиденды",COUNTIFS(Docs[ID],J570,Docs[Вид],"Дивиденды")&lt;&gt;1),AND(C570="Проценты",COUNTIFS(Docs[ID],J570,Docs[Вид],"Проценты")&lt;&gt;1),COUNTIF(Cash[ID],A570)&gt;1,NOT(ISNUMBER(B570)),B570&lt;НачалоУчета,YEAR(B570)&lt;&gt;Год,NOT(ISNUMBER(E570)),E570&lt;=0,N570&lt;0,COUNTIF(Типы,C570)&lt;&gt;1,COUNTIF(Категории,D570)&lt;&gt;1,COUNTIF(Счета,F570)&lt;&gt;1,COUNTIF(Проекты,I570)&lt;&gt;1,AND(H570&lt;&gt;"",COUNTIF(Контрагенты,H570)&lt;&gt;1),AND(C570="Перевод",OR(F570=G570,COUNTIF(Счета,G570)&lt;&gt;1)),AND(S570&lt;&gt;0,COUNTIF(Docs[ID],J570)&lt;&gt;1),AND(Форма="ООО",C570="Вывод ИП"),AND(Форма="ИП",C570="Дивиденды"),AND(L570&lt;&gt;"Проведён",L570&lt;&gt;"Черновик")),"ОШИБКА","ОК"))</f>
        <v/>
      </c>
      <c r="W570" s="25" t="str">
        <f>IF(A570="","",SUMIF(Accounts[Счёт],F570,Accounts[Начальный])+SUMIFS($Q$7:Q570,$F$7:F570,F570)+SUMIFS($E$7:E570,$G$7:G570,F570,$C$7:C570,"Перевод",$L$7:L570,"Проведён"))</f>
        <v/>
      </c>
    </row>
    <row r="571" spans="1:23" x14ac:dyDescent="0.25">
      <c r="A571" s="22"/>
      <c r="B571" s="23"/>
      <c r="C571" s="22"/>
      <c r="D571" s="22"/>
      <c r="E571" s="27"/>
      <c r="F571" s="22"/>
      <c r="G571" s="22"/>
      <c r="H571" s="22"/>
      <c r="I571" s="22"/>
      <c r="J571" s="22"/>
      <c r="K571" s="22"/>
      <c r="L571" s="22"/>
      <c r="M571" s="22"/>
      <c r="N571" s="27"/>
      <c r="O571" s="22"/>
      <c r="P571" s="5" t="str">
        <f>IF(A571="","",IF(COUNTIF(Типы,C571)=0,0,VLOOKUP(C571,СПРАВОЧНИКИ!$A$7:$E$22,2,FALSE)))</f>
        <v/>
      </c>
      <c r="Q571" s="25" t="str">
        <f t="shared" si="8"/>
        <v/>
      </c>
      <c r="R571" s="5" t="str">
        <f>IF(A571="","",IF(COUNTIF(Типы,C571)=0,"НЕИЗВЕСТНЫЙ ТИП",VLOOKUP(C571,СПРАВОЧНИКИ!$A$7:$E$22,3,FALSE)))</f>
        <v/>
      </c>
      <c r="S571" s="26" t="str">
        <f>IF(A571="","",IF(L571="Проведён",E571*IF(COUNTIF(Типы,C571)=0,0,VLOOKUP(C571,СПРАВОЧНИКИ!$A$7:$E$22,4,FALSE)),0))</f>
        <v/>
      </c>
      <c r="T571" s="26" t="str">
        <f>IF(A571="","",IF(L571="Проведён",E571*IF(COUNTIF(Типы,C571)=0,0,VLOOKUP(C571,СПРАВОЧНИКИ!$A$7:$E$22,5,FALSE)),0))</f>
        <v/>
      </c>
      <c r="U571" s="5" t="str">
        <f>IF(A571="","",IF(COUNTIF(Контрагенты,H571)=0,"Не задан",VLOOKUP(H571,СПРАВОЧНИКИ!$G$7:$H$66,2,FALSE)))</f>
        <v/>
      </c>
      <c r="V571" s="4" t="str">
        <f>IF(A571="",IF(COUNTA(B571:O571)&gt;0,"НЕТ ID",""),IF(OR(AND(OR(C571="Оплата клиента",C571="Возврат клиенту"),COUNTIFS(Docs[ID],J571,Docs[Тип долга],"ДЗ")&lt;&gt;1),AND(OR(C571="Оплата поставщику",C571="Возврат поставщика"),COUNTIFS(Docs[ID],J571,Docs[Тип долга],"КЗ",Docs[Вид],"&lt;&gt;Дивиденды")&lt;&gt;1),AND(C571="Дивиденды",COUNTIFS(Docs[ID],J571,Docs[Вид],"Дивиденды")&lt;&gt;1),AND(C571="Проценты",COUNTIFS(Docs[ID],J571,Docs[Вид],"Проценты")&lt;&gt;1),COUNTIF(Cash[ID],A571)&gt;1,NOT(ISNUMBER(B571)),B571&lt;НачалоУчета,YEAR(B571)&lt;&gt;Год,NOT(ISNUMBER(E571)),E571&lt;=0,N571&lt;0,COUNTIF(Типы,C571)&lt;&gt;1,COUNTIF(Категории,D571)&lt;&gt;1,COUNTIF(Счета,F571)&lt;&gt;1,COUNTIF(Проекты,I571)&lt;&gt;1,AND(H571&lt;&gt;"",COUNTIF(Контрагенты,H571)&lt;&gt;1),AND(C571="Перевод",OR(F571=G571,COUNTIF(Счета,G571)&lt;&gt;1)),AND(S571&lt;&gt;0,COUNTIF(Docs[ID],J571)&lt;&gt;1),AND(Форма="ООО",C571="Вывод ИП"),AND(Форма="ИП",C571="Дивиденды"),AND(L571&lt;&gt;"Проведён",L571&lt;&gt;"Черновик")),"ОШИБКА","ОК"))</f>
        <v/>
      </c>
      <c r="W571" s="25" t="str">
        <f>IF(A571="","",SUMIF(Accounts[Счёт],F571,Accounts[Начальный])+SUMIFS($Q$7:Q571,$F$7:F571,F571)+SUMIFS($E$7:E571,$G$7:G571,F571,$C$7:C571,"Перевод",$L$7:L571,"Проведён"))</f>
        <v/>
      </c>
    </row>
    <row r="572" spans="1:23" x14ac:dyDescent="0.25">
      <c r="A572" s="22"/>
      <c r="B572" s="23"/>
      <c r="C572" s="22"/>
      <c r="D572" s="22"/>
      <c r="E572" s="27"/>
      <c r="F572" s="22"/>
      <c r="G572" s="22"/>
      <c r="H572" s="22"/>
      <c r="I572" s="22"/>
      <c r="J572" s="22"/>
      <c r="K572" s="22"/>
      <c r="L572" s="22"/>
      <c r="M572" s="22"/>
      <c r="N572" s="27"/>
      <c r="O572" s="22"/>
      <c r="P572" s="5" t="str">
        <f>IF(A572="","",IF(COUNTIF(Типы,C572)=0,0,VLOOKUP(C572,СПРАВОЧНИКИ!$A$7:$E$22,2,FALSE)))</f>
        <v/>
      </c>
      <c r="Q572" s="25" t="str">
        <f t="shared" si="8"/>
        <v/>
      </c>
      <c r="R572" s="5" t="str">
        <f>IF(A572="","",IF(COUNTIF(Типы,C572)=0,"НЕИЗВЕСТНЫЙ ТИП",VLOOKUP(C572,СПРАВОЧНИКИ!$A$7:$E$22,3,FALSE)))</f>
        <v/>
      </c>
      <c r="S572" s="26" t="str">
        <f>IF(A572="","",IF(L572="Проведён",E572*IF(COUNTIF(Типы,C572)=0,0,VLOOKUP(C572,СПРАВОЧНИКИ!$A$7:$E$22,4,FALSE)),0))</f>
        <v/>
      </c>
      <c r="T572" s="26" t="str">
        <f>IF(A572="","",IF(L572="Проведён",E572*IF(COUNTIF(Типы,C572)=0,0,VLOOKUP(C572,СПРАВОЧНИКИ!$A$7:$E$22,5,FALSE)),0))</f>
        <v/>
      </c>
      <c r="U572" s="5" t="str">
        <f>IF(A572="","",IF(COUNTIF(Контрагенты,H572)=0,"Не задан",VLOOKUP(H572,СПРАВОЧНИКИ!$G$7:$H$66,2,FALSE)))</f>
        <v/>
      </c>
      <c r="V572" s="4" t="str">
        <f>IF(A572="",IF(COUNTA(B572:O572)&gt;0,"НЕТ ID",""),IF(OR(AND(OR(C572="Оплата клиента",C572="Возврат клиенту"),COUNTIFS(Docs[ID],J572,Docs[Тип долга],"ДЗ")&lt;&gt;1),AND(OR(C572="Оплата поставщику",C572="Возврат поставщика"),COUNTIFS(Docs[ID],J572,Docs[Тип долга],"КЗ",Docs[Вид],"&lt;&gt;Дивиденды")&lt;&gt;1),AND(C572="Дивиденды",COUNTIFS(Docs[ID],J572,Docs[Вид],"Дивиденды")&lt;&gt;1),AND(C572="Проценты",COUNTIFS(Docs[ID],J572,Docs[Вид],"Проценты")&lt;&gt;1),COUNTIF(Cash[ID],A572)&gt;1,NOT(ISNUMBER(B572)),B572&lt;НачалоУчета,YEAR(B572)&lt;&gt;Год,NOT(ISNUMBER(E572)),E572&lt;=0,N572&lt;0,COUNTIF(Типы,C572)&lt;&gt;1,COUNTIF(Категории,D572)&lt;&gt;1,COUNTIF(Счета,F572)&lt;&gt;1,COUNTIF(Проекты,I572)&lt;&gt;1,AND(H572&lt;&gt;"",COUNTIF(Контрагенты,H572)&lt;&gt;1),AND(C572="Перевод",OR(F572=G572,COUNTIF(Счета,G572)&lt;&gt;1)),AND(S572&lt;&gt;0,COUNTIF(Docs[ID],J572)&lt;&gt;1),AND(Форма="ООО",C572="Вывод ИП"),AND(Форма="ИП",C572="Дивиденды"),AND(L572&lt;&gt;"Проведён",L572&lt;&gt;"Черновик")),"ОШИБКА","ОК"))</f>
        <v/>
      </c>
      <c r="W572" s="25" t="str">
        <f>IF(A572="","",SUMIF(Accounts[Счёт],F572,Accounts[Начальный])+SUMIFS($Q$7:Q572,$F$7:F572,F572)+SUMIFS($E$7:E572,$G$7:G572,F572,$C$7:C572,"Перевод",$L$7:L572,"Проведён"))</f>
        <v/>
      </c>
    </row>
    <row r="573" spans="1:23" x14ac:dyDescent="0.25">
      <c r="A573" s="22"/>
      <c r="B573" s="23"/>
      <c r="C573" s="22"/>
      <c r="D573" s="22"/>
      <c r="E573" s="27"/>
      <c r="F573" s="22"/>
      <c r="G573" s="22"/>
      <c r="H573" s="22"/>
      <c r="I573" s="22"/>
      <c r="J573" s="22"/>
      <c r="K573" s="22"/>
      <c r="L573" s="22"/>
      <c r="M573" s="22"/>
      <c r="N573" s="27"/>
      <c r="O573" s="22"/>
      <c r="P573" s="5" t="str">
        <f>IF(A573="","",IF(COUNTIF(Типы,C573)=0,0,VLOOKUP(C573,СПРАВОЧНИКИ!$A$7:$E$22,2,FALSE)))</f>
        <v/>
      </c>
      <c r="Q573" s="25" t="str">
        <f t="shared" si="8"/>
        <v/>
      </c>
      <c r="R573" s="5" t="str">
        <f>IF(A573="","",IF(COUNTIF(Типы,C573)=0,"НЕИЗВЕСТНЫЙ ТИП",VLOOKUP(C573,СПРАВОЧНИКИ!$A$7:$E$22,3,FALSE)))</f>
        <v/>
      </c>
      <c r="S573" s="26" t="str">
        <f>IF(A573="","",IF(L573="Проведён",E573*IF(COUNTIF(Типы,C573)=0,0,VLOOKUP(C573,СПРАВОЧНИКИ!$A$7:$E$22,4,FALSE)),0))</f>
        <v/>
      </c>
      <c r="T573" s="26" t="str">
        <f>IF(A573="","",IF(L573="Проведён",E573*IF(COUNTIF(Типы,C573)=0,0,VLOOKUP(C573,СПРАВОЧНИКИ!$A$7:$E$22,5,FALSE)),0))</f>
        <v/>
      </c>
      <c r="U573" s="5" t="str">
        <f>IF(A573="","",IF(COUNTIF(Контрагенты,H573)=0,"Не задан",VLOOKUP(H573,СПРАВОЧНИКИ!$G$7:$H$66,2,FALSE)))</f>
        <v/>
      </c>
      <c r="V573" s="4" t="str">
        <f>IF(A573="",IF(COUNTA(B573:O573)&gt;0,"НЕТ ID",""),IF(OR(AND(OR(C573="Оплата клиента",C573="Возврат клиенту"),COUNTIFS(Docs[ID],J573,Docs[Тип долга],"ДЗ")&lt;&gt;1),AND(OR(C573="Оплата поставщику",C573="Возврат поставщика"),COUNTIFS(Docs[ID],J573,Docs[Тип долга],"КЗ",Docs[Вид],"&lt;&gt;Дивиденды")&lt;&gt;1),AND(C573="Дивиденды",COUNTIFS(Docs[ID],J573,Docs[Вид],"Дивиденды")&lt;&gt;1),AND(C573="Проценты",COUNTIFS(Docs[ID],J573,Docs[Вид],"Проценты")&lt;&gt;1),COUNTIF(Cash[ID],A573)&gt;1,NOT(ISNUMBER(B573)),B573&lt;НачалоУчета,YEAR(B573)&lt;&gt;Год,NOT(ISNUMBER(E573)),E573&lt;=0,N573&lt;0,COUNTIF(Типы,C573)&lt;&gt;1,COUNTIF(Категории,D573)&lt;&gt;1,COUNTIF(Счета,F573)&lt;&gt;1,COUNTIF(Проекты,I573)&lt;&gt;1,AND(H573&lt;&gt;"",COUNTIF(Контрагенты,H573)&lt;&gt;1),AND(C573="Перевод",OR(F573=G573,COUNTIF(Счета,G573)&lt;&gt;1)),AND(S573&lt;&gt;0,COUNTIF(Docs[ID],J573)&lt;&gt;1),AND(Форма="ООО",C573="Вывод ИП"),AND(Форма="ИП",C573="Дивиденды"),AND(L573&lt;&gt;"Проведён",L573&lt;&gt;"Черновик")),"ОШИБКА","ОК"))</f>
        <v/>
      </c>
      <c r="W573" s="25" t="str">
        <f>IF(A573="","",SUMIF(Accounts[Счёт],F573,Accounts[Начальный])+SUMIFS($Q$7:Q573,$F$7:F573,F573)+SUMIFS($E$7:E573,$G$7:G573,F573,$C$7:C573,"Перевод",$L$7:L573,"Проведён"))</f>
        <v/>
      </c>
    </row>
    <row r="574" spans="1:23" x14ac:dyDescent="0.25">
      <c r="A574" s="22"/>
      <c r="B574" s="23"/>
      <c r="C574" s="22"/>
      <c r="D574" s="22"/>
      <c r="E574" s="27"/>
      <c r="F574" s="22"/>
      <c r="G574" s="22"/>
      <c r="H574" s="22"/>
      <c r="I574" s="22"/>
      <c r="J574" s="22"/>
      <c r="K574" s="22"/>
      <c r="L574" s="22"/>
      <c r="M574" s="22"/>
      <c r="N574" s="27"/>
      <c r="O574" s="22"/>
      <c r="P574" s="5" t="str">
        <f>IF(A574="","",IF(COUNTIF(Типы,C574)=0,0,VLOOKUP(C574,СПРАВОЧНИКИ!$A$7:$E$22,2,FALSE)))</f>
        <v/>
      </c>
      <c r="Q574" s="25" t="str">
        <f t="shared" si="8"/>
        <v/>
      </c>
      <c r="R574" s="5" t="str">
        <f>IF(A574="","",IF(COUNTIF(Типы,C574)=0,"НЕИЗВЕСТНЫЙ ТИП",VLOOKUP(C574,СПРАВОЧНИКИ!$A$7:$E$22,3,FALSE)))</f>
        <v/>
      </c>
      <c r="S574" s="26" t="str">
        <f>IF(A574="","",IF(L574="Проведён",E574*IF(COUNTIF(Типы,C574)=0,0,VLOOKUP(C574,СПРАВОЧНИКИ!$A$7:$E$22,4,FALSE)),0))</f>
        <v/>
      </c>
      <c r="T574" s="26" t="str">
        <f>IF(A574="","",IF(L574="Проведён",E574*IF(COUNTIF(Типы,C574)=0,0,VLOOKUP(C574,СПРАВОЧНИКИ!$A$7:$E$22,5,FALSE)),0))</f>
        <v/>
      </c>
      <c r="U574" s="5" t="str">
        <f>IF(A574="","",IF(COUNTIF(Контрагенты,H574)=0,"Не задан",VLOOKUP(H574,СПРАВОЧНИКИ!$G$7:$H$66,2,FALSE)))</f>
        <v/>
      </c>
      <c r="V574" s="4" t="str">
        <f>IF(A574="",IF(COUNTA(B574:O574)&gt;0,"НЕТ ID",""),IF(OR(AND(OR(C574="Оплата клиента",C574="Возврат клиенту"),COUNTIFS(Docs[ID],J574,Docs[Тип долга],"ДЗ")&lt;&gt;1),AND(OR(C574="Оплата поставщику",C574="Возврат поставщика"),COUNTIFS(Docs[ID],J574,Docs[Тип долга],"КЗ",Docs[Вид],"&lt;&gt;Дивиденды")&lt;&gt;1),AND(C574="Дивиденды",COUNTIFS(Docs[ID],J574,Docs[Вид],"Дивиденды")&lt;&gt;1),AND(C574="Проценты",COUNTIFS(Docs[ID],J574,Docs[Вид],"Проценты")&lt;&gt;1),COUNTIF(Cash[ID],A574)&gt;1,NOT(ISNUMBER(B574)),B574&lt;НачалоУчета,YEAR(B574)&lt;&gt;Год,NOT(ISNUMBER(E574)),E574&lt;=0,N574&lt;0,COUNTIF(Типы,C574)&lt;&gt;1,COUNTIF(Категории,D574)&lt;&gt;1,COUNTIF(Счета,F574)&lt;&gt;1,COUNTIF(Проекты,I574)&lt;&gt;1,AND(H574&lt;&gt;"",COUNTIF(Контрагенты,H574)&lt;&gt;1),AND(C574="Перевод",OR(F574=G574,COUNTIF(Счета,G574)&lt;&gt;1)),AND(S574&lt;&gt;0,COUNTIF(Docs[ID],J574)&lt;&gt;1),AND(Форма="ООО",C574="Вывод ИП"),AND(Форма="ИП",C574="Дивиденды"),AND(L574&lt;&gt;"Проведён",L574&lt;&gt;"Черновик")),"ОШИБКА","ОК"))</f>
        <v/>
      </c>
      <c r="W574" s="25" t="str">
        <f>IF(A574="","",SUMIF(Accounts[Счёт],F574,Accounts[Начальный])+SUMIFS($Q$7:Q574,$F$7:F574,F574)+SUMIFS($E$7:E574,$G$7:G574,F574,$C$7:C574,"Перевод",$L$7:L574,"Проведён"))</f>
        <v/>
      </c>
    </row>
    <row r="575" spans="1:23" x14ac:dyDescent="0.25">
      <c r="A575" s="22"/>
      <c r="B575" s="23"/>
      <c r="C575" s="22"/>
      <c r="D575" s="22"/>
      <c r="E575" s="27"/>
      <c r="F575" s="22"/>
      <c r="G575" s="22"/>
      <c r="H575" s="22"/>
      <c r="I575" s="22"/>
      <c r="J575" s="22"/>
      <c r="K575" s="22"/>
      <c r="L575" s="22"/>
      <c r="M575" s="22"/>
      <c r="N575" s="27"/>
      <c r="O575" s="22"/>
      <c r="P575" s="5" t="str">
        <f>IF(A575="","",IF(COUNTIF(Типы,C575)=0,0,VLOOKUP(C575,СПРАВОЧНИКИ!$A$7:$E$22,2,FALSE)))</f>
        <v/>
      </c>
      <c r="Q575" s="25" t="str">
        <f t="shared" si="8"/>
        <v/>
      </c>
      <c r="R575" s="5" t="str">
        <f>IF(A575="","",IF(COUNTIF(Типы,C575)=0,"НЕИЗВЕСТНЫЙ ТИП",VLOOKUP(C575,СПРАВОЧНИКИ!$A$7:$E$22,3,FALSE)))</f>
        <v/>
      </c>
      <c r="S575" s="26" t="str">
        <f>IF(A575="","",IF(L575="Проведён",E575*IF(COUNTIF(Типы,C575)=0,0,VLOOKUP(C575,СПРАВОЧНИКИ!$A$7:$E$22,4,FALSE)),0))</f>
        <v/>
      </c>
      <c r="T575" s="26" t="str">
        <f>IF(A575="","",IF(L575="Проведён",E575*IF(COUNTIF(Типы,C575)=0,0,VLOOKUP(C575,СПРАВОЧНИКИ!$A$7:$E$22,5,FALSE)),0))</f>
        <v/>
      </c>
      <c r="U575" s="5" t="str">
        <f>IF(A575="","",IF(COUNTIF(Контрагенты,H575)=0,"Не задан",VLOOKUP(H575,СПРАВОЧНИКИ!$G$7:$H$66,2,FALSE)))</f>
        <v/>
      </c>
      <c r="V575" s="4" t="str">
        <f>IF(A575="",IF(COUNTA(B575:O575)&gt;0,"НЕТ ID",""),IF(OR(AND(OR(C575="Оплата клиента",C575="Возврат клиенту"),COUNTIFS(Docs[ID],J575,Docs[Тип долга],"ДЗ")&lt;&gt;1),AND(OR(C575="Оплата поставщику",C575="Возврат поставщика"),COUNTIFS(Docs[ID],J575,Docs[Тип долга],"КЗ",Docs[Вид],"&lt;&gt;Дивиденды")&lt;&gt;1),AND(C575="Дивиденды",COUNTIFS(Docs[ID],J575,Docs[Вид],"Дивиденды")&lt;&gt;1),AND(C575="Проценты",COUNTIFS(Docs[ID],J575,Docs[Вид],"Проценты")&lt;&gt;1),COUNTIF(Cash[ID],A575)&gt;1,NOT(ISNUMBER(B575)),B575&lt;НачалоУчета,YEAR(B575)&lt;&gt;Год,NOT(ISNUMBER(E575)),E575&lt;=0,N575&lt;0,COUNTIF(Типы,C575)&lt;&gt;1,COUNTIF(Категории,D575)&lt;&gt;1,COUNTIF(Счета,F575)&lt;&gt;1,COUNTIF(Проекты,I575)&lt;&gt;1,AND(H575&lt;&gt;"",COUNTIF(Контрагенты,H575)&lt;&gt;1),AND(C575="Перевод",OR(F575=G575,COUNTIF(Счета,G575)&lt;&gt;1)),AND(S575&lt;&gt;0,COUNTIF(Docs[ID],J575)&lt;&gt;1),AND(Форма="ООО",C575="Вывод ИП"),AND(Форма="ИП",C575="Дивиденды"),AND(L575&lt;&gt;"Проведён",L575&lt;&gt;"Черновик")),"ОШИБКА","ОК"))</f>
        <v/>
      </c>
      <c r="W575" s="25" t="str">
        <f>IF(A575="","",SUMIF(Accounts[Счёт],F575,Accounts[Начальный])+SUMIFS($Q$7:Q575,$F$7:F575,F575)+SUMIFS($E$7:E575,$G$7:G575,F575,$C$7:C575,"Перевод",$L$7:L575,"Проведён"))</f>
        <v/>
      </c>
    </row>
    <row r="576" spans="1:23" x14ac:dyDescent="0.25">
      <c r="A576" s="22"/>
      <c r="B576" s="23"/>
      <c r="C576" s="22"/>
      <c r="D576" s="22"/>
      <c r="E576" s="27"/>
      <c r="F576" s="22"/>
      <c r="G576" s="22"/>
      <c r="H576" s="22"/>
      <c r="I576" s="22"/>
      <c r="J576" s="22"/>
      <c r="K576" s="22"/>
      <c r="L576" s="22"/>
      <c r="M576" s="22"/>
      <c r="N576" s="27"/>
      <c r="O576" s="22"/>
      <c r="P576" s="5" t="str">
        <f>IF(A576="","",IF(COUNTIF(Типы,C576)=0,0,VLOOKUP(C576,СПРАВОЧНИКИ!$A$7:$E$22,2,FALSE)))</f>
        <v/>
      </c>
      <c r="Q576" s="25" t="str">
        <f t="shared" si="8"/>
        <v/>
      </c>
      <c r="R576" s="5" t="str">
        <f>IF(A576="","",IF(COUNTIF(Типы,C576)=0,"НЕИЗВЕСТНЫЙ ТИП",VLOOKUP(C576,СПРАВОЧНИКИ!$A$7:$E$22,3,FALSE)))</f>
        <v/>
      </c>
      <c r="S576" s="26" t="str">
        <f>IF(A576="","",IF(L576="Проведён",E576*IF(COUNTIF(Типы,C576)=0,0,VLOOKUP(C576,СПРАВОЧНИКИ!$A$7:$E$22,4,FALSE)),0))</f>
        <v/>
      </c>
      <c r="T576" s="26" t="str">
        <f>IF(A576="","",IF(L576="Проведён",E576*IF(COUNTIF(Типы,C576)=0,0,VLOOKUP(C576,СПРАВОЧНИКИ!$A$7:$E$22,5,FALSE)),0))</f>
        <v/>
      </c>
      <c r="U576" s="5" t="str">
        <f>IF(A576="","",IF(COUNTIF(Контрагенты,H576)=0,"Не задан",VLOOKUP(H576,СПРАВОЧНИКИ!$G$7:$H$66,2,FALSE)))</f>
        <v/>
      </c>
      <c r="V576" s="4" t="str">
        <f>IF(A576="",IF(COUNTA(B576:O576)&gt;0,"НЕТ ID",""),IF(OR(AND(OR(C576="Оплата клиента",C576="Возврат клиенту"),COUNTIFS(Docs[ID],J576,Docs[Тип долга],"ДЗ")&lt;&gt;1),AND(OR(C576="Оплата поставщику",C576="Возврат поставщика"),COUNTIFS(Docs[ID],J576,Docs[Тип долга],"КЗ",Docs[Вид],"&lt;&gt;Дивиденды")&lt;&gt;1),AND(C576="Дивиденды",COUNTIFS(Docs[ID],J576,Docs[Вид],"Дивиденды")&lt;&gt;1),AND(C576="Проценты",COUNTIFS(Docs[ID],J576,Docs[Вид],"Проценты")&lt;&gt;1),COUNTIF(Cash[ID],A576)&gt;1,NOT(ISNUMBER(B576)),B576&lt;НачалоУчета,YEAR(B576)&lt;&gt;Год,NOT(ISNUMBER(E576)),E576&lt;=0,N576&lt;0,COUNTIF(Типы,C576)&lt;&gt;1,COUNTIF(Категории,D576)&lt;&gt;1,COUNTIF(Счета,F576)&lt;&gt;1,COUNTIF(Проекты,I576)&lt;&gt;1,AND(H576&lt;&gt;"",COUNTIF(Контрагенты,H576)&lt;&gt;1),AND(C576="Перевод",OR(F576=G576,COUNTIF(Счета,G576)&lt;&gt;1)),AND(S576&lt;&gt;0,COUNTIF(Docs[ID],J576)&lt;&gt;1),AND(Форма="ООО",C576="Вывод ИП"),AND(Форма="ИП",C576="Дивиденды"),AND(L576&lt;&gt;"Проведён",L576&lt;&gt;"Черновик")),"ОШИБКА","ОК"))</f>
        <v/>
      </c>
      <c r="W576" s="25" t="str">
        <f>IF(A576="","",SUMIF(Accounts[Счёт],F576,Accounts[Начальный])+SUMIFS($Q$7:Q576,$F$7:F576,F576)+SUMIFS($E$7:E576,$G$7:G576,F576,$C$7:C576,"Перевод",$L$7:L576,"Проведён"))</f>
        <v/>
      </c>
    </row>
    <row r="577" spans="1:23" x14ac:dyDescent="0.25">
      <c r="A577" s="22"/>
      <c r="B577" s="23"/>
      <c r="C577" s="22"/>
      <c r="D577" s="22"/>
      <c r="E577" s="27"/>
      <c r="F577" s="22"/>
      <c r="G577" s="22"/>
      <c r="H577" s="22"/>
      <c r="I577" s="22"/>
      <c r="J577" s="22"/>
      <c r="K577" s="22"/>
      <c r="L577" s="22"/>
      <c r="M577" s="22"/>
      <c r="N577" s="27"/>
      <c r="O577" s="22"/>
      <c r="P577" s="5" t="str">
        <f>IF(A577="","",IF(COUNTIF(Типы,C577)=0,0,VLOOKUP(C577,СПРАВОЧНИКИ!$A$7:$E$22,2,FALSE)))</f>
        <v/>
      </c>
      <c r="Q577" s="25" t="str">
        <f t="shared" si="8"/>
        <v/>
      </c>
      <c r="R577" s="5" t="str">
        <f>IF(A577="","",IF(COUNTIF(Типы,C577)=0,"НЕИЗВЕСТНЫЙ ТИП",VLOOKUP(C577,СПРАВОЧНИКИ!$A$7:$E$22,3,FALSE)))</f>
        <v/>
      </c>
      <c r="S577" s="26" t="str">
        <f>IF(A577="","",IF(L577="Проведён",E577*IF(COUNTIF(Типы,C577)=0,0,VLOOKUP(C577,СПРАВОЧНИКИ!$A$7:$E$22,4,FALSE)),0))</f>
        <v/>
      </c>
      <c r="T577" s="26" t="str">
        <f>IF(A577="","",IF(L577="Проведён",E577*IF(COUNTIF(Типы,C577)=0,0,VLOOKUP(C577,СПРАВОЧНИКИ!$A$7:$E$22,5,FALSE)),0))</f>
        <v/>
      </c>
      <c r="U577" s="5" t="str">
        <f>IF(A577="","",IF(COUNTIF(Контрагенты,H577)=0,"Не задан",VLOOKUP(H577,СПРАВОЧНИКИ!$G$7:$H$66,2,FALSE)))</f>
        <v/>
      </c>
      <c r="V577" s="4" t="str">
        <f>IF(A577="",IF(COUNTA(B577:O577)&gt;0,"НЕТ ID",""),IF(OR(AND(OR(C577="Оплата клиента",C577="Возврат клиенту"),COUNTIFS(Docs[ID],J577,Docs[Тип долга],"ДЗ")&lt;&gt;1),AND(OR(C577="Оплата поставщику",C577="Возврат поставщика"),COUNTIFS(Docs[ID],J577,Docs[Тип долга],"КЗ",Docs[Вид],"&lt;&gt;Дивиденды")&lt;&gt;1),AND(C577="Дивиденды",COUNTIFS(Docs[ID],J577,Docs[Вид],"Дивиденды")&lt;&gt;1),AND(C577="Проценты",COUNTIFS(Docs[ID],J577,Docs[Вид],"Проценты")&lt;&gt;1),COUNTIF(Cash[ID],A577)&gt;1,NOT(ISNUMBER(B577)),B577&lt;НачалоУчета,YEAR(B577)&lt;&gt;Год,NOT(ISNUMBER(E577)),E577&lt;=0,N577&lt;0,COUNTIF(Типы,C577)&lt;&gt;1,COUNTIF(Категории,D577)&lt;&gt;1,COUNTIF(Счета,F577)&lt;&gt;1,COUNTIF(Проекты,I577)&lt;&gt;1,AND(H577&lt;&gt;"",COUNTIF(Контрагенты,H577)&lt;&gt;1),AND(C577="Перевод",OR(F577=G577,COUNTIF(Счета,G577)&lt;&gt;1)),AND(S577&lt;&gt;0,COUNTIF(Docs[ID],J577)&lt;&gt;1),AND(Форма="ООО",C577="Вывод ИП"),AND(Форма="ИП",C577="Дивиденды"),AND(L577&lt;&gt;"Проведён",L577&lt;&gt;"Черновик")),"ОШИБКА","ОК"))</f>
        <v/>
      </c>
      <c r="W577" s="25" t="str">
        <f>IF(A577="","",SUMIF(Accounts[Счёт],F577,Accounts[Начальный])+SUMIFS($Q$7:Q577,$F$7:F577,F577)+SUMIFS($E$7:E577,$G$7:G577,F577,$C$7:C577,"Перевод",$L$7:L577,"Проведён"))</f>
        <v/>
      </c>
    </row>
    <row r="578" spans="1:23" x14ac:dyDescent="0.25">
      <c r="A578" s="22"/>
      <c r="B578" s="23"/>
      <c r="C578" s="22"/>
      <c r="D578" s="22"/>
      <c r="E578" s="27"/>
      <c r="F578" s="22"/>
      <c r="G578" s="22"/>
      <c r="H578" s="22"/>
      <c r="I578" s="22"/>
      <c r="J578" s="22"/>
      <c r="K578" s="22"/>
      <c r="L578" s="22"/>
      <c r="M578" s="22"/>
      <c r="N578" s="27"/>
      <c r="O578" s="22"/>
      <c r="P578" s="5" t="str">
        <f>IF(A578="","",IF(COUNTIF(Типы,C578)=0,0,VLOOKUP(C578,СПРАВОЧНИКИ!$A$7:$E$22,2,FALSE)))</f>
        <v/>
      </c>
      <c r="Q578" s="25" t="str">
        <f t="shared" si="8"/>
        <v/>
      </c>
      <c r="R578" s="5" t="str">
        <f>IF(A578="","",IF(COUNTIF(Типы,C578)=0,"НЕИЗВЕСТНЫЙ ТИП",VLOOKUP(C578,СПРАВОЧНИКИ!$A$7:$E$22,3,FALSE)))</f>
        <v/>
      </c>
      <c r="S578" s="26" t="str">
        <f>IF(A578="","",IF(L578="Проведён",E578*IF(COUNTIF(Типы,C578)=0,0,VLOOKUP(C578,СПРАВОЧНИКИ!$A$7:$E$22,4,FALSE)),0))</f>
        <v/>
      </c>
      <c r="T578" s="26" t="str">
        <f>IF(A578="","",IF(L578="Проведён",E578*IF(COUNTIF(Типы,C578)=0,0,VLOOKUP(C578,СПРАВОЧНИКИ!$A$7:$E$22,5,FALSE)),0))</f>
        <v/>
      </c>
      <c r="U578" s="5" t="str">
        <f>IF(A578="","",IF(COUNTIF(Контрагенты,H578)=0,"Не задан",VLOOKUP(H578,СПРАВОЧНИКИ!$G$7:$H$66,2,FALSE)))</f>
        <v/>
      </c>
      <c r="V578" s="4" t="str">
        <f>IF(A578="",IF(COUNTA(B578:O578)&gt;0,"НЕТ ID",""),IF(OR(AND(OR(C578="Оплата клиента",C578="Возврат клиенту"),COUNTIFS(Docs[ID],J578,Docs[Тип долга],"ДЗ")&lt;&gt;1),AND(OR(C578="Оплата поставщику",C578="Возврат поставщика"),COUNTIFS(Docs[ID],J578,Docs[Тип долга],"КЗ",Docs[Вид],"&lt;&gt;Дивиденды")&lt;&gt;1),AND(C578="Дивиденды",COUNTIFS(Docs[ID],J578,Docs[Вид],"Дивиденды")&lt;&gt;1),AND(C578="Проценты",COUNTIFS(Docs[ID],J578,Docs[Вид],"Проценты")&lt;&gt;1),COUNTIF(Cash[ID],A578)&gt;1,NOT(ISNUMBER(B578)),B578&lt;НачалоУчета,YEAR(B578)&lt;&gt;Год,NOT(ISNUMBER(E578)),E578&lt;=0,N578&lt;0,COUNTIF(Типы,C578)&lt;&gt;1,COUNTIF(Категории,D578)&lt;&gt;1,COUNTIF(Счета,F578)&lt;&gt;1,COUNTIF(Проекты,I578)&lt;&gt;1,AND(H578&lt;&gt;"",COUNTIF(Контрагенты,H578)&lt;&gt;1),AND(C578="Перевод",OR(F578=G578,COUNTIF(Счета,G578)&lt;&gt;1)),AND(S578&lt;&gt;0,COUNTIF(Docs[ID],J578)&lt;&gt;1),AND(Форма="ООО",C578="Вывод ИП"),AND(Форма="ИП",C578="Дивиденды"),AND(L578&lt;&gt;"Проведён",L578&lt;&gt;"Черновик")),"ОШИБКА","ОК"))</f>
        <v/>
      </c>
      <c r="W578" s="25" t="str">
        <f>IF(A578="","",SUMIF(Accounts[Счёт],F578,Accounts[Начальный])+SUMIFS($Q$7:Q578,$F$7:F578,F578)+SUMIFS($E$7:E578,$G$7:G578,F578,$C$7:C578,"Перевод",$L$7:L578,"Проведён"))</f>
        <v/>
      </c>
    </row>
    <row r="579" spans="1:23" x14ac:dyDescent="0.25">
      <c r="A579" s="22"/>
      <c r="B579" s="23"/>
      <c r="C579" s="22"/>
      <c r="D579" s="22"/>
      <c r="E579" s="27"/>
      <c r="F579" s="22"/>
      <c r="G579" s="22"/>
      <c r="H579" s="22"/>
      <c r="I579" s="22"/>
      <c r="J579" s="22"/>
      <c r="K579" s="22"/>
      <c r="L579" s="22"/>
      <c r="M579" s="22"/>
      <c r="N579" s="27"/>
      <c r="O579" s="22"/>
      <c r="P579" s="5" t="str">
        <f>IF(A579="","",IF(COUNTIF(Типы,C579)=0,0,VLOOKUP(C579,СПРАВОЧНИКИ!$A$7:$E$22,2,FALSE)))</f>
        <v/>
      </c>
      <c r="Q579" s="25" t="str">
        <f t="shared" si="8"/>
        <v/>
      </c>
      <c r="R579" s="5" t="str">
        <f>IF(A579="","",IF(COUNTIF(Типы,C579)=0,"НЕИЗВЕСТНЫЙ ТИП",VLOOKUP(C579,СПРАВОЧНИКИ!$A$7:$E$22,3,FALSE)))</f>
        <v/>
      </c>
      <c r="S579" s="26" t="str">
        <f>IF(A579="","",IF(L579="Проведён",E579*IF(COUNTIF(Типы,C579)=0,0,VLOOKUP(C579,СПРАВОЧНИКИ!$A$7:$E$22,4,FALSE)),0))</f>
        <v/>
      </c>
      <c r="T579" s="26" t="str">
        <f>IF(A579="","",IF(L579="Проведён",E579*IF(COUNTIF(Типы,C579)=0,0,VLOOKUP(C579,СПРАВОЧНИКИ!$A$7:$E$22,5,FALSE)),0))</f>
        <v/>
      </c>
      <c r="U579" s="5" t="str">
        <f>IF(A579="","",IF(COUNTIF(Контрагенты,H579)=0,"Не задан",VLOOKUP(H579,СПРАВОЧНИКИ!$G$7:$H$66,2,FALSE)))</f>
        <v/>
      </c>
      <c r="V579" s="4" t="str">
        <f>IF(A579="",IF(COUNTA(B579:O579)&gt;0,"НЕТ ID",""),IF(OR(AND(OR(C579="Оплата клиента",C579="Возврат клиенту"),COUNTIFS(Docs[ID],J579,Docs[Тип долга],"ДЗ")&lt;&gt;1),AND(OR(C579="Оплата поставщику",C579="Возврат поставщика"),COUNTIFS(Docs[ID],J579,Docs[Тип долга],"КЗ",Docs[Вид],"&lt;&gt;Дивиденды")&lt;&gt;1),AND(C579="Дивиденды",COUNTIFS(Docs[ID],J579,Docs[Вид],"Дивиденды")&lt;&gt;1),AND(C579="Проценты",COUNTIFS(Docs[ID],J579,Docs[Вид],"Проценты")&lt;&gt;1),COUNTIF(Cash[ID],A579)&gt;1,NOT(ISNUMBER(B579)),B579&lt;НачалоУчета,YEAR(B579)&lt;&gt;Год,NOT(ISNUMBER(E579)),E579&lt;=0,N579&lt;0,COUNTIF(Типы,C579)&lt;&gt;1,COUNTIF(Категории,D579)&lt;&gt;1,COUNTIF(Счета,F579)&lt;&gt;1,COUNTIF(Проекты,I579)&lt;&gt;1,AND(H579&lt;&gt;"",COUNTIF(Контрагенты,H579)&lt;&gt;1),AND(C579="Перевод",OR(F579=G579,COUNTIF(Счета,G579)&lt;&gt;1)),AND(S579&lt;&gt;0,COUNTIF(Docs[ID],J579)&lt;&gt;1),AND(Форма="ООО",C579="Вывод ИП"),AND(Форма="ИП",C579="Дивиденды"),AND(L579&lt;&gt;"Проведён",L579&lt;&gt;"Черновик")),"ОШИБКА","ОК"))</f>
        <v/>
      </c>
      <c r="W579" s="25" t="str">
        <f>IF(A579="","",SUMIF(Accounts[Счёт],F579,Accounts[Начальный])+SUMIFS($Q$7:Q579,$F$7:F579,F579)+SUMIFS($E$7:E579,$G$7:G579,F579,$C$7:C579,"Перевод",$L$7:L579,"Проведён"))</f>
        <v/>
      </c>
    </row>
    <row r="580" spans="1:23" x14ac:dyDescent="0.25">
      <c r="A580" s="22"/>
      <c r="B580" s="23"/>
      <c r="C580" s="22"/>
      <c r="D580" s="22"/>
      <c r="E580" s="27"/>
      <c r="F580" s="22"/>
      <c r="G580" s="22"/>
      <c r="H580" s="22"/>
      <c r="I580" s="22"/>
      <c r="J580" s="22"/>
      <c r="K580" s="22"/>
      <c r="L580" s="22"/>
      <c r="M580" s="22"/>
      <c r="N580" s="27"/>
      <c r="O580" s="22"/>
      <c r="P580" s="5" t="str">
        <f>IF(A580="","",IF(COUNTIF(Типы,C580)=0,0,VLOOKUP(C580,СПРАВОЧНИКИ!$A$7:$E$22,2,FALSE)))</f>
        <v/>
      </c>
      <c r="Q580" s="25" t="str">
        <f t="shared" si="8"/>
        <v/>
      </c>
      <c r="R580" s="5" t="str">
        <f>IF(A580="","",IF(COUNTIF(Типы,C580)=0,"НЕИЗВЕСТНЫЙ ТИП",VLOOKUP(C580,СПРАВОЧНИКИ!$A$7:$E$22,3,FALSE)))</f>
        <v/>
      </c>
      <c r="S580" s="26" t="str">
        <f>IF(A580="","",IF(L580="Проведён",E580*IF(COUNTIF(Типы,C580)=0,0,VLOOKUP(C580,СПРАВОЧНИКИ!$A$7:$E$22,4,FALSE)),0))</f>
        <v/>
      </c>
      <c r="T580" s="26" t="str">
        <f>IF(A580="","",IF(L580="Проведён",E580*IF(COUNTIF(Типы,C580)=0,0,VLOOKUP(C580,СПРАВОЧНИКИ!$A$7:$E$22,5,FALSE)),0))</f>
        <v/>
      </c>
      <c r="U580" s="5" t="str">
        <f>IF(A580="","",IF(COUNTIF(Контрагенты,H580)=0,"Не задан",VLOOKUP(H580,СПРАВОЧНИКИ!$G$7:$H$66,2,FALSE)))</f>
        <v/>
      </c>
      <c r="V580" s="4" t="str">
        <f>IF(A580="",IF(COUNTA(B580:O580)&gt;0,"НЕТ ID",""),IF(OR(AND(OR(C580="Оплата клиента",C580="Возврат клиенту"),COUNTIFS(Docs[ID],J580,Docs[Тип долга],"ДЗ")&lt;&gt;1),AND(OR(C580="Оплата поставщику",C580="Возврат поставщика"),COUNTIFS(Docs[ID],J580,Docs[Тип долга],"КЗ",Docs[Вид],"&lt;&gt;Дивиденды")&lt;&gt;1),AND(C580="Дивиденды",COUNTIFS(Docs[ID],J580,Docs[Вид],"Дивиденды")&lt;&gt;1),AND(C580="Проценты",COUNTIFS(Docs[ID],J580,Docs[Вид],"Проценты")&lt;&gt;1),COUNTIF(Cash[ID],A580)&gt;1,NOT(ISNUMBER(B580)),B580&lt;НачалоУчета,YEAR(B580)&lt;&gt;Год,NOT(ISNUMBER(E580)),E580&lt;=0,N580&lt;0,COUNTIF(Типы,C580)&lt;&gt;1,COUNTIF(Категории,D580)&lt;&gt;1,COUNTIF(Счета,F580)&lt;&gt;1,COUNTIF(Проекты,I580)&lt;&gt;1,AND(H580&lt;&gt;"",COUNTIF(Контрагенты,H580)&lt;&gt;1),AND(C580="Перевод",OR(F580=G580,COUNTIF(Счета,G580)&lt;&gt;1)),AND(S580&lt;&gt;0,COUNTIF(Docs[ID],J580)&lt;&gt;1),AND(Форма="ООО",C580="Вывод ИП"),AND(Форма="ИП",C580="Дивиденды"),AND(L580&lt;&gt;"Проведён",L580&lt;&gt;"Черновик")),"ОШИБКА","ОК"))</f>
        <v/>
      </c>
      <c r="W580" s="25" t="str">
        <f>IF(A580="","",SUMIF(Accounts[Счёт],F580,Accounts[Начальный])+SUMIFS($Q$7:Q580,$F$7:F580,F580)+SUMIFS($E$7:E580,$G$7:G580,F580,$C$7:C580,"Перевод",$L$7:L580,"Проведён"))</f>
        <v/>
      </c>
    </row>
    <row r="581" spans="1:23" x14ac:dyDescent="0.25">
      <c r="A581" s="22"/>
      <c r="B581" s="23"/>
      <c r="C581" s="22"/>
      <c r="D581" s="22"/>
      <c r="E581" s="27"/>
      <c r="F581" s="22"/>
      <c r="G581" s="22"/>
      <c r="H581" s="22"/>
      <c r="I581" s="22"/>
      <c r="J581" s="22"/>
      <c r="K581" s="22"/>
      <c r="L581" s="22"/>
      <c r="M581" s="22"/>
      <c r="N581" s="27"/>
      <c r="O581" s="22"/>
      <c r="P581" s="5" t="str">
        <f>IF(A581="","",IF(COUNTIF(Типы,C581)=0,0,VLOOKUP(C581,СПРАВОЧНИКИ!$A$7:$E$22,2,FALSE)))</f>
        <v/>
      </c>
      <c r="Q581" s="25" t="str">
        <f t="shared" si="8"/>
        <v/>
      </c>
      <c r="R581" s="5" t="str">
        <f>IF(A581="","",IF(COUNTIF(Типы,C581)=0,"НЕИЗВЕСТНЫЙ ТИП",VLOOKUP(C581,СПРАВОЧНИКИ!$A$7:$E$22,3,FALSE)))</f>
        <v/>
      </c>
      <c r="S581" s="26" t="str">
        <f>IF(A581="","",IF(L581="Проведён",E581*IF(COUNTIF(Типы,C581)=0,0,VLOOKUP(C581,СПРАВОЧНИКИ!$A$7:$E$22,4,FALSE)),0))</f>
        <v/>
      </c>
      <c r="T581" s="26" t="str">
        <f>IF(A581="","",IF(L581="Проведён",E581*IF(COUNTIF(Типы,C581)=0,0,VLOOKUP(C581,СПРАВОЧНИКИ!$A$7:$E$22,5,FALSE)),0))</f>
        <v/>
      </c>
      <c r="U581" s="5" t="str">
        <f>IF(A581="","",IF(COUNTIF(Контрагенты,H581)=0,"Не задан",VLOOKUP(H581,СПРАВОЧНИКИ!$G$7:$H$66,2,FALSE)))</f>
        <v/>
      </c>
      <c r="V581" s="4" t="str">
        <f>IF(A581="",IF(COUNTA(B581:O581)&gt;0,"НЕТ ID",""),IF(OR(AND(OR(C581="Оплата клиента",C581="Возврат клиенту"),COUNTIFS(Docs[ID],J581,Docs[Тип долга],"ДЗ")&lt;&gt;1),AND(OR(C581="Оплата поставщику",C581="Возврат поставщика"),COUNTIFS(Docs[ID],J581,Docs[Тип долга],"КЗ",Docs[Вид],"&lt;&gt;Дивиденды")&lt;&gt;1),AND(C581="Дивиденды",COUNTIFS(Docs[ID],J581,Docs[Вид],"Дивиденды")&lt;&gt;1),AND(C581="Проценты",COUNTIFS(Docs[ID],J581,Docs[Вид],"Проценты")&lt;&gt;1),COUNTIF(Cash[ID],A581)&gt;1,NOT(ISNUMBER(B581)),B581&lt;НачалоУчета,YEAR(B581)&lt;&gt;Год,NOT(ISNUMBER(E581)),E581&lt;=0,N581&lt;0,COUNTIF(Типы,C581)&lt;&gt;1,COUNTIF(Категории,D581)&lt;&gt;1,COUNTIF(Счета,F581)&lt;&gt;1,COUNTIF(Проекты,I581)&lt;&gt;1,AND(H581&lt;&gt;"",COUNTIF(Контрагенты,H581)&lt;&gt;1),AND(C581="Перевод",OR(F581=G581,COUNTIF(Счета,G581)&lt;&gt;1)),AND(S581&lt;&gt;0,COUNTIF(Docs[ID],J581)&lt;&gt;1),AND(Форма="ООО",C581="Вывод ИП"),AND(Форма="ИП",C581="Дивиденды"),AND(L581&lt;&gt;"Проведён",L581&lt;&gt;"Черновик")),"ОШИБКА","ОК"))</f>
        <v/>
      </c>
      <c r="W581" s="25" t="str">
        <f>IF(A581="","",SUMIF(Accounts[Счёт],F581,Accounts[Начальный])+SUMIFS($Q$7:Q581,$F$7:F581,F581)+SUMIFS($E$7:E581,$G$7:G581,F581,$C$7:C581,"Перевод",$L$7:L581,"Проведён"))</f>
        <v/>
      </c>
    </row>
    <row r="582" spans="1:23" x14ac:dyDescent="0.25">
      <c r="A582" s="22"/>
      <c r="B582" s="23"/>
      <c r="C582" s="22"/>
      <c r="D582" s="22"/>
      <c r="E582" s="27"/>
      <c r="F582" s="22"/>
      <c r="G582" s="22"/>
      <c r="H582" s="22"/>
      <c r="I582" s="22"/>
      <c r="J582" s="22"/>
      <c r="K582" s="22"/>
      <c r="L582" s="22"/>
      <c r="M582" s="22"/>
      <c r="N582" s="27"/>
      <c r="O582" s="22"/>
      <c r="P582" s="5" t="str">
        <f>IF(A582="","",IF(COUNTIF(Типы,C582)=0,0,VLOOKUP(C582,СПРАВОЧНИКИ!$A$7:$E$22,2,FALSE)))</f>
        <v/>
      </c>
      <c r="Q582" s="25" t="str">
        <f t="shared" si="8"/>
        <v/>
      </c>
      <c r="R582" s="5" t="str">
        <f>IF(A582="","",IF(COUNTIF(Типы,C582)=0,"НЕИЗВЕСТНЫЙ ТИП",VLOOKUP(C582,СПРАВОЧНИКИ!$A$7:$E$22,3,FALSE)))</f>
        <v/>
      </c>
      <c r="S582" s="26" t="str">
        <f>IF(A582="","",IF(L582="Проведён",E582*IF(COUNTIF(Типы,C582)=0,0,VLOOKUP(C582,СПРАВОЧНИКИ!$A$7:$E$22,4,FALSE)),0))</f>
        <v/>
      </c>
      <c r="T582" s="26" t="str">
        <f>IF(A582="","",IF(L582="Проведён",E582*IF(COUNTIF(Типы,C582)=0,0,VLOOKUP(C582,СПРАВОЧНИКИ!$A$7:$E$22,5,FALSE)),0))</f>
        <v/>
      </c>
      <c r="U582" s="5" t="str">
        <f>IF(A582="","",IF(COUNTIF(Контрагенты,H582)=0,"Не задан",VLOOKUP(H582,СПРАВОЧНИКИ!$G$7:$H$66,2,FALSE)))</f>
        <v/>
      </c>
      <c r="V582" s="4" t="str">
        <f>IF(A582="",IF(COUNTA(B582:O582)&gt;0,"НЕТ ID",""),IF(OR(AND(OR(C582="Оплата клиента",C582="Возврат клиенту"),COUNTIFS(Docs[ID],J582,Docs[Тип долга],"ДЗ")&lt;&gt;1),AND(OR(C582="Оплата поставщику",C582="Возврат поставщика"),COUNTIFS(Docs[ID],J582,Docs[Тип долга],"КЗ",Docs[Вид],"&lt;&gt;Дивиденды")&lt;&gt;1),AND(C582="Дивиденды",COUNTIFS(Docs[ID],J582,Docs[Вид],"Дивиденды")&lt;&gt;1),AND(C582="Проценты",COUNTIFS(Docs[ID],J582,Docs[Вид],"Проценты")&lt;&gt;1),COUNTIF(Cash[ID],A582)&gt;1,NOT(ISNUMBER(B582)),B582&lt;НачалоУчета,YEAR(B582)&lt;&gt;Год,NOT(ISNUMBER(E582)),E582&lt;=0,N582&lt;0,COUNTIF(Типы,C582)&lt;&gt;1,COUNTIF(Категории,D582)&lt;&gt;1,COUNTIF(Счета,F582)&lt;&gt;1,COUNTIF(Проекты,I582)&lt;&gt;1,AND(H582&lt;&gt;"",COUNTIF(Контрагенты,H582)&lt;&gt;1),AND(C582="Перевод",OR(F582=G582,COUNTIF(Счета,G582)&lt;&gt;1)),AND(S582&lt;&gt;0,COUNTIF(Docs[ID],J582)&lt;&gt;1),AND(Форма="ООО",C582="Вывод ИП"),AND(Форма="ИП",C582="Дивиденды"),AND(L582&lt;&gt;"Проведён",L582&lt;&gt;"Черновик")),"ОШИБКА","ОК"))</f>
        <v/>
      </c>
      <c r="W582" s="25" t="str">
        <f>IF(A582="","",SUMIF(Accounts[Счёт],F582,Accounts[Начальный])+SUMIFS($Q$7:Q582,$F$7:F582,F582)+SUMIFS($E$7:E582,$G$7:G582,F582,$C$7:C582,"Перевод",$L$7:L582,"Проведён"))</f>
        <v/>
      </c>
    </row>
    <row r="583" spans="1:23" x14ac:dyDescent="0.25">
      <c r="A583" s="22"/>
      <c r="B583" s="23"/>
      <c r="C583" s="22"/>
      <c r="D583" s="22"/>
      <c r="E583" s="27"/>
      <c r="F583" s="22"/>
      <c r="G583" s="22"/>
      <c r="H583" s="22"/>
      <c r="I583" s="22"/>
      <c r="J583" s="22"/>
      <c r="K583" s="22"/>
      <c r="L583" s="22"/>
      <c r="M583" s="22"/>
      <c r="N583" s="27"/>
      <c r="O583" s="22"/>
      <c r="P583" s="5" t="str">
        <f>IF(A583="","",IF(COUNTIF(Типы,C583)=0,0,VLOOKUP(C583,СПРАВОЧНИКИ!$A$7:$E$22,2,FALSE)))</f>
        <v/>
      </c>
      <c r="Q583" s="25" t="str">
        <f t="shared" ref="Q583:Q646" si="9">IF(A583="","",IF(L583="Проведён",E583*P583,0))</f>
        <v/>
      </c>
      <c r="R583" s="5" t="str">
        <f>IF(A583="","",IF(COUNTIF(Типы,C583)=0,"НЕИЗВЕСТНЫЙ ТИП",VLOOKUP(C583,СПРАВОЧНИКИ!$A$7:$E$22,3,FALSE)))</f>
        <v/>
      </c>
      <c r="S583" s="26" t="str">
        <f>IF(A583="","",IF(L583="Проведён",E583*IF(COUNTIF(Типы,C583)=0,0,VLOOKUP(C583,СПРАВОЧНИКИ!$A$7:$E$22,4,FALSE)),0))</f>
        <v/>
      </c>
      <c r="T583" s="26" t="str">
        <f>IF(A583="","",IF(L583="Проведён",E583*IF(COUNTIF(Типы,C583)=0,0,VLOOKUP(C583,СПРАВОЧНИКИ!$A$7:$E$22,5,FALSE)),0))</f>
        <v/>
      </c>
      <c r="U583" s="5" t="str">
        <f>IF(A583="","",IF(COUNTIF(Контрагенты,H583)=0,"Не задан",VLOOKUP(H583,СПРАВОЧНИКИ!$G$7:$H$66,2,FALSE)))</f>
        <v/>
      </c>
      <c r="V583" s="4" t="str">
        <f>IF(A583="",IF(COUNTA(B583:O583)&gt;0,"НЕТ ID",""),IF(OR(AND(OR(C583="Оплата клиента",C583="Возврат клиенту"),COUNTIFS(Docs[ID],J583,Docs[Тип долга],"ДЗ")&lt;&gt;1),AND(OR(C583="Оплата поставщику",C583="Возврат поставщика"),COUNTIFS(Docs[ID],J583,Docs[Тип долга],"КЗ",Docs[Вид],"&lt;&gt;Дивиденды")&lt;&gt;1),AND(C583="Дивиденды",COUNTIFS(Docs[ID],J583,Docs[Вид],"Дивиденды")&lt;&gt;1),AND(C583="Проценты",COUNTIFS(Docs[ID],J583,Docs[Вид],"Проценты")&lt;&gt;1),COUNTIF(Cash[ID],A583)&gt;1,NOT(ISNUMBER(B583)),B583&lt;НачалоУчета,YEAR(B583)&lt;&gt;Год,NOT(ISNUMBER(E583)),E583&lt;=0,N583&lt;0,COUNTIF(Типы,C583)&lt;&gt;1,COUNTIF(Категории,D583)&lt;&gt;1,COUNTIF(Счета,F583)&lt;&gt;1,COUNTIF(Проекты,I583)&lt;&gt;1,AND(H583&lt;&gt;"",COUNTIF(Контрагенты,H583)&lt;&gt;1),AND(C583="Перевод",OR(F583=G583,COUNTIF(Счета,G583)&lt;&gt;1)),AND(S583&lt;&gt;0,COUNTIF(Docs[ID],J583)&lt;&gt;1),AND(Форма="ООО",C583="Вывод ИП"),AND(Форма="ИП",C583="Дивиденды"),AND(L583&lt;&gt;"Проведён",L583&lt;&gt;"Черновик")),"ОШИБКА","ОК"))</f>
        <v/>
      </c>
      <c r="W583" s="25" t="str">
        <f>IF(A583="","",SUMIF(Accounts[Счёт],F583,Accounts[Начальный])+SUMIFS($Q$7:Q583,$F$7:F583,F583)+SUMIFS($E$7:E583,$G$7:G583,F583,$C$7:C583,"Перевод",$L$7:L583,"Проведён"))</f>
        <v/>
      </c>
    </row>
    <row r="584" spans="1:23" x14ac:dyDescent="0.25">
      <c r="A584" s="22"/>
      <c r="B584" s="23"/>
      <c r="C584" s="22"/>
      <c r="D584" s="22"/>
      <c r="E584" s="27"/>
      <c r="F584" s="22"/>
      <c r="G584" s="22"/>
      <c r="H584" s="22"/>
      <c r="I584" s="22"/>
      <c r="J584" s="22"/>
      <c r="K584" s="22"/>
      <c r="L584" s="22"/>
      <c r="M584" s="22"/>
      <c r="N584" s="27"/>
      <c r="O584" s="22"/>
      <c r="P584" s="5" t="str">
        <f>IF(A584="","",IF(COUNTIF(Типы,C584)=0,0,VLOOKUP(C584,СПРАВОЧНИКИ!$A$7:$E$22,2,FALSE)))</f>
        <v/>
      </c>
      <c r="Q584" s="25" t="str">
        <f t="shared" si="9"/>
        <v/>
      </c>
      <c r="R584" s="5" t="str">
        <f>IF(A584="","",IF(COUNTIF(Типы,C584)=0,"НЕИЗВЕСТНЫЙ ТИП",VLOOKUP(C584,СПРАВОЧНИКИ!$A$7:$E$22,3,FALSE)))</f>
        <v/>
      </c>
      <c r="S584" s="26" t="str">
        <f>IF(A584="","",IF(L584="Проведён",E584*IF(COUNTIF(Типы,C584)=0,0,VLOOKUP(C584,СПРАВОЧНИКИ!$A$7:$E$22,4,FALSE)),0))</f>
        <v/>
      </c>
      <c r="T584" s="26" t="str">
        <f>IF(A584="","",IF(L584="Проведён",E584*IF(COUNTIF(Типы,C584)=0,0,VLOOKUP(C584,СПРАВОЧНИКИ!$A$7:$E$22,5,FALSE)),0))</f>
        <v/>
      </c>
      <c r="U584" s="5" t="str">
        <f>IF(A584="","",IF(COUNTIF(Контрагенты,H584)=0,"Не задан",VLOOKUP(H584,СПРАВОЧНИКИ!$G$7:$H$66,2,FALSE)))</f>
        <v/>
      </c>
      <c r="V584" s="4" t="str">
        <f>IF(A584="",IF(COUNTA(B584:O584)&gt;0,"НЕТ ID",""),IF(OR(AND(OR(C584="Оплата клиента",C584="Возврат клиенту"),COUNTIFS(Docs[ID],J584,Docs[Тип долга],"ДЗ")&lt;&gt;1),AND(OR(C584="Оплата поставщику",C584="Возврат поставщика"),COUNTIFS(Docs[ID],J584,Docs[Тип долга],"КЗ",Docs[Вид],"&lt;&gt;Дивиденды")&lt;&gt;1),AND(C584="Дивиденды",COUNTIFS(Docs[ID],J584,Docs[Вид],"Дивиденды")&lt;&gt;1),AND(C584="Проценты",COUNTIFS(Docs[ID],J584,Docs[Вид],"Проценты")&lt;&gt;1),COUNTIF(Cash[ID],A584)&gt;1,NOT(ISNUMBER(B584)),B584&lt;НачалоУчета,YEAR(B584)&lt;&gt;Год,NOT(ISNUMBER(E584)),E584&lt;=0,N584&lt;0,COUNTIF(Типы,C584)&lt;&gt;1,COUNTIF(Категории,D584)&lt;&gt;1,COUNTIF(Счета,F584)&lt;&gt;1,COUNTIF(Проекты,I584)&lt;&gt;1,AND(H584&lt;&gt;"",COUNTIF(Контрагенты,H584)&lt;&gt;1),AND(C584="Перевод",OR(F584=G584,COUNTIF(Счета,G584)&lt;&gt;1)),AND(S584&lt;&gt;0,COUNTIF(Docs[ID],J584)&lt;&gt;1),AND(Форма="ООО",C584="Вывод ИП"),AND(Форма="ИП",C584="Дивиденды"),AND(L584&lt;&gt;"Проведён",L584&lt;&gt;"Черновик")),"ОШИБКА","ОК"))</f>
        <v/>
      </c>
      <c r="W584" s="25" t="str">
        <f>IF(A584="","",SUMIF(Accounts[Счёт],F584,Accounts[Начальный])+SUMIFS($Q$7:Q584,$F$7:F584,F584)+SUMIFS($E$7:E584,$G$7:G584,F584,$C$7:C584,"Перевод",$L$7:L584,"Проведён"))</f>
        <v/>
      </c>
    </row>
    <row r="585" spans="1:23" x14ac:dyDescent="0.25">
      <c r="A585" s="22"/>
      <c r="B585" s="23"/>
      <c r="C585" s="22"/>
      <c r="D585" s="22"/>
      <c r="E585" s="27"/>
      <c r="F585" s="22"/>
      <c r="G585" s="22"/>
      <c r="H585" s="22"/>
      <c r="I585" s="22"/>
      <c r="J585" s="22"/>
      <c r="K585" s="22"/>
      <c r="L585" s="22"/>
      <c r="M585" s="22"/>
      <c r="N585" s="27"/>
      <c r="O585" s="22"/>
      <c r="P585" s="5" t="str">
        <f>IF(A585="","",IF(COUNTIF(Типы,C585)=0,0,VLOOKUP(C585,СПРАВОЧНИКИ!$A$7:$E$22,2,FALSE)))</f>
        <v/>
      </c>
      <c r="Q585" s="25" t="str">
        <f t="shared" si="9"/>
        <v/>
      </c>
      <c r="R585" s="5" t="str">
        <f>IF(A585="","",IF(COUNTIF(Типы,C585)=0,"НЕИЗВЕСТНЫЙ ТИП",VLOOKUP(C585,СПРАВОЧНИКИ!$A$7:$E$22,3,FALSE)))</f>
        <v/>
      </c>
      <c r="S585" s="26" t="str">
        <f>IF(A585="","",IF(L585="Проведён",E585*IF(COUNTIF(Типы,C585)=0,0,VLOOKUP(C585,СПРАВОЧНИКИ!$A$7:$E$22,4,FALSE)),0))</f>
        <v/>
      </c>
      <c r="T585" s="26" t="str">
        <f>IF(A585="","",IF(L585="Проведён",E585*IF(COUNTIF(Типы,C585)=0,0,VLOOKUP(C585,СПРАВОЧНИКИ!$A$7:$E$22,5,FALSE)),0))</f>
        <v/>
      </c>
      <c r="U585" s="5" t="str">
        <f>IF(A585="","",IF(COUNTIF(Контрагенты,H585)=0,"Не задан",VLOOKUP(H585,СПРАВОЧНИКИ!$G$7:$H$66,2,FALSE)))</f>
        <v/>
      </c>
      <c r="V585" s="4" t="str">
        <f>IF(A585="",IF(COUNTA(B585:O585)&gt;0,"НЕТ ID",""),IF(OR(AND(OR(C585="Оплата клиента",C585="Возврат клиенту"),COUNTIFS(Docs[ID],J585,Docs[Тип долга],"ДЗ")&lt;&gt;1),AND(OR(C585="Оплата поставщику",C585="Возврат поставщика"),COUNTIFS(Docs[ID],J585,Docs[Тип долга],"КЗ",Docs[Вид],"&lt;&gt;Дивиденды")&lt;&gt;1),AND(C585="Дивиденды",COUNTIFS(Docs[ID],J585,Docs[Вид],"Дивиденды")&lt;&gt;1),AND(C585="Проценты",COUNTIFS(Docs[ID],J585,Docs[Вид],"Проценты")&lt;&gt;1),COUNTIF(Cash[ID],A585)&gt;1,NOT(ISNUMBER(B585)),B585&lt;НачалоУчета,YEAR(B585)&lt;&gt;Год,NOT(ISNUMBER(E585)),E585&lt;=0,N585&lt;0,COUNTIF(Типы,C585)&lt;&gt;1,COUNTIF(Категории,D585)&lt;&gt;1,COUNTIF(Счета,F585)&lt;&gt;1,COUNTIF(Проекты,I585)&lt;&gt;1,AND(H585&lt;&gt;"",COUNTIF(Контрагенты,H585)&lt;&gt;1),AND(C585="Перевод",OR(F585=G585,COUNTIF(Счета,G585)&lt;&gt;1)),AND(S585&lt;&gt;0,COUNTIF(Docs[ID],J585)&lt;&gt;1),AND(Форма="ООО",C585="Вывод ИП"),AND(Форма="ИП",C585="Дивиденды"),AND(L585&lt;&gt;"Проведён",L585&lt;&gt;"Черновик")),"ОШИБКА","ОК"))</f>
        <v/>
      </c>
      <c r="W585" s="25" t="str">
        <f>IF(A585="","",SUMIF(Accounts[Счёт],F585,Accounts[Начальный])+SUMIFS($Q$7:Q585,$F$7:F585,F585)+SUMIFS($E$7:E585,$G$7:G585,F585,$C$7:C585,"Перевод",$L$7:L585,"Проведён"))</f>
        <v/>
      </c>
    </row>
    <row r="586" spans="1:23" x14ac:dyDescent="0.25">
      <c r="A586" s="22"/>
      <c r="B586" s="23"/>
      <c r="C586" s="22"/>
      <c r="D586" s="22"/>
      <c r="E586" s="27"/>
      <c r="F586" s="22"/>
      <c r="G586" s="22"/>
      <c r="H586" s="22"/>
      <c r="I586" s="22"/>
      <c r="J586" s="22"/>
      <c r="K586" s="22"/>
      <c r="L586" s="22"/>
      <c r="M586" s="22"/>
      <c r="N586" s="27"/>
      <c r="O586" s="22"/>
      <c r="P586" s="5" t="str">
        <f>IF(A586="","",IF(COUNTIF(Типы,C586)=0,0,VLOOKUP(C586,СПРАВОЧНИКИ!$A$7:$E$22,2,FALSE)))</f>
        <v/>
      </c>
      <c r="Q586" s="25" t="str">
        <f t="shared" si="9"/>
        <v/>
      </c>
      <c r="R586" s="5" t="str">
        <f>IF(A586="","",IF(COUNTIF(Типы,C586)=0,"НЕИЗВЕСТНЫЙ ТИП",VLOOKUP(C586,СПРАВОЧНИКИ!$A$7:$E$22,3,FALSE)))</f>
        <v/>
      </c>
      <c r="S586" s="26" t="str">
        <f>IF(A586="","",IF(L586="Проведён",E586*IF(COUNTIF(Типы,C586)=0,0,VLOOKUP(C586,СПРАВОЧНИКИ!$A$7:$E$22,4,FALSE)),0))</f>
        <v/>
      </c>
      <c r="T586" s="26" t="str">
        <f>IF(A586="","",IF(L586="Проведён",E586*IF(COUNTIF(Типы,C586)=0,0,VLOOKUP(C586,СПРАВОЧНИКИ!$A$7:$E$22,5,FALSE)),0))</f>
        <v/>
      </c>
      <c r="U586" s="5" t="str">
        <f>IF(A586="","",IF(COUNTIF(Контрагенты,H586)=0,"Не задан",VLOOKUP(H586,СПРАВОЧНИКИ!$G$7:$H$66,2,FALSE)))</f>
        <v/>
      </c>
      <c r="V586" s="4" t="str">
        <f>IF(A586="",IF(COUNTA(B586:O586)&gt;0,"НЕТ ID",""),IF(OR(AND(OR(C586="Оплата клиента",C586="Возврат клиенту"),COUNTIFS(Docs[ID],J586,Docs[Тип долга],"ДЗ")&lt;&gt;1),AND(OR(C586="Оплата поставщику",C586="Возврат поставщика"),COUNTIFS(Docs[ID],J586,Docs[Тип долга],"КЗ",Docs[Вид],"&lt;&gt;Дивиденды")&lt;&gt;1),AND(C586="Дивиденды",COUNTIFS(Docs[ID],J586,Docs[Вид],"Дивиденды")&lt;&gt;1),AND(C586="Проценты",COUNTIFS(Docs[ID],J586,Docs[Вид],"Проценты")&lt;&gt;1),COUNTIF(Cash[ID],A586)&gt;1,NOT(ISNUMBER(B586)),B586&lt;НачалоУчета,YEAR(B586)&lt;&gt;Год,NOT(ISNUMBER(E586)),E586&lt;=0,N586&lt;0,COUNTIF(Типы,C586)&lt;&gt;1,COUNTIF(Категории,D586)&lt;&gt;1,COUNTIF(Счета,F586)&lt;&gt;1,COUNTIF(Проекты,I586)&lt;&gt;1,AND(H586&lt;&gt;"",COUNTIF(Контрагенты,H586)&lt;&gt;1),AND(C586="Перевод",OR(F586=G586,COUNTIF(Счета,G586)&lt;&gt;1)),AND(S586&lt;&gt;0,COUNTIF(Docs[ID],J586)&lt;&gt;1),AND(Форма="ООО",C586="Вывод ИП"),AND(Форма="ИП",C586="Дивиденды"),AND(L586&lt;&gt;"Проведён",L586&lt;&gt;"Черновик")),"ОШИБКА","ОК"))</f>
        <v/>
      </c>
      <c r="W586" s="25" t="str">
        <f>IF(A586="","",SUMIF(Accounts[Счёт],F586,Accounts[Начальный])+SUMIFS($Q$7:Q586,$F$7:F586,F586)+SUMIFS($E$7:E586,$G$7:G586,F586,$C$7:C586,"Перевод",$L$7:L586,"Проведён"))</f>
        <v/>
      </c>
    </row>
    <row r="587" spans="1:23" x14ac:dyDescent="0.25">
      <c r="A587" s="22"/>
      <c r="B587" s="23"/>
      <c r="C587" s="22"/>
      <c r="D587" s="22"/>
      <c r="E587" s="27"/>
      <c r="F587" s="22"/>
      <c r="G587" s="22"/>
      <c r="H587" s="22"/>
      <c r="I587" s="22"/>
      <c r="J587" s="22"/>
      <c r="K587" s="22"/>
      <c r="L587" s="22"/>
      <c r="M587" s="22"/>
      <c r="N587" s="27"/>
      <c r="O587" s="22"/>
      <c r="P587" s="5" t="str">
        <f>IF(A587="","",IF(COUNTIF(Типы,C587)=0,0,VLOOKUP(C587,СПРАВОЧНИКИ!$A$7:$E$22,2,FALSE)))</f>
        <v/>
      </c>
      <c r="Q587" s="25" t="str">
        <f t="shared" si="9"/>
        <v/>
      </c>
      <c r="R587" s="5" t="str">
        <f>IF(A587="","",IF(COUNTIF(Типы,C587)=0,"НЕИЗВЕСТНЫЙ ТИП",VLOOKUP(C587,СПРАВОЧНИКИ!$A$7:$E$22,3,FALSE)))</f>
        <v/>
      </c>
      <c r="S587" s="26" t="str">
        <f>IF(A587="","",IF(L587="Проведён",E587*IF(COUNTIF(Типы,C587)=0,0,VLOOKUP(C587,СПРАВОЧНИКИ!$A$7:$E$22,4,FALSE)),0))</f>
        <v/>
      </c>
      <c r="T587" s="26" t="str">
        <f>IF(A587="","",IF(L587="Проведён",E587*IF(COUNTIF(Типы,C587)=0,0,VLOOKUP(C587,СПРАВОЧНИКИ!$A$7:$E$22,5,FALSE)),0))</f>
        <v/>
      </c>
      <c r="U587" s="5" t="str">
        <f>IF(A587="","",IF(COUNTIF(Контрагенты,H587)=0,"Не задан",VLOOKUP(H587,СПРАВОЧНИКИ!$G$7:$H$66,2,FALSE)))</f>
        <v/>
      </c>
      <c r="V587" s="4" t="str">
        <f>IF(A587="",IF(COUNTA(B587:O587)&gt;0,"НЕТ ID",""),IF(OR(AND(OR(C587="Оплата клиента",C587="Возврат клиенту"),COUNTIFS(Docs[ID],J587,Docs[Тип долга],"ДЗ")&lt;&gt;1),AND(OR(C587="Оплата поставщику",C587="Возврат поставщика"),COUNTIFS(Docs[ID],J587,Docs[Тип долга],"КЗ",Docs[Вид],"&lt;&gt;Дивиденды")&lt;&gt;1),AND(C587="Дивиденды",COUNTIFS(Docs[ID],J587,Docs[Вид],"Дивиденды")&lt;&gt;1),AND(C587="Проценты",COUNTIFS(Docs[ID],J587,Docs[Вид],"Проценты")&lt;&gt;1),COUNTIF(Cash[ID],A587)&gt;1,NOT(ISNUMBER(B587)),B587&lt;НачалоУчета,YEAR(B587)&lt;&gt;Год,NOT(ISNUMBER(E587)),E587&lt;=0,N587&lt;0,COUNTIF(Типы,C587)&lt;&gt;1,COUNTIF(Категории,D587)&lt;&gt;1,COUNTIF(Счета,F587)&lt;&gt;1,COUNTIF(Проекты,I587)&lt;&gt;1,AND(H587&lt;&gt;"",COUNTIF(Контрагенты,H587)&lt;&gt;1),AND(C587="Перевод",OR(F587=G587,COUNTIF(Счета,G587)&lt;&gt;1)),AND(S587&lt;&gt;0,COUNTIF(Docs[ID],J587)&lt;&gt;1),AND(Форма="ООО",C587="Вывод ИП"),AND(Форма="ИП",C587="Дивиденды"),AND(L587&lt;&gt;"Проведён",L587&lt;&gt;"Черновик")),"ОШИБКА","ОК"))</f>
        <v/>
      </c>
      <c r="W587" s="25" t="str">
        <f>IF(A587="","",SUMIF(Accounts[Счёт],F587,Accounts[Начальный])+SUMIFS($Q$7:Q587,$F$7:F587,F587)+SUMIFS($E$7:E587,$G$7:G587,F587,$C$7:C587,"Перевод",$L$7:L587,"Проведён"))</f>
        <v/>
      </c>
    </row>
    <row r="588" spans="1:23" x14ac:dyDescent="0.25">
      <c r="A588" s="22"/>
      <c r="B588" s="23"/>
      <c r="C588" s="22"/>
      <c r="D588" s="22"/>
      <c r="E588" s="27"/>
      <c r="F588" s="22"/>
      <c r="G588" s="22"/>
      <c r="H588" s="22"/>
      <c r="I588" s="22"/>
      <c r="J588" s="22"/>
      <c r="K588" s="22"/>
      <c r="L588" s="22"/>
      <c r="M588" s="22"/>
      <c r="N588" s="27"/>
      <c r="O588" s="22"/>
      <c r="P588" s="5" t="str">
        <f>IF(A588="","",IF(COUNTIF(Типы,C588)=0,0,VLOOKUP(C588,СПРАВОЧНИКИ!$A$7:$E$22,2,FALSE)))</f>
        <v/>
      </c>
      <c r="Q588" s="25" t="str">
        <f t="shared" si="9"/>
        <v/>
      </c>
      <c r="R588" s="5" t="str">
        <f>IF(A588="","",IF(COUNTIF(Типы,C588)=0,"НЕИЗВЕСТНЫЙ ТИП",VLOOKUP(C588,СПРАВОЧНИКИ!$A$7:$E$22,3,FALSE)))</f>
        <v/>
      </c>
      <c r="S588" s="26" t="str">
        <f>IF(A588="","",IF(L588="Проведён",E588*IF(COUNTIF(Типы,C588)=0,0,VLOOKUP(C588,СПРАВОЧНИКИ!$A$7:$E$22,4,FALSE)),0))</f>
        <v/>
      </c>
      <c r="T588" s="26" t="str">
        <f>IF(A588="","",IF(L588="Проведён",E588*IF(COUNTIF(Типы,C588)=0,0,VLOOKUP(C588,СПРАВОЧНИКИ!$A$7:$E$22,5,FALSE)),0))</f>
        <v/>
      </c>
      <c r="U588" s="5" t="str">
        <f>IF(A588="","",IF(COUNTIF(Контрагенты,H588)=0,"Не задан",VLOOKUP(H588,СПРАВОЧНИКИ!$G$7:$H$66,2,FALSE)))</f>
        <v/>
      </c>
      <c r="V588" s="4" t="str">
        <f>IF(A588="",IF(COUNTA(B588:O588)&gt;0,"НЕТ ID",""),IF(OR(AND(OR(C588="Оплата клиента",C588="Возврат клиенту"),COUNTIFS(Docs[ID],J588,Docs[Тип долга],"ДЗ")&lt;&gt;1),AND(OR(C588="Оплата поставщику",C588="Возврат поставщика"),COUNTIFS(Docs[ID],J588,Docs[Тип долга],"КЗ",Docs[Вид],"&lt;&gt;Дивиденды")&lt;&gt;1),AND(C588="Дивиденды",COUNTIFS(Docs[ID],J588,Docs[Вид],"Дивиденды")&lt;&gt;1),AND(C588="Проценты",COUNTIFS(Docs[ID],J588,Docs[Вид],"Проценты")&lt;&gt;1),COUNTIF(Cash[ID],A588)&gt;1,NOT(ISNUMBER(B588)),B588&lt;НачалоУчета,YEAR(B588)&lt;&gt;Год,NOT(ISNUMBER(E588)),E588&lt;=0,N588&lt;0,COUNTIF(Типы,C588)&lt;&gt;1,COUNTIF(Категории,D588)&lt;&gt;1,COUNTIF(Счета,F588)&lt;&gt;1,COUNTIF(Проекты,I588)&lt;&gt;1,AND(H588&lt;&gt;"",COUNTIF(Контрагенты,H588)&lt;&gt;1),AND(C588="Перевод",OR(F588=G588,COUNTIF(Счета,G588)&lt;&gt;1)),AND(S588&lt;&gt;0,COUNTIF(Docs[ID],J588)&lt;&gt;1),AND(Форма="ООО",C588="Вывод ИП"),AND(Форма="ИП",C588="Дивиденды"),AND(L588&lt;&gt;"Проведён",L588&lt;&gt;"Черновик")),"ОШИБКА","ОК"))</f>
        <v/>
      </c>
      <c r="W588" s="25" t="str">
        <f>IF(A588="","",SUMIF(Accounts[Счёт],F588,Accounts[Начальный])+SUMIFS($Q$7:Q588,$F$7:F588,F588)+SUMIFS($E$7:E588,$G$7:G588,F588,$C$7:C588,"Перевод",$L$7:L588,"Проведён"))</f>
        <v/>
      </c>
    </row>
    <row r="589" spans="1:23" x14ac:dyDescent="0.25">
      <c r="A589" s="22"/>
      <c r="B589" s="23"/>
      <c r="C589" s="22"/>
      <c r="D589" s="22"/>
      <c r="E589" s="27"/>
      <c r="F589" s="22"/>
      <c r="G589" s="22"/>
      <c r="H589" s="22"/>
      <c r="I589" s="22"/>
      <c r="J589" s="22"/>
      <c r="K589" s="22"/>
      <c r="L589" s="22"/>
      <c r="M589" s="22"/>
      <c r="N589" s="27"/>
      <c r="O589" s="22"/>
      <c r="P589" s="5" t="str">
        <f>IF(A589="","",IF(COUNTIF(Типы,C589)=0,0,VLOOKUP(C589,СПРАВОЧНИКИ!$A$7:$E$22,2,FALSE)))</f>
        <v/>
      </c>
      <c r="Q589" s="25" t="str">
        <f t="shared" si="9"/>
        <v/>
      </c>
      <c r="R589" s="5" t="str">
        <f>IF(A589="","",IF(COUNTIF(Типы,C589)=0,"НЕИЗВЕСТНЫЙ ТИП",VLOOKUP(C589,СПРАВОЧНИКИ!$A$7:$E$22,3,FALSE)))</f>
        <v/>
      </c>
      <c r="S589" s="26" t="str">
        <f>IF(A589="","",IF(L589="Проведён",E589*IF(COUNTIF(Типы,C589)=0,0,VLOOKUP(C589,СПРАВОЧНИКИ!$A$7:$E$22,4,FALSE)),0))</f>
        <v/>
      </c>
      <c r="T589" s="26" t="str">
        <f>IF(A589="","",IF(L589="Проведён",E589*IF(COUNTIF(Типы,C589)=0,0,VLOOKUP(C589,СПРАВОЧНИКИ!$A$7:$E$22,5,FALSE)),0))</f>
        <v/>
      </c>
      <c r="U589" s="5" t="str">
        <f>IF(A589="","",IF(COUNTIF(Контрагенты,H589)=0,"Не задан",VLOOKUP(H589,СПРАВОЧНИКИ!$G$7:$H$66,2,FALSE)))</f>
        <v/>
      </c>
      <c r="V589" s="4" t="str">
        <f>IF(A589="",IF(COUNTA(B589:O589)&gt;0,"НЕТ ID",""),IF(OR(AND(OR(C589="Оплата клиента",C589="Возврат клиенту"),COUNTIFS(Docs[ID],J589,Docs[Тип долга],"ДЗ")&lt;&gt;1),AND(OR(C589="Оплата поставщику",C589="Возврат поставщика"),COUNTIFS(Docs[ID],J589,Docs[Тип долга],"КЗ",Docs[Вид],"&lt;&gt;Дивиденды")&lt;&gt;1),AND(C589="Дивиденды",COUNTIFS(Docs[ID],J589,Docs[Вид],"Дивиденды")&lt;&gt;1),AND(C589="Проценты",COUNTIFS(Docs[ID],J589,Docs[Вид],"Проценты")&lt;&gt;1),COUNTIF(Cash[ID],A589)&gt;1,NOT(ISNUMBER(B589)),B589&lt;НачалоУчета,YEAR(B589)&lt;&gt;Год,NOT(ISNUMBER(E589)),E589&lt;=0,N589&lt;0,COUNTIF(Типы,C589)&lt;&gt;1,COUNTIF(Категории,D589)&lt;&gt;1,COUNTIF(Счета,F589)&lt;&gt;1,COUNTIF(Проекты,I589)&lt;&gt;1,AND(H589&lt;&gt;"",COUNTIF(Контрагенты,H589)&lt;&gt;1),AND(C589="Перевод",OR(F589=G589,COUNTIF(Счета,G589)&lt;&gt;1)),AND(S589&lt;&gt;0,COUNTIF(Docs[ID],J589)&lt;&gt;1),AND(Форма="ООО",C589="Вывод ИП"),AND(Форма="ИП",C589="Дивиденды"),AND(L589&lt;&gt;"Проведён",L589&lt;&gt;"Черновик")),"ОШИБКА","ОК"))</f>
        <v/>
      </c>
      <c r="W589" s="25" t="str">
        <f>IF(A589="","",SUMIF(Accounts[Счёт],F589,Accounts[Начальный])+SUMIFS($Q$7:Q589,$F$7:F589,F589)+SUMIFS($E$7:E589,$G$7:G589,F589,$C$7:C589,"Перевод",$L$7:L589,"Проведён"))</f>
        <v/>
      </c>
    </row>
    <row r="590" spans="1:23" x14ac:dyDescent="0.25">
      <c r="A590" s="22"/>
      <c r="B590" s="23"/>
      <c r="C590" s="22"/>
      <c r="D590" s="22"/>
      <c r="E590" s="27"/>
      <c r="F590" s="22"/>
      <c r="G590" s="22"/>
      <c r="H590" s="22"/>
      <c r="I590" s="22"/>
      <c r="J590" s="22"/>
      <c r="K590" s="22"/>
      <c r="L590" s="22"/>
      <c r="M590" s="22"/>
      <c r="N590" s="27"/>
      <c r="O590" s="22"/>
      <c r="P590" s="5" t="str">
        <f>IF(A590="","",IF(COUNTIF(Типы,C590)=0,0,VLOOKUP(C590,СПРАВОЧНИКИ!$A$7:$E$22,2,FALSE)))</f>
        <v/>
      </c>
      <c r="Q590" s="25" t="str">
        <f t="shared" si="9"/>
        <v/>
      </c>
      <c r="R590" s="5" t="str">
        <f>IF(A590="","",IF(COUNTIF(Типы,C590)=0,"НЕИЗВЕСТНЫЙ ТИП",VLOOKUP(C590,СПРАВОЧНИКИ!$A$7:$E$22,3,FALSE)))</f>
        <v/>
      </c>
      <c r="S590" s="26" t="str">
        <f>IF(A590="","",IF(L590="Проведён",E590*IF(COUNTIF(Типы,C590)=0,0,VLOOKUP(C590,СПРАВОЧНИКИ!$A$7:$E$22,4,FALSE)),0))</f>
        <v/>
      </c>
      <c r="T590" s="26" t="str">
        <f>IF(A590="","",IF(L590="Проведён",E590*IF(COUNTIF(Типы,C590)=0,0,VLOOKUP(C590,СПРАВОЧНИКИ!$A$7:$E$22,5,FALSE)),0))</f>
        <v/>
      </c>
      <c r="U590" s="5" t="str">
        <f>IF(A590="","",IF(COUNTIF(Контрагенты,H590)=0,"Не задан",VLOOKUP(H590,СПРАВОЧНИКИ!$G$7:$H$66,2,FALSE)))</f>
        <v/>
      </c>
      <c r="V590" s="4" t="str">
        <f>IF(A590="",IF(COUNTA(B590:O590)&gt;0,"НЕТ ID",""),IF(OR(AND(OR(C590="Оплата клиента",C590="Возврат клиенту"),COUNTIFS(Docs[ID],J590,Docs[Тип долга],"ДЗ")&lt;&gt;1),AND(OR(C590="Оплата поставщику",C590="Возврат поставщика"),COUNTIFS(Docs[ID],J590,Docs[Тип долга],"КЗ",Docs[Вид],"&lt;&gt;Дивиденды")&lt;&gt;1),AND(C590="Дивиденды",COUNTIFS(Docs[ID],J590,Docs[Вид],"Дивиденды")&lt;&gt;1),AND(C590="Проценты",COUNTIFS(Docs[ID],J590,Docs[Вид],"Проценты")&lt;&gt;1),COUNTIF(Cash[ID],A590)&gt;1,NOT(ISNUMBER(B590)),B590&lt;НачалоУчета,YEAR(B590)&lt;&gt;Год,NOT(ISNUMBER(E590)),E590&lt;=0,N590&lt;0,COUNTIF(Типы,C590)&lt;&gt;1,COUNTIF(Категории,D590)&lt;&gt;1,COUNTIF(Счета,F590)&lt;&gt;1,COUNTIF(Проекты,I590)&lt;&gt;1,AND(H590&lt;&gt;"",COUNTIF(Контрагенты,H590)&lt;&gt;1),AND(C590="Перевод",OR(F590=G590,COUNTIF(Счета,G590)&lt;&gt;1)),AND(S590&lt;&gt;0,COUNTIF(Docs[ID],J590)&lt;&gt;1),AND(Форма="ООО",C590="Вывод ИП"),AND(Форма="ИП",C590="Дивиденды"),AND(L590&lt;&gt;"Проведён",L590&lt;&gt;"Черновик")),"ОШИБКА","ОК"))</f>
        <v/>
      </c>
      <c r="W590" s="25" t="str">
        <f>IF(A590="","",SUMIF(Accounts[Счёт],F590,Accounts[Начальный])+SUMIFS($Q$7:Q590,$F$7:F590,F590)+SUMIFS($E$7:E590,$G$7:G590,F590,$C$7:C590,"Перевод",$L$7:L590,"Проведён"))</f>
        <v/>
      </c>
    </row>
    <row r="591" spans="1:23" x14ac:dyDescent="0.25">
      <c r="A591" s="22"/>
      <c r="B591" s="23"/>
      <c r="C591" s="22"/>
      <c r="D591" s="22"/>
      <c r="E591" s="27"/>
      <c r="F591" s="22"/>
      <c r="G591" s="22"/>
      <c r="H591" s="22"/>
      <c r="I591" s="22"/>
      <c r="J591" s="22"/>
      <c r="K591" s="22"/>
      <c r="L591" s="22"/>
      <c r="M591" s="22"/>
      <c r="N591" s="27"/>
      <c r="O591" s="22"/>
      <c r="P591" s="5" t="str">
        <f>IF(A591="","",IF(COUNTIF(Типы,C591)=0,0,VLOOKUP(C591,СПРАВОЧНИКИ!$A$7:$E$22,2,FALSE)))</f>
        <v/>
      </c>
      <c r="Q591" s="25" t="str">
        <f t="shared" si="9"/>
        <v/>
      </c>
      <c r="R591" s="5" t="str">
        <f>IF(A591="","",IF(COUNTIF(Типы,C591)=0,"НЕИЗВЕСТНЫЙ ТИП",VLOOKUP(C591,СПРАВОЧНИКИ!$A$7:$E$22,3,FALSE)))</f>
        <v/>
      </c>
      <c r="S591" s="26" t="str">
        <f>IF(A591="","",IF(L591="Проведён",E591*IF(COUNTIF(Типы,C591)=0,0,VLOOKUP(C591,СПРАВОЧНИКИ!$A$7:$E$22,4,FALSE)),0))</f>
        <v/>
      </c>
      <c r="T591" s="26" t="str">
        <f>IF(A591="","",IF(L591="Проведён",E591*IF(COUNTIF(Типы,C591)=0,0,VLOOKUP(C591,СПРАВОЧНИКИ!$A$7:$E$22,5,FALSE)),0))</f>
        <v/>
      </c>
      <c r="U591" s="5" t="str">
        <f>IF(A591="","",IF(COUNTIF(Контрагенты,H591)=0,"Не задан",VLOOKUP(H591,СПРАВОЧНИКИ!$G$7:$H$66,2,FALSE)))</f>
        <v/>
      </c>
      <c r="V591" s="4" t="str">
        <f>IF(A591="",IF(COUNTA(B591:O591)&gt;0,"НЕТ ID",""),IF(OR(AND(OR(C591="Оплата клиента",C591="Возврат клиенту"),COUNTIFS(Docs[ID],J591,Docs[Тип долга],"ДЗ")&lt;&gt;1),AND(OR(C591="Оплата поставщику",C591="Возврат поставщика"),COUNTIFS(Docs[ID],J591,Docs[Тип долга],"КЗ",Docs[Вид],"&lt;&gt;Дивиденды")&lt;&gt;1),AND(C591="Дивиденды",COUNTIFS(Docs[ID],J591,Docs[Вид],"Дивиденды")&lt;&gt;1),AND(C591="Проценты",COUNTIFS(Docs[ID],J591,Docs[Вид],"Проценты")&lt;&gt;1),COUNTIF(Cash[ID],A591)&gt;1,NOT(ISNUMBER(B591)),B591&lt;НачалоУчета,YEAR(B591)&lt;&gt;Год,NOT(ISNUMBER(E591)),E591&lt;=0,N591&lt;0,COUNTIF(Типы,C591)&lt;&gt;1,COUNTIF(Категории,D591)&lt;&gt;1,COUNTIF(Счета,F591)&lt;&gt;1,COUNTIF(Проекты,I591)&lt;&gt;1,AND(H591&lt;&gt;"",COUNTIF(Контрагенты,H591)&lt;&gt;1),AND(C591="Перевод",OR(F591=G591,COUNTIF(Счета,G591)&lt;&gt;1)),AND(S591&lt;&gt;0,COUNTIF(Docs[ID],J591)&lt;&gt;1),AND(Форма="ООО",C591="Вывод ИП"),AND(Форма="ИП",C591="Дивиденды"),AND(L591&lt;&gt;"Проведён",L591&lt;&gt;"Черновик")),"ОШИБКА","ОК"))</f>
        <v/>
      </c>
      <c r="W591" s="25" t="str">
        <f>IF(A591="","",SUMIF(Accounts[Счёт],F591,Accounts[Начальный])+SUMIFS($Q$7:Q591,$F$7:F591,F591)+SUMIFS($E$7:E591,$G$7:G591,F591,$C$7:C591,"Перевод",$L$7:L591,"Проведён"))</f>
        <v/>
      </c>
    </row>
    <row r="592" spans="1:23" x14ac:dyDescent="0.25">
      <c r="A592" s="22"/>
      <c r="B592" s="23"/>
      <c r="C592" s="22"/>
      <c r="D592" s="22"/>
      <c r="E592" s="27"/>
      <c r="F592" s="22"/>
      <c r="G592" s="22"/>
      <c r="H592" s="22"/>
      <c r="I592" s="22"/>
      <c r="J592" s="22"/>
      <c r="K592" s="22"/>
      <c r="L592" s="22"/>
      <c r="M592" s="22"/>
      <c r="N592" s="27"/>
      <c r="O592" s="22"/>
      <c r="P592" s="5" t="str">
        <f>IF(A592="","",IF(COUNTIF(Типы,C592)=0,0,VLOOKUP(C592,СПРАВОЧНИКИ!$A$7:$E$22,2,FALSE)))</f>
        <v/>
      </c>
      <c r="Q592" s="25" t="str">
        <f t="shared" si="9"/>
        <v/>
      </c>
      <c r="R592" s="5" t="str">
        <f>IF(A592="","",IF(COUNTIF(Типы,C592)=0,"НЕИЗВЕСТНЫЙ ТИП",VLOOKUP(C592,СПРАВОЧНИКИ!$A$7:$E$22,3,FALSE)))</f>
        <v/>
      </c>
      <c r="S592" s="26" t="str">
        <f>IF(A592="","",IF(L592="Проведён",E592*IF(COUNTIF(Типы,C592)=0,0,VLOOKUP(C592,СПРАВОЧНИКИ!$A$7:$E$22,4,FALSE)),0))</f>
        <v/>
      </c>
      <c r="T592" s="26" t="str">
        <f>IF(A592="","",IF(L592="Проведён",E592*IF(COUNTIF(Типы,C592)=0,0,VLOOKUP(C592,СПРАВОЧНИКИ!$A$7:$E$22,5,FALSE)),0))</f>
        <v/>
      </c>
      <c r="U592" s="5" t="str">
        <f>IF(A592="","",IF(COUNTIF(Контрагенты,H592)=0,"Не задан",VLOOKUP(H592,СПРАВОЧНИКИ!$G$7:$H$66,2,FALSE)))</f>
        <v/>
      </c>
      <c r="V592" s="4" t="str">
        <f>IF(A592="",IF(COUNTA(B592:O592)&gt;0,"НЕТ ID",""),IF(OR(AND(OR(C592="Оплата клиента",C592="Возврат клиенту"),COUNTIFS(Docs[ID],J592,Docs[Тип долга],"ДЗ")&lt;&gt;1),AND(OR(C592="Оплата поставщику",C592="Возврат поставщика"),COUNTIFS(Docs[ID],J592,Docs[Тип долга],"КЗ",Docs[Вид],"&lt;&gt;Дивиденды")&lt;&gt;1),AND(C592="Дивиденды",COUNTIFS(Docs[ID],J592,Docs[Вид],"Дивиденды")&lt;&gt;1),AND(C592="Проценты",COUNTIFS(Docs[ID],J592,Docs[Вид],"Проценты")&lt;&gt;1),COUNTIF(Cash[ID],A592)&gt;1,NOT(ISNUMBER(B592)),B592&lt;НачалоУчета,YEAR(B592)&lt;&gt;Год,NOT(ISNUMBER(E592)),E592&lt;=0,N592&lt;0,COUNTIF(Типы,C592)&lt;&gt;1,COUNTIF(Категории,D592)&lt;&gt;1,COUNTIF(Счета,F592)&lt;&gt;1,COUNTIF(Проекты,I592)&lt;&gt;1,AND(H592&lt;&gt;"",COUNTIF(Контрагенты,H592)&lt;&gt;1),AND(C592="Перевод",OR(F592=G592,COUNTIF(Счета,G592)&lt;&gt;1)),AND(S592&lt;&gt;0,COUNTIF(Docs[ID],J592)&lt;&gt;1),AND(Форма="ООО",C592="Вывод ИП"),AND(Форма="ИП",C592="Дивиденды"),AND(L592&lt;&gt;"Проведён",L592&lt;&gt;"Черновик")),"ОШИБКА","ОК"))</f>
        <v/>
      </c>
      <c r="W592" s="25" t="str">
        <f>IF(A592="","",SUMIF(Accounts[Счёт],F592,Accounts[Начальный])+SUMIFS($Q$7:Q592,$F$7:F592,F592)+SUMIFS($E$7:E592,$G$7:G592,F592,$C$7:C592,"Перевод",$L$7:L592,"Проведён"))</f>
        <v/>
      </c>
    </row>
    <row r="593" spans="1:23" x14ac:dyDescent="0.25">
      <c r="A593" s="22"/>
      <c r="B593" s="23"/>
      <c r="C593" s="22"/>
      <c r="D593" s="22"/>
      <c r="E593" s="27"/>
      <c r="F593" s="22"/>
      <c r="G593" s="22"/>
      <c r="H593" s="22"/>
      <c r="I593" s="22"/>
      <c r="J593" s="22"/>
      <c r="K593" s="22"/>
      <c r="L593" s="22"/>
      <c r="M593" s="22"/>
      <c r="N593" s="27"/>
      <c r="O593" s="22"/>
      <c r="P593" s="5" t="str">
        <f>IF(A593="","",IF(COUNTIF(Типы,C593)=0,0,VLOOKUP(C593,СПРАВОЧНИКИ!$A$7:$E$22,2,FALSE)))</f>
        <v/>
      </c>
      <c r="Q593" s="25" t="str">
        <f t="shared" si="9"/>
        <v/>
      </c>
      <c r="R593" s="5" t="str">
        <f>IF(A593="","",IF(COUNTIF(Типы,C593)=0,"НЕИЗВЕСТНЫЙ ТИП",VLOOKUP(C593,СПРАВОЧНИКИ!$A$7:$E$22,3,FALSE)))</f>
        <v/>
      </c>
      <c r="S593" s="26" t="str">
        <f>IF(A593="","",IF(L593="Проведён",E593*IF(COUNTIF(Типы,C593)=0,0,VLOOKUP(C593,СПРАВОЧНИКИ!$A$7:$E$22,4,FALSE)),0))</f>
        <v/>
      </c>
      <c r="T593" s="26" t="str">
        <f>IF(A593="","",IF(L593="Проведён",E593*IF(COUNTIF(Типы,C593)=0,0,VLOOKUP(C593,СПРАВОЧНИКИ!$A$7:$E$22,5,FALSE)),0))</f>
        <v/>
      </c>
      <c r="U593" s="5" t="str">
        <f>IF(A593="","",IF(COUNTIF(Контрагенты,H593)=0,"Не задан",VLOOKUP(H593,СПРАВОЧНИКИ!$G$7:$H$66,2,FALSE)))</f>
        <v/>
      </c>
      <c r="V593" s="4" t="str">
        <f>IF(A593="",IF(COUNTA(B593:O593)&gt;0,"НЕТ ID",""),IF(OR(AND(OR(C593="Оплата клиента",C593="Возврат клиенту"),COUNTIFS(Docs[ID],J593,Docs[Тип долга],"ДЗ")&lt;&gt;1),AND(OR(C593="Оплата поставщику",C593="Возврат поставщика"),COUNTIFS(Docs[ID],J593,Docs[Тип долга],"КЗ",Docs[Вид],"&lt;&gt;Дивиденды")&lt;&gt;1),AND(C593="Дивиденды",COUNTIFS(Docs[ID],J593,Docs[Вид],"Дивиденды")&lt;&gt;1),AND(C593="Проценты",COUNTIFS(Docs[ID],J593,Docs[Вид],"Проценты")&lt;&gt;1),COUNTIF(Cash[ID],A593)&gt;1,NOT(ISNUMBER(B593)),B593&lt;НачалоУчета,YEAR(B593)&lt;&gt;Год,NOT(ISNUMBER(E593)),E593&lt;=0,N593&lt;0,COUNTIF(Типы,C593)&lt;&gt;1,COUNTIF(Категории,D593)&lt;&gt;1,COUNTIF(Счета,F593)&lt;&gt;1,COUNTIF(Проекты,I593)&lt;&gt;1,AND(H593&lt;&gt;"",COUNTIF(Контрагенты,H593)&lt;&gt;1),AND(C593="Перевод",OR(F593=G593,COUNTIF(Счета,G593)&lt;&gt;1)),AND(S593&lt;&gt;0,COUNTIF(Docs[ID],J593)&lt;&gt;1),AND(Форма="ООО",C593="Вывод ИП"),AND(Форма="ИП",C593="Дивиденды"),AND(L593&lt;&gt;"Проведён",L593&lt;&gt;"Черновик")),"ОШИБКА","ОК"))</f>
        <v/>
      </c>
      <c r="W593" s="25" t="str">
        <f>IF(A593="","",SUMIF(Accounts[Счёт],F593,Accounts[Начальный])+SUMIFS($Q$7:Q593,$F$7:F593,F593)+SUMIFS($E$7:E593,$G$7:G593,F593,$C$7:C593,"Перевод",$L$7:L593,"Проведён"))</f>
        <v/>
      </c>
    </row>
    <row r="594" spans="1:23" x14ac:dyDescent="0.25">
      <c r="A594" s="22"/>
      <c r="B594" s="23"/>
      <c r="C594" s="22"/>
      <c r="D594" s="22"/>
      <c r="E594" s="27"/>
      <c r="F594" s="22"/>
      <c r="G594" s="22"/>
      <c r="H594" s="22"/>
      <c r="I594" s="22"/>
      <c r="J594" s="22"/>
      <c r="K594" s="22"/>
      <c r="L594" s="22"/>
      <c r="M594" s="22"/>
      <c r="N594" s="27"/>
      <c r="O594" s="22"/>
      <c r="P594" s="5" t="str">
        <f>IF(A594="","",IF(COUNTIF(Типы,C594)=0,0,VLOOKUP(C594,СПРАВОЧНИКИ!$A$7:$E$22,2,FALSE)))</f>
        <v/>
      </c>
      <c r="Q594" s="25" t="str">
        <f t="shared" si="9"/>
        <v/>
      </c>
      <c r="R594" s="5" t="str">
        <f>IF(A594="","",IF(COUNTIF(Типы,C594)=0,"НЕИЗВЕСТНЫЙ ТИП",VLOOKUP(C594,СПРАВОЧНИКИ!$A$7:$E$22,3,FALSE)))</f>
        <v/>
      </c>
      <c r="S594" s="26" t="str">
        <f>IF(A594="","",IF(L594="Проведён",E594*IF(COUNTIF(Типы,C594)=0,0,VLOOKUP(C594,СПРАВОЧНИКИ!$A$7:$E$22,4,FALSE)),0))</f>
        <v/>
      </c>
      <c r="T594" s="26" t="str">
        <f>IF(A594="","",IF(L594="Проведён",E594*IF(COUNTIF(Типы,C594)=0,0,VLOOKUP(C594,СПРАВОЧНИКИ!$A$7:$E$22,5,FALSE)),0))</f>
        <v/>
      </c>
      <c r="U594" s="5" t="str">
        <f>IF(A594="","",IF(COUNTIF(Контрагенты,H594)=0,"Не задан",VLOOKUP(H594,СПРАВОЧНИКИ!$G$7:$H$66,2,FALSE)))</f>
        <v/>
      </c>
      <c r="V594" s="4" t="str">
        <f>IF(A594="",IF(COUNTA(B594:O594)&gt;0,"НЕТ ID",""),IF(OR(AND(OR(C594="Оплата клиента",C594="Возврат клиенту"),COUNTIFS(Docs[ID],J594,Docs[Тип долга],"ДЗ")&lt;&gt;1),AND(OR(C594="Оплата поставщику",C594="Возврат поставщика"),COUNTIFS(Docs[ID],J594,Docs[Тип долга],"КЗ",Docs[Вид],"&lt;&gt;Дивиденды")&lt;&gt;1),AND(C594="Дивиденды",COUNTIFS(Docs[ID],J594,Docs[Вид],"Дивиденды")&lt;&gt;1),AND(C594="Проценты",COUNTIFS(Docs[ID],J594,Docs[Вид],"Проценты")&lt;&gt;1),COUNTIF(Cash[ID],A594)&gt;1,NOT(ISNUMBER(B594)),B594&lt;НачалоУчета,YEAR(B594)&lt;&gt;Год,NOT(ISNUMBER(E594)),E594&lt;=0,N594&lt;0,COUNTIF(Типы,C594)&lt;&gt;1,COUNTIF(Категории,D594)&lt;&gt;1,COUNTIF(Счета,F594)&lt;&gt;1,COUNTIF(Проекты,I594)&lt;&gt;1,AND(H594&lt;&gt;"",COUNTIF(Контрагенты,H594)&lt;&gt;1),AND(C594="Перевод",OR(F594=G594,COUNTIF(Счета,G594)&lt;&gt;1)),AND(S594&lt;&gt;0,COUNTIF(Docs[ID],J594)&lt;&gt;1),AND(Форма="ООО",C594="Вывод ИП"),AND(Форма="ИП",C594="Дивиденды"),AND(L594&lt;&gt;"Проведён",L594&lt;&gt;"Черновик")),"ОШИБКА","ОК"))</f>
        <v/>
      </c>
      <c r="W594" s="25" t="str">
        <f>IF(A594="","",SUMIF(Accounts[Счёт],F594,Accounts[Начальный])+SUMIFS($Q$7:Q594,$F$7:F594,F594)+SUMIFS($E$7:E594,$G$7:G594,F594,$C$7:C594,"Перевод",$L$7:L594,"Проведён"))</f>
        <v/>
      </c>
    </row>
    <row r="595" spans="1:23" x14ac:dyDescent="0.25">
      <c r="A595" s="22"/>
      <c r="B595" s="23"/>
      <c r="C595" s="22"/>
      <c r="D595" s="22"/>
      <c r="E595" s="27"/>
      <c r="F595" s="22"/>
      <c r="G595" s="22"/>
      <c r="H595" s="22"/>
      <c r="I595" s="22"/>
      <c r="J595" s="22"/>
      <c r="K595" s="22"/>
      <c r="L595" s="22"/>
      <c r="M595" s="22"/>
      <c r="N595" s="27"/>
      <c r="O595" s="22"/>
      <c r="P595" s="5" t="str">
        <f>IF(A595="","",IF(COUNTIF(Типы,C595)=0,0,VLOOKUP(C595,СПРАВОЧНИКИ!$A$7:$E$22,2,FALSE)))</f>
        <v/>
      </c>
      <c r="Q595" s="25" t="str">
        <f t="shared" si="9"/>
        <v/>
      </c>
      <c r="R595" s="5" t="str">
        <f>IF(A595="","",IF(COUNTIF(Типы,C595)=0,"НЕИЗВЕСТНЫЙ ТИП",VLOOKUP(C595,СПРАВОЧНИКИ!$A$7:$E$22,3,FALSE)))</f>
        <v/>
      </c>
      <c r="S595" s="26" t="str">
        <f>IF(A595="","",IF(L595="Проведён",E595*IF(COUNTIF(Типы,C595)=0,0,VLOOKUP(C595,СПРАВОЧНИКИ!$A$7:$E$22,4,FALSE)),0))</f>
        <v/>
      </c>
      <c r="T595" s="26" t="str">
        <f>IF(A595="","",IF(L595="Проведён",E595*IF(COUNTIF(Типы,C595)=0,0,VLOOKUP(C595,СПРАВОЧНИКИ!$A$7:$E$22,5,FALSE)),0))</f>
        <v/>
      </c>
      <c r="U595" s="5" t="str">
        <f>IF(A595="","",IF(COUNTIF(Контрагенты,H595)=0,"Не задан",VLOOKUP(H595,СПРАВОЧНИКИ!$G$7:$H$66,2,FALSE)))</f>
        <v/>
      </c>
      <c r="V595" s="4" t="str">
        <f>IF(A595="",IF(COUNTA(B595:O595)&gt;0,"НЕТ ID",""),IF(OR(AND(OR(C595="Оплата клиента",C595="Возврат клиенту"),COUNTIFS(Docs[ID],J595,Docs[Тип долга],"ДЗ")&lt;&gt;1),AND(OR(C595="Оплата поставщику",C595="Возврат поставщика"),COUNTIFS(Docs[ID],J595,Docs[Тип долга],"КЗ",Docs[Вид],"&lt;&gt;Дивиденды")&lt;&gt;1),AND(C595="Дивиденды",COUNTIFS(Docs[ID],J595,Docs[Вид],"Дивиденды")&lt;&gt;1),AND(C595="Проценты",COUNTIFS(Docs[ID],J595,Docs[Вид],"Проценты")&lt;&gt;1),COUNTIF(Cash[ID],A595)&gt;1,NOT(ISNUMBER(B595)),B595&lt;НачалоУчета,YEAR(B595)&lt;&gt;Год,NOT(ISNUMBER(E595)),E595&lt;=0,N595&lt;0,COUNTIF(Типы,C595)&lt;&gt;1,COUNTIF(Категории,D595)&lt;&gt;1,COUNTIF(Счета,F595)&lt;&gt;1,COUNTIF(Проекты,I595)&lt;&gt;1,AND(H595&lt;&gt;"",COUNTIF(Контрагенты,H595)&lt;&gt;1),AND(C595="Перевод",OR(F595=G595,COUNTIF(Счета,G595)&lt;&gt;1)),AND(S595&lt;&gt;0,COUNTIF(Docs[ID],J595)&lt;&gt;1),AND(Форма="ООО",C595="Вывод ИП"),AND(Форма="ИП",C595="Дивиденды"),AND(L595&lt;&gt;"Проведён",L595&lt;&gt;"Черновик")),"ОШИБКА","ОК"))</f>
        <v/>
      </c>
      <c r="W595" s="25" t="str">
        <f>IF(A595="","",SUMIF(Accounts[Счёт],F595,Accounts[Начальный])+SUMIFS($Q$7:Q595,$F$7:F595,F595)+SUMIFS($E$7:E595,$G$7:G595,F595,$C$7:C595,"Перевод",$L$7:L595,"Проведён"))</f>
        <v/>
      </c>
    </row>
    <row r="596" spans="1:23" x14ac:dyDescent="0.25">
      <c r="A596" s="22"/>
      <c r="B596" s="23"/>
      <c r="C596" s="22"/>
      <c r="D596" s="22"/>
      <c r="E596" s="27"/>
      <c r="F596" s="22"/>
      <c r="G596" s="22"/>
      <c r="H596" s="22"/>
      <c r="I596" s="22"/>
      <c r="J596" s="22"/>
      <c r="K596" s="22"/>
      <c r="L596" s="22"/>
      <c r="M596" s="22"/>
      <c r="N596" s="27"/>
      <c r="O596" s="22"/>
      <c r="P596" s="5" t="str">
        <f>IF(A596="","",IF(COUNTIF(Типы,C596)=0,0,VLOOKUP(C596,СПРАВОЧНИКИ!$A$7:$E$22,2,FALSE)))</f>
        <v/>
      </c>
      <c r="Q596" s="25" t="str">
        <f t="shared" si="9"/>
        <v/>
      </c>
      <c r="R596" s="5" t="str">
        <f>IF(A596="","",IF(COUNTIF(Типы,C596)=0,"НЕИЗВЕСТНЫЙ ТИП",VLOOKUP(C596,СПРАВОЧНИКИ!$A$7:$E$22,3,FALSE)))</f>
        <v/>
      </c>
      <c r="S596" s="26" t="str">
        <f>IF(A596="","",IF(L596="Проведён",E596*IF(COUNTIF(Типы,C596)=0,0,VLOOKUP(C596,СПРАВОЧНИКИ!$A$7:$E$22,4,FALSE)),0))</f>
        <v/>
      </c>
      <c r="T596" s="26" t="str">
        <f>IF(A596="","",IF(L596="Проведён",E596*IF(COUNTIF(Типы,C596)=0,0,VLOOKUP(C596,СПРАВОЧНИКИ!$A$7:$E$22,5,FALSE)),0))</f>
        <v/>
      </c>
      <c r="U596" s="5" t="str">
        <f>IF(A596="","",IF(COUNTIF(Контрагенты,H596)=0,"Не задан",VLOOKUP(H596,СПРАВОЧНИКИ!$G$7:$H$66,2,FALSE)))</f>
        <v/>
      </c>
      <c r="V596" s="4" t="str">
        <f>IF(A596="",IF(COUNTA(B596:O596)&gt;0,"НЕТ ID",""),IF(OR(AND(OR(C596="Оплата клиента",C596="Возврат клиенту"),COUNTIFS(Docs[ID],J596,Docs[Тип долга],"ДЗ")&lt;&gt;1),AND(OR(C596="Оплата поставщику",C596="Возврат поставщика"),COUNTIFS(Docs[ID],J596,Docs[Тип долга],"КЗ",Docs[Вид],"&lt;&gt;Дивиденды")&lt;&gt;1),AND(C596="Дивиденды",COUNTIFS(Docs[ID],J596,Docs[Вид],"Дивиденды")&lt;&gt;1),AND(C596="Проценты",COUNTIFS(Docs[ID],J596,Docs[Вид],"Проценты")&lt;&gt;1),COUNTIF(Cash[ID],A596)&gt;1,NOT(ISNUMBER(B596)),B596&lt;НачалоУчета,YEAR(B596)&lt;&gt;Год,NOT(ISNUMBER(E596)),E596&lt;=0,N596&lt;0,COUNTIF(Типы,C596)&lt;&gt;1,COUNTIF(Категории,D596)&lt;&gt;1,COUNTIF(Счета,F596)&lt;&gt;1,COUNTIF(Проекты,I596)&lt;&gt;1,AND(H596&lt;&gt;"",COUNTIF(Контрагенты,H596)&lt;&gt;1),AND(C596="Перевод",OR(F596=G596,COUNTIF(Счета,G596)&lt;&gt;1)),AND(S596&lt;&gt;0,COUNTIF(Docs[ID],J596)&lt;&gt;1),AND(Форма="ООО",C596="Вывод ИП"),AND(Форма="ИП",C596="Дивиденды"),AND(L596&lt;&gt;"Проведён",L596&lt;&gt;"Черновик")),"ОШИБКА","ОК"))</f>
        <v/>
      </c>
      <c r="W596" s="25" t="str">
        <f>IF(A596="","",SUMIF(Accounts[Счёт],F596,Accounts[Начальный])+SUMIFS($Q$7:Q596,$F$7:F596,F596)+SUMIFS($E$7:E596,$G$7:G596,F596,$C$7:C596,"Перевод",$L$7:L596,"Проведён"))</f>
        <v/>
      </c>
    </row>
    <row r="597" spans="1:23" x14ac:dyDescent="0.25">
      <c r="A597" s="22"/>
      <c r="B597" s="23"/>
      <c r="C597" s="22"/>
      <c r="D597" s="22"/>
      <c r="E597" s="27"/>
      <c r="F597" s="22"/>
      <c r="G597" s="22"/>
      <c r="H597" s="22"/>
      <c r="I597" s="22"/>
      <c r="J597" s="22"/>
      <c r="K597" s="22"/>
      <c r="L597" s="22"/>
      <c r="M597" s="22"/>
      <c r="N597" s="27"/>
      <c r="O597" s="22"/>
      <c r="P597" s="5" t="str">
        <f>IF(A597="","",IF(COUNTIF(Типы,C597)=0,0,VLOOKUP(C597,СПРАВОЧНИКИ!$A$7:$E$22,2,FALSE)))</f>
        <v/>
      </c>
      <c r="Q597" s="25" t="str">
        <f t="shared" si="9"/>
        <v/>
      </c>
      <c r="R597" s="5" t="str">
        <f>IF(A597="","",IF(COUNTIF(Типы,C597)=0,"НЕИЗВЕСТНЫЙ ТИП",VLOOKUP(C597,СПРАВОЧНИКИ!$A$7:$E$22,3,FALSE)))</f>
        <v/>
      </c>
      <c r="S597" s="26" t="str">
        <f>IF(A597="","",IF(L597="Проведён",E597*IF(COUNTIF(Типы,C597)=0,0,VLOOKUP(C597,СПРАВОЧНИКИ!$A$7:$E$22,4,FALSE)),0))</f>
        <v/>
      </c>
      <c r="T597" s="26" t="str">
        <f>IF(A597="","",IF(L597="Проведён",E597*IF(COUNTIF(Типы,C597)=0,0,VLOOKUP(C597,СПРАВОЧНИКИ!$A$7:$E$22,5,FALSE)),0))</f>
        <v/>
      </c>
      <c r="U597" s="5" t="str">
        <f>IF(A597="","",IF(COUNTIF(Контрагенты,H597)=0,"Не задан",VLOOKUP(H597,СПРАВОЧНИКИ!$G$7:$H$66,2,FALSE)))</f>
        <v/>
      </c>
      <c r="V597" s="4" t="str">
        <f>IF(A597="",IF(COUNTA(B597:O597)&gt;0,"НЕТ ID",""),IF(OR(AND(OR(C597="Оплата клиента",C597="Возврат клиенту"),COUNTIFS(Docs[ID],J597,Docs[Тип долга],"ДЗ")&lt;&gt;1),AND(OR(C597="Оплата поставщику",C597="Возврат поставщика"),COUNTIFS(Docs[ID],J597,Docs[Тип долга],"КЗ",Docs[Вид],"&lt;&gt;Дивиденды")&lt;&gt;1),AND(C597="Дивиденды",COUNTIFS(Docs[ID],J597,Docs[Вид],"Дивиденды")&lt;&gt;1),AND(C597="Проценты",COUNTIFS(Docs[ID],J597,Docs[Вид],"Проценты")&lt;&gt;1),COUNTIF(Cash[ID],A597)&gt;1,NOT(ISNUMBER(B597)),B597&lt;НачалоУчета,YEAR(B597)&lt;&gt;Год,NOT(ISNUMBER(E597)),E597&lt;=0,N597&lt;0,COUNTIF(Типы,C597)&lt;&gt;1,COUNTIF(Категории,D597)&lt;&gt;1,COUNTIF(Счета,F597)&lt;&gt;1,COUNTIF(Проекты,I597)&lt;&gt;1,AND(H597&lt;&gt;"",COUNTIF(Контрагенты,H597)&lt;&gt;1),AND(C597="Перевод",OR(F597=G597,COUNTIF(Счета,G597)&lt;&gt;1)),AND(S597&lt;&gt;0,COUNTIF(Docs[ID],J597)&lt;&gt;1),AND(Форма="ООО",C597="Вывод ИП"),AND(Форма="ИП",C597="Дивиденды"),AND(L597&lt;&gt;"Проведён",L597&lt;&gt;"Черновик")),"ОШИБКА","ОК"))</f>
        <v/>
      </c>
      <c r="W597" s="25" t="str">
        <f>IF(A597="","",SUMIF(Accounts[Счёт],F597,Accounts[Начальный])+SUMIFS($Q$7:Q597,$F$7:F597,F597)+SUMIFS($E$7:E597,$G$7:G597,F597,$C$7:C597,"Перевод",$L$7:L597,"Проведён"))</f>
        <v/>
      </c>
    </row>
    <row r="598" spans="1:23" x14ac:dyDescent="0.25">
      <c r="A598" s="22"/>
      <c r="B598" s="23"/>
      <c r="C598" s="22"/>
      <c r="D598" s="22"/>
      <c r="E598" s="27"/>
      <c r="F598" s="22"/>
      <c r="G598" s="22"/>
      <c r="H598" s="22"/>
      <c r="I598" s="22"/>
      <c r="J598" s="22"/>
      <c r="K598" s="22"/>
      <c r="L598" s="22"/>
      <c r="M598" s="22"/>
      <c r="N598" s="27"/>
      <c r="O598" s="22"/>
      <c r="P598" s="5" t="str">
        <f>IF(A598="","",IF(COUNTIF(Типы,C598)=0,0,VLOOKUP(C598,СПРАВОЧНИКИ!$A$7:$E$22,2,FALSE)))</f>
        <v/>
      </c>
      <c r="Q598" s="25" t="str">
        <f t="shared" si="9"/>
        <v/>
      </c>
      <c r="R598" s="5" t="str">
        <f>IF(A598="","",IF(COUNTIF(Типы,C598)=0,"НЕИЗВЕСТНЫЙ ТИП",VLOOKUP(C598,СПРАВОЧНИКИ!$A$7:$E$22,3,FALSE)))</f>
        <v/>
      </c>
      <c r="S598" s="26" t="str">
        <f>IF(A598="","",IF(L598="Проведён",E598*IF(COUNTIF(Типы,C598)=0,0,VLOOKUP(C598,СПРАВОЧНИКИ!$A$7:$E$22,4,FALSE)),0))</f>
        <v/>
      </c>
      <c r="T598" s="26" t="str">
        <f>IF(A598="","",IF(L598="Проведён",E598*IF(COUNTIF(Типы,C598)=0,0,VLOOKUP(C598,СПРАВОЧНИКИ!$A$7:$E$22,5,FALSE)),0))</f>
        <v/>
      </c>
      <c r="U598" s="5" t="str">
        <f>IF(A598="","",IF(COUNTIF(Контрагенты,H598)=0,"Не задан",VLOOKUP(H598,СПРАВОЧНИКИ!$G$7:$H$66,2,FALSE)))</f>
        <v/>
      </c>
      <c r="V598" s="4" t="str">
        <f>IF(A598="",IF(COUNTA(B598:O598)&gt;0,"НЕТ ID",""),IF(OR(AND(OR(C598="Оплата клиента",C598="Возврат клиенту"),COUNTIFS(Docs[ID],J598,Docs[Тип долга],"ДЗ")&lt;&gt;1),AND(OR(C598="Оплата поставщику",C598="Возврат поставщика"),COUNTIFS(Docs[ID],J598,Docs[Тип долга],"КЗ",Docs[Вид],"&lt;&gt;Дивиденды")&lt;&gt;1),AND(C598="Дивиденды",COUNTIFS(Docs[ID],J598,Docs[Вид],"Дивиденды")&lt;&gt;1),AND(C598="Проценты",COUNTIFS(Docs[ID],J598,Docs[Вид],"Проценты")&lt;&gt;1),COUNTIF(Cash[ID],A598)&gt;1,NOT(ISNUMBER(B598)),B598&lt;НачалоУчета,YEAR(B598)&lt;&gt;Год,NOT(ISNUMBER(E598)),E598&lt;=0,N598&lt;0,COUNTIF(Типы,C598)&lt;&gt;1,COUNTIF(Категории,D598)&lt;&gt;1,COUNTIF(Счета,F598)&lt;&gt;1,COUNTIF(Проекты,I598)&lt;&gt;1,AND(H598&lt;&gt;"",COUNTIF(Контрагенты,H598)&lt;&gt;1),AND(C598="Перевод",OR(F598=G598,COUNTIF(Счета,G598)&lt;&gt;1)),AND(S598&lt;&gt;0,COUNTIF(Docs[ID],J598)&lt;&gt;1),AND(Форма="ООО",C598="Вывод ИП"),AND(Форма="ИП",C598="Дивиденды"),AND(L598&lt;&gt;"Проведён",L598&lt;&gt;"Черновик")),"ОШИБКА","ОК"))</f>
        <v/>
      </c>
      <c r="W598" s="25" t="str">
        <f>IF(A598="","",SUMIF(Accounts[Счёт],F598,Accounts[Начальный])+SUMIFS($Q$7:Q598,$F$7:F598,F598)+SUMIFS($E$7:E598,$G$7:G598,F598,$C$7:C598,"Перевод",$L$7:L598,"Проведён"))</f>
        <v/>
      </c>
    </row>
    <row r="599" spans="1:23" x14ac:dyDescent="0.25">
      <c r="A599" s="22"/>
      <c r="B599" s="23"/>
      <c r="C599" s="22"/>
      <c r="D599" s="22"/>
      <c r="E599" s="27"/>
      <c r="F599" s="22"/>
      <c r="G599" s="22"/>
      <c r="H599" s="22"/>
      <c r="I599" s="22"/>
      <c r="J599" s="22"/>
      <c r="K599" s="22"/>
      <c r="L599" s="22"/>
      <c r="M599" s="22"/>
      <c r="N599" s="27"/>
      <c r="O599" s="22"/>
      <c r="P599" s="5" t="str">
        <f>IF(A599="","",IF(COUNTIF(Типы,C599)=0,0,VLOOKUP(C599,СПРАВОЧНИКИ!$A$7:$E$22,2,FALSE)))</f>
        <v/>
      </c>
      <c r="Q599" s="25" t="str">
        <f t="shared" si="9"/>
        <v/>
      </c>
      <c r="R599" s="5" t="str">
        <f>IF(A599="","",IF(COUNTIF(Типы,C599)=0,"НЕИЗВЕСТНЫЙ ТИП",VLOOKUP(C599,СПРАВОЧНИКИ!$A$7:$E$22,3,FALSE)))</f>
        <v/>
      </c>
      <c r="S599" s="26" t="str">
        <f>IF(A599="","",IF(L599="Проведён",E599*IF(COUNTIF(Типы,C599)=0,0,VLOOKUP(C599,СПРАВОЧНИКИ!$A$7:$E$22,4,FALSE)),0))</f>
        <v/>
      </c>
      <c r="T599" s="26" t="str">
        <f>IF(A599="","",IF(L599="Проведён",E599*IF(COUNTIF(Типы,C599)=0,0,VLOOKUP(C599,СПРАВОЧНИКИ!$A$7:$E$22,5,FALSE)),0))</f>
        <v/>
      </c>
      <c r="U599" s="5" t="str">
        <f>IF(A599="","",IF(COUNTIF(Контрагенты,H599)=0,"Не задан",VLOOKUP(H599,СПРАВОЧНИКИ!$G$7:$H$66,2,FALSE)))</f>
        <v/>
      </c>
      <c r="V599" s="4" t="str">
        <f>IF(A599="",IF(COUNTA(B599:O599)&gt;0,"НЕТ ID",""),IF(OR(AND(OR(C599="Оплата клиента",C599="Возврат клиенту"),COUNTIFS(Docs[ID],J599,Docs[Тип долга],"ДЗ")&lt;&gt;1),AND(OR(C599="Оплата поставщику",C599="Возврат поставщика"),COUNTIFS(Docs[ID],J599,Docs[Тип долга],"КЗ",Docs[Вид],"&lt;&gt;Дивиденды")&lt;&gt;1),AND(C599="Дивиденды",COUNTIFS(Docs[ID],J599,Docs[Вид],"Дивиденды")&lt;&gt;1),AND(C599="Проценты",COUNTIFS(Docs[ID],J599,Docs[Вид],"Проценты")&lt;&gt;1),COUNTIF(Cash[ID],A599)&gt;1,NOT(ISNUMBER(B599)),B599&lt;НачалоУчета,YEAR(B599)&lt;&gt;Год,NOT(ISNUMBER(E599)),E599&lt;=0,N599&lt;0,COUNTIF(Типы,C599)&lt;&gt;1,COUNTIF(Категории,D599)&lt;&gt;1,COUNTIF(Счета,F599)&lt;&gt;1,COUNTIF(Проекты,I599)&lt;&gt;1,AND(H599&lt;&gt;"",COUNTIF(Контрагенты,H599)&lt;&gt;1),AND(C599="Перевод",OR(F599=G599,COUNTIF(Счета,G599)&lt;&gt;1)),AND(S599&lt;&gt;0,COUNTIF(Docs[ID],J599)&lt;&gt;1),AND(Форма="ООО",C599="Вывод ИП"),AND(Форма="ИП",C599="Дивиденды"),AND(L599&lt;&gt;"Проведён",L599&lt;&gt;"Черновик")),"ОШИБКА","ОК"))</f>
        <v/>
      </c>
      <c r="W599" s="25" t="str">
        <f>IF(A599="","",SUMIF(Accounts[Счёт],F599,Accounts[Начальный])+SUMIFS($Q$7:Q599,$F$7:F599,F599)+SUMIFS($E$7:E599,$G$7:G599,F599,$C$7:C599,"Перевод",$L$7:L599,"Проведён"))</f>
        <v/>
      </c>
    </row>
    <row r="600" spans="1:23" x14ac:dyDescent="0.25">
      <c r="A600" s="22"/>
      <c r="B600" s="23"/>
      <c r="C600" s="22"/>
      <c r="D600" s="22"/>
      <c r="E600" s="27"/>
      <c r="F600" s="22"/>
      <c r="G600" s="22"/>
      <c r="H600" s="22"/>
      <c r="I600" s="22"/>
      <c r="J600" s="22"/>
      <c r="K600" s="22"/>
      <c r="L600" s="22"/>
      <c r="M600" s="22"/>
      <c r="N600" s="27"/>
      <c r="O600" s="22"/>
      <c r="P600" s="5" t="str">
        <f>IF(A600="","",IF(COUNTIF(Типы,C600)=0,0,VLOOKUP(C600,СПРАВОЧНИКИ!$A$7:$E$22,2,FALSE)))</f>
        <v/>
      </c>
      <c r="Q600" s="25" t="str">
        <f t="shared" si="9"/>
        <v/>
      </c>
      <c r="R600" s="5" t="str">
        <f>IF(A600="","",IF(COUNTIF(Типы,C600)=0,"НЕИЗВЕСТНЫЙ ТИП",VLOOKUP(C600,СПРАВОЧНИКИ!$A$7:$E$22,3,FALSE)))</f>
        <v/>
      </c>
      <c r="S600" s="26" t="str">
        <f>IF(A600="","",IF(L600="Проведён",E600*IF(COUNTIF(Типы,C600)=0,0,VLOOKUP(C600,СПРАВОЧНИКИ!$A$7:$E$22,4,FALSE)),0))</f>
        <v/>
      </c>
      <c r="T600" s="26" t="str">
        <f>IF(A600="","",IF(L600="Проведён",E600*IF(COUNTIF(Типы,C600)=0,0,VLOOKUP(C600,СПРАВОЧНИКИ!$A$7:$E$22,5,FALSE)),0))</f>
        <v/>
      </c>
      <c r="U600" s="5" t="str">
        <f>IF(A600="","",IF(COUNTIF(Контрагенты,H600)=0,"Не задан",VLOOKUP(H600,СПРАВОЧНИКИ!$G$7:$H$66,2,FALSE)))</f>
        <v/>
      </c>
      <c r="V600" s="4" t="str">
        <f>IF(A600="",IF(COUNTA(B600:O600)&gt;0,"НЕТ ID",""),IF(OR(AND(OR(C600="Оплата клиента",C600="Возврат клиенту"),COUNTIFS(Docs[ID],J600,Docs[Тип долга],"ДЗ")&lt;&gt;1),AND(OR(C600="Оплата поставщику",C600="Возврат поставщика"),COUNTIFS(Docs[ID],J600,Docs[Тип долга],"КЗ",Docs[Вид],"&lt;&gt;Дивиденды")&lt;&gt;1),AND(C600="Дивиденды",COUNTIFS(Docs[ID],J600,Docs[Вид],"Дивиденды")&lt;&gt;1),AND(C600="Проценты",COUNTIFS(Docs[ID],J600,Docs[Вид],"Проценты")&lt;&gt;1),COUNTIF(Cash[ID],A600)&gt;1,NOT(ISNUMBER(B600)),B600&lt;НачалоУчета,YEAR(B600)&lt;&gt;Год,NOT(ISNUMBER(E600)),E600&lt;=0,N600&lt;0,COUNTIF(Типы,C600)&lt;&gt;1,COUNTIF(Категории,D600)&lt;&gt;1,COUNTIF(Счета,F600)&lt;&gt;1,COUNTIF(Проекты,I600)&lt;&gt;1,AND(H600&lt;&gt;"",COUNTIF(Контрагенты,H600)&lt;&gt;1),AND(C600="Перевод",OR(F600=G600,COUNTIF(Счета,G600)&lt;&gt;1)),AND(S600&lt;&gt;0,COUNTIF(Docs[ID],J600)&lt;&gt;1),AND(Форма="ООО",C600="Вывод ИП"),AND(Форма="ИП",C600="Дивиденды"),AND(L600&lt;&gt;"Проведён",L600&lt;&gt;"Черновик")),"ОШИБКА","ОК"))</f>
        <v/>
      </c>
      <c r="W600" s="25" t="str">
        <f>IF(A600="","",SUMIF(Accounts[Счёт],F600,Accounts[Начальный])+SUMIFS($Q$7:Q600,$F$7:F600,F600)+SUMIFS($E$7:E600,$G$7:G600,F600,$C$7:C600,"Перевод",$L$7:L600,"Проведён"))</f>
        <v/>
      </c>
    </row>
    <row r="601" spans="1:23" x14ac:dyDescent="0.25">
      <c r="A601" s="22"/>
      <c r="B601" s="23"/>
      <c r="C601" s="22"/>
      <c r="D601" s="22"/>
      <c r="E601" s="27"/>
      <c r="F601" s="22"/>
      <c r="G601" s="22"/>
      <c r="H601" s="22"/>
      <c r="I601" s="22"/>
      <c r="J601" s="22"/>
      <c r="K601" s="22"/>
      <c r="L601" s="22"/>
      <c r="M601" s="22"/>
      <c r="N601" s="27"/>
      <c r="O601" s="22"/>
      <c r="P601" s="5" t="str">
        <f>IF(A601="","",IF(COUNTIF(Типы,C601)=0,0,VLOOKUP(C601,СПРАВОЧНИКИ!$A$7:$E$22,2,FALSE)))</f>
        <v/>
      </c>
      <c r="Q601" s="25" t="str">
        <f t="shared" si="9"/>
        <v/>
      </c>
      <c r="R601" s="5" t="str">
        <f>IF(A601="","",IF(COUNTIF(Типы,C601)=0,"НЕИЗВЕСТНЫЙ ТИП",VLOOKUP(C601,СПРАВОЧНИКИ!$A$7:$E$22,3,FALSE)))</f>
        <v/>
      </c>
      <c r="S601" s="26" t="str">
        <f>IF(A601="","",IF(L601="Проведён",E601*IF(COUNTIF(Типы,C601)=0,0,VLOOKUP(C601,СПРАВОЧНИКИ!$A$7:$E$22,4,FALSE)),0))</f>
        <v/>
      </c>
      <c r="T601" s="26" t="str">
        <f>IF(A601="","",IF(L601="Проведён",E601*IF(COUNTIF(Типы,C601)=0,0,VLOOKUP(C601,СПРАВОЧНИКИ!$A$7:$E$22,5,FALSE)),0))</f>
        <v/>
      </c>
      <c r="U601" s="5" t="str">
        <f>IF(A601="","",IF(COUNTIF(Контрагенты,H601)=0,"Не задан",VLOOKUP(H601,СПРАВОЧНИКИ!$G$7:$H$66,2,FALSE)))</f>
        <v/>
      </c>
      <c r="V601" s="4" t="str">
        <f>IF(A601="",IF(COUNTA(B601:O601)&gt;0,"НЕТ ID",""),IF(OR(AND(OR(C601="Оплата клиента",C601="Возврат клиенту"),COUNTIFS(Docs[ID],J601,Docs[Тип долга],"ДЗ")&lt;&gt;1),AND(OR(C601="Оплата поставщику",C601="Возврат поставщика"),COUNTIFS(Docs[ID],J601,Docs[Тип долга],"КЗ",Docs[Вид],"&lt;&gt;Дивиденды")&lt;&gt;1),AND(C601="Дивиденды",COUNTIFS(Docs[ID],J601,Docs[Вид],"Дивиденды")&lt;&gt;1),AND(C601="Проценты",COUNTIFS(Docs[ID],J601,Docs[Вид],"Проценты")&lt;&gt;1),COUNTIF(Cash[ID],A601)&gt;1,NOT(ISNUMBER(B601)),B601&lt;НачалоУчета,YEAR(B601)&lt;&gt;Год,NOT(ISNUMBER(E601)),E601&lt;=0,N601&lt;0,COUNTIF(Типы,C601)&lt;&gt;1,COUNTIF(Категории,D601)&lt;&gt;1,COUNTIF(Счета,F601)&lt;&gt;1,COUNTIF(Проекты,I601)&lt;&gt;1,AND(H601&lt;&gt;"",COUNTIF(Контрагенты,H601)&lt;&gt;1),AND(C601="Перевод",OR(F601=G601,COUNTIF(Счета,G601)&lt;&gt;1)),AND(S601&lt;&gt;0,COUNTIF(Docs[ID],J601)&lt;&gt;1),AND(Форма="ООО",C601="Вывод ИП"),AND(Форма="ИП",C601="Дивиденды"),AND(L601&lt;&gt;"Проведён",L601&lt;&gt;"Черновик")),"ОШИБКА","ОК"))</f>
        <v/>
      </c>
      <c r="W601" s="25" t="str">
        <f>IF(A601="","",SUMIF(Accounts[Счёт],F601,Accounts[Начальный])+SUMIFS($Q$7:Q601,$F$7:F601,F601)+SUMIFS($E$7:E601,$G$7:G601,F601,$C$7:C601,"Перевод",$L$7:L601,"Проведён"))</f>
        <v/>
      </c>
    </row>
    <row r="602" spans="1:23" x14ac:dyDescent="0.25">
      <c r="A602" s="22"/>
      <c r="B602" s="23"/>
      <c r="C602" s="22"/>
      <c r="D602" s="22"/>
      <c r="E602" s="27"/>
      <c r="F602" s="22"/>
      <c r="G602" s="22"/>
      <c r="H602" s="22"/>
      <c r="I602" s="22"/>
      <c r="J602" s="22"/>
      <c r="K602" s="22"/>
      <c r="L602" s="22"/>
      <c r="M602" s="22"/>
      <c r="N602" s="27"/>
      <c r="O602" s="22"/>
      <c r="P602" s="5" t="str">
        <f>IF(A602="","",IF(COUNTIF(Типы,C602)=0,0,VLOOKUP(C602,СПРАВОЧНИКИ!$A$7:$E$22,2,FALSE)))</f>
        <v/>
      </c>
      <c r="Q602" s="25" t="str">
        <f t="shared" si="9"/>
        <v/>
      </c>
      <c r="R602" s="5" t="str">
        <f>IF(A602="","",IF(COUNTIF(Типы,C602)=0,"НЕИЗВЕСТНЫЙ ТИП",VLOOKUP(C602,СПРАВОЧНИКИ!$A$7:$E$22,3,FALSE)))</f>
        <v/>
      </c>
      <c r="S602" s="26" t="str">
        <f>IF(A602="","",IF(L602="Проведён",E602*IF(COUNTIF(Типы,C602)=0,0,VLOOKUP(C602,СПРАВОЧНИКИ!$A$7:$E$22,4,FALSE)),0))</f>
        <v/>
      </c>
      <c r="T602" s="26" t="str">
        <f>IF(A602="","",IF(L602="Проведён",E602*IF(COUNTIF(Типы,C602)=0,0,VLOOKUP(C602,СПРАВОЧНИКИ!$A$7:$E$22,5,FALSE)),0))</f>
        <v/>
      </c>
      <c r="U602" s="5" t="str">
        <f>IF(A602="","",IF(COUNTIF(Контрагенты,H602)=0,"Не задан",VLOOKUP(H602,СПРАВОЧНИКИ!$G$7:$H$66,2,FALSE)))</f>
        <v/>
      </c>
      <c r="V602" s="4" t="str">
        <f>IF(A602="",IF(COUNTA(B602:O602)&gt;0,"НЕТ ID",""),IF(OR(AND(OR(C602="Оплата клиента",C602="Возврат клиенту"),COUNTIFS(Docs[ID],J602,Docs[Тип долга],"ДЗ")&lt;&gt;1),AND(OR(C602="Оплата поставщику",C602="Возврат поставщика"),COUNTIFS(Docs[ID],J602,Docs[Тип долга],"КЗ",Docs[Вид],"&lt;&gt;Дивиденды")&lt;&gt;1),AND(C602="Дивиденды",COUNTIFS(Docs[ID],J602,Docs[Вид],"Дивиденды")&lt;&gt;1),AND(C602="Проценты",COUNTIFS(Docs[ID],J602,Docs[Вид],"Проценты")&lt;&gt;1),COUNTIF(Cash[ID],A602)&gt;1,NOT(ISNUMBER(B602)),B602&lt;НачалоУчета,YEAR(B602)&lt;&gt;Год,NOT(ISNUMBER(E602)),E602&lt;=0,N602&lt;0,COUNTIF(Типы,C602)&lt;&gt;1,COUNTIF(Категории,D602)&lt;&gt;1,COUNTIF(Счета,F602)&lt;&gt;1,COUNTIF(Проекты,I602)&lt;&gt;1,AND(H602&lt;&gt;"",COUNTIF(Контрагенты,H602)&lt;&gt;1),AND(C602="Перевод",OR(F602=G602,COUNTIF(Счета,G602)&lt;&gt;1)),AND(S602&lt;&gt;0,COUNTIF(Docs[ID],J602)&lt;&gt;1),AND(Форма="ООО",C602="Вывод ИП"),AND(Форма="ИП",C602="Дивиденды"),AND(L602&lt;&gt;"Проведён",L602&lt;&gt;"Черновик")),"ОШИБКА","ОК"))</f>
        <v/>
      </c>
      <c r="W602" s="25" t="str">
        <f>IF(A602="","",SUMIF(Accounts[Счёт],F602,Accounts[Начальный])+SUMIFS($Q$7:Q602,$F$7:F602,F602)+SUMIFS($E$7:E602,$G$7:G602,F602,$C$7:C602,"Перевод",$L$7:L602,"Проведён"))</f>
        <v/>
      </c>
    </row>
    <row r="603" spans="1:23" x14ac:dyDescent="0.25">
      <c r="A603" s="22"/>
      <c r="B603" s="23"/>
      <c r="C603" s="22"/>
      <c r="D603" s="22"/>
      <c r="E603" s="27"/>
      <c r="F603" s="22"/>
      <c r="G603" s="22"/>
      <c r="H603" s="22"/>
      <c r="I603" s="22"/>
      <c r="J603" s="22"/>
      <c r="K603" s="22"/>
      <c r="L603" s="22"/>
      <c r="M603" s="22"/>
      <c r="N603" s="27"/>
      <c r="O603" s="22"/>
      <c r="P603" s="5" t="str">
        <f>IF(A603="","",IF(COUNTIF(Типы,C603)=0,0,VLOOKUP(C603,СПРАВОЧНИКИ!$A$7:$E$22,2,FALSE)))</f>
        <v/>
      </c>
      <c r="Q603" s="25" t="str">
        <f t="shared" si="9"/>
        <v/>
      </c>
      <c r="R603" s="5" t="str">
        <f>IF(A603="","",IF(COUNTIF(Типы,C603)=0,"НЕИЗВЕСТНЫЙ ТИП",VLOOKUP(C603,СПРАВОЧНИКИ!$A$7:$E$22,3,FALSE)))</f>
        <v/>
      </c>
      <c r="S603" s="26" t="str">
        <f>IF(A603="","",IF(L603="Проведён",E603*IF(COUNTIF(Типы,C603)=0,0,VLOOKUP(C603,СПРАВОЧНИКИ!$A$7:$E$22,4,FALSE)),0))</f>
        <v/>
      </c>
      <c r="T603" s="26" t="str">
        <f>IF(A603="","",IF(L603="Проведён",E603*IF(COUNTIF(Типы,C603)=0,0,VLOOKUP(C603,СПРАВОЧНИКИ!$A$7:$E$22,5,FALSE)),0))</f>
        <v/>
      </c>
      <c r="U603" s="5" t="str">
        <f>IF(A603="","",IF(COUNTIF(Контрагенты,H603)=0,"Не задан",VLOOKUP(H603,СПРАВОЧНИКИ!$G$7:$H$66,2,FALSE)))</f>
        <v/>
      </c>
      <c r="V603" s="4" t="str">
        <f>IF(A603="",IF(COUNTA(B603:O603)&gt;0,"НЕТ ID",""),IF(OR(AND(OR(C603="Оплата клиента",C603="Возврат клиенту"),COUNTIFS(Docs[ID],J603,Docs[Тип долга],"ДЗ")&lt;&gt;1),AND(OR(C603="Оплата поставщику",C603="Возврат поставщика"),COUNTIFS(Docs[ID],J603,Docs[Тип долга],"КЗ",Docs[Вид],"&lt;&gt;Дивиденды")&lt;&gt;1),AND(C603="Дивиденды",COUNTIFS(Docs[ID],J603,Docs[Вид],"Дивиденды")&lt;&gt;1),AND(C603="Проценты",COUNTIFS(Docs[ID],J603,Docs[Вид],"Проценты")&lt;&gt;1),COUNTIF(Cash[ID],A603)&gt;1,NOT(ISNUMBER(B603)),B603&lt;НачалоУчета,YEAR(B603)&lt;&gt;Год,NOT(ISNUMBER(E603)),E603&lt;=0,N603&lt;0,COUNTIF(Типы,C603)&lt;&gt;1,COUNTIF(Категории,D603)&lt;&gt;1,COUNTIF(Счета,F603)&lt;&gt;1,COUNTIF(Проекты,I603)&lt;&gt;1,AND(H603&lt;&gt;"",COUNTIF(Контрагенты,H603)&lt;&gt;1),AND(C603="Перевод",OR(F603=G603,COUNTIF(Счета,G603)&lt;&gt;1)),AND(S603&lt;&gt;0,COUNTIF(Docs[ID],J603)&lt;&gt;1),AND(Форма="ООО",C603="Вывод ИП"),AND(Форма="ИП",C603="Дивиденды"),AND(L603&lt;&gt;"Проведён",L603&lt;&gt;"Черновик")),"ОШИБКА","ОК"))</f>
        <v/>
      </c>
      <c r="W603" s="25" t="str">
        <f>IF(A603="","",SUMIF(Accounts[Счёт],F603,Accounts[Начальный])+SUMIFS($Q$7:Q603,$F$7:F603,F603)+SUMIFS($E$7:E603,$G$7:G603,F603,$C$7:C603,"Перевод",$L$7:L603,"Проведён"))</f>
        <v/>
      </c>
    </row>
    <row r="604" spans="1:23" x14ac:dyDescent="0.25">
      <c r="A604" s="22"/>
      <c r="B604" s="23"/>
      <c r="C604" s="22"/>
      <c r="D604" s="22"/>
      <c r="E604" s="27"/>
      <c r="F604" s="22"/>
      <c r="G604" s="22"/>
      <c r="H604" s="22"/>
      <c r="I604" s="22"/>
      <c r="J604" s="22"/>
      <c r="K604" s="22"/>
      <c r="L604" s="22"/>
      <c r="M604" s="22"/>
      <c r="N604" s="27"/>
      <c r="O604" s="22"/>
      <c r="P604" s="5" t="str">
        <f>IF(A604="","",IF(COUNTIF(Типы,C604)=0,0,VLOOKUP(C604,СПРАВОЧНИКИ!$A$7:$E$22,2,FALSE)))</f>
        <v/>
      </c>
      <c r="Q604" s="25" t="str">
        <f t="shared" si="9"/>
        <v/>
      </c>
      <c r="R604" s="5" t="str">
        <f>IF(A604="","",IF(COUNTIF(Типы,C604)=0,"НЕИЗВЕСТНЫЙ ТИП",VLOOKUP(C604,СПРАВОЧНИКИ!$A$7:$E$22,3,FALSE)))</f>
        <v/>
      </c>
      <c r="S604" s="26" t="str">
        <f>IF(A604="","",IF(L604="Проведён",E604*IF(COUNTIF(Типы,C604)=0,0,VLOOKUP(C604,СПРАВОЧНИКИ!$A$7:$E$22,4,FALSE)),0))</f>
        <v/>
      </c>
      <c r="T604" s="26" t="str">
        <f>IF(A604="","",IF(L604="Проведён",E604*IF(COUNTIF(Типы,C604)=0,0,VLOOKUP(C604,СПРАВОЧНИКИ!$A$7:$E$22,5,FALSE)),0))</f>
        <v/>
      </c>
      <c r="U604" s="5" t="str">
        <f>IF(A604="","",IF(COUNTIF(Контрагенты,H604)=0,"Не задан",VLOOKUP(H604,СПРАВОЧНИКИ!$G$7:$H$66,2,FALSE)))</f>
        <v/>
      </c>
      <c r="V604" s="4" t="str">
        <f>IF(A604="",IF(COUNTA(B604:O604)&gt;0,"НЕТ ID",""),IF(OR(AND(OR(C604="Оплата клиента",C604="Возврат клиенту"),COUNTIFS(Docs[ID],J604,Docs[Тип долга],"ДЗ")&lt;&gt;1),AND(OR(C604="Оплата поставщику",C604="Возврат поставщика"),COUNTIFS(Docs[ID],J604,Docs[Тип долга],"КЗ",Docs[Вид],"&lt;&gt;Дивиденды")&lt;&gt;1),AND(C604="Дивиденды",COUNTIFS(Docs[ID],J604,Docs[Вид],"Дивиденды")&lt;&gt;1),AND(C604="Проценты",COUNTIFS(Docs[ID],J604,Docs[Вид],"Проценты")&lt;&gt;1),COUNTIF(Cash[ID],A604)&gt;1,NOT(ISNUMBER(B604)),B604&lt;НачалоУчета,YEAR(B604)&lt;&gt;Год,NOT(ISNUMBER(E604)),E604&lt;=0,N604&lt;0,COUNTIF(Типы,C604)&lt;&gt;1,COUNTIF(Категории,D604)&lt;&gt;1,COUNTIF(Счета,F604)&lt;&gt;1,COUNTIF(Проекты,I604)&lt;&gt;1,AND(H604&lt;&gt;"",COUNTIF(Контрагенты,H604)&lt;&gt;1),AND(C604="Перевод",OR(F604=G604,COUNTIF(Счета,G604)&lt;&gt;1)),AND(S604&lt;&gt;0,COUNTIF(Docs[ID],J604)&lt;&gt;1),AND(Форма="ООО",C604="Вывод ИП"),AND(Форма="ИП",C604="Дивиденды"),AND(L604&lt;&gt;"Проведён",L604&lt;&gt;"Черновик")),"ОШИБКА","ОК"))</f>
        <v/>
      </c>
      <c r="W604" s="25" t="str">
        <f>IF(A604="","",SUMIF(Accounts[Счёт],F604,Accounts[Начальный])+SUMIFS($Q$7:Q604,$F$7:F604,F604)+SUMIFS($E$7:E604,$G$7:G604,F604,$C$7:C604,"Перевод",$L$7:L604,"Проведён"))</f>
        <v/>
      </c>
    </row>
    <row r="605" spans="1:23" x14ac:dyDescent="0.25">
      <c r="A605" s="22"/>
      <c r="B605" s="23"/>
      <c r="C605" s="22"/>
      <c r="D605" s="22"/>
      <c r="E605" s="27"/>
      <c r="F605" s="22"/>
      <c r="G605" s="22"/>
      <c r="H605" s="22"/>
      <c r="I605" s="22"/>
      <c r="J605" s="22"/>
      <c r="K605" s="22"/>
      <c r="L605" s="22"/>
      <c r="M605" s="22"/>
      <c r="N605" s="27"/>
      <c r="O605" s="22"/>
      <c r="P605" s="5" t="str">
        <f>IF(A605="","",IF(COUNTIF(Типы,C605)=0,0,VLOOKUP(C605,СПРАВОЧНИКИ!$A$7:$E$22,2,FALSE)))</f>
        <v/>
      </c>
      <c r="Q605" s="25" t="str">
        <f t="shared" si="9"/>
        <v/>
      </c>
      <c r="R605" s="5" t="str">
        <f>IF(A605="","",IF(COUNTIF(Типы,C605)=0,"НЕИЗВЕСТНЫЙ ТИП",VLOOKUP(C605,СПРАВОЧНИКИ!$A$7:$E$22,3,FALSE)))</f>
        <v/>
      </c>
      <c r="S605" s="26" t="str">
        <f>IF(A605="","",IF(L605="Проведён",E605*IF(COUNTIF(Типы,C605)=0,0,VLOOKUP(C605,СПРАВОЧНИКИ!$A$7:$E$22,4,FALSE)),0))</f>
        <v/>
      </c>
      <c r="T605" s="26" t="str">
        <f>IF(A605="","",IF(L605="Проведён",E605*IF(COUNTIF(Типы,C605)=0,0,VLOOKUP(C605,СПРАВОЧНИКИ!$A$7:$E$22,5,FALSE)),0))</f>
        <v/>
      </c>
      <c r="U605" s="5" t="str">
        <f>IF(A605="","",IF(COUNTIF(Контрагенты,H605)=0,"Не задан",VLOOKUP(H605,СПРАВОЧНИКИ!$G$7:$H$66,2,FALSE)))</f>
        <v/>
      </c>
      <c r="V605" s="4" t="str">
        <f>IF(A605="",IF(COUNTA(B605:O605)&gt;0,"НЕТ ID",""),IF(OR(AND(OR(C605="Оплата клиента",C605="Возврат клиенту"),COUNTIFS(Docs[ID],J605,Docs[Тип долга],"ДЗ")&lt;&gt;1),AND(OR(C605="Оплата поставщику",C605="Возврат поставщика"),COUNTIFS(Docs[ID],J605,Docs[Тип долга],"КЗ",Docs[Вид],"&lt;&gt;Дивиденды")&lt;&gt;1),AND(C605="Дивиденды",COUNTIFS(Docs[ID],J605,Docs[Вид],"Дивиденды")&lt;&gt;1),AND(C605="Проценты",COUNTIFS(Docs[ID],J605,Docs[Вид],"Проценты")&lt;&gt;1),COUNTIF(Cash[ID],A605)&gt;1,NOT(ISNUMBER(B605)),B605&lt;НачалоУчета,YEAR(B605)&lt;&gt;Год,NOT(ISNUMBER(E605)),E605&lt;=0,N605&lt;0,COUNTIF(Типы,C605)&lt;&gt;1,COUNTIF(Категории,D605)&lt;&gt;1,COUNTIF(Счета,F605)&lt;&gt;1,COUNTIF(Проекты,I605)&lt;&gt;1,AND(H605&lt;&gt;"",COUNTIF(Контрагенты,H605)&lt;&gt;1),AND(C605="Перевод",OR(F605=G605,COUNTIF(Счета,G605)&lt;&gt;1)),AND(S605&lt;&gt;0,COUNTIF(Docs[ID],J605)&lt;&gt;1),AND(Форма="ООО",C605="Вывод ИП"),AND(Форма="ИП",C605="Дивиденды"),AND(L605&lt;&gt;"Проведён",L605&lt;&gt;"Черновик")),"ОШИБКА","ОК"))</f>
        <v/>
      </c>
      <c r="W605" s="25" t="str">
        <f>IF(A605="","",SUMIF(Accounts[Счёт],F605,Accounts[Начальный])+SUMIFS($Q$7:Q605,$F$7:F605,F605)+SUMIFS($E$7:E605,$G$7:G605,F605,$C$7:C605,"Перевод",$L$7:L605,"Проведён"))</f>
        <v/>
      </c>
    </row>
    <row r="606" spans="1:23" x14ac:dyDescent="0.25">
      <c r="A606" s="22"/>
      <c r="B606" s="23"/>
      <c r="C606" s="22"/>
      <c r="D606" s="22"/>
      <c r="E606" s="27"/>
      <c r="F606" s="22"/>
      <c r="G606" s="22"/>
      <c r="H606" s="22"/>
      <c r="I606" s="22"/>
      <c r="J606" s="22"/>
      <c r="K606" s="22"/>
      <c r="L606" s="22"/>
      <c r="M606" s="22"/>
      <c r="N606" s="27"/>
      <c r="O606" s="22"/>
      <c r="P606" s="5" t="str">
        <f>IF(A606="","",IF(COUNTIF(Типы,C606)=0,0,VLOOKUP(C606,СПРАВОЧНИКИ!$A$7:$E$22,2,FALSE)))</f>
        <v/>
      </c>
      <c r="Q606" s="25" t="str">
        <f t="shared" si="9"/>
        <v/>
      </c>
      <c r="R606" s="5" t="str">
        <f>IF(A606="","",IF(COUNTIF(Типы,C606)=0,"НЕИЗВЕСТНЫЙ ТИП",VLOOKUP(C606,СПРАВОЧНИКИ!$A$7:$E$22,3,FALSE)))</f>
        <v/>
      </c>
      <c r="S606" s="26" t="str">
        <f>IF(A606="","",IF(L606="Проведён",E606*IF(COUNTIF(Типы,C606)=0,0,VLOOKUP(C606,СПРАВОЧНИКИ!$A$7:$E$22,4,FALSE)),0))</f>
        <v/>
      </c>
      <c r="T606" s="26" t="str">
        <f>IF(A606="","",IF(L606="Проведён",E606*IF(COUNTIF(Типы,C606)=0,0,VLOOKUP(C606,СПРАВОЧНИКИ!$A$7:$E$22,5,FALSE)),0))</f>
        <v/>
      </c>
      <c r="U606" s="5" t="str">
        <f>IF(A606="","",IF(COUNTIF(Контрагенты,H606)=0,"Не задан",VLOOKUP(H606,СПРАВОЧНИКИ!$G$7:$H$66,2,FALSE)))</f>
        <v/>
      </c>
      <c r="V606" s="4" t="str">
        <f>IF(A606="",IF(COUNTA(B606:O606)&gt;0,"НЕТ ID",""),IF(OR(AND(OR(C606="Оплата клиента",C606="Возврат клиенту"),COUNTIFS(Docs[ID],J606,Docs[Тип долга],"ДЗ")&lt;&gt;1),AND(OR(C606="Оплата поставщику",C606="Возврат поставщика"),COUNTIFS(Docs[ID],J606,Docs[Тип долга],"КЗ",Docs[Вид],"&lt;&gt;Дивиденды")&lt;&gt;1),AND(C606="Дивиденды",COUNTIFS(Docs[ID],J606,Docs[Вид],"Дивиденды")&lt;&gt;1),AND(C606="Проценты",COUNTIFS(Docs[ID],J606,Docs[Вид],"Проценты")&lt;&gt;1),COUNTIF(Cash[ID],A606)&gt;1,NOT(ISNUMBER(B606)),B606&lt;НачалоУчета,YEAR(B606)&lt;&gt;Год,NOT(ISNUMBER(E606)),E606&lt;=0,N606&lt;0,COUNTIF(Типы,C606)&lt;&gt;1,COUNTIF(Категории,D606)&lt;&gt;1,COUNTIF(Счета,F606)&lt;&gt;1,COUNTIF(Проекты,I606)&lt;&gt;1,AND(H606&lt;&gt;"",COUNTIF(Контрагенты,H606)&lt;&gt;1),AND(C606="Перевод",OR(F606=G606,COUNTIF(Счета,G606)&lt;&gt;1)),AND(S606&lt;&gt;0,COUNTIF(Docs[ID],J606)&lt;&gt;1),AND(Форма="ООО",C606="Вывод ИП"),AND(Форма="ИП",C606="Дивиденды"),AND(L606&lt;&gt;"Проведён",L606&lt;&gt;"Черновик")),"ОШИБКА","ОК"))</f>
        <v/>
      </c>
      <c r="W606" s="25" t="str">
        <f>IF(A606="","",SUMIF(Accounts[Счёт],F606,Accounts[Начальный])+SUMIFS($Q$7:Q606,$F$7:F606,F606)+SUMIFS($E$7:E606,$G$7:G606,F606,$C$7:C606,"Перевод",$L$7:L606,"Проведён"))</f>
        <v/>
      </c>
    </row>
    <row r="607" spans="1:23" x14ac:dyDescent="0.25">
      <c r="A607" s="22"/>
      <c r="B607" s="23"/>
      <c r="C607" s="22"/>
      <c r="D607" s="22"/>
      <c r="E607" s="27"/>
      <c r="F607" s="22"/>
      <c r="G607" s="22"/>
      <c r="H607" s="22"/>
      <c r="I607" s="22"/>
      <c r="J607" s="22"/>
      <c r="K607" s="22"/>
      <c r="L607" s="22"/>
      <c r="M607" s="22"/>
      <c r="N607" s="27"/>
      <c r="O607" s="22"/>
      <c r="P607" s="5" t="str">
        <f>IF(A607="","",IF(COUNTIF(Типы,C607)=0,0,VLOOKUP(C607,СПРАВОЧНИКИ!$A$7:$E$22,2,FALSE)))</f>
        <v/>
      </c>
      <c r="Q607" s="25" t="str">
        <f t="shared" si="9"/>
        <v/>
      </c>
      <c r="R607" s="5" t="str">
        <f>IF(A607="","",IF(COUNTIF(Типы,C607)=0,"НЕИЗВЕСТНЫЙ ТИП",VLOOKUP(C607,СПРАВОЧНИКИ!$A$7:$E$22,3,FALSE)))</f>
        <v/>
      </c>
      <c r="S607" s="26" t="str">
        <f>IF(A607="","",IF(L607="Проведён",E607*IF(COUNTIF(Типы,C607)=0,0,VLOOKUP(C607,СПРАВОЧНИКИ!$A$7:$E$22,4,FALSE)),0))</f>
        <v/>
      </c>
      <c r="T607" s="26" t="str">
        <f>IF(A607="","",IF(L607="Проведён",E607*IF(COUNTIF(Типы,C607)=0,0,VLOOKUP(C607,СПРАВОЧНИКИ!$A$7:$E$22,5,FALSE)),0))</f>
        <v/>
      </c>
      <c r="U607" s="5" t="str">
        <f>IF(A607="","",IF(COUNTIF(Контрагенты,H607)=0,"Не задан",VLOOKUP(H607,СПРАВОЧНИКИ!$G$7:$H$66,2,FALSE)))</f>
        <v/>
      </c>
      <c r="V607" s="4" t="str">
        <f>IF(A607="",IF(COUNTA(B607:O607)&gt;0,"НЕТ ID",""),IF(OR(AND(OR(C607="Оплата клиента",C607="Возврат клиенту"),COUNTIFS(Docs[ID],J607,Docs[Тип долга],"ДЗ")&lt;&gt;1),AND(OR(C607="Оплата поставщику",C607="Возврат поставщика"),COUNTIFS(Docs[ID],J607,Docs[Тип долга],"КЗ",Docs[Вид],"&lt;&gt;Дивиденды")&lt;&gt;1),AND(C607="Дивиденды",COUNTIFS(Docs[ID],J607,Docs[Вид],"Дивиденды")&lt;&gt;1),AND(C607="Проценты",COUNTIFS(Docs[ID],J607,Docs[Вид],"Проценты")&lt;&gt;1),COUNTIF(Cash[ID],A607)&gt;1,NOT(ISNUMBER(B607)),B607&lt;НачалоУчета,YEAR(B607)&lt;&gt;Год,NOT(ISNUMBER(E607)),E607&lt;=0,N607&lt;0,COUNTIF(Типы,C607)&lt;&gt;1,COUNTIF(Категории,D607)&lt;&gt;1,COUNTIF(Счета,F607)&lt;&gt;1,COUNTIF(Проекты,I607)&lt;&gt;1,AND(H607&lt;&gt;"",COUNTIF(Контрагенты,H607)&lt;&gt;1),AND(C607="Перевод",OR(F607=G607,COUNTIF(Счета,G607)&lt;&gt;1)),AND(S607&lt;&gt;0,COUNTIF(Docs[ID],J607)&lt;&gt;1),AND(Форма="ООО",C607="Вывод ИП"),AND(Форма="ИП",C607="Дивиденды"),AND(L607&lt;&gt;"Проведён",L607&lt;&gt;"Черновик")),"ОШИБКА","ОК"))</f>
        <v/>
      </c>
      <c r="W607" s="25" t="str">
        <f>IF(A607="","",SUMIF(Accounts[Счёт],F607,Accounts[Начальный])+SUMIFS($Q$7:Q607,$F$7:F607,F607)+SUMIFS($E$7:E607,$G$7:G607,F607,$C$7:C607,"Перевод",$L$7:L607,"Проведён"))</f>
        <v/>
      </c>
    </row>
    <row r="608" spans="1:23" x14ac:dyDescent="0.25">
      <c r="A608" s="22"/>
      <c r="B608" s="23"/>
      <c r="C608" s="22"/>
      <c r="D608" s="22"/>
      <c r="E608" s="27"/>
      <c r="F608" s="22"/>
      <c r="G608" s="22"/>
      <c r="H608" s="22"/>
      <c r="I608" s="22"/>
      <c r="J608" s="22"/>
      <c r="K608" s="22"/>
      <c r="L608" s="22"/>
      <c r="M608" s="22"/>
      <c r="N608" s="27"/>
      <c r="O608" s="22"/>
      <c r="P608" s="5" t="str">
        <f>IF(A608="","",IF(COUNTIF(Типы,C608)=0,0,VLOOKUP(C608,СПРАВОЧНИКИ!$A$7:$E$22,2,FALSE)))</f>
        <v/>
      </c>
      <c r="Q608" s="25" t="str">
        <f t="shared" si="9"/>
        <v/>
      </c>
      <c r="R608" s="5" t="str">
        <f>IF(A608="","",IF(COUNTIF(Типы,C608)=0,"НЕИЗВЕСТНЫЙ ТИП",VLOOKUP(C608,СПРАВОЧНИКИ!$A$7:$E$22,3,FALSE)))</f>
        <v/>
      </c>
      <c r="S608" s="26" t="str">
        <f>IF(A608="","",IF(L608="Проведён",E608*IF(COUNTIF(Типы,C608)=0,0,VLOOKUP(C608,СПРАВОЧНИКИ!$A$7:$E$22,4,FALSE)),0))</f>
        <v/>
      </c>
      <c r="T608" s="26" t="str">
        <f>IF(A608="","",IF(L608="Проведён",E608*IF(COUNTIF(Типы,C608)=0,0,VLOOKUP(C608,СПРАВОЧНИКИ!$A$7:$E$22,5,FALSE)),0))</f>
        <v/>
      </c>
      <c r="U608" s="5" t="str">
        <f>IF(A608="","",IF(COUNTIF(Контрагенты,H608)=0,"Не задан",VLOOKUP(H608,СПРАВОЧНИКИ!$G$7:$H$66,2,FALSE)))</f>
        <v/>
      </c>
      <c r="V608" s="4" t="str">
        <f>IF(A608="",IF(COUNTA(B608:O608)&gt;0,"НЕТ ID",""),IF(OR(AND(OR(C608="Оплата клиента",C608="Возврат клиенту"),COUNTIFS(Docs[ID],J608,Docs[Тип долга],"ДЗ")&lt;&gt;1),AND(OR(C608="Оплата поставщику",C608="Возврат поставщика"),COUNTIFS(Docs[ID],J608,Docs[Тип долга],"КЗ",Docs[Вид],"&lt;&gt;Дивиденды")&lt;&gt;1),AND(C608="Дивиденды",COUNTIFS(Docs[ID],J608,Docs[Вид],"Дивиденды")&lt;&gt;1),AND(C608="Проценты",COUNTIFS(Docs[ID],J608,Docs[Вид],"Проценты")&lt;&gt;1),COUNTIF(Cash[ID],A608)&gt;1,NOT(ISNUMBER(B608)),B608&lt;НачалоУчета,YEAR(B608)&lt;&gt;Год,NOT(ISNUMBER(E608)),E608&lt;=0,N608&lt;0,COUNTIF(Типы,C608)&lt;&gt;1,COUNTIF(Категории,D608)&lt;&gt;1,COUNTIF(Счета,F608)&lt;&gt;1,COUNTIF(Проекты,I608)&lt;&gt;1,AND(H608&lt;&gt;"",COUNTIF(Контрагенты,H608)&lt;&gt;1),AND(C608="Перевод",OR(F608=G608,COUNTIF(Счета,G608)&lt;&gt;1)),AND(S608&lt;&gt;0,COUNTIF(Docs[ID],J608)&lt;&gt;1),AND(Форма="ООО",C608="Вывод ИП"),AND(Форма="ИП",C608="Дивиденды"),AND(L608&lt;&gt;"Проведён",L608&lt;&gt;"Черновик")),"ОШИБКА","ОК"))</f>
        <v/>
      </c>
      <c r="W608" s="25" t="str">
        <f>IF(A608="","",SUMIF(Accounts[Счёт],F608,Accounts[Начальный])+SUMIFS($Q$7:Q608,$F$7:F608,F608)+SUMIFS($E$7:E608,$G$7:G608,F608,$C$7:C608,"Перевод",$L$7:L608,"Проведён"))</f>
        <v/>
      </c>
    </row>
    <row r="609" spans="1:23" x14ac:dyDescent="0.25">
      <c r="A609" s="22"/>
      <c r="B609" s="23"/>
      <c r="C609" s="22"/>
      <c r="D609" s="22"/>
      <c r="E609" s="27"/>
      <c r="F609" s="22"/>
      <c r="G609" s="22"/>
      <c r="H609" s="22"/>
      <c r="I609" s="22"/>
      <c r="J609" s="22"/>
      <c r="K609" s="22"/>
      <c r="L609" s="22"/>
      <c r="M609" s="22"/>
      <c r="N609" s="27"/>
      <c r="O609" s="22"/>
      <c r="P609" s="5" t="str">
        <f>IF(A609="","",IF(COUNTIF(Типы,C609)=0,0,VLOOKUP(C609,СПРАВОЧНИКИ!$A$7:$E$22,2,FALSE)))</f>
        <v/>
      </c>
      <c r="Q609" s="25" t="str">
        <f t="shared" si="9"/>
        <v/>
      </c>
      <c r="R609" s="5" t="str">
        <f>IF(A609="","",IF(COUNTIF(Типы,C609)=0,"НЕИЗВЕСТНЫЙ ТИП",VLOOKUP(C609,СПРАВОЧНИКИ!$A$7:$E$22,3,FALSE)))</f>
        <v/>
      </c>
      <c r="S609" s="26" t="str">
        <f>IF(A609="","",IF(L609="Проведён",E609*IF(COUNTIF(Типы,C609)=0,0,VLOOKUP(C609,СПРАВОЧНИКИ!$A$7:$E$22,4,FALSE)),0))</f>
        <v/>
      </c>
      <c r="T609" s="26" t="str">
        <f>IF(A609="","",IF(L609="Проведён",E609*IF(COUNTIF(Типы,C609)=0,0,VLOOKUP(C609,СПРАВОЧНИКИ!$A$7:$E$22,5,FALSE)),0))</f>
        <v/>
      </c>
      <c r="U609" s="5" t="str">
        <f>IF(A609="","",IF(COUNTIF(Контрагенты,H609)=0,"Не задан",VLOOKUP(H609,СПРАВОЧНИКИ!$G$7:$H$66,2,FALSE)))</f>
        <v/>
      </c>
      <c r="V609" s="4" t="str">
        <f>IF(A609="",IF(COUNTA(B609:O609)&gt;0,"НЕТ ID",""),IF(OR(AND(OR(C609="Оплата клиента",C609="Возврат клиенту"),COUNTIFS(Docs[ID],J609,Docs[Тип долга],"ДЗ")&lt;&gt;1),AND(OR(C609="Оплата поставщику",C609="Возврат поставщика"),COUNTIFS(Docs[ID],J609,Docs[Тип долга],"КЗ",Docs[Вид],"&lt;&gt;Дивиденды")&lt;&gt;1),AND(C609="Дивиденды",COUNTIFS(Docs[ID],J609,Docs[Вид],"Дивиденды")&lt;&gt;1),AND(C609="Проценты",COUNTIFS(Docs[ID],J609,Docs[Вид],"Проценты")&lt;&gt;1),COUNTIF(Cash[ID],A609)&gt;1,NOT(ISNUMBER(B609)),B609&lt;НачалоУчета,YEAR(B609)&lt;&gt;Год,NOT(ISNUMBER(E609)),E609&lt;=0,N609&lt;0,COUNTIF(Типы,C609)&lt;&gt;1,COUNTIF(Категории,D609)&lt;&gt;1,COUNTIF(Счета,F609)&lt;&gt;1,COUNTIF(Проекты,I609)&lt;&gt;1,AND(H609&lt;&gt;"",COUNTIF(Контрагенты,H609)&lt;&gt;1),AND(C609="Перевод",OR(F609=G609,COUNTIF(Счета,G609)&lt;&gt;1)),AND(S609&lt;&gt;0,COUNTIF(Docs[ID],J609)&lt;&gt;1),AND(Форма="ООО",C609="Вывод ИП"),AND(Форма="ИП",C609="Дивиденды"),AND(L609&lt;&gt;"Проведён",L609&lt;&gt;"Черновик")),"ОШИБКА","ОК"))</f>
        <v/>
      </c>
      <c r="W609" s="25" t="str">
        <f>IF(A609="","",SUMIF(Accounts[Счёт],F609,Accounts[Начальный])+SUMIFS($Q$7:Q609,$F$7:F609,F609)+SUMIFS($E$7:E609,$G$7:G609,F609,$C$7:C609,"Перевод",$L$7:L609,"Проведён"))</f>
        <v/>
      </c>
    </row>
    <row r="610" spans="1:23" x14ac:dyDescent="0.25">
      <c r="A610" s="22"/>
      <c r="B610" s="23"/>
      <c r="C610" s="22"/>
      <c r="D610" s="22"/>
      <c r="E610" s="27"/>
      <c r="F610" s="22"/>
      <c r="G610" s="22"/>
      <c r="H610" s="22"/>
      <c r="I610" s="22"/>
      <c r="J610" s="22"/>
      <c r="K610" s="22"/>
      <c r="L610" s="22"/>
      <c r="M610" s="22"/>
      <c r="N610" s="27"/>
      <c r="O610" s="22"/>
      <c r="P610" s="5" t="str">
        <f>IF(A610="","",IF(COUNTIF(Типы,C610)=0,0,VLOOKUP(C610,СПРАВОЧНИКИ!$A$7:$E$22,2,FALSE)))</f>
        <v/>
      </c>
      <c r="Q610" s="25" t="str">
        <f t="shared" si="9"/>
        <v/>
      </c>
      <c r="R610" s="5" t="str">
        <f>IF(A610="","",IF(COUNTIF(Типы,C610)=0,"НЕИЗВЕСТНЫЙ ТИП",VLOOKUP(C610,СПРАВОЧНИКИ!$A$7:$E$22,3,FALSE)))</f>
        <v/>
      </c>
      <c r="S610" s="26" t="str">
        <f>IF(A610="","",IF(L610="Проведён",E610*IF(COUNTIF(Типы,C610)=0,0,VLOOKUP(C610,СПРАВОЧНИКИ!$A$7:$E$22,4,FALSE)),0))</f>
        <v/>
      </c>
      <c r="T610" s="26" t="str">
        <f>IF(A610="","",IF(L610="Проведён",E610*IF(COUNTIF(Типы,C610)=0,0,VLOOKUP(C610,СПРАВОЧНИКИ!$A$7:$E$22,5,FALSE)),0))</f>
        <v/>
      </c>
      <c r="U610" s="5" t="str">
        <f>IF(A610="","",IF(COUNTIF(Контрагенты,H610)=0,"Не задан",VLOOKUP(H610,СПРАВОЧНИКИ!$G$7:$H$66,2,FALSE)))</f>
        <v/>
      </c>
      <c r="V610" s="4" t="str">
        <f>IF(A610="",IF(COUNTA(B610:O610)&gt;0,"НЕТ ID",""),IF(OR(AND(OR(C610="Оплата клиента",C610="Возврат клиенту"),COUNTIFS(Docs[ID],J610,Docs[Тип долга],"ДЗ")&lt;&gt;1),AND(OR(C610="Оплата поставщику",C610="Возврат поставщика"),COUNTIFS(Docs[ID],J610,Docs[Тип долга],"КЗ",Docs[Вид],"&lt;&gt;Дивиденды")&lt;&gt;1),AND(C610="Дивиденды",COUNTIFS(Docs[ID],J610,Docs[Вид],"Дивиденды")&lt;&gt;1),AND(C610="Проценты",COUNTIFS(Docs[ID],J610,Docs[Вид],"Проценты")&lt;&gt;1),COUNTIF(Cash[ID],A610)&gt;1,NOT(ISNUMBER(B610)),B610&lt;НачалоУчета,YEAR(B610)&lt;&gt;Год,NOT(ISNUMBER(E610)),E610&lt;=0,N610&lt;0,COUNTIF(Типы,C610)&lt;&gt;1,COUNTIF(Категории,D610)&lt;&gt;1,COUNTIF(Счета,F610)&lt;&gt;1,COUNTIF(Проекты,I610)&lt;&gt;1,AND(H610&lt;&gt;"",COUNTIF(Контрагенты,H610)&lt;&gt;1),AND(C610="Перевод",OR(F610=G610,COUNTIF(Счета,G610)&lt;&gt;1)),AND(S610&lt;&gt;0,COUNTIF(Docs[ID],J610)&lt;&gt;1),AND(Форма="ООО",C610="Вывод ИП"),AND(Форма="ИП",C610="Дивиденды"),AND(L610&lt;&gt;"Проведён",L610&lt;&gt;"Черновик")),"ОШИБКА","ОК"))</f>
        <v/>
      </c>
      <c r="W610" s="25" t="str">
        <f>IF(A610="","",SUMIF(Accounts[Счёт],F610,Accounts[Начальный])+SUMIFS($Q$7:Q610,$F$7:F610,F610)+SUMIFS($E$7:E610,$G$7:G610,F610,$C$7:C610,"Перевод",$L$7:L610,"Проведён"))</f>
        <v/>
      </c>
    </row>
    <row r="611" spans="1:23" x14ac:dyDescent="0.25">
      <c r="A611" s="22"/>
      <c r="B611" s="23"/>
      <c r="C611" s="22"/>
      <c r="D611" s="22"/>
      <c r="E611" s="27"/>
      <c r="F611" s="22"/>
      <c r="G611" s="22"/>
      <c r="H611" s="22"/>
      <c r="I611" s="22"/>
      <c r="J611" s="22"/>
      <c r="K611" s="22"/>
      <c r="L611" s="22"/>
      <c r="M611" s="22"/>
      <c r="N611" s="27"/>
      <c r="O611" s="22"/>
      <c r="P611" s="5" t="str">
        <f>IF(A611="","",IF(COUNTIF(Типы,C611)=0,0,VLOOKUP(C611,СПРАВОЧНИКИ!$A$7:$E$22,2,FALSE)))</f>
        <v/>
      </c>
      <c r="Q611" s="25" t="str">
        <f t="shared" si="9"/>
        <v/>
      </c>
      <c r="R611" s="5" t="str">
        <f>IF(A611="","",IF(COUNTIF(Типы,C611)=0,"НЕИЗВЕСТНЫЙ ТИП",VLOOKUP(C611,СПРАВОЧНИКИ!$A$7:$E$22,3,FALSE)))</f>
        <v/>
      </c>
      <c r="S611" s="26" t="str">
        <f>IF(A611="","",IF(L611="Проведён",E611*IF(COUNTIF(Типы,C611)=0,0,VLOOKUP(C611,СПРАВОЧНИКИ!$A$7:$E$22,4,FALSE)),0))</f>
        <v/>
      </c>
      <c r="T611" s="26" t="str">
        <f>IF(A611="","",IF(L611="Проведён",E611*IF(COUNTIF(Типы,C611)=0,0,VLOOKUP(C611,СПРАВОЧНИКИ!$A$7:$E$22,5,FALSE)),0))</f>
        <v/>
      </c>
      <c r="U611" s="5" t="str">
        <f>IF(A611="","",IF(COUNTIF(Контрагенты,H611)=0,"Не задан",VLOOKUP(H611,СПРАВОЧНИКИ!$G$7:$H$66,2,FALSE)))</f>
        <v/>
      </c>
      <c r="V611" s="4" t="str">
        <f>IF(A611="",IF(COUNTA(B611:O611)&gt;0,"НЕТ ID",""),IF(OR(AND(OR(C611="Оплата клиента",C611="Возврат клиенту"),COUNTIFS(Docs[ID],J611,Docs[Тип долга],"ДЗ")&lt;&gt;1),AND(OR(C611="Оплата поставщику",C611="Возврат поставщика"),COUNTIFS(Docs[ID],J611,Docs[Тип долга],"КЗ",Docs[Вид],"&lt;&gt;Дивиденды")&lt;&gt;1),AND(C611="Дивиденды",COUNTIFS(Docs[ID],J611,Docs[Вид],"Дивиденды")&lt;&gt;1),AND(C611="Проценты",COUNTIFS(Docs[ID],J611,Docs[Вид],"Проценты")&lt;&gt;1),COUNTIF(Cash[ID],A611)&gt;1,NOT(ISNUMBER(B611)),B611&lt;НачалоУчета,YEAR(B611)&lt;&gt;Год,NOT(ISNUMBER(E611)),E611&lt;=0,N611&lt;0,COUNTIF(Типы,C611)&lt;&gt;1,COUNTIF(Категории,D611)&lt;&gt;1,COUNTIF(Счета,F611)&lt;&gt;1,COUNTIF(Проекты,I611)&lt;&gt;1,AND(H611&lt;&gt;"",COUNTIF(Контрагенты,H611)&lt;&gt;1),AND(C611="Перевод",OR(F611=G611,COUNTIF(Счета,G611)&lt;&gt;1)),AND(S611&lt;&gt;0,COUNTIF(Docs[ID],J611)&lt;&gt;1),AND(Форма="ООО",C611="Вывод ИП"),AND(Форма="ИП",C611="Дивиденды"),AND(L611&lt;&gt;"Проведён",L611&lt;&gt;"Черновик")),"ОШИБКА","ОК"))</f>
        <v/>
      </c>
      <c r="W611" s="25" t="str">
        <f>IF(A611="","",SUMIF(Accounts[Счёт],F611,Accounts[Начальный])+SUMIFS($Q$7:Q611,$F$7:F611,F611)+SUMIFS($E$7:E611,$G$7:G611,F611,$C$7:C611,"Перевод",$L$7:L611,"Проведён"))</f>
        <v/>
      </c>
    </row>
    <row r="612" spans="1:23" x14ac:dyDescent="0.25">
      <c r="A612" s="22"/>
      <c r="B612" s="23"/>
      <c r="C612" s="22"/>
      <c r="D612" s="22"/>
      <c r="E612" s="27"/>
      <c r="F612" s="22"/>
      <c r="G612" s="22"/>
      <c r="H612" s="22"/>
      <c r="I612" s="22"/>
      <c r="J612" s="22"/>
      <c r="K612" s="22"/>
      <c r="L612" s="22"/>
      <c r="M612" s="22"/>
      <c r="N612" s="27"/>
      <c r="O612" s="22"/>
      <c r="P612" s="5" t="str">
        <f>IF(A612="","",IF(COUNTIF(Типы,C612)=0,0,VLOOKUP(C612,СПРАВОЧНИКИ!$A$7:$E$22,2,FALSE)))</f>
        <v/>
      </c>
      <c r="Q612" s="25" t="str">
        <f t="shared" si="9"/>
        <v/>
      </c>
      <c r="R612" s="5" t="str">
        <f>IF(A612="","",IF(COUNTIF(Типы,C612)=0,"НЕИЗВЕСТНЫЙ ТИП",VLOOKUP(C612,СПРАВОЧНИКИ!$A$7:$E$22,3,FALSE)))</f>
        <v/>
      </c>
      <c r="S612" s="26" t="str">
        <f>IF(A612="","",IF(L612="Проведён",E612*IF(COUNTIF(Типы,C612)=0,0,VLOOKUP(C612,СПРАВОЧНИКИ!$A$7:$E$22,4,FALSE)),0))</f>
        <v/>
      </c>
      <c r="T612" s="26" t="str">
        <f>IF(A612="","",IF(L612="Проведён",E612*IF(COUNTIF(Типы,C612)=0,0,VLOOKUP(C612,СПРАВОЧНИКИ!$A$7:$E$22,5,FALSE)),0))</f>
        <v/>
      </c>
      <c r="U612" s="5" t="str">
        <f>IF(A612="","",IF(COUNTIF(Контрагенты,H612)=0,"Не задан",VLOOKUP(H612,СПРАВОЧНИКИ!$G$7:$H$66,2,FALSE)))</f>
        <v/>
      </c>
      <c r="V612" s="4" t="str">
        <f>IF(A612="",IF(COUNTA(B612:O612)&gt;0,"НЕТ ID",""),IF(OR(AND(OR(C612="Оплата клиента",C612="Возврат клиенту"),COUNTIFS(Docs[ID],J612,Docs[Тип долга],"ДЗ")&lt;&gt;1),AND(OR(C612="Оплата поставщику",C612="Возврат поставщика"),COUNTIFS(Docs[ID],J612,Docs[Тип долга],"КЗ",Docs[Вид],"&lt;&gt;Дивиденды")&lt;&gt;1),AND(C612="Дивиденды",COUNTIFS(Docs[ID],J612,Docs[Вид],"Дивиденды")&lt;&gt;1),AND(C612="Проценты",COUNTIFS(Docs[ID],J612,Docs[Вид],"Проценты")&lt;&gt;1),COUNTIF(Cash[ID],A612)&gt;1,NOT(ISNUMBER(B612)),B612&lt;НачалоУчета,YEAR(B612)&lt;&gt;Год,NOT(ISNUMBER(E612)),E612&lt;=0,N612&lt;0,COUNTIF(Типы,C612)&lt;&gt;1,COUNTIF(Категории,D612)&lt;&gt;1,COUNTIF(Счета,F612)&lt;&gt;1,COUNTIF(Проекты,I612)&lt;&gt;1,AND(H612&lt;&gt;"",COUNTIF(Контрагенты,H612)&lt;&gt;1),AND(C612="Перевод",OR(F612=G612,COUNTIF(Счета,G612)&lt;&gt;1)),AND(S612&lt;&gt;0,COUNTIF(Docs[ID],J612)&lt;&gt;1),AND(Форма="ООО",C612="Вывод ИП"),AND(Форма="ИП",C612="Дивиденды"),AND(L612&lt;&gt;"Проведён",L612&lt;&gt;"Черновик")),"ОШИБКА","ОК"))</f>
        <v/>
      </c>
      <c r="W612" s="25" t="str">
        <f>IF(A612="","",SUMIF(Accounts[Счёт],F612,Accounts[Начальный])+SUMIFS($Q$7:Q612,$F$7:F612,F612)+SUMIFS($E$7:E612,$G$7:G612,F612,$C$7:C612,"Перевод",$L$7:L612,"Проведён"))</f>
        <v/>
      </c>
    </row>
    <row r="613" spans="1:23" x14ac:dyDescent="0.25">
      <c r="A613" s="22"/>
      <c r="B613" s="23"/>
      <c r="C613" s="22"/>
      <c r="D613" s="22"/>
      <c r="E613" s="27"/>
      <c r="F613" s="22"/>
      <c r="G613" s="22"/>
      <c r="H613" s="22"/>
      <c r="I613" s="22"/>
      <c r="J613" s="22"/>
      <c r="K613" s="22"/>
      <c r="L613" s="22"/>
      <c r="M613" s="22"/>
      <c r="N613" s="27"/>
      <c r="O613" s="22"/>
      <c r="P613" s="5" t="str">
        <f>IF(A613="","",IF(COUNTIF(Типы,C613)=0,0,VLOOKUP(C613,СПРАВОЧНИКИ!$A$7:$E$22,2,FALSE)))</f>
        <v/>
      </c>
      <c r="Q613" s="25" t="str">
        <f t="shared" si="9"/>
        <v/>
      </c>
      <c r="R613" s="5" t="str">
        <f>IF(A613="","",IF(COUNTIF(Типы,C613)=0,"НЕИЗВЕСТНЫЙ ТИП",VLOOKUP(C613,СПРАВОЧНИКИ!$A$7:$E$22,3,FALSE)))</f>
        <v/>
      </c>
      <c r="S613" s="26" t="str">
        <f>IF(A613="","",IF(L613="Проведён",E613*IF(COUNTIF(Типы,C613)=0,0,VLOOKUP(C613,СПРАВОЧНИКИ!$A$7:$E$22,4,FALSE)),0))</f>
        <v/>
      </c>
      <c r="T613" s="26" t="str">
        <f>IF(A613="","",IF(L613="Проведён",E613*IF(COUNTIF(Типы,C613)=0,0,VLOOKUP(C613,СПРАВОЧНИКИ!$A$7:$E$22,5,FALSE)),0))</f>
        <v/>
      </c>
      <c r="U613" s="5" t="str">
        <f>IF(A613="","",IF(COUNTIF(Контрагенты,H613)=0,"Не задан",VLOOKUP(H613,СПРАВОЧНИКИ!$G$7:$H$66,2,FALSE)))</f>
        <v/>
      </c>
      <c r="V613" s="4" t="str">
        <f>IF(A613="",IF(COUNTA(B613:O613)&gt;0,"НЕТ ID",""),IF(OR(AND(OR(C613="Оплата клиента",C613="Возврат клиенту"),COUNTIFS(Docs[ID],J613,Docs[Тип долга],"ДЗ")&lt;&gt;1),AND(OR(C613="Оплата поставщику",C613="Возврат поставщика"),COUNTIFS(Docs[ID],J613,Docs[Тип долга],"КЗ",Docs[Вид],"&lt;&gt;Дивиденды")&lt;&gt;1),AND(C613="Дивиденды",COUNTIFS(Docs[ID],J613,Docs[Вид],"Дивиденды")&lt;&gt;1),AND(C613="Проценты",COUNTIFS(Docs[ID],J613,Docs[Вид],"Проценты")&lt;&gt;1),COUNTIF(Cash[ID],A613)&gt;1,NOT(ISNUMBER(B613)),B613&lt;НачалоУчета,YEAR(B613)&lt;&gt;Год,NOT(ISNUMBER(E613)),E613&lt;=0,N613&lt;0,COUNTIF(Типы,C613)&lt;&gt;1,COUNTIF(Категории,D613)&lt;&gt;1,COUNTIF(Счета,F613)&lt;&gt;1,COUNTIF(Проекты,I613)&lt;&gt;1,AND(H613&lt;&gt;"",COUNTIF(Контрагенты,H613)&lt;&gt;1),AND(C613="Перевод",OR(F613=G613,COUNTIF(Счета,G613)&lt;&gt;1)),AND(S613&lt;&gt;0,COUNTIF(Docs[ID],J613)&lt;&gt;1),AND(Форма="ООО",C613="Вывод ИП"),AND(Форма="ИП",C613="Дивиденды"),AND(L613&lt;&gt;"Проведён",L613&lt;&gt;"Черновик")),"ОШИБКА","ОК"))</f>
        <v/>
      </c>
      <c r="W613" s="25" t="str">
        <f>IF(A613="","",SUMIF(Accounts[Счёт],F613,Accounts[Начальный])+SUMIFS($Q$7:Q613,$F$7:F613,F613)+SUMIFS($E$7:E613,$G$7:G613,F613,$C$7:C613,"Перевод",$L$7:L613,"Проведён"))</f>
        <v/>
      </c>
    </row>
    <row r="614" spans="1:23" x14ac:dyDescent="0.25">
      <c r="A614" s="22"/>
      <c r="B614" s="23"/>
      <c r="C614" s="22"/>
      <c r="D614" s="22"/>
      <c r="E614" s="27"/>
      <c r="F614" s="22"/>
      <c r="G614" s="22"/>
      <c r="H614" s="22"/>
      <c r="I614" s="22"/>
      <c r="J614" s="22"/>
      <c r="K614" s="22"/>
      <c r="L614" s="22"/>
      <c r="M614" s="22"/>
      <c r="N614" s="27"/>
      <c r="O614" s="22"/>
      <c r="P614" s="5" t="str">
        <f>IF(A614="","",IF(COUNTIF(Типы,C614)=0,0,VLOOKUP(C614,СПРАВОЧНИКИ!$A$7:$E$22,2,FALSE)))</f>
        <v/>
      </c>
      <c r="Q614" s="25" t="str">
        <f t="shared" si="9"/>
        <v/>
      </c>
      <c r="R614" s="5" t="str">
        <f>IF(A614="","",IF(COUNTIF(Типы,C614)=0,"НЕИЗВЕСТНЫЙ ТИП",VLOOKUP(C614,СПРАВОЧНИКИ!$A$7:$E$22,3,FALSE)))</f>
        <v/>
      </c>
      <c r="S614" s="26" t="str">
        <f>IF(A614="","",IF(L614="Проведён",E614*IF(COUNTIF(Типы,C614)=0,0,VLOOKUP(C614,СПРАВОЧНИКИ!$A$7:$E$22,4,FALSE)),0))</f>
        <v/>
      </c>
      <c r="T614" s="26" t="str">
        <f>IF(A614="","",IF(L614="Проведён",E614*IF(COUNTIF(Типы,C614)=0,0,VLOOKUP(C614,СПРАВОЧНИКИ!$A$7:$E$22,5,FALSE)),0))</f>
        <v/>
      </c>
      <c r="U614" s="5" t="str">
        <f>IF(A614="","",IF(COUNTIF(Контрагенты,H614)=0,"Не задан",VLOOKUP(H614,СПРАВОЧНИКИ!$G$7:$H$66,2,FALSE)))</f>
        <v/>
      </c>
      <c r="V614" s="4" t="str">
        <f>IF(A614="",IF(COUNTA(B614:O614)&gt;0,"НЕТ ID",""),IF(OR(AND(OR(C614="Оплата клиента",C614="Возврат клиенту"),COUNTIFS(Docs[ID],J614,Docs[Тип долга],"ДЗ")&lt;&gt;1),AND(OR(C614="Оплата поставщику",C614="Возврат поставщика"),COUNTIFS(Docs[ID],J614,Docs[Тип долга],"КЗ",Docs[Вид],"&lt;&gt;Дивиденды")&lt;&gt;1),AND(C614="Дивиденды",COUNTIFS(Docs[ID],J614,Docs[Вид],"Дивиденды")&lt;&gt;1),AND(C614="Проценты",COUNTIFS(Docs[ID],J614,Docs[Вид],"Проценты")&lt;&gt;1),COUNTIF(Cash[ID],A614)&gt;1,NOT(ISNUMBER(B614)),B614&lt;НачалоУчета,YEAR(B614)&lt;&gt;Год,NOT(ISNUMBER(E614)),E614&lt;=0,N614&lt;0,COUNTIF(Типы,C614)&lt;&gt;1,COUNTIF(Категории,D614)&lt;&gt;1,COUNTIF(Счета,F614)&lt;&gt;1,COUNTIF(Проекты,I614)&lt;&gt;1,AND(H614&lt;&gt;"",COUNTIF(Контрагенты,H614)&lt;&gt;1),AND(C614="Перевод",OR(F614=G614,COUNTIF(Счета,G614)&lt;&gt;1)),AND(S614&lt;&gt;0,COUNTIF(Docs[ID],J614)&lt;&gt;1),AND(Форма="ООО",C614="Вывод ИП"),AND(Форма="ИП",C614="Дивиденды"),AND(L614&lt;&gt;"Проведён",L614&lt;&gt;"Черновик")),"ОШИБКА","ОК"))</f>
        <v/>
      </c>
      <c r="W614" s="25" t="str">
        <f>IF(A614="","",SUMIF(Accounts[Счёт],F614,Accounts[Начальный])+SUMIFS($Q$7:Q614,$F$7:F614,F614)+SUMIFS($E$7:E614,$G$7:G614,F614,$C$7:C614,"Перевод",$L$7:L614,"Проведён"))</f>
        <v/>
      </c>
    </row>
    <row r="615" spans="1:23" x14ac:dyDescent="0.25">
      <c r="A615" s="22"/>
      <c r="B615" s="23"/>
      <c r="C615" s="22"/>
      <c r="D615" s="22"/>
      <c r="E615" s="27"/>
      <c r="F615" s="22"/>
      <c r="G615" s="22"/>
      <c r="H615" s="22"/>
      <c r="I615" s="22"/>
      <c r="J615" s="22"/>
      <c r="K615" s="22"/>
      <c r="L615" s="22"/>
      <c r="M615" s="22"/>
      <c r="N615" s="27"/>
      <c r="O615" s="22"/>
      <c r="P615" s="5" t="str">
        <f>IF(A615="","",IF(COUNTIF(Типы,C615)=0,0,VLOOKUP(C615,СПРАВОЧНИКИ!$A$7:$E$22,2,FALSE)))</f>
        <v/>
      </c>
      <c r="Q615" s="25" t="str">
        <f t="shared" si="9"/>
        <v/>
      </c>
      <c r="R615" s="5" t="str">
        <f>IF(A615="","",IF(COUNTIF(Типы,C615)=0,"НЕИЗВЕСТНЫЙ ТИП",VLOOKUP(C615,СПРАВОЧНИКИ!$A$7:$E$22,3,FALSE)))</f>
        <v/>
      </c>
      <c r="S615" s="26" t="str">
        <f>IF(A615="","",IF(L615="Проведён",E615*IF(COUNTIF(Типы,C615)=0,0,VLOOKUP(C615,СПРАВОЧНИКИ!$A$7:$E$22,4,FALSE)),0))</f>
        <v/>
      </c>
      <c r="T615" s="26" t="str">
        <f>IF(A615="","",IF(L615="Проведён",E615*IF(COUNTIF(Типы,C615)=0,0,VLOOKUP(C615,СПРАВОЧНИКИ!$A$7:$E$22,5,FALSE)),0))</f>
        <v/>
      </c>
      <c r="U615" s="5" t="str">
        <f>IF(A615="","",IF(COUNTIF(Контрагенты,H615)=0,"Не задан",VLOOKUP(H615,СПРАВОЧНИКИ!$G$7:$H$66,2,FALSE)))</f>
        <v/>
      </c>
      <c r="V615" s="4" t="str">
        <f>IF(A615="",IF(COUNTA(B615:O615)&gt;0,"НЕТ ID",""),IF(OR(AND(OR(C615="Оплата клиента",C615="Возврат клиенту"),COUNTIFS(Docs[ID],J615,Docs[Тип долга],"ДЗ")&lt;&gt;1),AND(OR(C615="Оплата поставщику",C615="Возврат поставщика"),COUNTIFS(Docs[ID],J615,Docs[Тип долга],"КЗ",Docs[Вид],"&lt;&gt;Дивиденды")&lt;&gt;1),AND(C615="Дивиденды",COUNTIFS(Docs[ID],J615,Docs[Вид],"Дивиденды")&lt;&gt;1),AND(C615="Проценты",COUNTIFS(Docs[ID],J615,Docs[Вид],"Проценты")&lt;&gt;1),COUNTIF(Cash[ID],A615)&gt;1,NOT(ISNUMBER(B615)),B615&lt;НачалоУчета,YEAR(B615)&lt;&gt;Год,NOT(ISNUMBER(E615)),E615&lt;=0,N615&lt;0,COUNTIF(Типы,C615)&lt;&gt;1,COUNTIF(Категории,D615)&lt;&gt;1,COUNTIF(Счета,F615)&lt;&gt;1,COUNTIF(Проекты,I615)&lt;&gt;1,AND(H615&lt;&gt;"",COUNTIF(Контрагенты,H615)&lt;&gt;1),AND(C615="Перевод",OR(F615=G615,COUNTIF(Счета,G615)&lt;&gt;1)),AND(S615&lt;&gt;0,COUNTIF(Docs[ID],J615)&lt;&gt;1),AND(Форма="ООО",C615="Вывод ИП"),AND(Форма="ИП",C615="Дивиденды"),AND(L615&lt;&gt;"Проведён",L615&lt;&gt;"Черновик")),"ОШИБКА","ОК"))</f>
        <v/>
      </c>
      <c r="W615" s="25" t="str">
        <f>IF(A615="","",SUMIF(Accounts[Счёт],F615,Accounts[Начальный])+SUMIFS($Q$7:Q615,$F$7:F615,F615)+SUMIFS($E$7:E615,$G$7:G615,F615,$C$7:C615,"Перевод",$L$7:L615,"Проведён"))</f>
        <v/>
      </c>
    </row>
    <row r="616" spans="1:23" x14ac:dyDescent="0.25">
      <c r="A616" s="22"/>
      <c r="B616" s="23"/>
      <c r="C616" s="22"/>
      <c r="D616" s="22"/>
      <c r="E616" s="27"/>
      <c r="F616" s="22"/>
      <c r="G616" s="22"/>
      <c r="H616" s="22"/>
      <c r="I616" s="22"/>
      <c r="J616" s="22"/>
      <c r="K616" s="22"/>
      <c r="L616" s="22"/>
      <c r="M616" s="22"/>
      <c r="N616" s="27"/>
      <c r="O616" s="22"/>
      <c r="P616" s="5" t="str">
        <f>IF(A616="","",IF(COUNTIF(Типы,C616)=0,0,VLOOKUP(C616,СПРАВОЧНИКИ!$A$7:$E$22,2,FALSE)))</f>
        <v/>
      </c>
      <c r="Q616" s="25" t="str">
        <f t="shared" si="9"/>
        <v/>
      </c>
      <c r="R616" s="5" t="str">
        <f>IF(A616="","",IF(COUNTIF(Типы,C616)=0,"НЕИЗВЕСТНЫЙ ТИП",VLOOKUP(C616,СПРАВОЧНИКИ!$A$7:$E$22,3,FALSE)))</f>
        <v/>
      </c>
      <c r="S616" s="26" t="str">
        <f>IF(A616="","",IF(L616="Проведён",E616*IF(COUNTIF(Типы,C616)=0,0,VLOOKUP(C616,СПРАВОЧНИКИ!$A$7:$E$22,4,FALSE)),0))</f>
        <v/>
      </c>
      <c r="T616" s="26" t="str">
        <f>IF(A616="","",IF(L616="Проведён",E616*IF(COUNTIF(Типы,C616)=0,0,VLOOKUP(C616,СПРАВОЧНИКИ!$A$7:$E$22,5,FALSE)),0))</f>
        <v/>
      </c>
      <c r="U616" s="5" t="str">
        <f>IF(A616="","",IF(COUNTIF(Контрагенты,H616)=0,"Не задан",VLOOKUP(H616,СПРАВОЧНИКИ!$G$7:$H$66,2,FALSE)))</f>
        <v/>
      </c>
      <c r="V616" s="4" t="str">
        <f>IF(A616="",IF(COUNTA(B616:O616)&gt;0,"НЕТ ID",""),IF(OR(AND(OR(C616="Оплата клиента",C616="Возврат клиенту"),COUNTIFS(Docs[ID],J616,Docs[Тип долга],"ДЗ")&lt;&gt;1),AND(OR(C616="Оплата поставщику",C616="Возврат поставщика"),COUNTIFS(Docs[ID],J616,Docs[Тип долга],"КЗ",Docs[Вид],"&lt;&gt;Дивиденды")&lt;&gt;1),AND(C616="Дивиденды",COUNTIFS(Docs[ID],J616,Docs[Вид],"Дивиденды")&lt;&gt;1),AND(C616="Проценты",COUNTIFS(Docs[ID],J616,Docs[Вид],"Проценты")&lt;&gt;1),COUNTIF(Cash[ID],A616)&gt;1,NOT(ISNUMBER(B616)),B616&lt;НачалоУчета,YEAR(B616)&lt;&gt;Год,NOT(ISNUMBER(E616)),E616&lt;=0,N616&lt;0,COUNTIF(Типы,C616)&lt;&gt;1,COUNTIF(Категории,D616)&lt;&gt;1,COUNTIF(Счета,F616)&lt;&gt;1,COUNTIF(Проекты,I616)&lt;&gt;1,AND(H616&lt;&gt;"",COUNTIF(Контрагенты,H616)&lt;&gt;1),AND(C616="Перевод",OR(F616=G616,COUNTIF(Счета,G616)&lt;&gt;1)),AND(S616&lt;&gt;0,COUNTIF(Docs[ID],J616)&lt;&gt;1),AND(Форма="ООО",C616="Вывод ИП"),AND(Форма="ИП",C616="Дивиденды"),AND(L616&lt;&gt;"Проведён",L616&lt;&gt;"Черновик")),"ОШИБКА","ОК"))</f>
        <v/>
      </c>
      <c r="W616" s="25" t="str">
        <f>IF(A616="","",SUMIF(Accounts[Счёт],F616,Accounts[Начальный])+SUMIFS($Q$7:Q616,$F$7:F616,F616)+SUMIFS($E$7:E616,$G$7:G616,F616,$C$7:C616,"Перевод",$L$7:L616,"Проведён"))</f>
        <v/>
      </c>
    </row>
    <row r="617" spans="1:23" x14ac:dyDescent="0.25">
      <c r="A617" s="22"/>
      <c r="B617" s="23"/>
      <c r="C617" s="22"/>
      <c r="D617" s="22"/>
      <c r="E617" s="27"/>
      <c r="F617" s="22"/>
      <c r="G617" s="22"/>
      <c r="H617" s="22"/>
      <c r="I617" s="22"/>
      <c r="J617" s="22"/>
      <c r="K617" s="22"/>
      <c r="L617" s="22"/>
      <c r="M617" s="22"/>
      <c r="N617" s="27"/>
      <c r="O617" s="22"/>
      <c r="P617" s="5" t="str">
        <f>IF(A617="","",IF(COUNTIF(Типы,C617)=0,0,VLOOKUP(C617,СПРАВОЧНИКИ!$A$7:$E$22,2,FALSE)))</f>
        <v/>
      </c>
      <c r="Q617" s="25" t="str">
        <f t="shared" si="9"/>
        <v/>
      </c>
      <c r="R617" s="5" t="str">
        <f>IF(A617="","",IF(COUNTIF(Типы,C617)=0,"НЕИЗВЕСТНЫЙ ТИП",VLOOKUP(C617,СПРАВОЧНИКИ!$A$7:$E$22,3,FALSE)))</f>
        <v/>
      </c>
      <c r="S617" s="26" t="str">
        <f>IF(A617="","",IF(L617="Проведён",E617*IF(COUNTIF(Типы,C617)=0,0,VLOOKUP(C617,СПРАВОЧНИКИ!$A$7:$E$22,4,FALSE)),0))</f>
        <v/>
      </c>
      <c r="T617" s="26" t="str">
        <f>IF(A617="","",IF(L617="Проведён",E617*IF(COUNTIF(Типы,C617)=0,0,VLOOKUP(C617,СПРАВОЧНИКИ!$A$7:$E$22,5,FALSE)),0))</f>
        <v/>
      </c>
      <c r="U617" s="5" t="str">
        <f>IF(A617="","",IF(COUNTIF(Контрагенты,H617)=0,"Не задан",VLOOKUP(H617,СПРАВОЧНИКИ!$G$7:$H$66,2,FALSE)))</f>
        <v/>
      </c>
      <c r="V617" s="4" t="str">
        <f>IF(A617="",IF(COUNTA(B617:O617)&gt;0,"НЕТ ID",""),IF(OR(AND(OR(C617="Оплата клиента",C617="Возврат клиенту"),COUNTIFS(Docs[ID],J617,Docs[Тип долга],"ДЗ")&lt;&gt;1),AND(OR(C617="Оплата поставщику",C617="Возврат поставщика"),COUNTIFS(Docs[ID],J617,Docs[Тип долга],"КЗ",Docs[Вид],"&lt;&gt;Дивиденды")&lt;&gt;1),AND(C617="Дивиденды",COUNTIFS(Docs[ID],J617,Docs[Вид],"Дивиденды")&lt;&gt;1),AND(C617="Проценты",COUNTIFS(Docs[ID],J617,Docs[Вид],"Проценты")&lt;&gt;1),COUNTIF(Cash[ID],A617)&gt;1,NOT(ISNUMBER(B617)),B617&lt;НачалоУчета,YEAR(B617)&lt;&gt;Год,NOT(ISNUMBER(E617)),E617&lt;=0,N617&lt;0,COUNTIF(Типы,C617)&lt;&gt;1,COUNTIF(Категории,D617)&lt;&gt;1,COUNTIF(Счета,F617)&lt;&gt;1,COUNTIF(Проекты,I617)&lt;&gt;1,AND(H617&lt;&gt;"",COUNTIF(Контрагенты,H617)&lt;&gt;1),AND(C617="Перевод",OR(F617=G617,COUNTIF(Счета,G617)&lt;&gt;1)),AND(S617&lt;&gt;0,COUNTIF(Docs[ID],J617)&lt;&gt;1),AND(Форма="ООО",C617="Вывод ИП"),AND(Форма="ИП",C617="Дивиденды"),AND(L617&lt;&gt;"Проведён",L617&lt;&gt;"Черновик")),"ОШИБКА","ОК"))</f>
        <v/>
      </c>
      <c r="W617" s="25" t="str">
        <f>IF(A617="","",SUMIF(Accounts[Счёт],F617,Accounts[Начальный])+SUMIFS($Q$7:Q617,$F$7:F617,F617)+SUMIFS($E$7:E617,$G$7:G617,F617,$C$7:C617,"Перевод",$L$7:L617,"Проведён"))</f>
        <v/>
      </c>
    </row>
    <row r="618" spans="1:23" x14ac:dyDescent="0.25">
      <c r="A618" s="22"/>
      <c r="B618" s="23"/>
      <c r="C618" s="22"/>
      <c r="D618" s="22"/>
      <c r="E618" s="27"/>
      <c r="F618" s="22"/>
      <c r="G618" s="22"/>
      <c r="H618" s="22"/>
      <c r="I618" s="22"/>
      <c r="J618" s="22"/>
      <c r="K618" s="22"/>
      <c r="L618" s="22"/>
      <c r="M618" s="22"/>
      <c r="N618" s="27"/>
      <c r="O618" s="22"/>
      <c r="P618" s="5" t="str">
        <f>IF(A618="","",IF(COUNTIF(Типы,C618)=0,0,VLOOKUP(C618,СПРАВОЧНИКИ!$A$7:$E$22,2,FALSE)))</f>
        <v/>
      </c>
      <c r="Q618" s="25" t="str">
        <f t="shared" si="9"/>
        <v/>
      </c>
      <c r="R618" s="5" t="str">
        <f>IF(A618="","",IF(COUNTIF(Типы,C618)=0,"НЕИЗВЕСТНЫЙ ТИП",VLOOKUP(C618,СПРАВОЧНИКИ!$A$7:$E$22,3,FALSE)))</f>
        <v/>
      </c>
      <c r="S618" s="26" t="str">
        <f>IF(A618="","",IF(L618="Проведён",E618*IF(COUNTIF(Типы,C618)=0,0,VLOOKUP(C618,СПРАВОЧНИКИ!$A$7:$E$22,4,FALSE)),0))</f>
        <v/>
      </c>
      <c r="T618" s="26" t="str">
        <f>IF(A618="","",IF(L618="Проведён",E618*IF(COUNTIF(Типы,C618)=0,0,VLOOKUP(C618,СПРАВОЧНИКИ!$A$7:$E$22,5,FALSE)),0))</f>
        <v/>
      </c>
      <c r="U618" s="5" t="str">
        <f>IF(A618="","",IF(COUNTIF(Контрагенты,H618)=0,"Не задан",VLOOKUP(H618,СПРАВОЧНИКИ!$G$7:$H$66,2,FALSE)))</f>
        <v/>
      </c>
      <c r="V618" s="4" t="str">
        <f>IF(A618="",IF(COUNTA(B618:O618)&gt;0,"НЕТ ID",""),IF(OR(AND(OR(C618="Оплата клиента",C618="Возврат клиенту"),COUNTIFS(Docs[ID],J618,Docs[Тип долга],"ДЗ")&lt;&gt;1),AND(OR(C618="Оплата поставщику",C618="Возврат поставщика"),COUNTIFS(Docs[ID],J618,Docs[Тип долга],"КЗ",Docs[Вид],"&lt;&gt;Дивиденды")&lt;&gt;1),AND(C618="Дивиденды",COUNTIFS(Docs[ID],J618,Docs[Вид],"Дивиденды")&lt;&gt;1),AND(C618="Проценты",COUNTIFS(Docs[ID],J618,Docs[Вид],"Проценты")&lt;&gt;1),COUNTIF(Cash[ID],A618)&gt;1,NOT(ISNUMBER(B618)),B618&lt;НачалоУчета,YEAR(B618)&lt;&gt;Год,NOT(ISNUMBER(E618)),E618&lt;=0,N618&lt;0,COUNTIF(Типы,C618)&lt;&gt;1,COUNTIF(Категории,D618)&lt;&gt;1,COUNTIF(Счета,F618)&lt;&gt;1,COUNTIF(Проекты,I618)&lt;&gt;1,AND(H618&lt;&gt;"",COUNTIF(Контрагенты,H618)&lt;&gt;1),AND(C618="Перевод",OR(F618=G618,COUNTIF(Счета,G618)&lt;&gt;1)),AND(S618&lt;&gt;0,COUNTIF(Docs[ID],J618)&lt;&gt;1),AND(Форма="ООО",C618="Вывод ИП"),AND(Форма="ИП",C618="Дивиденды"),AND(L618&lt;&gt;"Проведён",L618&lt;&gt;"Черновик")),"ОШИБКА","ОК"))</f>
        <v/>
      </c>
      <c r="W618" s="25" t="str">
        <f>IF(A618="","",SUMIF(Accounts[Счёт],F618,Accounts[Начальный])+SUMIFS($Q$7:Q618,$F$7:F618,F618)+SUMIFS($E$7:E618,$G$7:G618,F618,$C$7:C618,"Перевод",$L$7:L618,"Проведён"))</f>
        <v/>
      </c>
    </row>
    <row r="619" spans="1:23" x14ac:dyDescent="0.25">
      <c r="A619" s="22"/>
      <c r="B619" s="23"/>
      <c r="C619" s="22"/>
      <c r="D619" s="22"/>
      <c r="E619" s="27"/>
      <c r="F619" s="22"/>
      <c r="G619" s="22"/>
      <c r="H619" s="22"/>
      <c r="I619" s="22"/>
      <c r="J619" s="22"/>
      <c r="K619" s="22"/>
      <c r="L619" s="22"/>
      <c r="M619" s="22"/>
      <c r="N619" s="27"/>
      <c r="O619" s="22"/>
      <c r="P619" s="5" t="str">
        <f>IF(A619="","",IF(COUNTIF(Типы,C619)=0,0,VLOOKUP(C619,СПРАВОЧНИКИ!$A$7:$E$22,2,FALSE)))</f>
        <v/>
      </c>
      <c r="Q619" s="25" t="str">
        <f t="shared" si="9"/>
        <v/>
      </c>
      <c r="R619" s="5" t="str">
        <f>IF(A619="","",IF(COUNTIF(Типы,C619)=0,"НЕИЗВЕСТНЫЙ ТИП",VLOOKUP(C619,СПРАВОЧНИКИ!$A$7:$E$22,3,FALSE)))</f>
        <v/>
      </c>
      <c r="S619" s="26" t="str">
        <f>IF(A619="","",IF(L619="Проведён",E619*IF(COUNTIF(Типы,C619)=0,0,VLOOKUP(C619,СПРАВОЧНИКИ!$A$7:$E$22,4,FALSE)),0))</f>
        <v/>
      </c>
      <c r="T619" s="26" t="str">
        <f>IF(A619="","",IF(L619="Проведён",E619*IF(COUNTIF(Типы,C619)=0,0,VLOOKUP(C619,СПРАВОЧНИКИ!$A$7:$E$22,5,FALSE)),0))</f>
        <v/>
      </c>
      <c r="U619" s="5" t="str">
        <f>IF(A619="","",IF(COUNTIF(Контрагенты,H619)=0,"Не задан",VLOOKUP(H619,СПРАВОЧНИКИ!$G$7:$H$66,2,FALSE)))</f>
        <v/>
      </c>
      <c r="V619" s="4" t="str">
        <f>IF(A619="",IF(COUNTA(B619:O619)&gt;0,"НЕТ ID",""),IF(OR(AND(OR(C619="Оплата клиента",C619="Возврат клиенту"),COUNTIFS(Docs[ID],J619,Docs[Тип долга],"ДЗ")&lt;&gt;1),AND(OR(C619="Оплата поставщику",C619="Возврат поставщика"),COUNTIFS(Docs[ID],J619,Docs[Тип долга],"КЗ",Docs[Вид],"&lt;&gt;Дивиденды")&lt;&gt;1),AND(C619="Дивиденды",COUNTIFS(Docs[ID],J619,Docs[Вид],"Дивиденды")&lt;&gt;1),AND(C619="Проценты",COUNTIFS(Docs[ID],J619,Docs[Вид],"Проценты")&lt;&gt;1),COUNTIF(Cash[ID],A619)&gt;1,NOT(ISNUMBER(B619)),B619&lt;НачалоУчета,YEAR(B619)&lt;&gt;Год,NOT(ISNUMBER(E619)),E619&lt;=0,N619&lt;0,COUNTIF(Типы,C619)&lt;&gt;1,COUNTIF(Категории,D619)&lt;&gt;1,COUNTIF(Счета,F619)&lt;&gt;1,COUNTIF(Проекты,I619)&lt;&gt;1,AND(H619&lt;&gt;"",COUNTIF(Контрагенты,H619)&lt;&gt;1),AND(C619="Перевод",OR(F619=G619,COUNTIF(Счета,G619)&lt;&gt;1)),AND(S619&lt;&gt;0,COUNTIF(Docs[ID],J619)&lt;&gt;1),AND(Форма="ООО",C619="Вывод ИП"),AND(Форма="ИП",C619="Дивиденды"),AND(L619&lt;&gt;"Проведён",L619&lt;&gt;"Черновик")),"ОШИБКА","ОК"))</f>
        <v/>
      </c>
      <c r="W619" s="25" t="str">
        <f>IF(A619="","",SUMIF(Accounts[Счёт],F619,Accounts[Начальный])+SUMIFS($Q$7:Q619,$F$7:F619,F619)+SUMIFS($E$7:E619,$G$7:G619,F619,$C$7:C619,"Перевод",$L$7:L619,"Проведён"))</f>
        <v/>
      </c>
    </row>
    <row r="620" spans="1:23" x14ac:dyDescent="0.25">
      <c r="A620" s="22"/>
      <c r="B620" s="23"/>
      <c r="C620" s="22"/>
      <c r="D620" s="22"/>
      <c r="E620" s="27"/>
      <c r="F620" s="22"/>
      <c r="G620" s="22"/>
      <c r="H620" s="22"/>
      <c r="I620" s="22"/>
      <c r="J620" s="22"/>
      <c r="K620" s="22"/>
      <c r="L620" s="22"/>
      <c r="M620" s="22"/>
      <c r="N620" s="27"/>
      <c r="O620" s="22"/>
      <c r="P620" s="5" t="str">
        <f>IF(A620="","",IF(COUNTIF(Типы,C620)=0,0,VLOOKUP(C620,СПРАВОЧНИКИ!$A$7:$E$22,2,FALSE)))</f>
        <v/>
      </c>
      <c r="Q620" s="25" t="str">
        <f t="shared" si="9"/>
        <v/>
      </c>
      <c r="R620" s="5" t="str">
        <f>IF(A620="","",IF(COUNTIF(Типы,C620)=0,"НЕИЗВЕСТНЫЙ ТИП",VLOOKUP(C620,СПРАВОЧНИКИ!$A$7:$E$22,3,FALSE)))</f>
        <v/>
      </c>
      <c r="S620" s="26" t="str">
        <f>IF(A620="","",IF(L620="Проведён",E620*IF(COUNTIF(Типы,C620)=0,0,VLOOKUP(C620,СПРАВОЧНИКИ!$A$7:$E$22,4,FALSE)),0))</f>
        <v/>
      </c>
      <c r="T620" s="26" t="str">
        <f>IF(A620="","",IF(L620="Проведён",E620*IF(COUNTIF(Типы,C620)=0,0,VLOOKUP(C620,СПРАВОЧНИКИ!$A$7:$E$22,5,FALSE)),0))</f>
        <v/>
      </c>
      <c r="U620" s="5" t="str">
        <f>IF(A620="","",IF(COUNTIF(Контрагенты,H620)=0,"Не задан",VLOOKUP(H620,СПРАВОЧНИКИ!$G$7:$H$66,2,FALSE)))</f>
        <v/>
      </c>
      <c r="V620" s="4" t="str">
        <f>IF(A620="",IF(COUNTA(B620:O620)&gt;0,"НЕТ ID",""),IF(OR(AND(OR(C620="Оплата клиента",C620="Возврат клиенту"),COUNTIFS(Docs[ID],J620,Docs[Тип долга],"ДЗ")&lt;&gt;1),AND(OR(C620="Оплата поставщику",C620="Возврат поставщика"),COUNTIFS(Docs[ID],J620,Docs[Тип долга],"КЗ",Docs[Вид],"&lt;&gt;Дивиденды")&lt;&gt;1),AND(C620="Дивиденды",COUNTIFS(Docs[ID],J620,Docs[Вид],"Дивиденды")&lt;&gt;1),AND(C620="Проценты",COUNTIFS(Docs[ID],J620,Docs[Вид],"Проценты")&lt;&gt;1),COUNTIF(Cash[ID],A620)&gt;1,NOT(ISNUMBER(B620)),B620&lt;НачалоУчета,YEAR(B620)&lt;&gt;Год,NOT(ISNUMBER(E620)),E620&lt;=0,N620&lt;0,COUNTIF(Типы,C620)&lt;&gt;1,COUNTIF(Категории,D620)&lt;&gt;1,COUNTIF(Счета,F620)&lt;&gt;1,COUNTIF(Проекты,I620)&lt;&gt;1,AND(H620&lt;&gt;"",COUNTIF(Контрагенты,H620)&lt;&gt;1),AND(C620="Перевод",OR(F620=G620,COUNTIF(Счета,G620)&lt;&gt;1)),AND(S620&lt;&gt;0,COUNTIF(Docs[ID],J620)&lt;&gt;1),AND(Форма="ООО",C620="Вывод ИП"),AND(Форма="ИП",C620="Дивиденды"),AND(L620&lt;&gt;"Проведён",L620&lt;&gt;"Черновик")),"ОШИБКА","ОК"))</f>
        <v/>
      </c>
      <c r="W620" s="25" t="str">
        <f>IF(A620="","",SUMIF(Accounts[Счёт],F620,Accounts[Начальный])+SUMIFS($Q$7:Q620,$F$7:F620,F620)+SUMIFS($E$7:E620,$G$7:G620,F620,$C$7:C620,"Перевод",$L$7:L620,"Проведён"))</f>
        <v/>
      </c>
    </row>
    <row r="621" spans="1:23" x14ac:dyDescent="0.25">
      <c r="A621" s="22"/>
      <c r="B621" s="23"/>
      <c r="C621" s="22"/>
      <c r="D621" s="22"/>
      <c r="E621" s="27"/>
      <c r="F621" s="22"/>
      <c r="G621" s="22"/>
      <c r="H621" s="22"/>
      <c r="I621" s="22"/>
      <c r="J621" s="22"/>
      <c r="K621" s="22"/>
      <c r="L621" s="22"/>
      <c r="M621" s="22"/>
      <c r="N621" s="27"/>
      <c r="O621" s="22"/>
      <c r="P621" s="5" t="str">
        <f>IF(A621="","",IF(COUNTIF(Типы,C621)=0,0,VLOOKUP(C621,СПРАВОЧНИКИ!$A$7:$E$22,2,FALSE)))</f>
        <v/>
      </c>
      <c r="Q621" s="25" t="str">
        <f t="shared" si="9"/>
        <v/>
      </c>
      <c r="R621" s="5" t="str">
        <f>IF(A621="","",IF(COUNTIF(Типы,C621)=0,"НЕИЗВЕСТНЫЙ ТИП",VLOOKUP(C621,СПРАВОЧНИКИ!$A$7:$E$22,3,FALSE)))</f>
        <v/>
      </c>
      <c r="S621" s="26" t="str">
        <f>IF(A621="","",IF(L621="Проведён",E621*IF(COUNTIF(Типы,C621)=0,0,VLOOKUP(C621,СПРАВОЧНИКИ!$A$7:$E$22,4,FALSE)),0))</f>
        <v/>
      </c>
      <c r="T621" s="26" t="str">
        <f>IF(A621="","",IF(L621="Проведён",E621*IF(COUNTIF(Типы,C621)=0,0,VLOOKUP(C621,СПРАВОЧНИКИ!$A$7:$E$22,5,FALSE)),0))</f>
        <v/>
      </c>
      <c r="U621" s="5" t="str">
        <f>IF(A621="","",IF(COUNTIF(Контрагенты,H621)=0,"Не задан",VLOOKUP(H621,СПРАВОЧНИКИ!$G$7:$H$66,2,FALSE)))</f>
        <v/>
      </c>
      <c r="V621" s="4" t="str">
        <f>IF(A621="",IF(COUNTA(B621:O621)&gt;0,"НЕТ ID",""),IF(OR(AND(OR(C621="Оплата клиента",C621="Возврат клиенту"),COUNTIFS(Docs[ID],J621,Docs[Тип долга],"ДЗ")&lt;&gt;1),AND(OR(C621="Оплата поставщику",C621="Возврат поставщика"),COUNTIFS(Docs[ID],J621,Docs[Тип долга],"КЗ",Docs[Вид],"&lt;&gt;Дивиденды")&lt;&gt;1),AND(C621="Дивиденды",COUNTIFS(Docs[ID],J621,Docs[Вид],"Дивиденды")&lt;&gt;1),AND(C621="Проценты",COUNTIFS(Docs[ID],J621,Docs[Вид],"Проценты")&lt;&gt;1),COUNTIF(Cash[ID],A621)&gt;1,NOT(ISNUMBER(B621)),B621&lt;НачалоУчета,YEAR(B621)&lt;&gt;Год,NOT(ISNUMBER(E621)),E621&lt;=0,N621&lt;0,COUNTIF(Типы,C621)&lt;&gt;1,COUNTIF(Категории,D621)&lt;&gt;1,COUNTIF(Счета,F621)&lt;&gt;1,COUNTIF(Проекты,I621)&lt;&gt;1,AND(H621&lt;&gt;"",COUNTIF(Контрагенты,H621)&lt;&gt;1),AND(C621="Перевод",OR(F621=G621,COUNTIF(Счета,G621)&lt;&gt;1)),AND(S621&lt;&gt;0,COUNTIF(Docs[ID],J621)&lt;&gt;1),AND(Форма="ООО",C621="Вывод ИП"),AND(Форма="ИП",C621="Дивиденды"),AND(L621&lt;&gt;"Проведён",L621&lt;&gt;"Черновик")),"ОШИБКА","ОК"))</f>
        <v/>
      </c>
      <c r="W621" s="25" t="str">
        <f>IF(A621="","",SUMIF(Accounts[Счёт],F621,Accounts[Начальный])+SUMIFS($Q$7:Q621,$F$7:F621,F621)+SUMIFS($E$7:E621,$G$7:G621,F621,$C$7:C621,"Перевод",$L$7:L621,"Проведён"))</f>
        <v/>
      </c>
    </row>
    <row r="622" spans="1:23" x14ac:dyDescent="0.25">
      <c r="A622" s="22"/>
      <c r="B622" s="23"/>
      <c r="C622" s="22"/>
      <c r="D622" s="22"/>
      <c r="E622" s="27"/>
      <c r="F622" s="22"/>
      <c r="G622" s="22"/>
      <c r="H622" s="22"/>
      <c r="I622" s="22"/>
      <c r="J622" s="22"/>
      <c r="K622" s="22"/>
      <c r="L622" s="22"/>
      <c r="M622" s="22"/>
      <c r="N622" s="27"/>
      <c r="O622" s="22"/>
      <c r="P622" s="5" t="str">
        <f>IF(A622="","",IF(COUNTIF(Типы,C622)=0,0,VLOOKUP(C622,СПРАВОЧНИКИ!$A$7:$E$22,2,FALSE)))</f>
        <v/>
      </c>
      <c r="Q622" s="25" t="str">
        <f t="shared" si="9"/>
        <v/>
      </c>
      <c r="R622" s="5" t="str">
        <f>IF(A622="","",IF(COUNTIF(Типы,C622)=0,"НЕИЗВЕСТНЫЙ ТИП",VLOOKUP(C622,СПРАВОЧНИКИ!$A$7:$E$22,3,FALSE)))</f>
        <v/>
      </c>
      <c r="S622" s="26" t="str">
        <f>IF(A622="","",IF(L622="Проведён",E622*IF(COUNTIF(Типы,C622)=0,0,VLOOKUP(C622,СПРАВОЧНИКИ!$A$7:$E$22,4,FALSE)),0))</f>
        <v/>
      </c>
      <c r="T622" s="26" t="str">
        <f>IF(A622="","",IF(L622="Проведён",E622*IF(COUNTIF(Типы,C622)=0,0,VLOOKUP(C622,СПРАВОЧНИКИ!$A$7:$E$22,5,FALSE)),0))</f>
        <v/>
      </c>
      <c r="U622" s="5" t="str">
        <f>IF(A622="","",IF(COUNTIF(Контрагенты,H622)=0,"Не задан",VLOOKUP(H622,СПРАВОЧНИКИ!$G$7:$H$66,2,FALSE)))</f>
        <v/>
      </c>
      <c r="V622" s="4" t="str">
        <f>IF(A622="",IF(COUNTA(B622:O622)&gt;0,"НЕТ ID",""),IF(OR(AND(OR(C622="Оплата клиента",C622="Возврат клиенту"),COUNTIFS(Docs[ID],J622,Docs[Тип долга],"ДЗ")&lt;&gt;1),AND(OR(C622="Оплата поставщику",C622="Возврат поставщика"),COUNTIFS(Docs[ID],J622,Docs[Тип долга],"КЗ",Docs[Вид],"&lt;&gt;Дивиденды")&lt;&gt;1),AND(C622="Дивиденды",COUNTIFS(Docs[ID],J622,Docs[Вид],"Дивиденды")&lt;&gt;1),AND(C622="Проценты",COUNTIFS(Docs[ID],J622,Docs[Вид],"Проценты")&lt;&gt;1),COUNTIF(Cash[ID],A622)&gt;1,NOT(ISNUMBER(B622)),B622&lt;НачалоУчета,YEAR(B622)&lt;&gt;Год,NOT(ISNUMBER(E622)),E622&lt;=0,N622&lt;0,COUNTIF(Типы,C622)&lt;&gt;1,COUNTIF(Категории,D622)&lt;&gt;1,COUNTIF(Счета,F622)&lt;&gt;1,COUNTIF(Проекты,I622)&lt;&gt;1,AND(H622&lt;&gt;"",COUNTIF(Контрагенты,H622)&lt;&gt;1),AND(C622="Перевод",OR(F622=G622,COUNTIF(Счета,G622)&lt;&gt;1)),AND(S622&lt;&gt;0,COUNTIF(Docs[ID],J622)&lt;&gt;1),AND(Форма="ООО",C622="Вывод ИП"),AND(Форма="ИП",C622="Дивиденды"),AND(L622&lt;&gt;"Проведён",L622&lt;&gt;"Черновик")),"ОШИБКА","ОК"))</f>
        <v/>
      </c>
      <c r="W622" s="25" t="str">
        <f>IF(A622="","",SUMIF(Accounts[Счёт],F622,Accounts[Начальный])+SUMIFS($Q$7:Q622,$F$7:F622,F622)+SUMIFS($E$7:E622,$G$7:G622,F622,$C$7:C622,"Перевод",$L$7:L622,"Проведён"))</f>
        <v/>
      </c>
    </row>
    <row r="623" spans="1:23" x14ac:dyDescent="0.25">
      <c r="A623" s="22"/>
      <c r="B623" s="23"/>
      <c r="C623" s="22"/>
      <c r="D623" s="22"/>
      <c r="E623" s="27"/>
      <c r="F623" s="22"/>
      <c r="G623" s="22"/>
      <c r="H623" s="22"/>
      <c r="I623" s="22"/>
      <c r="J623" s="22"/>
      <c r="K623" s="22"/>
      <c r="L623" s="22"/>
      <c r="M623" s="22"/>
      <c r="N623" s="27"/>
      <c r="O623" s="22"/>
      <c r="P623" s="5" t="str">
        <f>IF(A623="","",IF(COUNTIF(Типы,C623)=0,0,VLOOKUP(C623,СПРАВОЧНИКИ!$A$7:$E$22,2,FALSE)))</f>
        <v/>
      </c>
      <c r="Q623" s="25" t="str">
        <f t="shared" si="9"/>
        <v/>
      </c>
      <c r="R623" s="5" t="str">
        <f>IF(A623="","",IF(COUNTIF(Типы,C623)=0,"НЕИЗВЕСТНЫЙ ТИП",VLOOKUP(C623,СПРАВОЧНИКИ!$A$7:$E$22,3,FALSE)))</f>
        <v/>
      </c>
      <c r="S623" s="26" t="str">
        <f>IF(A623="","",IF(L623="Проведён",E623*IF(COUNTIF(Типы,C623)=0,0,VLOOKUP(C623,СПРАВОЧНИКИ!$A$7:$E$22,4,FALSE)),0))</f>
        <v/>
      </c>
      <c r="T623" s="26" t="str">
        <f>IF(A623="","",IF(L623="Проведён",E623*IF(COUNTIF(Типы,C623)=0,0,VLOOKUP(C623,СПРАВОЧНИКИ!$A$7:$E$22,5,FALSE)),0))</f>
        <v/>
      </c>
      <c r="U623" s="5" t="str">
        <f>IF(A623="","",IF(COUNTIF(Контрагенты,H623)=0,"Не задан",VLOOKUP(H623,СПРАВОЧНИКИ!$G$7:$H$66,2,FALSE)))</f>
        <v/>
      </c>
      <c r="V623" s="4" t="str">
        <f>IF(A623="",IF(COUNTA(B623:O623)&gt;0,"НЕТ ID",""),IF(OR(AND(OR(C623="Оплата клиента",C623="Возврат клиенту"),COUNTIFS(Docs[ID],J623,Docs[Тип долга],"ДЗ")&lt;&gt;1),AND(OR(C623="Оплата поставщику",C623="Возврат поставщика"),COUNTIFS(Docs[ID],J623,Docs[Тип долга],"КЗ",Docs[Вид],"&lt;&gt;Дивиденды")&lt;&gt;1),AND(C623="Дивиденды",COUNTIFS(Docs[ID],J623,Docs[Вид],"Дивиденды")&lt;&gt;1),AND(C623="Проценты",COUNTIFS(Docs[ID],J623,Docs[Вид],"Проценты")&lt;&gt;1),COUNTIF(Cash[ID],A623)&gt;1,NOT(ISNUMBER(B623)),B623&lt;НачалоУчета,YEAR(B623)&lt;&gt;Год,NOT(ISNUMBER(E623)),E623&lt;=0,N623&lt;0,COUNTIF(Типы,C623)&lt;&gt;1,COUNTIF(Категории,D623)&lt;&gt;1,COUNTIF(Счета,F623)&lt;&gt;1,COUNTIF(Проекты,I623)&lt;&gt;1,AND(H623&lt;&gt;"",COUNTIF(Контрагенты,H623)&lt;&gt;1),AND(C623="Перевод",OR(F623=G623,COUNTIF(Счета,G623)&lt;&gt;1)),AND(S623&lt;&gt;0,COUNTIF(Docs[ID],J623)&lt;&gt;1),AND(Форма="ООО",C623="Вывод ИП"),AND(Форма="ИП",C623="Дивиденды"),AND(L623&lt;&gt;"Проведён",L623&lt;&gt;"Черновик")),"ОШИБКА","ОК"))</f>
        <v/>
      </c>
      <c r="W623" s="25" t="str">
        <f>IF(A623="","",SUMIF(Accounts[Счёт],F623,Accounts[Начальный])+SUMIFS($Q$7:Q623,$F$7:F623,F623)+SUMIFS($E$7:E623,$G$7:G623,F623,$C$7:C623,"Перевод",$L$7:L623,"Проведён"))</f>
        <v/>
      </c>
    </row>
    <row r="624" spans="1:23" x14ac:dyDescent="0.25">
      <c r="A624" s="22"/>
      <c r="B624" s="23"/>
      <c r="C624" s="22"/>
      <c r="D624" s="22"/>
      <c r="E624" s="27"/>
      <c r="F624" s="22"/>
      <c r="G624" s="22"/>
      <c r="H624" s="22"/>
      <c r="I624" s="22"/>
      <c r="J624" s="22"/>
      <c r="K624" s="22"/>
      <c r="L624" s="22"/>
      <c r="M624" s="22"/>
      <c r="N624" s="27"/>
      <c r="O624" s="22"/>
      <c r="P624" s="5" t="str">
        <f>IF(A624="","",IF(COUNTIF(Типы,C624)=0,0,VLOOKUP(C624,СПРАВОЧНИКИ!$A$7:$E$22,2,FALSE)))</f>
        <v/>
      </c>
      <c r="Q624" s="25" t="str">
        <f t="shared" si="9"/>
        <v/>
      </c>
      <c r="R624" s="5" t="str">
        <f>IF(A624="","",IF(COUNTIF(Типы,C624)=0,"НЕИЗВЕСТНЫЙ ТИП",VLOOKUP(C624,СПРАВОЧНИКИ!$A$7:$E$22,3,FALSE)))</f>
        <v/>
      </c>
      <c r="S624" s="26" t="str">
        <f>IF(A624="","",IF(L624="Проведён",E624*IF(COUNTIF(Типы,C624)=0,0,VLOOKUP(C624,СПРАВОЧНИКИ!$A$7:$E$22,4,FALSE)),0))</f>
        <v/>
      </c>
      <c r="T624" s="26" t="str">
        <f>IF(A624="","",IF(L624="Проведён",E624*IF(COUNTIF(Типы,C624)=0,0,VLOOKUP(C624,СПРАВОЧНИКИ!$A$7:$E$22,5,FALSE)),0))</f>
        <v/>
      </c>
      <c r="U624" s="5" t="str">
        <f>IF(A624="","",IF(COUNTIF(Контрагенты,H624)=0,"Не задан",VLOOKUP(H624,СПРАВОЧНИКИ!$G$7:$H$66,2,FALSE)))</f>
        <v/>
      </c>
      <c r="V624" s="4" t="str">
        <f>IF(A624="",IF(COUNTA(B624:O624)&gt;0,"НЕТ ID",""),IF(OR(AND(OR(C624="Оплата клиента",C624="Возврат клиенту"),COUNTIFS(Docs[ID],J624,Docs[Тип долга],"ДЗ")&lt;&gt;1),AND(OR(C624="Оплата поставщику",C624="Возврат поставщика"),COUNTIFS(Docs[ID],J624,Docs[Тип долга],"КЗ",Docs[Вид],"&lt;&gt;Дивиденды")&lt;&gt;1),AND(C624="Дивиденды",COUNTIFS(Docs[ID],J624,Docs[Вид],"Дивиденды")&lt;&gt;1),AND(C624="Проценты",COUNTIFS(Docs[ID],J624,Docs[Вид],"Проценты")&lt;&gt;1),COUNTIF(Cash[ID],A624)&gt;1,NOT(ISNUMBER(B624)),B624&lt;НачалоУчета,YEAR(B624)&lt;&gt;Год,NOT(ISNUMBER(E624)),E624&lt;=0,N624&lt;0,COUNTIF(Типы,C624)&lt;&gt;1,COUNTIF(Категории,D624)&lt;&gt;1,COUNTIF(Счета,F624)&lt;&gt;1,COUNTIF(Проекты,I624)&lt;&gt;1,AND(H624&lt;&gt;"",COUNTIF(Контрагенты,H624)&lt;&gt;1),AND(C624="Перевод",OR(F624=G624,COUNTIF(Счета,G624)&lt;&gt;1)),AND(S624&lt;&gt;0,COUNTIF(Docs[ID],J624)&lt;&gt;1),AND(Форма="ООО",C624="Вывод ИП"),AND(Форма="ИП",C624="Дивиденды"),AND(L624&lt;&gt;"Проведён",L624&lt;&gt;"Черновик")),"ОШИБКА","ОК"))</f>
        <v/>
      </c>
      <c r="W624" s="25" t="str">
        <f>IF(A624="","",SUMIF(Accounts[Счёт],F624,Accounts[Начальный])+SUMIFS($Q$7:Q624,$F$7:F624,F624)+SUMIFS($E$7:E624,$G$7:G624,F624,$C$7:C624,"Перевод",$L$7:L624,"Проведён"))</f>
        <v/>
      </c>
    </row>
    <row r="625" spans="1:23" x14ac:dyDescent="0.25">
      <c r="A625" s="22"/>
      <c r="B625" s="23"/>
      <c r="C625" s="22"/>
      <c r="D625" s="22"/>
      <c r="E625" s="27"/>
      <c r="F625" s="22"/>
      <c r="G625" s="22"/>
      <c r="H625" s="22"/>
      <c r="I625" s="22"/>
      <c r="J625" s="22"/>
      <c r="K625" s="22"/>
      <c r="L625" s="22"/>
      <c r="M625" s="22"/>
      <c r="N625" s="27"/>
      <c r="O625" s="22"/>
      <c r="P625" s="5" t="str">
        <f>IF(A625="","",IF(COUNTIF(Типы,C625)=0,0,VLOOKUP(C625,СПРАВОЧНИКИ!$A$7:$E$22,2,FALSE)))</f>
        <v/>
      </c>
      <c r="Q625" s="25" t="str">
        <f t="shared" si="9"/>
        <v/>
      </c>
      <c r="R625" s="5" t="str">
        <f>IF(A625="","",IF(COUNTIF(Типы,C625)=0,"НЕИЗВЕСТНЫЙ ТИП",VLOOKUP(C625,СПРАВОЧНИКИ!$A$7:$E$22,3,FALSE)))</f>
        <v/>
      </c>
      <c r="S625" s="26" t="str">
        <f>IF(A625="","",IF(L625="Проведён",E625*IF(COUNTIF(Типы,C625)=0,0,VLOOKUP(C625,СПРАВОЧНИКИ!$A$7:$E$22,4,FALSE)),0))</f>
        <v/>
      </c>
      <c r="T625" s="26" t="str">
        <f>IF(A625="","",IF(L625="Проведён",E625*IF(COUNTIF(Типы,C625)=0,0,VLOOKUP(C625,СПРАВОЧНИКИ!$A$7:$E$22,5,FALSE)),0))</f>
        <v/>
      </c>
      <c r="U625" s="5" t="str">
        <f>IF(A625="","",IF(COUNTIF(Контрагенты,H625)=0,"Не задан",VLOOKUP(H625,СПРАВОЧНИКИ!$G$7:$H$66,2,FALSE)))</f>
        <v/>
      </c>
      <c r="V625" s="4" t="str">
        <f>IF(A625="",IF(COUNTA(B625:O625)&gt;0,"НЕТ ID",""),IF(OR(AND(OR(C625="Оплата клиента",C625="Возврат клиенту"),COUNTIFS(Docs[ID],J625,Docs[Тип долга],"ДЗ")&lt;&gt;1),AND(OR(C625="Оплата поставщику",C625="Возврат поставщика"),COUNTIFS(Docs[ID],J625,Docs[Тип долга],"КЗ",Docs[Вид],"&lt;&gt;Дивиденды")&lt;&gt;1),AND(C625="Дивиденды",COUNTIFS(Docs[ID],J625,Docs[Вид],"Дивиденды")&lt;&gt;1),AND(C625="Проценты",COUNTIFS(Docs[ID],J625,Docs[Вид],"Проценты")&lt;&gt;1),COUNTIF(Cash[ID],A625)&gt;1,NOT(ISNUMBER(B625)),B625&lt;НачалоУчета,YEAR(B625)&lt;&gt;Год,NOT(ISNUMBER(E625)),E625&lt;=0,N625&lt;0,COUNTIF(Типы,C625)&lt;&gt;1,COUNTIF(Категории,D625)&lt;&gt;1,COUNTIF(Счета,F625)&lt;&gt;1,COUNTIF(Проекты,I625)&lt;&gt;1,AND(H625&lt;&gt;"",COUNTIF(Контрагенты,H625)&lt;&gt;1),AND(C625="Перевод",OR(F625=G625,COUNTIF(Счета,G625)&lt;&gt;1)),AND(S625&lt;&gt;0,COUNTIF(Docs[ID],J625)&lt;&gt;1),AND(Форма="ООО",C625="Вывод ИП"),AND(Форма="ИП",C625="Дивиденды"),AND(L625&lt;&gt;"Проведён",L625&lt;&gt;"Черновик")),"ОШИБКА","ОК"))</f>
        <v/>
      </c>
      <c r="W625" s="25" t="str">
        <f>IF(A625="","",SUMIF(Accounts[Счёт],F625,Accounts[Начальный])+SUMIFS($Q$7:Q625,$F$7:F625,F625)+SUMIFS($E$7:E625,$G$7:G625,F625,$C$7:C625,"Перевод",$L$7:L625,"Проведён"))</f>
        <v/>
      </c>
    </row>
    <row r="626" spans="1:23" x14ac:dyDescent="0.25">
      <c r="A626" s="22"/>
      <c r="B626" s="23"/>
      <c r="C626" s="22"/>
      <c r="D626" s="22"/>
      <c r="E626" s="27"/>
      <c r="F626" s="22"/>
      <c r="G626" s="22"/>
      <c r="H626" s="22"/>
      <c r="I626" s="22"/>
      <c r="J626" s="22"/>
      <c r="K626" s="22"/>
      <c r="L626" s="22"/>
      <c r="M626" s="22"/>
      <c r="N626" s="27"/>
      <c r="O626" s="22"/>
      <c r="P626" s="5" t="str">
        <f>IF(A626="","",IF(COUNTIF(Типы,C626)=0,0,VLOOKUP(C626,СПРАВОЧНИКИ!$A$7:$E$22,2,FALSE)))</f>
        <v/>
      </c>
      <c r="Q626" s="25" t="str">
        <f t="shared" si="9"/>
        <v/>
      </c>
      <c r="R626" s="5" t="str">
        <f>IF(A626="","",IF(COUNTIF(Типы,C626)=0,"НЕИЗВЕСТНЫЙ ТИП",VLOOKUP(C626,СПРАВОЧНИКИ!$A$7:$E$22,3,FALSE)))</f>
        <v/>
      </c>
      <c r="S626" s="26" t="str">
        <f>IF(A626="","",IF(L626="Проведён",E626*IF(COUNTIF(Типы,C626)=0,0,VLOOKUP(C626,СПРАВОЧНИКИ!$A$7:$E$22,4,FALSE)),0))</f>
        <v/>
      </c>
      <c r="T626" s="26" t="str">
        <f>IF(A626="","",IF(L626="Проведён",E626*IF(COUNTIF(Типы,C626)=0,0,VLOOKUP(C626,СПРАВОЧНИКИ!$A$7:$E$22,5,FALSE)),0))</f>
        <v/>
      </c>
      <c r="U626" s="5" t="str">
        <f>IF(A626="","",IF(COUNTIF(Контрагенты,H626)=0,"Не задан",VLOOKUP(H626,СПРАВОЧНИКИ!$G$7:$H$66,2,FALSE)))</f>
        <v/>
      </c>
      <c r="V626" s="4" t="str">
        <f>IF(A626="",IF(COUNTA(B626:O626)&gt;0,"НЕТ ID",""),IF(OR(AND(OR(C626="Оплата клиента",C626="Возврат клиенту"),COUNTIFS(Docs[ID],J626,Docs[Тип долга],"ДЗ")&lt;&gt;1),AND(OR(C626="Оплата поставщику",C626="Возврат поставщика"),COUNTIFS(Docs[ID],J626,Docs[Тип долга],"КЗ",Docs[Вид],"&lt;&gt;Дивиденды")&lt;&gt;1),AND(C626="Дивиденды",COUNTIFS(Docs[ID],J626,Docs[Вид],"Дивиденды")&lt;&gt;1),AND(C626="Проценты",COUNTIFS(Docs[ID],J626,Docs[Вид],"Проценты")&lt;&gt;1),COUNTIF(Cash[ID],A626)&gt;1,NOT(ISNUMBER(B626)),B626&lt;НачалоУчета,YEAR(B626)&lt;&gt;Год,NOT(ISNUMBER(E626)),E626&lt;=0,N626&lt;0,COUNTIF(Типы,C626)&lt;&gt;1,COUNTIF(Категории,D626)&lt;&gt;1,COUNTIF(Счета,F626)&lt;&gt;1,COUNTIF(Проекты,I626)&lt;&gt;1,AND(H626&lt;&gt;"",COUNTIF(Контрагенты,H626)&lt;&gt;1),AND(C626="Перевод",OR(F626=G626,COUNTIF(Счета,G626)&lt;&gt;1)),AND(S626&lt;&gt;0,COUNTIF(Docs[ID],J626)&lt;&gt;1),AND(Форма="ООО",C626="Вывод ИП"),AND(Форма="ИП",C626="Дивиденды"),AND(L626&lt;&gt;"Проведён",L626&lt;&gt;"Черновик")),"ОШИБКА","ОК"))</f>
        <v/>
      </c>
      <c r="W626" s="25" t="str">
        <f>IF(A626="","",SUMIF(Accounts[Счёт],F626,Accounts[Начальный])+SUMIFS($Q$7:Q626,$F$7:F626,F626)+SUMIFS($E$7:E626,$G$7:G626,F626,$C$7:C626,"Перевод",$L$7:L626,"Проведён"))</f>
        <v/>
      </c>
    </row>
    <row r="627" spans="1:23" x14ac:dyDescent="0.25">
      <c r="A627" s="22"/>
      <c r="B627" s="23"/>
      <c r="C627" s="22"/>
      <c r="D627" s="22"/>
      <c r="E627" s="27"/>
      <c r="F627" s="22"/>
      <c r="G627" s="22"/>
      <c r="H627" s="22"/>
      <c r="I627" s="22"/>
      <c r="J627" s="22"/>
      <c r="K627" s="22"/>
      <c r="L627" s="22"/>
      <c r="M627" s="22"/>
      <c r="N627" s="27"/>
      <c r="O627" s="22"/>
      <c r="P627" s="5" t="str">
        <f>IF(A627="","",IF(COUNTIF(Типы,C627)=0,0,VLOOKUP(C627,СПРАВОЧНИКИ!$A$7:$E$22,2,FALSE)))</f>
        <v/>
      </c>
      <c r="Q627" s="25" t="str">
        <f t="shared" si="9"/>
        <v/>
      </c>
      <c r="R627" s="5" t="str">
        <f>IF(A627="","",IF(COUNTIF(Типы,C627)=0,"НЕИЗВЕСТНЫЙ ТИП",VLOOKUP(C627,СПРАВОЧНИКИ!$A$7:$E$22,3,FALSE)))</f>
        <v/>
      </c>
      <c r="S627" s="26" t="str">
        <f>IF(A627="","",IF(L627="Проведён",E627*IF(COUNTIF(Типы,C627)=0,0,VLOOKUP(C627,СПРАВОЧНИКИ!$A$7:$E$22,4,FALSE)),0))</f>
        <v/>
      </c>
      <c r="T627" s="26" t="str">
        <f>IF(A627="","",IF(L627="Проведён",E627*IF(COUNTIF(Типы,C627)=0,0,VLOOKUP(C627,СПРАВОЧНИКИ!$A$7:$E$22,5,FALSE)),0))</f>
        <v/>
      </c>
      <c r="U627" s="5" t="str">
        <f>IF(A627="","",IF(COUNTIF(Контрагенты,H627)=0,"Не задан",VLOOKUP(H627,СПРАВОЧНИКИ!$G$7:$H$66,2,FALSE)))</f>
        <v/>
      </c>
      <c r="V627" s="4" t="str">
        <f>IF(A627="",IF(COUNTA(B627:O627)&gt;0,"НЕТ ID",""),IF(OR(AND(OR(C627="Оплата клиента",C627="Возврат клиенту"),COUNTIFS(Docs[ID],J627,Docs[Тип долга],"ДЗ")&lt;&gt;1),AND(OR(C627="Оплата поставщику",C627="Возврат поставщика"),COUNTIFS(Docs[ID],J627,Docs[Тип долга],"КЗ",Docs[Вид],"&lt;&gt;Дивиденды")&lt;&gt;1),AND(C627="Дивиденды",COUNTIFS(Docs[ID],J627,Docs[Вид],"Дивиденды")&lt;&gt;1),AND(C627="Проценты",COUNTIFS(Docs[ID],J627,Docs[Вид],"Проценты")&lt;&gt;1),COUNTIF(Cash[ID],A627)&gt;1,NOT(ISNUMBER(B627)),B627&lt;НачалоУчета,YEAR(B627)&lt;&gt;Год,NOT(ISNUMBER(E627)),E627&lt;=0,N627&lt;0,COUNTIF(Типы,C627)&lt;&gt;1,COUNTIF(Категории,D627)&lt;&gt;1,COUNTIF(Счета,F627)&lt;&gt;1,COUNTIF(Проекты,I627)&lt;&gt;1,AND(H627&lt;&gt;"",COUNTIF(Контрагенты,H627)&lt;&gt;1),AND(C627="Перевод",OR(F627=G627,COUNTIF(Счета,G627)&lt;&gt;1)),AND(S627&lt;&gt;0,COUNTIF(Docs[ID],J627)&lt;&gt;1),AND(Форма="ООО",C627="Вывод ИП"),AND(Форма="ИП",C627="Дивиденды"),AND(L627&lt;&gt;"Проведён",L627&lt;&gt;"Черновик")),"ОШИБКА","ОК"))</f>
        <v/>
      </c>
      <c r="W627" s="25" t="str">
        <f>IF(A627="","",SUMIF(Accounts[Счёт],F627,Accounts[Начальный])+SUMIFS($Q$7:Q627,$F$7:F627,F627)+SUMIFS($E$7:E627,$G$7:G627,F627,$C$7:C627,"Перевод",$L$7:L627,"Проведён"))</f>
        <v/>
      </c>
    </row>
    <row r="628" spans="1:23" x14ac:dyDescent="0.25">
      <c r="A628" s="22"/>
      <c r="B628" s="23"/>
      <c r="C628" s="22"/>
      <c r="D628" s="22"/>
      <c r="E628" s="27"/>
      <c r="F628" s="22"/>
      <c r="G628" s="22"/>
      <c r="H628" s="22"/>
      <c r="I628" s="22"/>
      <c r="J628" s="22"/>
      <c r="K628" s="22"/>
      <c r="L628" s="22"/>
      <c r="M628" s="22"/>
      <c r="N628" s="27"/>
      <c r="O628" s="22"/>
      <c r="P628" s="5" t="str">
        <f>IF(A628="","",IF(COUNTIF(Типы,C628)=0,0,VLOOKUP(C628,СПРАВОЧНИКИ!$A$7:$E$22,2,FALSE)))</f>
        <v/>
      </c>
      <c r="Q628" s="25" t="str">
        <f t="shared" si="9"/>
        <v/>
      </c>
      <c r="R628" s="5" t="str">
        <f>IF(A628="","",IF(COUNTIF(Типы,C628)=0,"НЕИЗВЕСТНЫЙ ТИП",VLOOKUP(C628,СПРАВОЧНИКИ!$A$7:$E$22,3,FALSE)))</f>
        <v/>
      </c>
      <c r="S628" s="26" t="str">
        <f>IF(A628="","",IF(L628="Проведён",E628*IF(COUNTIF(Типы,C628)=0,0,VLOOKUP(C628,СПРАВОЧНИКИ!$A$7:$E$22,4,FALSE)),0))</f>
        <v/>
      </c>
      <c r="T628" s="26" t="str">
        <f>IF(A628="","",IF(L628="Проведён",E628*IF(COUNTIF(Типы,C628)=0,0,VLOOKUP(C628,СПРАВОЧНИКИ!$A$7:$E$22,5,FALSE)),0))</f>
        <v/>
      </c>
      <c r="U628" s="5" t="str">
        <f>IF(A628="","",IF(COUNTIF(Контрагенты,H628)=0,"Не задан",VLOOKUP(H628,СПРАВОЧНИКИ!$G$7:$H$66,2,FALSE)))</f>
        <v/>
      </c>
      <c r="V628" s="4" t="str">
        <f>IF(A628="",IF(COUNTA(B628:O628)&gt;0,"НЕТ ID",""),IF(OR(AND(OR(C628="Оплата клиента",C628="Возврат клиенту"),COUNTIFS(Docs[ID],J628,Docs[Тип долга],"ДЗ")&lt;&gt;1),AND(OR(C628="Оплата поставщику",C628="Возврат поставщика"),COUNTIFS(Docs[ID],J628,Docs[Тип долга],"КЗ",Docs[Вид],"&lt;&gt;Дивиденды")&lt;&gt;1),AND(C628="Дивиденды",COUNTIFS(Docs[ID],J628,Docs[Вид],"Дивиденды")&lt;&gt;1),AND(C628="Проценты",COUNTIFS(Docs[ID],J628,Docs[Вид],"Проценты")&lt;&gt;1),COUNTIF(Cash[ID],A628)&gt;1,NOT(ISNUMBER(B628)),B628&lt;НачалоУчета,YEAR(B628)&lt;&gt;Год,NOT(ISNUMBER(E628)),E628&lt;=0,N628&lt;0,COUNTIF(Типы,C628)&lt;&gt;1,COUNTIF(Категории,D628)&lt;&gt;1,COUNTIF(Счета,F628)&lt;&gt;1,COUNTIF(Проекты,I628)&lt;&gt;1,AND(H628&lt;&gt;"",COUNTIF(Контрагенты,H628)&lt;&gt;1),AND(C628="Перевод",OR(F628=G628,COUNTIF(Счета,G628)&lt;&gt;1)),AND(S628&lt;&gt;0,COUNTIF(Docs[ID],J628)&lt;&gt;1),AND(Форма="ООО",C628="Вывод ИП"),AND(Форма="ИП",C628="Дивиденды"),AND(L628&lt;&gt;"Проведён",L628&lt;&gt;"Черновик")),"ОШИБКА","ОК"))</f>
        <v/>
      </c>
      <c r="W628" s="25" t="str">
        <f>IF(A628="","",SUMIF(Accounts[Счёт],F628,Accounts[Начальный])+SUMIFS($Q$7:Q628,$F$7:F628,F628)+SUMIFS($E$7:E628,$G$7:G628,F628,$C$7:C628,"Перевод",$L$7:L628,"Проведён"))</f>
        <v/>
      </c>
    </row>
    <row r="629" spans="1:23" x14ac:dyDescent="0.25">
      <c r="A629" s="22"/>
      <c r="B629" s="23"/>
      <c r="C629" s="22"/>
      <c r="D629" s="22"/>
      <c r="E629" s="27"/>
      <c r="F629" s="22"/>
      <c r="G629" s="22"/>
      <c r="H629" s="22"/>
      <c r="I629" s="22"/>
      <c r="J629" s="22"/>
      <c r="K629" s="22"/>
      <c r="L629" s="22"/>
      <c r="M629" s="22"/>
      <c r="N629" s="27"/>
      <c r="O629" s="22"/>
      <c r="P629" s="5" t="str">
        <f>IF(A629="","",IF(COUNTIF(Типы,C629)=0,0,VLOOKUP(C629,СПРАВОЧНИКИ!$A$7:$E$22,2,FALSE)))</f>
        <v/>
      </c>
      <c r="Q629" s="25" t="str">
        <f t="shared" si="9"/>
        <v/>
      </c>
      <c r="R629" s="5" t="str">
        <f>IF(A629="","",IF(COUNTIF(Типы,C629)=0,"НЕИЗВЕСТНЫЙ ТИП",VLOOKUP(C629,СПРАВОЧНИКИ!$A$7:$E$22,3,FALSE)))</f>
        <v/>
      </c>
      <c r="S629" s="26" t="str">
        <f>IF(A629="","",IF(L629="Проведён",E629*IF(COUNTIF(Типы,C629)=0,0,VLOOKUP(C629,СПРАВОЧНИКИ!$A$7:$E$22,4,FALSE)),0))</f>
        <v/>
      </c>
      <c r="T629" s="26" t="str">
        <f>IF(A629="","",IF(L629="Проведён",E629*IF(COUNTIF(Типы,C629)=0,0,VLOOKUP(C629,СПРАВОЧНИКИ!$A$7:$E$22,5,FALSE)),0))</f>
        <v/>
      </c>
      <c r="U629" s="5" t="str">
        <f>IF(A629="","",IF(COUNTIF(Контрагенты,H629)=0,"Не задан",VLOOKUP(H629,СПРАВОЧНИКИ!$G$7:$H$66,2,FALSE)))</f>
        <v/>
      </c>
      <c r="V629" s="4" t="str">
        <f>IF(A629="",IF(COUNTA(B629:O629)&gt;0,"НЕТ ID",""),IF(OR(AND(OR(C629="Оплата клиента",C629="Возврат клиенту"),COUNTIFS(Docs[ID],J629,Docs[Тип долга],"ДЗ")&lt;&gt;1),AND(OR(C629="Оплата поставщику",C629="Возврат поставщика"),COUNTIFS(Docs[ID],J629,Docs[Тип долга],"КЗ",Docs[Вид],"&lt;&gt;Дивиденды")&lt;&gt;1),AND(C629="Дивиденды",COUNTIFS(Docs[ID],J629,Docs[Вид],"Дивиденды")&lt;&gt;1),AND(C629="Проценты",COUNTIFS(Docs[ID],J629,Docs[Вид],"Проценты")&lt;&gt;1),COUNTIF(Cash[ID],A629)&gt;1,NOT(ISNUMBER(B629)),B629&lt;НачалоУчета,YEAR(B629)&lt;&gt;Год,NOT(ISNUMBER(E629)),E629&lt;=0,N629&lt;0,COUNTIF(Типы,C629)&lt;&gt;1,COUNTIF(Категории,D629)&lt;&gt;1,COUNTIF(Счета,F629)&lt;&gt;1,COUNTIF(Проекты,I629)&lt;&gt;1,AND(H629&lt;&gt;"",COUNTIF(Контрагенты,H629)&lt;&gt;1),AND(C629="Перевод",OR(F629=G629,COUNTIF(Счета,G629)&lt;&gt;1)),AND(S629&lt;&gt;0,COUNTIF(Docs[ID],J629)&lt;&gt;1),AND(Форма="ООО",C629="Вывод ИП"),AND(Форма="ИП",C629="Дивиденды"),AND(L629&lt;&gt;"Проведён",L629&lt;&gt;"Черновик")),"ОШИБКА","ОК"))</f>
        <v/>
      </c>
      <c r="W629" s="25" t="str">
        <f>IF(A629="","",SUMIF(Accounts[Счёт],F629,Accounts[Начальный])+SUMIFS($Q$7:Q629,$F$7:F629,F629)+SUMIFS($E$7:E629,$G$7:G629,F629,$C$7:C629,"Перевод",$L$7:L629,"Проведён"))</f>
        <v/>
      </c>
    </row>
    <row r="630" spans="1:23" x14ac:dyDescent="0.25">
      <c r="A630" s="22"/>
      <c r="B630" s="23"/>
      <c r="C630" s="22"/>
      <c r="D630" s="22"/>
      <c r="E630" s="27"/>
      <c r="F630" s="22"/>
      <c r="G630" s="22"/>
      <c r="H630" s="22"/>
      <c r="I630" s="22"/>
      <c r="J630" s="22"/>
      <c r="K630" s="22"/>
      <c r="L630" s="22"/>
      <c r="M630" s="22"/>
      <c r="N630" s="27"/>
      <c r="O630" s="22"/>
      <c r="P630" s="5" t="str">
        <f>IF(A630="","",IF(COUNTIF(Типы,C630)=0,0,VLOOKUP(C630,СПРАВОЧНИКИ!$A$7:$E$22,2,FALSE)))</f>
        <v/>
      </c>
      <c r="Q630" s="25" t="str">
        <f t="shared" si="9"/>
        <v/>
      </c>
      <c r="R630" s="5" t="str">
        <f>IF(A630="","",IF(COUNTIF(Типы,C630)=0,"НЕИЗВЕСТНЫЙ ТИП",VLOOKUP(C630,СПРАВОЧНИКИ!$A$7:$E$22,3,FALSE)))</f>
        <v/>
      </c>
      <c r="S630" s="26" t="str">
        <f>IF(A630="","",IF(L630="Проведён",E630*IF(COUNTIF(Типы,C630)=0,0,VLOOKUP(C630,СПРАВОЧНИКИ!$A$7:$E$22,4,FALSE)),0))</f>
        <v/>
      </c>
      <c r="T630" s="26" t="str">
        <f>IF(A630="","",IF(L630="Проведён",E630*IF(COUNTIF(Типы,C630)=0,0,VLOOKUP(C630,СПРАВОЧНИКИ!$A$7:$E$22,5,FALSE)),0))</f>
        <v/>
      </c>
      <c r="U630" s="5" t="str">
        <f>IF(A630="","",IF(COUNTIF(Контрагенты,H630)=0,"Не задан",VLOOKUP(H630,СПРАВОЧНИКИ!$G$7:$H$66,2,FALSE)))</f>
        <v/>
      </c>
      <c r="V630" s="4" t="str">
        <f>IF(A630="",IF(COUNTA(B630:O630)&gt;0,"НЕТ ID",""),IF(OR(AND(OR(C630="Оплата клиента",C630="Возврат клиенту"),COUNTIFS(Docs[ID],J630,Docs[Тип долга],"ДЗ")&lt;&gt;1),AND(OR(C630="Оплата поставщику",C630="Возврат поставщика"),COUNTIFS(Docs[ID],J630,Docs[Тип долга],"КЗ",Docs[Вид],"&lt;&gt;Дивиденды")&lt;&gt;1),AND(C630="Дивиденды",COUNTIFS(Docs[ID],J630,Docs[Вид],"Дивиденды")&lt;&gt;1),AND(C630="Проценты",COUNTIFS(Docs[ID],J630,Docs[Вид],"Проценты")&lt;&gt;1),COUNTIF(Cash[ID],A630)&gt;1,NOT(ISNUMBER(B630)),B630&lt;НачалоУчета,YEAR(B630)&lt;&gt;Год,NOT(ISNUMBER(E630)),E630&lt;=0,N630&lt;0,COUNTIF(Типы,C630)&lt;&gt;1,COUNTIF(Категории,D630)&lt;&gt;1,COUNTIF(Счета,F630)&lt;&gt;1,COUNTIF(Проекты,I630)&lt;&gt;1,AND(H630&lt;&gt;"",COUNTIF(Контрагенты,H630)&lt;&gt;1),AND(C630="Перевод",OR(F630=G630,COUNTIF(Счета,G630)&lt;&gt;1)),AND(S630&lt;&gt;0,COUNTIF(Docs[ID],J630)&lt;&gt;1),AND(Форма="ООО",C630="Вывод ИП"),AND(Форма="ИП",C630="Дивиденды"),AND(L630&lt;&gt;"Проведён",L630&lt;&gt;"Черновик")),"ОШИБКА","ОК"))</f>
        <v/>
      </c>
      <c r="W630" s="25" t="str">
        <f>IF(A630="","",SUMIF(Accounts[Счёт],F630,Accounts[Начальный])+SUMIFS($Q$7:Q630,$F$7:F630,F630)+SUMIFS($E$7:E630,$G$7:G630,F630,$C$7:C630,"Перевод",$L$7:L630,"Проведён"))</f>
        <v/>
      </c>
    </row>
    <row r="631" spans="1:23" x14ac:dyDescent="0.25">
      <c r="A631" s="22"/>
      <c r="B631" s="23"/>
      <c r="C631" s="22"/>
      <c r="D631" s="22"/>
      <c r="E631" s="27"/>
      <c r="F631" s="22"/>
      <c r="G631" s="22"/>
      <c r="H631" s="22"/>
      <c r="I631" s="22"/>
      <c r="J631" s="22"/>
      <c r="K631" s="22"/>
      <c r="L631" s="22"/>
      <c r="M631" s="22"/>
      <c r="N631" s="27"/>
      <c r="O631" s="22"/>
      <c r="P631" s="5" t="str">
        <f>IF(A631="","",IF(COUNTIF(Типы,C631)=0,0,VLOOKUP(C631,СПРАВОЧНИКИ!$A$7:$E$22,2,FALSE)))</f>
        <v/>
      </c>
      <c r="Q631" s="25" t="str">
        <f t="shared" si="9"/>
        <v/>
      </c>
      <c r="R631" s="5" t="str">
        <f>IF(A631="","",IF(COUNTIF(Типы,C631)=0,"НЕИЗВЕСТНЫЙ ТИП",VLOOKUP(C631,СПРАВОЧНИКИ!$A$7:$E$22,3,FALSE)))</f>
        <v/>
      </c>
      <c r="S631" s="26" t="str">
        <f>IF(A631="","",IF(L631="Проведён",E631*IF(COUNTIF(Типы,C631)=0,0,VLOOKUP(C631,СПРАВОЧНИКИ!$A$7:$E$22,4,FALSE)),0))</f>
        <v/>
      </c>
      <c r="T631" s="26" t="str">
        <f>IF(A631="","",IF(L631="Проведён",E631*IF(COUNTIF(Типы,C631)=0,0,VLOOKUP(C631,СПРАВОЧНИКИ!$A$7:$E$22,5,FALSE)),0))</f>
        <v/>
      </c>
      <c r="U631" s="5" t="str">
        <f>IF(A631="","",IF(COUNTIF(Контрагенты,H631)=0,"Не задан",VLOOKUP(H631,СПРАВОЧНИКИ!$G$7:$H$66,2,FALSE)))</f>
        <v/>
      </c>
      <c r="V631" s="4" t="str">
        <f>IF(A631="",IF(COUNTA(B631:O631)&gt;0,"НЕТ ID",""),IF(OR(AND(OR(C631="Оплата клиента",C631="Возврат клиенту"),COUNTIFS(Docs[ID],J631,Docs[Тип долга],"ДЗ")&lt;&gt;1),AND(OR(C631="Оплата поставщику",C631="Возврат поставщика"),COUNTIFS(Docs[ID],J631,Docs[Тип долга],"КЗ",Docs[Вид],"&lt;&gt;Дивиденды")&lt;&gt;1),AND(C631="Дивиденды",COUNTIFS(Docs[ID],J631,Docs[Вид],"Дивиденды")&lt;&gt;1),AND(C631="Проценты",COUNTIFS(Docs[ID],J631,Docs[Вид],"Проценты")&lt;&gt;1),COUNTIF(Cash[ID],A631)&gt;1,NOT(ISNUMBER(B631)),B631&lt;НачалоУчета,YEAR(B631)&lt;&gt;Год,NOT(ISNUMBER(E631)),E631&lt;=0,N631&lt;0,COUNTIF(Типы,C631)&lt;&gt;1,COUNTIF(Категории,D631)&lt;&gt;1,COUNTIF(Счета,F631)&lt;&gt;1,COUNTIF(Проекты,I631)&lt;&gt;1,AND(H631&lt;&gt;"",COUNTIF(Контрагенты,H631)&lt;&gt;1),AND(C631="Перевод",OR(F631=G631,COUNTIF(Счета,G631)&lt;&gt;1)),AND(S631&lt;&gt;0,COUNTIF(Docs[ID],J631)&lt;&gt;1),AND(Форма="ООО",C631="Вывод ИП"),AND(Форма="ИП",C631="Дивиденды"),AND(L631&lt;&gt;"Проведён",L631&lt;&gt;"Черновик")),"ОШИБКА","ОК"))</f>
        <v/>
      </c>
      <c r="W631" s="25" t="str">
        <f>IF(A631="","",SUMIF(Accounts[Счёт],F631,Accounts[Начальный])+SUMIFS($Q$7:Q631,$F$7:F631,F631)+SUMIFS($E$7:E631,$G$7:G631,F631,$C$7:C631,"Перевод",$L$7:L631,"Проведён"))</f>
        <v/>
      </c>
    </row>
    <row r="632" spans="1:23" x14ac:dyDescent="0.25">
      <c r="A632" s="22"/>
      <c r="B632" s="23"/>
      <c r="C632" s="22"/>
      <c r="D632" s="22"/>
      <c r="E632" s="27"/>
      <c r="F632" s="22"/>
      <c r="G632" s="22"/>
      <c r="H632" s="22"/>
      <c r="I632" s="22"/>
      <c r="J632" s="22"/>
      <c r="K632" s="22"/>
      <c r="L632" s="22"/>
      <c r="M632" s="22"/>
      <c r="N632" s="27"/>
      <c r="O632" s="22"/>
      <c r="P632" s="5" t="str">
        <f>IF(A632="","",IF(COUNTIF(Типы,C632)=0,0,VLOOKUP(C632,СПРАВОЧНИКИ!$A$7:$E$22,2,FALSE)))</f>
        <v/>
      </c>
      <c r="Q632" s="25" t="str">
        <f t="shared" si="9"/>
        <v/>
      </c>
      <c r="R632" s="5" t="str">
        <f>IF(A632="","",IF(COUNTIF(Типы,C632)=0,"НЕИЗВЕСТНЫЙ ТИП",VLOOKUP(C632,СПРАВОЧНИКИ!$A$7:$E$22,3,FALSE)))</f>
        <v/>
      </c>
      <c r="S632" s="26" t="str">
        <f>IF(A632="","",IF(L632="Проведён",E632*IF(COUNTIF(Типы,C632)=0,0,VLOOKUP(C632,СПРАВОЧНИКИ!$A$7:$E$22,4,FALSE)),0))</f>
        <v/>
      </c>
      <c r="T632" s="26" t="str">
        <f>IF(A632="","",IF(L632="Проведён",E632*IF(COUNTIF(Типы,C632)=0,0,VLOOKUP(C632,СПРАВОЧНИКИ!$A$7:$E$22,5,FALSE)),0))</f>
        <v/>
      </c>
      <c r="U632" s="5" t="str">
        <f>IF(A632="","",IF(COUNTIF(Контрагенты,H632)=0,"Не задан",VLOOKUP(H632,СПРАВОЧНИКИ!$G$7:$H$66,2,FALSE)))</f>
        <v/>
      </c>
      <c r="V632" s="4" t="str">
        <f>IF(A632="",IF(COUNTA(B632:O632)&gt;0,"НЕТ ID",""),IF(OR(AND(OR(C632="Оплата клиента",C632="Возврат клиенту"),COUNTIFS(Docs[ID],J632,Docs[Тип долга],"ДЗ")&lt;&gt;1),AND(OR(C632="Оплата поставщику",C632="Возврат поставщика"),COUNTIFS(Docs[ID],J632,Docs[Тип долга],"КЗ",Docs[Вид],"&lt;&gt;Дивиденды")&lt;&gt;1),AND(C632="Дивиденды",COUNTIFS(Docs[ID],J632,Docs[Вид],"Дивиденды")&lt;&gt;1),AND(C632="Проценты",COUNTIFS(Docs[ID],J632,Docs[Вид],"Проценты")&lt;&gt;1),COUNTIF(Cash[ID],A632)&gt;1,NOT(ISNUMBER(B632)),B632&lt;НачалоУчета,YEAR(B632)&lt;&gt;Год,NOT(ISNUMBER(E632)),E632&lt;=0,N632&lt;0,COUNTIF(Типы,C632)&lt;&gt;1,COUNTIF(Категории,D632)&lt;&gt;1,COUNTIF(Счета,F632)&lt;&gt;1,COUNTIF(Проекты,I632)&lt;&gt;1,AND(H632&lt;&gt;"",COUNTIF(Контрагенты,H632)&lt;&gt;1),AND(C632="Перевод",OR(F632=G632,COUNTIF(Счета,G632)&lt;&gt;1)),AND(S632&lt;&gt;0,COUNTIF(Docs[ID],J632)&lt;&gt;1),AND(Форма="ООО",C632="Вывод ИП"),AND(Форма="ИП",C632="Дивиденды"),AND(L632&lt;&gt;"Проведён",L632&lt;&gt;"Черновик")),"ОШИБКА","ОК"))</f>
        <v/>
      </c>
      <c r="W632" s="25" t="str">
        <f>IF(A632="","",SUMIF(Accounts[Счёт],F632,Accounts[Начальный])+SUMIFS($Q$7:Q632,$F$7:F632,F632)+SUMIFS($E$7:E632,$G$7:G632,F632,$C$7:C632,"Перевод",$L$7:L632,"Проведён"))</f>
        <v/>
      </c>
    </row>
    <row r="633" spans="1:23" x14ac:dyDescent="0.25">
      <c r="A633" s="22"/>
      <c r="B633" s="23"/>
      <c r="C633" s="22"/>
      <c r="D633" s="22"/>
      <c r="E633" s="27"/>
      <c r="F633" s="22"/>
      <c r="G633" s="22"/>
      <c r="H633" s="22"/>
      <c r="I633" s="22"/>
      <c r="J633" s="22"/>
      <c r="K633" s="22"/>
      <c r="L633" s="22"/>
      <c r="M633" s="22"/>
      <c r="N633" s="27"/>
      <c r="O633" s="22"/>
      <c r="P633" s="5" t="str">
        <f>IF(A633="","",IF(COUNTIF(Типы,C633)=0,0,VLOOKUP(C633,СПРАВОЧНИКИ!$A$7:$E$22,2,FALSE)))</f>
        <v/>
      </c>
      <c r="Q633" s="25" t="str">
        <f t="shared" si="9"/>
        <v/>
      </c>
      <c r="R633" s="5" t="str">
        <f>IF(A633="","",IF(COUNTIF(Типы,C633)=0,"НЕИЗВЕСТНЫЙ ТИП",VLOOKUP(C633,СПРАВОЧНИКИ!$A$7:$E$22,3,FALSE)))</f>
        <v/>
      </c>
      <c r="S633" s="26" t="str">
        <f>IF(A633="","",IF(L633="Проведён",E633*IF(COUNTIF(Типы,C633)=0,0,VLOOKUP(C633,СПРАВОЧНИКИ!$A$7:$E$22,4,FALSE)),0))</f>
        <v/>
      </c>
      <c r="T633" s="26" t="str">
        <f>IF(A633="","",IF(L633="Проведён",E633*IF(COUNTIF(Типы,C633)=0,0,VLOOKUP(C633,СПРАВОЧНИКИ!$A$7:$E$22,5,FALSE)),0))</f>
        <v/>
      </c>
      <c r="U633" s="5" t="str">
        <f>IF(A633="","",IF(COUNTIF(Контрагенты,H633)=0,"Не задан",VLOOKUP(H633,СПРАВОЧНИКИ!$G$7:$H$66,2,FALSE)))</f>
        <v/>
      </c>
      <c r="V633" s="4" t="str">
        <f>IF(A633="",IF(COUNTA(B633:O633)&gt;0,"НЕТ ID",""),IF(OR(AND(OR(C633="Оплата клиента",C633="Возврат клиенту"),COUNTIFS(Docs[ID],J633,Docs[Тип долга],"ДЗ")&lt;&gt;1),AND(OR(C633="Оплата поставщику",C633="Возврат поставщика"),COUNTIFS(Docs[ID],J633,Docs[Тип долга],"КЗ",Docs[Вид],"&lt;&gt;Дивиденды")&lt;&gt;1),AND(C633="Дивиденды",COUNTIFS(Docs[ID],J633,Docs[Вид],"Дивиденды")&lt;&gt;1),AND(C633="Проценты",COUNTIFS(Docs[ID],J633,Docs[Вид],"Проценты")&lt;&gt;1),COUNTIF(Cash[ID],A633)&gt;1,NOT(ISNUMBER(B633)),B633&lt;НачалоУчета,YEAR(B633)&lt;&gt;Год,NOT(ISNUMBER(E633)),E633&lt;=0,N633&lt;0,COUNTIF(Типы,C633)&lt;&gt;1,COUNTIF(Категории,D633)&lt;&gt;1,COUNTIF(Счета,F633)&lt;&gt;1,COUNTIF(Проекты,I633)&lt;&gt;1,AND(H633&lt;&gt;"",COUNTIF(Контрагенты,H633)&lt;&gt;1),AND(C633="Перевод",OR(F633=G633,COUNTIF(Счета,G633)&lt;&gt;1)),AND(S633&lt;&gt;0,COUNTIF(Docs[ID],J633)&lt;&gt;1),AND(Форма="ООО",C633="Вывод ИП"),AND(Форма="ИП",C633="Дивиденды"),AND(L633&lt;&gt;"Проведён",L633&lt;&gt;"Черновик")),"ОШИБКА","ОК"))</f>
        <v/>
      </c>
      <c r="W633" s="25" t="str">
        <f>IF(A633="","",SUMIF(Accounts[Счёт],F633,Accounts[Начальный])+SUMIFS($Q$7:Q633,$F$7:F633,F633)+SUMIFS($E$7:E633,$G$7:G633,F633,$C$7:C633,"Перевод",$L$7:L633,"Проведён"))</f>
        <v/>
      </c>
    </row>
    <row r="634" spans="1:23" x14ac:dyDescent="0.25">
      <c r="A634" s="22"/>
      <c r="B634" s="23"/>
      <c r="C634" s="22"/>
      <c r="D634" s="22"/>
      <c r="E634" s="27"/>
      <c r="F634" s="22"/>
      <c r="G634" s="22"/>
      <c r="H634" s="22"/>
      <c r="I634" s="22"/>
      <c r="J634" s="22"/>
      <c r="K634" s="22"/>
      <c r="L634" s="22"/>
      <c r="M634" s="22"/>
      <c r="N634" s="27"/>
      <c r="O634" s="22"/>
      <c r="P634" s="5" t="str">
        <f>IF(A634="","",IF(COUNTIF(Типы,C634)=0,0,VLOOKUP(C634,СПРАВОЧНИКИ!$A$7:$E$22,2,FALSE)))</f>
        <v/>
      </c>
      <c r="Q634" s="25" t="str">
        <f t="shared" si="9"/>
        <v/>
      </c>
      <c r="R634" s="5" t="str">
        <f>IF(A634="","",IF(COUNTIF(Типы,C634)=0,"НЕИЗВЕСТНЫЙ ТИП",VLOOKUP(C634,СПРАВОЧНИКИ!$A$7:$E$22,3,FALSE)))</f>
        <v/>
      </c>
      <c r="S634" s="26" t="str">
        <f>IF(A634="","",IF(L634="Проведён",E634*IF(COUNTIF(Типы,C634)=0,0,VLOOKUP(C634,СПРАВОЧНИКИ!$A$7:$E$22,4,FALSE)),0))</f>
        <v/>
      </c>
      <c r="T634" s="26" t="str">
        <f>IF(A634="","",IF(L634="Проведён",E634*IF(COUNTIF(Типы,C634)=0,0,VLOOKUP(C634,СПРАВОЧНИКИ!$A$7:$E$22,5,FALSE)),0))</f>
        <v/>
      </c>
      <c r="U634" s="5" t="str">
        <f>IF(A634="","",IF(COUNTIF(Контрагенты,H634)=0,"Не задан",VLOOKUP(H634,СПРАВОЧНИКИ!$G$7:$H$66,2,FALSE)))</f>
        <v/>
      </c>
      <c r="V634" s="4" t="str">
        <f>IF(A634="",IF(COUNTA(B634:O634)&gt;0,"НЕТ ID",""),IF(OR(AND(OR(C634="Оплата клиента",C634="Возврат клиенту"),COUNTIFS(Docs[ID],J634,Docs[Тип долга],"ДЗ")&lt;&gt;1),AND(OR(C634="Оплата поставщику",C634="Возврат поставщика"),COUNTIFS(Docs[ID],J634,Docs[Тип долга],"КЗ",Docs[Вид],"&lt;&gt;Дивиденды")&lt;&gt;1),AND(C634="Дивиденды",COUNTIFS(Docs[ID],J634,Docs[Вид],"Дивиденды")&lt;&gt;1),AND(C634="Проценты",COUNTIFS(Docs[ID],J634,Docs[Вид],"Проценты")&lt;&gt;1),COUNTIF(Cash[ID],A634)&gt;1,NOT(ISNUMBER(B634)),B634&lt;НачалоУчета,YEAR(B634)&lt;&gt;Год,NOT(ISNUMBER(E634)),E634&lt;=0,N634&lt;0,COUNTIF(Типы,C634)&lt;&gt;1,COUNTIF(Категории,D634)&lt;&gt;1,COUNTIF(Счета,F634)&lt;&gt;1,COUNTIF(Проекты,I634)&lt;&gt;1,AND(H634&lt;&gt;"",COUNTIF(Контрагенты,H634)&lt;&gt;1),AND(C634="Перевод",OR(F634=G634,COUNTIF(Счета,G634)&lt;&gt;1)),AND(S634&lt;&gt;0,COUNTIF(Docs[ID],J634)&lt;&gt;1),AND(Форма="ООО",C634="Вывод ИП"),AND(Форма="ИП",C634="Дивиденды"),AND(L634&lt;&gt;"Проведён",L634&lt;&gt;"Черновик")),"ОШИБКА","ОК"))</f>
        <v/>
      </c>
      <c r="W634" s="25" t="str">
        <f>IF(A634="","",SUMIF(Accounts[Счёт],F634,Accounts[Начальный])+SUMIFS($Q$7:Q634,$F$7:F634,F634)+SUMIFS($E$7:E634,$G$7:G634,F634,$C$7:C634,"Перевод",$L$7:L634,"Проведён"))</f>
        <v/>
      </c>
    </row>
    <row r="635" spans="1:23" x14ac:dyDescent="0.25">
      <c r="A635" s="22"/>
      <c r="B635" s="23"/>
      <c r="C635" s="22"/>
      <c r="D635" s="22"/>
      <c r="E635" s="27"/>
      <c r="F635" s="22"/>
      <c r="G635" s="22"/>
      <c r="H635" s="22"/>
      <c r="I635" s="22"/>
      <c r="J635" s="22"/>
      <c r="K635" s="22"/>
      <c r="L635" s="22"/>
      <c r="M635" s="22"/>
      <c r="N635" s="27"/>
      <c r="O635" s="22"/>
      <c r="P635" s="5" t="str">
        <f>IF(A635="","",IF(COUNTIF(Типы,C635)=0,0,VLOOKUP(C635,СПРАВОЧНИКИ!$A$7:$E$22,2,FALSE)))</f>
        <v/>
      </c>
      <c r="Q635" s="25" t="str">
        <f t="shared" si="9"/>
        <v/>
      </c>
      <c r="R635" s="5" t="str">
        <f>IF(A635="","",IF(COUNTIF(Типы,C635)=0,"НЕИЗВЕСТНЫЙ ТИП",VLOOKUP(C635,СПРАВОЧНИКИ!$A$7:$E$22,3,FALSE)))</f>
        <v/>
      </c>
      <c r="S635" s="26" t="str">
        <f>IF(A635="","",IF(L635="Проведён",E635*IF(COUNTIF(Типы,C635)=0,0,VLOOKUP(C635,СПРАВОЧНИКИ!$A$7:$E$22,4,FALSE)),0))</f>
        <v/>
      </c>
      <c r="T635" s="26" t="str">
        <f>IF(A635="","",IF(L635="Проведён",E635*IF(COUNTIF(Типы,C635)=0,0,VLOOKUP(C635,СПРАВОЧНИКИ!$A$7:$E$22,5,FALSE)),0))</f>
        <v/>
      </c>
      <c r="U635" s="5" t="str">
        <f>IF(A635="","",IF(COUNTIF(Контрагенты,H635)=0,"Не задан",VLOOKUP(H635,СПРАВОЧНИКИ!$G$7:$H$66,2,FALSE)))</f>
        <v/>
      </c>
      <c r="V635" s="4" t="str">
        <f>IF(A635="",IF(COUNTA(B635:O635)&gt;0,"НЕТ ID",""),IF(OR(AND(OR(C635="Оплата клиента",C635="Возврат клиенту"),COUNTIFS(Docs[ID],J635,Docs[Тип долга],"ДЗ")&lt;&gt;1),AND(OR(C635="Оплата поставщику",C635="Возврат поставщика"),COUNTIFS(Docs[ID],J635,Docs[Тип долга],"КЗ",Docs[Вид],"&lt;&gt;Дивиденды")&lt;&gt;1),AND(C635="Дивиденды",COUNTIFS(Docs[ID],J635,Docs[Вид],"Дивиденды")&lt;&gt;1),AND(C635="Проценты",COUNTIFS(Docs[ID],J635,Docs[Вид],"Проценты")&lt;&gt;1),COUNTIF(Cash[ID],A635)&gt;1,NOT(ISNUMBER(B635)),B635&lt;НачалоУчета,YEAR(B635)&lt;&gt;Год,NOT(ISNUMBER(E635)),E635&lt;=0,N635&lt;0,COUNTIF(Типы,C635)&lt;&gt;1,COUNTIF(Категории,D635)&lt;&gt;1,COUNTIF(Счета,F635)&lt;&gt;1,COUNTIF(Проекты,I635)&lt;&gt;1,AND(H635&lt;&gt;"",COUNTIF(Контрагенты,H635)&lt;&gt;1),AND(C635="Перевод",OR(F635=G635,COUNTIF(Счета,G635)&lt;&gt;1)),AND(S635&lt;&gt;0,COUNTIF(Docs[ID],J635)&lt;&gt;1),AND(Форма="ООО",C635="Вывод ИП"),AND(Форма="ИП",C635="Дивиденды"),AND(L635&lt;&gt;"Проведён",L635&lt;&gt;"Черновик")),"ОШИБКА","ОК"))</f>
        <v/>
      </c>
      <c r="W635" s="25" t="str">
        <f>IF(A635="","",SUMIF(Accounts[Счёт],F635,Accounts[Начальный])+SUMIFS($Q$7:Q635,$F$7:F635,F635)+SUMIFS($E$7:E635,$G$7:G635,F635,$C$7:C635,"Перевод",$L$7:L635,"Проведён"))</f>
        <v/>
      </c>
    </row>
    <row r="636" spans="1:23" x14ac:dyDescent="0.25">
      <c r="A636" s="22"/>
      <c r="B636" s="23"/>
      <c r="C636" s="22"/>
      <c r="D636" s="22"/>
      <c r="E636" s="27"/>
      <c r="F636" s="22"/>
      <c r="G636" s="22"/>
      <c r="H636" s="22"/>
      <c r="I636" s="22"/>
      <c r="J636" s="22"/>
      <c r="K636" s="22"/>
      <c r="L636" s="22"/>
      <c r="M636" s="22"/>
      <c r="N636" s="27"/>
      <c r="O636" s="22"/>
      <c r="P636" s="5" t="str">
        <f>IF(A636="","",IF(COUNTIF(Типы,C636)=0,0,VLOOKUP(C636,СПРАВОЧНИКИ!$A$7:$E$22,2,FALSE)))</f>
        <v/>
      </c>
      <c r="Q636" s="25" t="str">
        <f t="shared" si="9"/>
        <v/>
      </c>
      <c r="R636" s="5" t="str">
        <f>IF(A636="","",IF(COUNTIF(Типы,C636)=0,"НЕИЗВЕСТНЫЙ ТИП",VLOOKUP(C636,СПРАВОЧНИКИ!$A$7:$E$22,3,FALSE)))</f>
        <v/>
      </c>
      <c r="S636" s="26" t="str">
        <f>IF(A636="","",IF(L636="Проведён",E636*IF(COUNTIF(Типы,C636)=0,0,VLOOKUP(C636,СПРАВОЧНИКИ!$A$7:$E$22,4,FALSE)),0))</f>
        <v/>
      </c>
      <c r="T636" s="26" t="str">
        <f>IF(A636="","",IF(L636="Проведён",E636*IF(COUNTIF(Типы,C636)=0,0,VLOOKUP(C636,СПРАВОЧНИКИ!$A$7:$E$22,5,FALSE)),0))</f>
        <v/>
      </c>
      <c r="U636" s="5" t="str">
        <f>IF(A636="","",IF(COUNTIF(Контрагенты,H636)=0,"Не задан",VLOOKUP(H636,СПРАВОЧНИКИ!$G$7:$H$66,2,FALSE)))</f>
        <v/>
      </c>
      <c r="V636" s="4" t="str">
        <f>IF(A636="",IF(COUNTA(B636:O636)&gt;0,"НЕТ ID",""),IF(OR(AND(OR(C636="Оплата клиента",C636="Возврат клиенту"),COUNTIFS(Docs[ID],J636,Docs[Тип долга],"ДЗ")&lt;&gt;1),AND(OR(C636="Оплата поставщику",C636="Возврат поставщика"),COUNTIFS(Docs[ID],J636,Docs[Тип долга],"КЗ",Docs[Вид],"&lt;&gt;Дивиденды")&lt;&gt;1),AND(C636="Дивиденды",COUNTIFS(Docs[ID],J636,Docs[Вид],"Дивиденды")&lt;&gt;1),AND(C636="Проценты",COUNTIFS(Docs[ID],J636,Docs[Вид],"Проценты")&lt;&gt;1),COUNTIF(Cash[ID],A636)&gt;1,NOT(ISNUMBER(B636)),B636&lt;НачалоУчета,YEAR(B636)&lt;&gt;Год,NOT(ISNUMBER(E636)),E636&lt;=0,N636&lt;0,COUNTIF(Типы,C636)&lt;&gt;1,COUNTIF(Категории,D636)&lt;&gt;1,COUNTIF(Счета,F636)&lt;&gt;1,COUNTIF(Проекты,I636)&lt;&gt;1,AND(H636&lt;&gt;"",COUNTIF(Контрагенты,H636)&lt;&gt;1),AND(C636="Перевод",OR(F636=G636,COUNTIF(Счета,G636)&lt;&gt;1)),AND(S636&lt;&gt;0,COUNTIF(Docs[ID],J636)&lt;&gt;1),AND(Форма="ООО",C636="Вывод ИП"),AND(Форма="ИП",C636="Дивиденды"),AND(L636&lt;&gt;"Проведён",L636&lt;&gt;"Черновик")),"ОШИБКА","ОК"))</f>
        <v/>
      </c>
      <c r="W636" s="25" t="str">
        <f>IF(A636="","",SUMIF(Accounts[Счёт],F636,Accounts[Начальный])+SUMIFS($Q$7:Q636,$F$7:F636,F636)+SUMIFS($E$7:E636,$G$7:G636,F636,$C$7:C636,"Перевод",$L$7:L636,"Проведён"))</f>
        <v/>
      </c>
    </row>
    <row r="637" spans="1:23" x14ac:dyDescent="0.25">
      <c r="A637" s="22"/>
      <c r="B637" s="23"/>
      <c r="C637" s="22"/>
      <c r="D637" s="22"/>
      <c r="E637" s="27"/>
      <c r="F637" s="22"/>
      <c r="G637" s="22"/>
      <c r="H637" s="22"/>
      <c r="I637" s="22"/>
      <c r="J637" s="22"/>
      <c r="K637" s="22"/>
      <c r="L637" s="22"/>
      <c r="M637" s="22"/>
      <c r="N637" s="27"/>
      <c r="O637" s="22"/>
      <c r="P637" s="5" t="str">
        <f>IF(A637="","",IF(COUNTIF(Типы,C637)=0,0,VLOOKUP(C637,СПРАВОЧНИКИ!$A$7:$E$22,2,FALSE)))</f>
        <v/>
      </c>
      <c r="Q637" s="25" t="str">
        <f t="shared" si="9"/>
        <v/>
      </c>
      <c r="R637" s="5" t="str">
        <f>IF(A637="","",IF(COUNTIF(Типы,C637)=0,"НЕИЗВЕСТНЫЙ ТИП",VLOOKUP(C637,СПРАВОЧНИКИ!$A$7:$E$22,3,FALSE)))</f>
        <v/>
      </c>
      <c r="S637" s="26" t="str">
        <f>IF(A637="","",IF(L637="Проведён",E637*IF(COUNTIF(Типы,C637)=0,0,VLOOKUP(C637,СПРАВОЧНИКИ!$A$7:$E$22,4,FALSE)),0))</f>
        <v/>
      </c>
      <c r="T637" s="26" t="str">
        <f>IF(A637="","",IF(L637="Проведён",E637*IF(COUNTIF(Типы,C637)=0,0,VLOOKUP(C637,СПРАВОЧНИКИ!$A$7:$E$22,5,FALSE)),0))</f>
        <v/>
      </c>
      <c r="U637" s="5" t="str">
        <f>IF(A637="","",IF(COUNTIF(Контрагенты,H637)=0,"Не задан",VLOOKUP(H637,СПРАВОЧНИКИ!$G$7:$H$66,2,FALSE)))</f>
        <v/>
      </c>
      <c r="V637" s="4" t="str">
        <f>IF(A637="",IF(COUNTA(B637:O637)&gt;0,"НЕТ ID",""),IF(OR(AND(OR(C637="Оплата клиента",C637="Возврат клиенту"),COUNTIFS(Docs[ID],J637,Docs[Тип долга],"ДЗ")&lt;&gt;1),AND(OR(C637="Оплата поставщику",C637="Возврат поставщика"),COUNTIFS(Docs[ID],J637,Docs[Тип долга],"КЗ",Docs[Вид],"&lt;&gt;Дивиденды")&lt;&gt;1),AND(C637="Дивиденды",COUNTIFS(Docs[ID],J637,Docs[Вид],"Дивиденды")&lt;&gt;1),AND(C637="Проценты",COUNTIFS(Docs[ID],J637,Docs[Вид],"Проценты")&lt;&gt;1),COUNTIF(Cash[ID],A637)&gt;1,NOT(ISNUMBER(B637)),B637&lt;НачалоУчета,YEAR(B637)&lt;&gt;Год,NOT(ISNUMBER(E637)),E637&lt;=0,N637&lt;0,COUNTIF(Типы,C637)&lt;&gt;1,COUNTIF(Категории,D637)&lt;&gt;1,COUNTIF(Счета,F637)&lt;&gt;1,COUNTIF(Проекты,I637)&lt;&gt;1,AND(H637&lt;&gt;"",COUNTIF(Контрагенты,H637)&lt;&gt;1),AND(C637="Перевод",OR(F637=G637,COUNTIF(Счета,G637)&lt;&gt;1)),AND(S637&lt;&gt;0,COUNTIF(Docs[ID],J637)&lt;&gt;1),AND(Форма="ООО",C637="Вывод ИП"),AND(Форма="ИП",C637="Дивиденды"),AND(L637&lt;&gt;"Проведён",L637&lt;&gt;"Черновик")),"ОШИБКА","ОК"))</f>
        <v/>
      </c>
      <c r="W637" s="25" t="str">
        <f>IF(A637="","",SUMIF(Accounts[Счёт],F637,Accounts[Начальный])+SUMIFS($Q$7:Q637,$F$7:F637,F637)+SUMIFS($E$7:E637,$G$7:G637,F637,$C$7:C637,"Перевод",$L$7:L637,"Проведён"))</f>
        <v/>
      </c>
    </row>
    <row r="638" spans="1:23" x14ac:dyDescent="0.25">
      <c r="A638" s="22"/>
      <c r="B638" s="23"/>
      <c r="C638" s="22"/>
      <c r="D638" s="22"/>
      <c r="E638" s="27"/>
      <c r="F638" s="22"/>
      <c r="G638" s="22"/>
      <c r="H638" s="22"/>
      <c r="I638" s="22"/>
      <c r="J638" s="22"/>
      <c r="K638" s="22"/>
      <c r="L638" s="22"/>
      <c r="M638" s="22"/>
      <c r="N638" s="27"/>
      <c r="O638" s="22"/>
      <c r="P638" s="5" t="str">
        <f>IF(A638="","",IF(COUNTIF(Типы,C638)=0,0,VLOOKUP(C638,СПРАВОЧНИКИ!$A$7:$E$22,2,FALSE)))</f>
        <v/>
      </c>
      <c r="Q638" s="25" t="str">
        <f t="shared" si="9"/>
        <v/>
      </c>
      <c r="R638" s="5" t="str">
        <f>IF(A638="","",IF(COUNTIF(Типы,C638)=0,"НЕИЗВЕСТНЫЙ ТИП",VLOOKUP(C638,СПРАВОЧНИКИ!$A$7:$E$22,3,FALSE)))</f>
        <v/>
      </c>
      <c r="S638" s="26" t="str">
        <f>IF(A638="","",IF(L638="Проведён",E638*IF(COUNTIF(Типы,C638)=0,0,VLOOKUP(C638,СПРАВОЧНИКИ!$A$7:$E$22,4,FALSE)),0))</f>
        <v/>
      </c>
      <c r="T638" s="26" t="str">
        <f>IF(A638="","",IF(L638="Проведён",E638*IF(COUNTIF(Типы,C638)=0,0,VLOOKUP(C638,СПРАВОЧНИКИ!$A$7:$E$22,5,FALSE)),0))</f>
        <v/>
      </c>
      <c r="U638" s="5" t="str">
        <f>IF(A638="","",IF(COUNTIF(Контрагенты,H638)=0,"Не задан",VLOOKUP(H638,СПРАВОЧНИКИ!$G$7:$H$66,2,FALSE)))</f>
        <v/>
      </c>
      <c r="V638" s="4" t="str">
        <f>IF(A638="",IF(COUNTA(B638:O638)&gt;0,"НЕТ ID",""),IF(OR(AND(OR(C638="Оплата клиента",C638="Возврат клиенту"),COUNTIFS(Docs[ID],J638,Docs[Тип долга],"ДЗ")&lt;&gt;1),AND(OR(C638="Оплата поставщику",C638="Возврат поставщика"),COUNTIFS(Docs[ID],J638,Docs[Тип долга],"КЗ",Docs[Вид],"&lt;&gt;Дивиденды")&lt;&gt;1),AND(C638="Дивиденды",COUNTIFS(Docs[ID],J638,Docs[Вид],"Дивиденды")&lt;&gt;1),AND(C638="Проценты",COUNTIFS(Docs[ID],J638,Docs[Вид],"Проценты")&lt;&gt;1),COUNTIF(Cash[ID],A638)&gt;1,NOT(ISNUMBER(B638)),B638&lt;НачалоУчета,YEAR(B638)&lt;&gt;Год,NOT(ISNUMBER(E638)),E638&lt;=0,N638&lt;0,COUNTIF(Типы,C638)&lt;&gt;1,COUNTIF(Категории,D638)&lt;&gt;1,COUNTIF(Счета,F638)&lt;&gt;1,COUNTIF(Проекты,I638)&lt;&gt;1,AND(H638&lt;&gt;"",COUNTIF(Контрагенты,H638)&lt;&gt;1),AND(C638="Перевод",OR(F638=G638,COUNTIF(Счета,G638)&lt;&gt;1)),AND(S638&lt;&gt;0,COUNTIF(Docs[ID],J638)&lt;&gt;1),AND(Форма="ООО",C638="Вывод ИП"),AND(Форма="ИП",C638="Дивиденды"),AND(L638&lt;&gt;"Проведён",L638&lt;&gt;"Черновик")),"ОШИБКА","ОК"))</f>
        <v/>
      </c>
      <c r="W638" s="25" t="str">
        <f>IF(A638="","",SUMIF(Accounts[Счёт],F638,Accounts[Начальный])+SUMIFS($Q$7:Q638,$F$7:F638,F638)+SUMIFS($E$7:E638,$G$7:G638,F638,$C$7:C638,"Перевод",$L$7:L638,"Проведён"))</f>
        <v/>
      </c>
    </row>
    <row r="639" spans="1:23" x14ac:dyDescent="0.25">
      <c r="A639" s="22"/>
      <c r="B639" s="23"/>
      <c r="C639" s="22"/>
      <c r="D639" s="22"/>
      <c r="E639" s="27"/>
      <c r="F639" s="22"/>
      <c r="G639" s="22"/>
      <c r="H639" s="22"/>
      <c r="I639" s="22"/>
      <c r="J639" s="22"/>
      <c r="K639" s="22"/>
      <c r="L639" s="22"/>
      <c r="M639" s="22"/>
      <c r="N639" s="27"/>
      <c r="O639" s="22"/>
      <c r="P639" s="5" t="str">
        <f>IF(A639="","",IF(COUNTIF(Типы,C639)=0,0,VLOOKUP(C639,СПРАВОЧНИКИ!$A$7:$E$22,2,FALSE)))</f>
        <v/>
      </c>
      <c r="Q639" s="25" t="str">
        <f t="shared" si="9"/>
        <v/>
      </c>
      <c r="R639" s="5" t="str">
        <f>IF(A639="","",IF(COUNTIF(Типы,C639)=0,"НЕИЗВЕСТНЫЙ ТИП",VLOOKUP(C639,СПРАВОЧНИКИ!$A$7:$E$22,3,FALSE)))</f>
        <v/>
      </c>
      <c r="S639" s="26" t="str">
        <f>IF(A639="","",IF(L639="Проведён",E639*IF(COUNTIF(Типы,C639)=0,0,VLOOKUP(C639,СПРАВОЧНИКИ!$A$7:$E$22,4,FALSE)),0))</f>
        <v/>
      </c>
      <c r="T639" s="26" t="str">
        <f>IF(A639="","",IF(L639="Проведён",E639*IF(COUNTIF(Типы,C639)=0,0,VLOOKUP(C639,СПРАВОЧНИКИ!$A$7:$E$22,5,FALSE)),0))</f>
        <v/>
      </c>
      <c r="U639" s="5" t="str">
        <f>IF(A639="","",IF(COUNTIF(Контрагенты,H639)=0,"Не задан",VLOOKUP(H639,СПРАВОЧНИКИ!$G$7:$H$66,2,FALSE)))</f>
        <v/>
      </c>
      <c r="V639" s="4" t="str">
        <f>IF(A639="",IF(COUNTA(B639:O639)&gt;0,"НЕТ ID",""),IF(OR(AND(OR(C639="Оплата клиента",C639="Возврат клиенту"),COUNTIFS(Docs[ID],J639,Docs[Тип долга],"ДЗ")&lt;&gt;1),AND(OR(C639="Оплата поставщику",C639="Возврат поставщика"),COUNTIFS(Docs[ID],J639,Docs[Тип долга],"КЗ",Docs[Вид],"&lt;&gt;Дивиденды")&lt;&gt;1),AND(C639="Дивиденды",COUNTIFS(Docs[ID],J639,Docs[Вид],"Дивиденды")&lt;&gt;1),AND(C639="Проценты",COUNTIFS(Docs[ID],J639,Docs[Вид],"Проценты")&lt;&gt;1),COUNTIF(Cash[ID],A639)&gt;1,NOT(ISNUMBER(B639)),B639&lt;НачалоУчета,YEAR(B639)&lt;&gt;Год,NOT(ISNUMBER(E639)),E639&lt;=0,N639&lt;0,COUNTIF(Типы,C639)&lt;&gt;1,COUNTIF(Категории,D639)&lt;&gt;1,COUNTIF(Счета,F639)&lt;&gt;1,COUNTIF(Проекты,I639)&lt;&gt;1,AND(H639&lt;&gt;"",COUNTIF(Контрагенты,H639)&lt;&gt;1),AND(C639="Перевод",OR(F639=G639,COUNTIF(Счета,G639)&lt;&gt;1)),AND(S639&lt;&gt;0,COUNTIF(Docs[ID],J639)&lt;&gt;1),AND(Форма="ООО",C639="Вывод ИП"),AND(Форма="ИП",C639="Дивиденды"),AND(L639&lt;&gt;"Проведён",L639&lt;&gt;"Черновик")),"ОШИБКА","ОК"))</f>
        <v/>
      </c>
      <c r="W639" s="25" t="str">
        <f>IF(A639="","",SUMIF(Accounts[Счёт],F639,Accounts[Начальный])+SUMIFS($Q$7:Q639,$F$7:F639,F639)+SUMIFS($E$7:E639,$G$7:G639,F639,$C$7:C639,"Перевод",$L$7:L639,"Проведён"))</f>
        <v/>
      </c>
    </row>
    <row r="640" spans="1:23" x14ac:dyDescent="0.25">
      <c r="A640" s="22"/>
      <c r="B640" s="23"/>
      <c r="C640" s="22"/>
      <c r="D640" s="22"/>
      <c r="E640" s="27"/>
      <c r="F640" s="22"/>
      <c r="G640" s="22"/>
      <c r="H640" s="22"/>
      <c r="I640" s="22"/>
      <c r="J640" s="22"/>
      <c r="K640" s="22"/>
      <c r="L640" s="22"/>
      <c r="M640" s="22"/>
      <c r="N640" s="27"/>
      <c r="O640" s="22"/>
      <c r="P640" s="5" t="str">
        <f>IF(A640="","",IF(COUNTIF(Типы,C640)=0,0,VLOOKUP(C640,СПРАВОЧНИКИ!$A$7:$E$22,2,FALSE)))</f>
        <v/>
      </c>
      <c r="Q640" s="25" t="str">
        <f t="shared" si="9"/>
        <v/>
      </c>
      <c r="R640" s="5" t="str">
        <f>IF(A640="","",IF(COUNTIF(Типы,C640)=0,"НЕИЗВЕСТНЫЙ ТИП",VLOOKUP(C640,СПРАВОЧНИКИ!$A$7:$E$22,3,FALSE)))</f>
        <v/>
      </c>
      <c r="S640" s="26" t="str">
        <f>IF(A640="","",IF(L640="Проведён",E640*IF(COUNTIF(Типы,C640)=0,0,VLOOKUP(C640,СПРАВОЧНИКИ!$A$7:$E$22,4,FALSE)),0))</f>
        <v/>
      </c>
      <c r="T640" s="26" t="str">
        <f>IF(A640="","",IF(L640="Проведён",E640*IF(COUNTIF(Типы,C640)=0,0,VLOOKUP(C640,СПРАВОЧНИКИ!$A$7:$E$22,5,FALSE)),0))</f>
        <v/>
      </c>
      <c r="U640" s="5" t="str">
        <f>IF(A640="","",IF(COUNTIF(Контрагенты,H640)=0,"Не задан",VLOOKUP(H640,СПРАВОЧНИКИ!$G$7:$H$66,2,FALSE)))</f>
        <v/>
      </c>
      <c r="V640" s="4" t="str">
        <f>IF(A640="",IF(COUNTA(B640:O640)&gt;0,"НЕТ ID",""),IF(OR(AND(OR(C640="Оплата клиента",C640="Возврат клиенту"),COUNTIFS(Docs[ID],J640,Docs[Тип долга],"ДЗ")&lt;&gt;1),AND(OR(C640="Оплата поставщику",C640="Возврат поставщика"),COUNTIFS(Docs[ID],J640,Docs[Тип долга],"КЗ",Docs[Вид],"&lt;&gt;Дивиденды")&lt;&gt;1),AND(C640="Дивиденды",COUNTIFS(Docs[ID],J640,Docs[Вид],"Дивиденды")&lt;&gt;1),AND(C640="Проценты",COUNTIFS(Docs[ID],J640,Docs[Вид],"Проценты")&lt;&gt;1),COUNTIF(Cash[ID],A640)&gt;1,NOT(ISNUMBER(B640)),B640&lt;НачалоУчета,YEAR(B640)&lt;&gt;Год,NOT(ISNUMBER(E640)),E640&lt;=0,N640&lt;0,COUNTIF(Типы,C640)&lt;&gt;1,COUNTIF(Категории,D640)&lt;&gt;1,COUNTIF(Счета,F640)&lt;&gt;1,COUNTIF(Проекты,I640)&lt;&gt;1,AND(H640&lt;&gt;"",COUNTIF(Контрагенты,H640)&lt;&gt;1),AND(C640="Перевод",OR(F640=G640,COUNTIF(Счета,G640)&lt;&gt;1)),AND(S640&lt;&gt;0,COUNTIF(Docs[ID],J640)&lt;&gt;1),AND(Форма="ООО",C640="Вывод ИП"),AND(Форма="ИП",C640="Дивиденды"),AND(L640&lt;&gt;"Проведён",L640&lt;&gt;"Черновик")),"ОШИБКА","ОК"))</f>
        <v/>
      </c>
      <c r="W640" s="25" t="str">
        <f>IF(A640="","",SUMIF(Accounts[Счёт],F640,Accounts[Начальный])+SUMIFS($Q$7:Q640,$F$7:F640,F640)+SUMIFS($E$7:E640,$G$7:G640,F640,$C$7:C640,"Перевод",$L$7:L640,"Проведён"))</f>
        <v/>
      </c>
    </row>
    <row r="641" spans="1:23" x14ac:dyDescent="0.25">
      <c r="A641" s="22"/>
      <c r="B641" s="23"/>
      <c r="C641" s="22"/>
      <c r="D641" s="22"/>
      <c r="E641" s="27"/>
      <c r="F641" s="22"/>
      <c r="G641" s="22"/>
      <c r="H641" s="22"/>
      <c r="I641" s="22"/>
      <c r="J641" s="22"/>
      <c r="K641" s="22"/>
      <c r="L641" s="22"/>
      <c r="M641" s="22"/>
      <c r="N641" s="27"/>
      <c r="O641" s="22"/>
      <c r="P641" s="5" t="str">
        <f>IF(A641="","",IF(COUNTIF(Типы,C641)=0,0,VLOOKUP(C641,СПРАВОЧНИКИ!$A$7:$E$22,2,FALSE)))</f>
        <v/>
      </c>
      <c r="Q641" s="25" t="str">
        <f t="shared" si="9"/>
        <v/>
      </c>
      <c r="R641" s="5" t="str">
        <f>IF(A641="","",IF(COUNTIF(Типы,C641)=0,"НЕИЗВЕСТНЫЙ ТИП",VLOOKUP(C641,СПРАВОЧНИКИ!$A$7:$E$22,3,FALSE)))</f>
        <v/>
      </c>
      <c r="S641" s="26" t="str">
        <f>IF(A641="","",IF(L641="Проведён",E641*IF(COUNTIF(Типы,C641)=0,0,VLOOKUP(C641,СПРАВОЧНИКИ!$A$7:$E$22,4,FALSE)),0))</f>
        <v/>
      </c>
      <c r="T641" s="26" t="str">
        <f>IF(A641="","",IF(L641="Проведён",E641*IF(COUNTIF(Типы,C641)=0,0,VLOOKUP(C641,СПРАВОЧНИКИ!$A$7:$E$22,5,FALSE)),0))</f>
        <v/>
      </c>
      <c r="U641" s="5" t="str">
        <f>IF(A641="","",IF(COUNTIF(Контрагенты,H641)=0,"Не задан",VLOOKUP(H641,СПРАВОЧНИКИ!$G$7:$H$66,2,FALSE)))</f>
        <v/>
      </c>
      <c r="V641" s="4" t="str">
        <f>IF(A641="",IF(COUNTA(B641:O641)&gt;0,"НЕТ ID",""),IF(OR(AND(OR(C641="Оплата клиента",C641="Возврат клиенту"),COUNTIFS(Docs[ID],J641,Docs[Тип долга],"ДЗ")&lt;&gt;1),AND(OR(C641="Оплата поставщику",C641="Возврат поставщика"),COUNTIFS(Docs[ID],J641,Docs[Тип долга],"КЗ",Docs[Вид],"&lt;&gt;Дивиденды")&lt;&gt;1),AND(C641="Дивиденды",COUNTIFS(Docs[ID],J641,Docs[Вид],"Дивиденды")&lt;&gt;1),AND(C641="Проценты",COUNTIFS(Docs[ID],J641,Docs[Вид],"Проценты")&lt;&gt;1),COUNTIF(Cash[ID],A641)&gt;1,NOT(ISNUMBER(B641)),B641&lt;НачалоУчета,YEAR(B641)&lt;&gt;Год,NOT(ISNUMBER(E641)),E641&lt;=0,N641&lt;0,COUNTIF(Типы,C641)&lt;&gt;1,COUNTIF(Категории,D641)&lt;&gt;1,COUNTIF(Счета,F641)&lt;&gt;1,COUNTIF(Проекты,I641)&lt;&gt;1,AND(H641&lt;&gt;"",COUNTIF(Контрагенты,H641)&lt;&gt;1),AND(C641="Перевод",OR(F641=G641,COUNTIF(Счета,G641)&lt;&gt;1)),AND(S641&lt;&gt;0,COUNTIF(Docs[ID],J641)&lt;&gt;1),AND(Форма="ООО",C641="Вывод ИП"),AND(Форма="ИП",C641="Дивиденды"),AND(L641&lt;&gt;"Проведён",L641&lt;&gt;"Черновик")),"ОШИБКА","ОК"))</f>
        <v/>
      </c>
      <c r="W641" s="25" t="str">
        <f>IF(A641="","",SUMIF(Accounts[Счёт],F641,Accounts[Начальный])+SUMIFS($Q$7:Q641,$F$7:F641,F641)+SUMIFS($E$7:E641,$G$7:G641,F641,$C$7:C641,"Перевод",$L$7:L641,"Проведён"))</f>
        <v/>
      </c>
    </row>
    <row r="642" spans="1:23" x14ac:dyDescent="0.25">
      <c r="A642" s="22"/>
      <c r="B642" s="23"/>
      <c r="C642" s="22"/>
      <c r="D642" s="22"/>
      <c r="E642" s="27"/>
      <c r="F642" s="22"/>
      <c r="G642" s="22"/>
      <c r="H642" s="22"/>
      <c r="I642" s="22"/>
      <c r="J642" s="22"/>
      <c r="K642" s="22"/>
      <c r="L642" s="22"/>
      <c r="M642" s="22"/>
      <c r="N642" s="27"/>
      <c r="O642" s="22"/>
      <c r="P642" s="5" t="str">
        <f>IF(A642="","",IF(COUNTIF(Типы,C642)=0,0,VLOOKUP(C642,СПРАВОЧНИКИ!$A$7:$E$22,2,FALSE)))</f>
        <v/>
      </c>
      <c r="Q642" s="25" t="str">
        <f t="shared" si="9"/>
        <v/>
      </c>
      <c r="R642" s="5" t="str">
        <f>IF(A642="","",IF(COUNTIF(Типы,C642)=0,"НЕИЗВЕСТНЫЙ ТИП",VLOOKUP(C642,СПРАВОЧНИКИ!$A$7:$E$22,3,FALSE)))</f>
        <v/>
      </c>
      <c r="S642" s="26" t="str">
        <f>IF(A642="","",IF(L642="Проведён",E642*IF(COUNTIF(Типы,C642)=0,0,VLOOKUP(C642,СПРАВОЧНИКИ!$A$7:$E$22,4,FALSE)),0))</f>
        <v/>
      </c>
      <c r="T642" s="26" t="str">
        <f>IF(A642="","",IF(L642="Проведён",E642*IF(COUNTIF(Типы,C642)=0,0,VLOOKUP(C642,СПРАВОЧНИКИ!$A$7:$E$22,5,FALSE)),0))</f>
        <v/>
      </c>
      <c r="U642" s="5" t="str">
        <f>IF(A642="","",IF(COUNTIF(Контрагенты,H642)=0,"Не задан",VLOOKUP(H642,СПРАВОЧНИКИ!$G$7:$H$66,2,FALSE)))</f>
        <v/>
      </c>
      <c r="V642" s="4" t="str">
        <f>IF(A642="",IF(COUNTA(B642:O642)&gt;0,"НЕТ ID",""),IF(OR(AND(OR(C642="Оплата клиента",C642="Возврат клиенту"),COUNTIFS(Docs[ID],J642,Docs[Тип долга],"ДЗ")&lt;&gt;1),AND(OR(C642="Оплата поставщику",C642="Возврат поставщика"),COUNTIFS(Docs[ID],J642,Docs[Тип долга],"КЗ",Docs[Вид],"&lt;&gt;Дивиденды")&lt;&gt;1),AND(C642="Дивиденды",COUNTIFS(Docs[ID],J642,Docs[Вид],"Дивиденды")&lt;&gt;1),AND(C642="Проценты",COUNTIFS(Docs[ID],J642,Docs[Вид],"Проценты")&lt;&gt;1),COUNTIF(Cash[ID],A642)&gt;1,NOT(ISNUMBER(B642)),B642&lt;НачалоУчета,YEAR(B642)&lt;&gt;Год,NOT(ISNUMBER(E642)),E642&lt;=0,N642&lt;0,COUNTIF(Типы,C642)&lt;&gt;1,COUNTIF(Категории,D642)&lt;&gt;1,COUNTIF(Счета,F642)&lt;&gt;1,COUNTIF(Проекты,I642)&lt;&gt;1,AND(H642&lt;&gt;"",COUNTIF(Контрагенты,H642)&lt;&gt;1),AND(C642="Перевод",OR(F642=G642,COUNTIF(Счета,G642)&lt;&gt;1)),AND(S642&lt;&gt;0,COUNTIF(Docs[ID],J642)&lt;&gt;1),AND(Форма="ООО",C642="Вывод ИП"),AND(Форма="ИП",C642="Дивиденды"),AND(L642&lt;&gt;"Проведён",L642&lt;&gt;"Черновик")),"ОШИБКА","ОК"))</f>
        <v/>
      </c>
      <c r="W642" s="25" t="str">
        <f>IF(A642="","",SUMIF(Accounts[Счёт],F642,Accounts[Начальный])+SUMIFS($Q$7:Q642,$F$7:F642,F642)+SUMIFS($E$7:E642,$G$7:G642,F642,$C$7:C642,"Перевод",$L$7:L642,"Проведён"))</f>
        <v/>
      </c>
    </row>
    <row r="643" spans="1:23" x14ac:dyDescent="0.25">
      <c r="A643" s="22"/>
      <c r="B643" s="23"/>
      <c r="C643" s="22"/>
      <c r="D643" s="22"/>
      <c r="E643" s="27"/>
      <c r="F643" s="22"/>
      <c r="G643" s="22"/>
      <c r="H643" s="22"/>
      <c r="I643" s="22"/>
      <c r="J643" s="22"/>
      <c r="K643" s="22"/>
      <c r="L643" s="22"/>
      <c r="M643" s="22"/>
      <c r="N643" s="27"/>
      <c r="O643" s="22"/>
      <c r="P643" s="5" t="str">
        <f>IF(A643="","",IF(COUNTIF(Типы,C643)=0,0,VLOOKUP(C643,СПРАВОЧНИКИ!$A$7:$E$22,2,FALSE)))</f>
        <v/>
      </c>
      <c r="Q643" s="25" t="str">
        <f t="shared" si="9"/>
        <v/>
      </c>
      <c r="R643" s="5" t="str">
        <f>IF(A643="","",IF(COUNTIF(Типы,C643)=0,"НЕИЗВЕСТНЫЙ ТИП",VLOOKUP(C643,СПРАВОЧНИКИ!$A$7:$E$22,3,FALSE)))</f>
        <v/>
      </c>
      <c r="S643" s="26" t="str">
        <f>IF(A643="","",IF(L643="Проведён",E643*IF(COUNTIF(Типы,C643)=0,0,VLOOKUP(C643,СПРАВОЧНИКИ!$A$7:$E$22,4,FALSE)),0))</f>
        <v/>
      </c>
      <c r="T643" s="26" t="str">
        <f>IF(A643="","",IF(L643="Проведён",E643*IF(COUNTIF(Типы,C643)=0,0,VLOOKUP(C643,СПРАВОЧНИКИ!$A$7:$E$22,5,FALSE)),0))</f>
        <v/>
      </c>
      <c r="U643" s="5" t="str">
        <f>IF(A643="","",IF(COUNTIF(Контрагенты,H643)=0,"Не задан",VLOOKUP(H643,СПРАВОЧНИКИ!$G$7:$H$66,2,FALSE)))</f>
        <v/>
      </c>
      <c r="V643" s="4" t="str">
        <f>IF(A643="",IF(COUNTA(B643:O643)&gt;0,"НЕТ ID",""),IF(OR(AND(OR(C643="Оплата клиента",C643="Возврат клиенту"),COUNTIFS(Docs[ID],J643,Docs[Тип долга],"ДЗ")&lt;&gt;1),AND(OR(C643="Оплата поставщику",C643="Возврат поставщика"),COUNTIFS(Docs[ID],J643,Docs[Тип долга],"КЗ",Docs[Вид],"&lt;&gt;Дивиденды")&lt;&gt;1),AND(C643="Дивиденды",COUNTIFS(Docs[ID],J643,Docs[Вид],"Дивиденды")&lt;&gt;1),AND(C643="Проценты",COUNTIFS(Docs[ID],J643,Docs[Вид],"Проценты")&lt;&gt;1),COUNTIF(Cash[ID],A643)&gt;1,NOT(ISNUMBER(B643)),B643&lt;НачалоУчета,YEAR(B643)&lt;&gt;Год,NOT(ISNUMBER(E643)),E643&lt;=0,N643&lt;0,COUNTIF(Типы,C643)&lt;&gt;1,COUNTIF(Категории,D643)&lt;&gt;1,COUNTIF(Счета,F643)&lt;&gt;1,COUNTIF(Проекты,I643)&lt;&gt;1,AND(H643&lt;&gt;"",COUNTIF(Контрагенты,H643)&lt;&gt;1),AND(C643="Перевод",OR(F643=G643,COUNTIF(Счета,G643)&lt;&gt;1)),AND(S643&lt;&gt;0,COUNTIF(Docs[ID],J643)&lt;&gt;1),AND(Форма="ООО",C643="Вывод ИП"),AND(Форма="ИП",C643="Дивиденды"),AND(L643&lt;&gt;"Проведён",L643&lt;&gt;"Черновик")),"ОШИБКА","ОК"))</f>
        <v/>
      </c>
      <c r="W643" s="25" t="str">
        <f>IF(A643="","",SUMIF(Accounts[Счёт],F643,Accounts[Начальный])+SUMIFS($Q$7:Q643,$F$7:F643,F643)+SUMIFS($E$7:E643,$G$7:G643,F643,$C$7:C643,"Перевод",$L$7:L643,"Проведён"))</f>
        <v/>
      </c>
    </row>
    <row r="644" spans="1:23" x14ac:dyDescent="0.25">
      <c r="A644" s="22"/>
      <c r="B644" s="23"/>
      <c r="C644" s="22"/>
      <c r="D644" s="22"/>
      <c r="E644" s="27"/>
      <c r="F644" s="22"/>
      <c r="G644" s="22"/>
      <c r="H644" s="22"/>
      <c r="I644" s="22"/>
      <c r="J644" s="22"/>
      <c r="K644" s="22"/>
      <c r="L644" s="22"/>
      <c r="M644" s="22"/>
      <c r="N644" s="27"/>
      <c r="O644" s="22"/>
      <c r="P644" s="5" t="str">
        <f>IF(A644="","",IF(COUNTIF(Типы,C644)=0,0,VLOOKUP(C644,СПРАВОЧНИКИ!$A$7:$E$22,2,FALSE)))</f>
        <v/>
      </c>
      <c r="Q644" s="25" t="str">
        <f t="shared" si="9"/>
        <v/>
      </c>
      <c r="R644" s="5" t="str">
        <f>IF(A644="","",IF(COUNTIF(Типы,C644)=0,"НЕИЗВЕСТНЫЙ ТИП",VLOOKUP(C644,СПРАВОЧНИКИ!$A$7:$E$22,3,FALSE)))</f>
        <v/>
      </c>
      <c r="S644" s="26" t="str">
        <f>IF(A644="","",IF(L644="Проведён",E644*IF(COUNTIF(Типы,C644)=0,0,VLOOKUP(C644,СПРАВОЧНИКИ!$A$7:$E$22,4,FALSE)),0))</f>
        <v/>
      </c>
      <c r="T644" s="26" t="str">
        <f>IF(A644="","",IF(L644="Проведён",E644*IF(COUNTIF(Типы,C644)=0,0,VLOOKUP(C644,СПРАВОЧНИКИ!$A$7:$E$22,5,FALSE)),0))</f>
        <v/>
      </c>
      <c r="U644" s="5" t="str">
        <f>IF(A644="","",IF(COUNTIF(Контрагенты,H644)=0,"Не задан",VLOOKUP(H644,СПРАВОЧНИКИ!$G$7:$H$66,2,FALSE)))</f>
        <v/>
      </c>
      <c r="V644" s="4" t="str">
        <f>IF(A644="",IF(COUNTA(B644:O644)&gt;0,"НЕТ ID",""),IF(OR(AND(OR(C644="Оплата клиента",C644="Возврат клиенту"),COUNTIFS(Docs[ID],J644,Docs[Тип долга],"ДЗ")&lt;&gt;1),AND(OR(C644="Оплата поставщику",C644="Возврат поставщика"),COUNTIFS(Docs[ID],J644,Docs[Тип долга],"КЗ",Docs[Вид],"&lt;&gt;Дивиденды")&lt;&gt;1),AND(C644="Дивиденды",COUNTIFS(Docs[ID],J644,Docs[Вид],"Дивиденды")&lt;&gt;1),AND(C644="Проценты",COUNTIFS(Docs[ID],J644,Docs[Вид],"Проценты")&lt;&gt;1),COUNTIF(Cash[ID],A644)&gt;1,NOT(ISNUMBER(B644)),B644&lt;НачалоУчета,YEAR(B644)&lt;&gt;Год,NOT(ISNUMBER(E644)),E644&lt;=0,N644&lt;0,COUNTIF(Типы,C644)&lt;&gt;1,COUNTIF(Категории,D644)&lt;&gt;1,COUNTIF(Счета,F644)&lt;&gt;1,COUNTIF(Проекты,I644)&lt;&gt;1,AND(H644&lt;&gt;"",COUNTIF(Контрагенты,H644)&lt;&gt;1),AND(C644="Перевод",OR(F644=G644,COUNTIF(Счета,G644)&lt;&gt;1)),AND(S644&lt;&gt;0,COUNTIF(Docs[ID],J644)&lt;&gt;1),AND(Форма="ООО",C644="Вывод ИП"),AND(Форма="ИП",C644="Дивиденды"),AND(L644&lt;&gt;"Проведён",L644&lt;&gt;"Черновик")),"ОШИБКА","ОК"))</f>
        <v/>
      </c>
      <c r="W644" s="25" t="str">
        <f>IF(A644="","",SUMIF(Accounts[Счёт],F644,Accounts[Начальный])+SUMIFS($Q$7:Q644,$F$7:F644,F644)+SUMIFS($E$7:E644,$G$7:G644,F644,$C$7:C644,"Перевод",$L$7:L644,"Проведён"))</f>
        <v/>
      </c>
    </row>
    <row r="645" spans="1:23" x14ac:dyDescent="0.25">
      <c r="A645" s="22"/>
      <c r="B645" s="23"/>
      <c r="C645" s="22"/>
      <c r="D645" s="22"/>
      <c r="E645" s="27"/>
      <c r="F645" s="22"/>
      <c r="G645" s="22"/>
      <c r="H645" s="22"/>
      <c r="I645" s="22"/>
      <c r="J645" s="22"/>
      <c r="K645" s="22"/>
      <c r="L645" s="22"/>
      <c r="M645" s="22"/>
      <c r="N645" s="27"/>
      <c r="O645" s="22"/>
      <c r="P645" s="5" t="str">
        <f>IF(A645="","",IF(COUNTIF(Типы,C645)=0,0,VLOOKUP(C645,СПРАВОЧНИКИ!$A$7:$E$22,2,FALSE)))</f>
        <v/>
      </c>
      <c r="Q645" s="25" t="str">
        <f t="shared" si="9"/>
        <v/>
      </c>
      <c r="R645" s="5" t="str">
        <f>IF(A645="","",IF(COUNTIF(Типы,C645)=0,"НЕИЗВЕСТНЫЙ ТИП",VLOOKUP(C645,СПРАВОЧНИКИ!$A$7:$E$22,3,FALSE)))</f>
        <v/>
      </c>
      <c r="S645" s="26" t="str">
        <f>IF(A645="","",IF(L645="Проведён",E645*IF(COUNTIF(Типы,C645)=0,0,VLOOKUP(C645,СПРАВОЧНИКИ!$A$7:$E$22,4,FALSE)),0))</f>
        <v/>
      </c>
      <c r="T645" s="26" t="str">
        <f>IF(A645="","",IF(L645="Проведён",E645*IF(COUNTIF(Типы,C645)=0,0,VLOOKUP(C645,СПРАВОЧНИКИ!$A$7:$E$22,5,FALSE)),0))</f>
        <v/>
      </c>
      <c r="U645" s="5" t="str">
        <f>IF(A645="","",IF(COUNTIF(Контрагенты,H645)=0,"Не задан",VLOOKUP(H645,СПРАВОЧНИКИ!$G$7:$H$66,2,FALSE)))</f>
        <v/>
      </c>
      <c r="V645" s="4" t="str">
        <f>IF(A645="",IF(COUNTA(B645:O645)&gt;0,"НЕТ ID",""),IF(OR(AND(OR(C645="Оплата клиента",C645="Возврат клиенту"),COUNTIFS(Docs[ID],J645,Docs[Тип долга],"ДЗ")&lt;&gt;1),AND(OR(C645="Оплата поставщику",C645="Возврат поставщика"),COUNTIFS(Docs[ID],J645,Docs[Тип долга],"КЗ",Docs[Вид],"&lt;&gt;Дивиденды")&lt;&gt;1),AND(C645="Дивиденды",COUNTIFS(Docs[ID],J645,Docs[Вид],"Дивиденды")&lt;&gt;1),AND(C645="Проценты",COUNTIFS(Docs[ID],J645,Docs[Вид],"Проценты")&lt;&gt;1),COUNTIF(Cash[ID],A645)&gt;1,NOT(ISNUMBER(B645)),B645&lt;НачалоУчета,YEAR(B645)&lt;&gt;Год,NOT(ISNUMBER(E645)),E645&lt;=0,N645&lt;0,COUNTIF(Типы,C645)&lt;&gt;1,COUNTIF(Категории,D645)&lt;&gt;1,COUNTIF(Счета,F645)&lt;&gt;1,COUNTIF(Проекты,I645)&lt;&gt;1,AND(H645&lt;&gt;"",COUNTIF(Контрагенты,H645)&lt;&gt;1),AND(C645="Перевод",OR(F645=G645,COUNTIF(Счета,G645)&lt;&gt;1)),AND(S645&lt;&gt;0,COUNTIF(Docs[ID],J645)&lt;&gt;1),AND(Форма="ООО",C645="Вывод ИП"),AND(Форма="ИП",C645="Дивиденды"),AND(L645&lt;&gt;"Проведён",L645&lt;&gt;"Черновик")),"ОШИБКА","ОК"))</f>
        <v/>
      </c>
      <c r="W645" s="25" t="str">
        <f>IF(A645="","",SUMIF(Accounts[Счёт],F645,Accounts[Начальный])+SUMIFS($Q$7:Q645,$F$7:F645,F645)+SUMIFS($E$7:E645,$G$7:G645,F645,$C$7:C645,"Перевод",$L$7:L645,"Проведён"))</f>
        <v/>
      </c>
    </row>
    <row r="646" spans="1:23" x14ac:dyDescent="0.25">
      <c r="A646" s="22"/>
      <c r="B646" s="23"/>
      <c r="C646" s="22"/>
      <c r="D646" s="22"/>
      <c r="E646" s="27"/>
      <c r="F646" s="22"/>
      <c r="G646" s="22"/>
      <c r="H646" s="22"/>
      <c r="I646" s="22"/>
      <c r="J646" s="22"/>
      <c r="K646" s="22"/>
      <c r="L646" s="22"/>
      <c r="M646" s="22"/>
      <c r="N646" s="27"/>
      <c r="O646" s="22"/>
      <c r="P646" s="5" t="str">
        <f>IF(A646="","",IF(COUNTIF(Типы,C646)=0,0,VLOOKUP(C646,СПРАВОЧНИКИ!$A$7:$E$22,2,FALSE)))</f>
        <v/>
      </c>
      <c r="Q646" s="25" t="str">
        <f t="shared" si="9"/>
        <v/>
      </c>
      <c r="R646" s="5" t="str">
        <f>IF(A646="","",IF(COUNTIF(Типы,C646)=0,"НЕИЗВЕСТНЫЙ ТИП",VLOOKUP(C646,СПРАВОЧНИКИ!$A$7:$E$22,3,FALSE)))</f>
        <v/>
      </c>
      <c r="S646" s="26" t="str">
        <f>IF(A646="","",IF(L646="Проведён",E646*IF(COUNTIF(Типы,C646)=0,0,VLOOKUP(C646,СПРАВОЧНИКИ!$A$7:$E$22,4,FALSE)),0))</f>
        <v/>
      </c>
      <c r="T646" s="26" t="str">
        <f>IF(A646="","",IF(L646="Проведён",E646*IF(COUNTIF(Типы,C646)=0,0,VLOOKUP(C646,СПРАВОЧНИКИ!$A$7:$E$22,5,FALSE)),0))</f>
        <v/>
      </c>
      <c r="U646" s="5" t="str">
        <f>IF(A646="","",IF(COUNTIF(Контрагенты,H646)=0,"Не задан",VLOOKUP(H646,СПРАВОЧНИКИ!$G$7:$H$66,2,FALSE)))</f>
        <v/>
      </c>
      <c r="V646" s="4" t="str">
        <f>IF(A646="",IF(COUNTA(B646:O646)&gt;0,"НЕТ ID",""),IF(OR(AND(OR(C646="Оплата клиента",C646="Возврат клиенту"),COUNTIFS(Docs[ID],J646,Docs[Тип долга],"ДЗ")&lt;&gt;1),AND(OR(C646="Оплата поставщику",C646="Возврат поставщика"),COUNTIFS(Docs[ID],J646,Docs[Тип долга],"КЗ",Docs[Вид],"&lt;&gt;Дивиденды")&lt;&gt;1),AND(C646="Дивиденды",COUNTIFS(Docs[ID],J646,Docs[Вид],"Дивиденды")&lt;&gt;1),AND(C646="Проценты",COUNTIFS(Docs[ID],J646,Docs[Вид],"Проценты")&lt;&gt;1),COUNTIF(Cash[ID],A646)&gt;1,NOT(ISNUMBER(B646)),B646&lt;НачалоУчета,YEAR(B646)&lt;&gt;Год,NOT(ISNUMBER(E646)),E646&lt;=0,N646&lt;0,COUNTIF(Типы,C646)&lt;&gt;1,COUNTIF(Категории,D646)&lt;&gt;1,COUNTIF(Счета,F646)&lt;&gt;1,COUNTIF(Проекты,I646)&lt;&gt;1,AND(H646&lt;&gt;"",COUNTIF(Контрагенты,H646)&lt;&gt;1),AND(C646="Перевод",OR(F646=G646,COUNTIF(Счета,G646)&lt;&gt;1)),AND(S646&lt;&gt;0,COUNTIF(Docs[ID],J646)&lt;&gt;1),AND(Форма="ООО",C646="Вывод ИП"),AND(Форма="ИП",C646="Дивиденды"),AND(L646&lt;&gt;"Проведён",L646&lt;&gt;"Черновик")),"ОШИБКА","ОК"))</f>
        <v/>
      </c>
      <c r="W646" s="25" t="str">
        <f>IF(A646="","",SUMIF(Accounts[Счёт],F646,Accounts[Начальный])+SUMIFS($Q$7:Q646,$F$7:F646,F646)+SUMIFS($E$7:E646,$G$7:G646,F646,$C$7:C646,"Перевод",$L$7:L646,"Проведён"))</f>
        <v/>
      </c>
    </row>
    <row r="647" spans="1:23" x14ac:dyDescent="0.25">
      <c r="A647" s="22"/>
      <c r="B647" s="23"/>
      <c r="C647" s="22"/>
      <c r="D647" s="22"/>
      <c r="E647" s="27"/>
      <c r="F647" s="22"/>
      <c r="G647" s="22"/>
      <c r="H647" s="22"/>
      <c r="I647" s="22"/>
      <c r="J647" s="22"/>
      <c r="K647" s="22"/>
      <c r="L647" s="22"/>
      <c r="M647" s="22"/>
      <c r="N647" s="27"/>
      <c r="O647" s="22"/>
      <c r="P647" s="5" t="str">
        <f>IF(A647="","",IF(COUNTIF(Типы,C647)=0,0,VLOOKUP(C647,СПРАВОЧНИКИ!$A$7:$E$22,2,FALSE)))</f>
        <v/>
      </c>
      <c r="Q647" s="25" t="str">
        <f t="shared" ref="Q647:Q710" si="10">IF(A647="","",IF(L647="Проведён",E647*P647,0))</f>
        <v/>
      </c>
      <c r="R647" s="5" t="str">
        <f>IF(A647="","",IF(COUNTIF(Типы,C647)=0,"НЕИЗВЕСТНЫЙ ТИП",VLOOKUP(C647,СПРАВОЧНИКИ!$A$7:$E$22,3,FALSE)))</f>
        <v/>
      </c>
      <c r="S647" s="26" t="str">
        <f>IF(A647="","",IF(L647="Проведён",E647*IF(COUNTIF(Типы,C647)=0,0,VLOOKUP(C647,СПРАВОЧНИКИ!$A$7:$E$22,4,FALSE)),0))</f>
        <v/>
      </c>
      <c r="T647" s="26" t="str">
        <f>IF(A647="","",IF(L647="Проведён",E647*IF(COUNTIF(Типы,C647)=0,0,VLOOKUP(C647,СПРАВОЧНИКИ!$A$7:$E$22,5,FALSE)),0))</f>
        <v/>
      </c>
      <c r="U647" s="5" t="str">
        <f>IF(A647="","",IF(COUNTIF(Контрагенты,H647)=0,"Не задан",VLOOKUP(H647,СПРАВОЧНИКИ!$G$7:$H$66,2,FALSE)))</f>
        <v/>
      </c>
      <c r="V647" s="4" t="str">
        <f>IF(A647="",IF(COUNTA(B647:O647)&gt;0,"НЕТ ID",""),IF(OR(AND(OR(C647="Оплата клиента",C647="Возврат клиенту"),COUNTIFS(Docs[ID],J647,Docs[Тип долга],"ДЗ")&lt;&gt;1),AND(OR(C647="Оплата поставщику",C647="Возврат поставщика"),COUNTIFS(Docs[ID],J647,Docs[Тип долга],"КЗ",Docs[Вид],"&lt;&gt;Дивиденды")&lt;&gt;1),AND(C647="Дивиденды",COUNTIFS(Docs[ID],J647,Docs[Вид],"Дивиденды")&lt;&gt;1),AND(C647="Проценты",COUNTIFS(Docs[ID],J647,Docs[Вид],"Проценты")&lt;&gt;1),COUNTIF(Cash[ID],A647)&gt;1,NOT(ISNUMBER(B647)),B647&lt;НачалоУчета,YEAR(B647)&lt;&gt;Год,NOT(ISNUMBER(E647)),E647&lt;=0,N647&lt;0,COUNTIF(Типы,C647)&lt;&gt;1,COUNTIF(Категории,D647)&lt;&gt;1,COUNTIF(Счета,F647)&lt;&gt;1,COUNTIF(Проекты,I647)&lt;&gt;1,AND(H647&lt;&gt;"",COUNTIF(Контрагенты,H647)&lt;&gt;1),AND(C647="Перевод",OR(F647=G647,COUNTIF(Счета,G647)&lt;&gt;1)),AND(S647&lt;&gt;0,COUNTIF(Docs[ID],J647)&lt;&gt;1),AND(Форма="ООО",C647="Вывод ИП"),AND(Форма="ИП",C647="Дивиденды"),AND(L647&lt;&gt;"Проведён",L647&lt;&gt;"Черновик")),"ОШИБКА","ОК"))</f>
        <v/>
      </c>
      <c r="W647" s="25" t="str">
        <f>IF(A647="","",SUMIF(Accounts[Счёт],F647,Accounts[Начальный])+SUMIFS($Q$7:Q647,$F$7:F647,F647)+SUMIFS($E$7:E647,$G$7:G647,F647,$C$7:C647,"Перевод",$L$7:L647,"Проведён"))</f>
        <v/>
      </c>
    </row>
    <row r="648" spans="1:23" x14ac:dyDescent="0.25">
      <c r="A648" s="22"/>
      <c r="B648" s="23"/>
      <c r="C648" s="22"/>
      <c r="D648" s="22"/>
      <c r="E648" s="27"/>
      <c r="F648" s="22"/>
      <c r="G648" s="22"/>
      <c r="H648" s="22"/>
      <c r="I648" s="22"/>
      <c r="J648" s="22"/>
      <c r="K648" s="22"/>
      <c r="L648" s="22"/>
      <c r="M648" s="22"/>
      <c r="N648" s="27"/>
      <c r="O648" s="22"/>
      <c r="P648" s="5" t="str">
        <f>IF(A648="","",IF(COUNTIF(Типы,C648)=0,0,VLOOKUP(C648,СПРАВОЧНИКИ!$A$7:$E$22,2,FALSE)))</f>
        <v/>
      </c>
      <c r="Q648" s="25" t="str">
        <f t="shared" si="10"/>
        <v/>
      </c>
      <c r="R648" s="5" t="str">
        <f>IF(A648="","",IF(COUNTIF(Типы,C648)=0,"НЕИЗВЕСТНЫЙ ТИП",VLOOKUP(C648,СПРАВОЧНИКИ!$A$7:$E$22,3,FALSE)))</f>
        <v/>
      </c>
      <c r="S648" s="26" t="str">
        <f>IF(A648="","",IF(L648="Проведён",E648*IF(COUNTIF(Типы,C648)=0,0,VLOOKUP(C648,СПРАВОЧНИКИ!$A$7:$E$22,4,FALSE)),0))</f>
        <v/>
      </c>
      <c r="T648" s="26" t="str">
        <f>IF(A648="","",IF(L648="Проведён",E648*IF(COUNTIF(Типы,C648)=0,0,VLOOKUP(C648,СПРАВОЧНИКИ!$A$7:$E$22,5,FALSE)),0))</f>
        <v/>
      </c>
      <c r="U648" s="5" t="str">
        <f>IF(A648="","",IF(COUNTIF(Контрагенты,H648)=0,"Не задан",VLOOKUP(H648,СПРАВОЧНИКИ!$G$7:$H$66,2,FALSE)))</f>
        <v/>
      </c>
      <c r="V648" s="4" t="str">
        <f>IF(A648="",IF(COUNTA(B648:O648)&gt;0,"НЕТ ID",""),IF(OR(AND(OR(C648="Оплата клиента",C648="Возврат клиенту"),COUNTIFS(Docs[ID],J648,Docs[Тип долга],"ДЗ")&lt;&gt;1),AND(OR(C648="Оплата поставщику",C648="Возврат поставщика"),COUNTIFS(Docs[ID],J648,Docs[Тип долга],"КЗ",Docs[Вид],"&lt;&gt;Дивиденды")&lt;&gt;1),AND(C648="Дивиденды",COUNTIFS(Docs[ID],J648,Docs[Вид],"Дивиденды")&lt;&gt;1),AND(C648="Проценты",COUNTIFS(Docs[ID],J648,Docs[Вид],"Проценты")&lt;&gt;1),COUNTIF(Cash[ID],A648)&gt;1,NOT(ISNUMBER(B648)),B648&lt;НачалоУчета,YEAR(B648)&lt;&gt;Год,NOT(ISNUMBER(E648)),E648&lt;=0,N648&lt;0,COUNTIF(Типы,C648)&lt;&gt;1,COUNTIF(Категории,D648)&lt;&gt;1,COUNTIF(Счета,F648)&lt;&gt;1,COUNTIF(Проекты,I648)&lt;&gt;1,AND(H648&lt;&gt;"",COUNTIF(Контрагенты,H648)&lt;&gt;1),AND(C648="Перевод",OR(F648=G648,COUNTIF(Счета,G648)&lt;&gt;1)),AND(S648&lt;&gt;0,COUNTIF(Docs[ID],J648)&lt;&gt;1),AND(Форма="ООО",C648="Вывод ИП"),AND(Форма="ИП",C648="Дивиденды"),AND(L648&lt;&gt;"Проведён",L648&lt;&gt;"Черновик")),"ОШИБКА","ОК"))</f>
        <v/>
      </c>
      <c r="W648" s="25" t="str">
        <f>IF(A648="","",SUMIF(Accounts[Счёт],F648,Accounts[Начальный])+SUMIFS($Q$7:Q648,$F$7:F648,F648)+SUMIFS($E$7:E648,$G$7:G648,F648,$C$7:C648,"Перевод",$L$7:L648,"Проведён"))</f>
        <v/>
      </c>
    </row>
    <row r="649" spans="1:23" x14ac:dyDescent="0.25">
      <c r="A649" s="22"/>
      <c r="B649" s="23"/>
      <c r="C649" s="22"/>
      <c r="D649" s="22"/>
      <c r="E649" s="27"/>
      <c r="F649" s="22"/>
      <c r="G649" s="22"/>
      <c r="H649" s="22"/>
      <c r="I649" s="22"/>
      <c r="J649" s="22"/>
      <c r="K649" s="22"/>
      <c r="L649" s="22"/>
      <c r="M649" s="22"/>
      <c r="N649" s="27"/>
      <c r="O649" s="22"/>
      <c r="P649" s="5" t="str">
        <f>IF(A649="","",IF(COUNTIF(Типы,C649)=0,0,VLOOKUP(C649,СПРАВОЧНИКИ!$A$7:$E$22,2,FALSE)))</f>
        <v/>
      </c>
      <c r="Q649" s="25" t="str">
        <f t="shared" si="10"/>
        <v/>
      </c>
      <c r="R649" s="5" t="str">
        <f>IF(A649="","",IF(COUNTIF(Типы,C649)=0,"НЕИЗВЕСТНЫЙ ТИП",VLOOKUP(C649,СПРАВОЧНИКИ!$A$7:$E$22,3,FALSE)))</f>
        <v/>
      </c>
      <c r="S649" s="26" t="str">
        <f>IF(A649="","",IF(L649="Проведён",E649*IF(COUNTIF(Типы,C649)=0,0,VLOOKUP(C649,СПРАВОЧНИКИ!$A$7:$E$22,4,FALSE)),0))</f>
        <v/>
      </c>
      <c r="T649" s="26" t="str">
        <f>IF(A649="","",IF(L649="Проведён",E649*IF(COUNTIF(Типы,C649)=0,0,VLOOKUP(C649,СПРАВОЧНИКИ!$A$7:$E$22,5,FALSE)),0))</f>
        <v/>
      </c>
      <c r="U649" s="5" t="str">
        <f>IF(A649="","",IF(COUNTIF(Контрагенты,H649)=0,"Не задан",VLOOKUP(H649,СПРАВОЧНИКИ!$G$7:$H$66,2,FALSE)))</f>
        <v/>
      </c>
      <c r="V649" s="4" t="str">
        <f>IF(A649="",IF(COUNTA(B649:O649)&gt;0,"НЕТ ID",""),IF(OR(AND(OR(C649="Оплата клиента",C649="Возврат клиенту"),COUNTIFS(Docs[ID],J649,Docs[Тип долга],"ДЗ")&lt;&gt;1),AND(OR(C649="Оплата поставщику",C649="Возврат поставщика"),COUNTIFS(Docs[ID],J649,Docs[Тип долга],"КЗ",Docs[Вид],"&lt;&gt;Дивиденды")&lt;&gt;1),AND(C649="Дивиденды",COUNTIFS(Docs[ID],J649,Docs[Вид],"Дивиденды")&lt;&gt;1),AND(C649="Проценты",COUNTIFS(Docs[ID],J649,Docs[Вид],"Проценты")&lt;&gt;1),COUNTIF(Cash[ID],A649)&gt;1,NOT(ISNUMBER(B649)),B649&lt;НачалоУчета,YEAR(B649)&lt;&gt;Год,NOT(ISNUMBER(E649)),E649&lt;=0,N649&lt;0,COUNTIF(Типы,C649)&lt;&gt;1,COUNTIF(Категории,D649)&lt;&gt;1,COUNTIF(Счета,F649)&lt;&gt;1,COUNTIF(Проекты,I649)&lt;&gt;1,AND(H649&lt;&gt;"",COUNTIF(Контрагенты,H649)&lt;&gt;1),AND(C649="Перевод",OR(F649=G649,COUNTIF(Счета,G649)&lt;&gt;1)),AND(S649&lt;&gt;0,COUNTIF(Docs[ID],J649)&lt;&gt;1),AND(Форма="ООО",C649="Вывод ИП"),AND(Форма="ИП",C649="Дивиденды"),AND(L649&lt;&gt;"Проведён",L649&lt;&gt;"Черновик")),"ОШИБКА","ОК"))</f>
        <v/>
      </c>
      <c r="W649" s="25" t="str">
        <f>IF(A649="","",SUMIF(Accounts[Счёт],F649,Accounts[Начальный])+SUMIFS($Q$7:Q649,$F$7:F649,F649)+SUMIFS($E$7:E649,$G$7:G649,F649,$C$7:C649,"Перевод",$L$7:L649,"Проведён"))</f>
        <v/>
      </c>
    </row>
    <row r="650" spans="1:23" x14ac:dyDescent="0.25">
      <c r="A650" s="22"/>
      <c r="B650" s="23"/>
      <c r="C650" s="22"/>
      <c r="D650" s="22"/>
      <c r="E650" s="27"/>
      <c r="F650" s="22"/>
      <c r="G650" s="22"/>
      <c r="H650" s="22"/>
      <c r="I650" s="22"/>
      <c r="J650" s="22"/>
      <c r="K650" s="22"/>
      <c r="L650" s="22"/>
      <c r="M650" s="22"/>
      <c r="N650" s="27"/>
      <c r="O650" s="22"/>
      <c r="P650" s="5" t="str">
        <f>IF(A650="","",IF(COUNTIF(Типы,C650)=0,0,VLOOKUP(C650,СПРАВОЧНИКИ!$A$7:$E$22,2,FALSE)))</f>
        <v/>
      </c>
      <c r="Q650" s="25" t="str">
        <f t="shared" si="10"/>
        <v/>
      </c>
      <c r="R650" s="5" t="str">
        <f>IF(A650="","",IF(COUNTIF(Типы,C650)=0,"НЕИЗВЕСТНЫЙ ТИП",VLOOKUP(C650,СПРАВОЧНИКИ!$A$7:$E$22,3,FALSE)))</f>
        <v/>
      </c>
      <c r="S650" s="26" t="str">
        <f>IF(A650="","",IF(L650="Проведён",E650*IF(COUNTIF(Типы,C650)=0,0,VLOOKUP(C650,СПРАВОЧНИКИ!$A$7:$E$22,4,FALSE)),0))</f>
        <v/>
      </c>
      <c r="T650" s="26" t="str">
        <f>IF(A650="","",IF(L650="Проведён",E650*IF(COUNTIF(Типы,C650)=0,0,VLOOKUP(C650,СПРАВОЧНИКИ!$A$7:$E$22,5,FALSE)),0))</f>
        <v/>
      </c>
      <c r="U650" s="5" t="str">
        <f>IF(A650="","",IF(COUNTIF(Контрагенты,H650)=0,"Не задан",VLOOKUP(H650,СПРАВОЧНИКИ!$G$7:$H$66,2,FALSE)))</f>
        <v/>
      </c>
      <c r="V650" s="4" t="str">
        <f>IF(A650="",IF(COUNTA(B650:O650)&gt;0,"НЕТ ID",""),IF(OR(AND(OR(C650="Оплата клиента",C650="Возврат клиенту"),COUNTIFS(Docs[ID],J650,Docs[Тип долга],"ДЗ")&lt;&gt;1),AND(OR(C650="Оплата поставщику",C650="Возврат поставщика"),COUNTIFS(Docs[ID],J650,Docs[Тип долга],"КЗ",Docs[Вид],"&lt;&gt;Дивиденды")&lt;&gt;1),AND(C650="Дивиденды",COUNTIFS(Docs[ID],J650,Docs[Вид],"Дивиденды")&lt;&gt;1),AND(C650="Проценты",COUNTIFS(Docs[ID],J650,Docs[Вид],"Проценты")&lt;&gt;1),COUNTIF(Cash[ID],A650)&gt;1,NOT(ISNUMBER(B650)),B650&lt;НачалоУчета,YEAR(B650)&lt;&gt;Год,NOT(ISNUMBER(E650)),E650&lt;=0,N650&lt;0,COUNTIF(Типы,C650)&lt;&gt;1,COUNTIF(Категории,D650)&lt;&gt;1,COUNTIF(Счета,F650)&lt;&gt;1,COUNTIF(Проекты,I650)&lt;&gt;1,AND(H650&lt;&gt;"",COUNTIF(Контрагенты,H650)&lt;&gt;1),AND(C650="Перевод",OR(F650=G650,COUNTIF(Счета,G650)&lt;&gt;1)),AND(S650&lt;&gt;0,COUNTIF(Docs[ID],J650)&lt;&gt;1),AND(Форма="ООО",C650="Вывод ИП"),AND(Форма="ИП",C650="Дивиденды"),AND(L650&lt;&gt;"Проведён",L650&lt;&gt;"Черновик")),"ОШИБКА","ОК"))</f>
        <v/>
      </c>
      <c r="W650" s="25" t="str">
        <f>IF(A650="","",SUMIF(Accounts[Счёт],F650,Accounts[Начальный])+SUMIFS($Q$7:Q650,$F$7:F650,F650)+SUMIFS($E$7:E650,$G$7:G650,F650,$C$7:C650,"Перевод",$L$7:L650,"Проведён"))</f>
        <v/>
      </c>
    </row>
    <row r="651" spans="1:23" x14ac:dyDescent="0.25">
      <c r="A651" s="22"/>
      <c r="B651" s="23"/>
      <c r="C651" s="22"/>
      <c r="D651" s="22"/>
      <c r="E651" s="27"/>
      <c r="F651" s="22"/>
      <c r="G651" s="22"/>
      <c r="H651" s="22"/>
      <c r="I651" s="22"/>
      <c r="J651" s="22"/>
      <c r="K651" s="22"/>
      <c r="L651" s="22"/>
      <c r="M651" s="22"/>
      <c r="N651" s="27"/>
      <c r="O651" s="22"/>
      <c r="P651" s="5" t="str">
        <f>IF(A651="","",IF(COUNTIF(Типы,C651)=0,0,VLOOKUP(C651,СПРАВОЧНИКИ!$A$7:$E$22,2,FALSE)))</f>
        <v/>
      </c>
      <c r="Q651" s="25" t="str">
        <f t="shared" si="10"/>
        <v/>
      </c>
      <c r="R651" s="5" t="str">
        <f>IF(A651="","",IF(COUNTIF(Типы,C651)=0,"НЕИЗВЕСТНЫЙ ТИП",VLOOKUP(C651,СПРАВОЧНИКИ!$A$7:$E$22,3,FALSE)))</f>
        <v/>
      </c>
      <c r="S651" s="26" t="str">
        <f>IF(A651="","",IF(L651="Проведён",E651*IF(COUNTIF(Типы,C651)=0,0,VLOOKUP(C651,СПРАВОЧНИКИ!$A$7:$E$22,4,FALSE)),0))</f>
        <v/>
      </c>
      <c r="T651" s="26" t="str">
        <f>IF(A651="","",IF(L651="Проведён",E651*IF(COUNTIF(Типы,C651)=0,0,VLOOKUP(C651,СПРАВОЧНИКИ!$A$7:$E$22,5,FALSE)),0))</f>
        <v/>
      </c>
      <c r="U651" s="5" t="str">
        <f>IF(A651="","",IF(COUNTIF(Контрагенты,H651)=0,"Не задан",VLOOKUP(H651,СПРАВОЧНИКИ!$G$7:$H$66,2,FALSE)))</f>
        <v/>
      </c>
      <c r="V651" s="4" t="str">
        <f>IF(A651="",IF(COUNTA(B651:O651)&gt;0,"НЕТ ID",""),IF(OR(AND(OR(C651="Оплата клиента",C651="Возврат клиенту"),COUNTIFS(Docs[ID],J651,Docs[Тип долга],"ДЗ")&lt;&gt;1),AND(OR(C651="Оплата поставщику",C651="Возврат поставщика"),COUNTIFS(Docs[ID],J651,Docs[Тип долга],"КЗ",Docs[Вид],"&lt;&gt;Дивиденды")&lt;&gt;1),AND(C651="Дивиденды",COUNTIFS(Docs[ID],J651,Docs[Вид],"Дивиденды")&lt;&gt;1),AND(C651="Проценты",COUNTIFS(Docs[ID],J651,Docs[Вид],"Проценты")&lt;&gt;1),COUNTIF(Cash[ID],A651)&gt;1,NOT(ISNUMBER(B651)),B651&lt;НачалоУчета,YEAR(B651)&lt;&gt;Год,NOT(ISNUMBER(E651)),E651&lt;=0,N651&lt;0,COUNTIF(Типы,C651)&lt;&gt;1,COUNTIF(Категории,D651)&lt;&gt;1,COUNTIF(Счета,F651)&lt;&gt;1,COUNTIF(Проекты,I651)&lt;&gt;1,AND(H651&lt;&gt;"",COUNTIF(Контрагенты,H651)&lt;&gt;1),AND(C651="Перевод",OR(F651=G651,COUNTIF(Счета,G651)&lt;&gt;1)),AND(S651&lt;&gt;0,COUNTIF(Docs[ID],J651)&lt;&gt;1),AND(Форма="ООО",C651="Вывод ИП"),AND(Форма="ИП",C651="Дивиденды"),AND(L651&lt;&gt;"Проведён",L651&lt;&gt;"Черновик")),"ОШИБКА","ОК"))</f>
        <v/>
      </c>
      <c r="W651" s="25" t="str">
        <f>IF(A651="","",SUMIF(Accounts[Счёт],F651,Accounts[Начальный])+SUMIFS($Q$7:Q651,$F$7:F651,F651)+SUMIFS($E$7:E651,$G$7:G651,F651,$C$7:C651,"Перевод",$L$7:L651,"Проведён"))</f>
        <v/>
      </c>
    </row>
    <row r="652" spans="1:23" x14ac:dyDescent="0.25">
      <c r="A652" s="22"/>
      <c r="B652" s="23"/>
      <c r="C652" s="22"/>
      <c r="D652" s="22"/>
      <c r="E652" s="27"/>
      <c r="F652" s="22"/>
      <c r="G652" s="22"/>
      <c r="H652" s="22"/>
      <c r="I652" s="22"/>
      <c r="J652" s="22"/>
      <c r="K652" s="22"/>
      <c r="L652" s="22"/>
      <c r="M652" s="22"/>
      <c r="N652" s="27"/>
      <c r="O652" s="22"/>
      <c r="P652" s="5" t="str">
        <f>IF(A652="","",IF(COUNTIF(Типы,C652)=0,0,VLOOKUP(C652,СПРАВОЧНИКИ!$A$7:$E$22,2,FALSE)))</f>
        <v/>
      </c>
      <c r="Q652" s="25" t="str">
        <f t="shared" si="10"/>
        <v/>
      </c>
      <c r="R652" s="5" t="str">
        <f>IF(A652="","",IF(COUNTIF(Типы,C652)=0,"НЕИЗВЕСТНЫЙ ТИП",VLOOKUP(C652,СПРАВОЧНИКИ!$A$7:$E$22,3,FALSE)))</f>
        <v/>
      </c>
      <c r="S652" s="26" t="str">
        <f>IF(A652="","",IF(L652="Проведён",E652*IF(COUNTIF(Типы,C652)=0,0,VLOOKUP(C652,СПРАВОЧНИКИ!$A$7:$E$22,4,FALSE)),0))</f>
        <v/>
      </c>
      <c r="T652" s="26" t="str">
        <f>IF(A652="","",IF(L652="Проведён",E652*IF(COUNTIF(Типы,C652)=0,0,VLOOKUP(C652,СПРАВОЧНИКИ!$A$7:$E$22,5,FALSE)),0))</f>
        <v/>
      </c>
      <c r="U652" s="5" t="str">
        <f>IF(A652="","",IF(COUNTIF(Контрагенты,H652)=0,"Не задан",VLOOKUP(H652,СПРАВОЧНИКИ!$G$7:$H$66,2,FALSE)))</f>
        <v/>
      </c>
      <c r="V652" s="4" t="str">
        <f>IF(A652="",IF(COUNTA(B652:O652)&gt;0,"НЕТ ID",""),IF(OR(AND(OR(C652="Оплата клиента",C652="Возврат клиенту"),COUNTIFS(Docs[ID],J652,Docs[Тип долга],"ДЗ")&lt;&gt;1),AND(OR(C652="Оплата поставщику",C652="Возврат поставщика"),COUNTIFS(Docs[ID],J652,Docs[Тип долга],"КЗ",Docs[Вид],"&lt;&gt;Дивиденды")&lt;&gt;1),AND(C652="Дивиденды",COUNTIFS(Docs[ID],J652,Docs[Вид],"Дивиденды")&lt;&gt;1),AND(C652="Проценты",COUNTIFS(Docs[ID],J652,Docs[Вид],"Проценты")&lt;&gt;1),COUNTIF(Cash[ID],A652)&gt;1,NOT(ISNUMBER(B652)),B652&lt;НачалоУчета,YEAR(B652)&lt;&gt;Год,NOT(ISNUMBER(E652)),E652&lt;=0,N652&lt;0,COUNTIF(Типы,C652)&lt;&gt;1,COUNTIF(Категории,D652)&lt;&gt;1,COUNTIF(Счета,F652)&lt;&gt;1,COUNTIF(Проекты,I652)&lt;&gt;1,AND(H652&lt;&gt;"",COUNTIF(Контрагенты,H652)&lt;&gt;1),AND(C652="Перевод",OR(F652=G652,COUNTIF(Счета,G652)&lt;&gt;1)),AND(S652&lt;&gt;0,COUNTIF(Docs[ID],J652)&lt;&gt;1),AND(Форма="ООО",C652="Вывод ИП"),AND(Форма="ИП",C652="Дивиденды"),AND(L652&lt;&gt;"Проведён",L652&lt;&gt;"Черновик")),"ОШИБКА","ОК"))</f>
        <v/>
      </c>
      <c r="W652" s="25" t="str">
        <f>IF(A652="","",SUMIF(Accounts[Счёт],F652,Accounts[Начальный])+SUMIFS($Q$7:Q652,$F$7:F652,F652)+SUMIFS($E$7:E652,$G$7:G652,F652,$C$7:C652,"Перевод",$L$7:L652,"Проведён"))</f>
        <v/>
      </c>
    </row>
    <row r="653" spans="1:23" x14ac:dyDescent="0.25">
      <c r="A653" s="22"/>
      <c r="B653" s="23"/>
      <c r="C653" s="22"/>
      <c r="D653" s="22"/>
      <c r="E653" s="27"/>
      <c r="F653" s="22"/>
      <c r="G653" s="22"/>
      <c r="H653" s="22"/>
      <c r="I653" s="22"/>
      <c r="J653" s="22"/>
      <c r="K653" s="22"/>
      <c r="L653" s="22"/>
      <c r="M653" s="22"/>
      <c r="N653" s="27"/>
      <c r="O653" s="22"/>
      <c r="P653" s="5" t="str">
        <f>IF(A653="","",IF(COUNTIF(Типы,C653)=0,0,VLOOKUP(C653,СПРАВОЧНИКИ!$A$7:$E$22,2,FALSE)))</f>
        <v/>
      </c>
      <c r="Q653" s="25" t="str">
        <f t="shared" si="10"/>
        <v/>
      </c>
      <c r="R653" s="5" t="str">
        <f>IF(A653="","",IF(COUNTIF(Типы,C653)=0,"НЕИЗВЕСТНЫЙ ТИП",VLOOKUP(C653,СПРАВОЧНИКИ!$A$7:$E$22,3,FALSE)))</f>
        <v/>
      </c>
      <c r="S653" s="26" t="str">
        <f>IF(A653="","",IF(L653="Проведён",E653*IF(COUNTIF(Типы,C653)=0,0,VLOOKUP(C653,СПРАВОЧНИКИ!$A$7:$E$22,4,FALSE)),0))</f>
        <v/>
      </c>
      <c r="T653" s="26" t="str">
        <f>IF(A653="","",IF(L653="Проведён",E653*IF(COUNTIF(Типы,C653)=0,0,VLOOKUP(C653,СПРАВОЧНИКИ!$A$7:$E$22,5,FALSE)),0))</f>
        <v/>
      </c>
      <c r="U653" s="5" t="str">
        <f>IF(A653="","",IF(COUNTIF(Контрагенты,H653)=0,"Не задан",VLOOKUP(H653,СПРАВОЧНИКИ!$G$7:$H$66,2,FALSE)))</f>
        <v/>
      </c>
      <c r="V653" s="4" t="str">
        <f>IF(A653="",IF(COUNTA(B653:O653)&gt;0,"НЕТ ID",""),IF(OR(AND(OR(C653="Оплата клиента",C653="Возврат клиенту"),COUNTIFS(Docs[ID],J653,Docs[Тип долга],"ДЗ")&lt;&gt;1),AND(OR(C653="Оплата поставщику",C653="Возврат поставщика"),COUNTIFS(Docs[ID],J653,Docs[Тип долга],"КЗ",Docs[Вид],"&lt;&gt;Дивиденды")&lt;&gt;1),AND(C653="Дивиденды",COUNTIFS(Docs[ID],J653,Docs[Вид],"Дивиденды")&lt;&gt;1),AND(C653="Проценты",COUNTIFS(Docs[ID],J653,Docs[Вид],"Проценты")&lt;&gt;1),COUNTIF(Cash[ID],A653)&gt;1,NOT(ISNUMBER(B653)),B653&lt;НачалоУчета,YEAR(B653)&lt;&gt;Год,NOT(ISNUMBER(E653)),E653&lt;=0,N653&lt;0,COUNTIF(Типы,C653)&lt;&gt;1,COUNTIF(Категории,D653)&lt;&gt;1,COUNTIF(Счета,F653)&lt;&gt;1,COUNTIF(Проекты,I653)&lt;&gt;1,AND(H653&lt;&gt;"",COUNTIF(Контрагенты,H653)&lt;&gt;1),AND(C653="Перевод",OR(F653=G653,COUNTIF(Счета,G653)&lt;&gt;1)),AND(S653&lt;&gt;0,COUNTIF(Docs[ID],J653)&lt;&gt;1),AND(Форма="ООО",C653="Вывод ИП"),AND(Форма="ИП",C653="Дивиденды"),AND(L653&lt;&gt;"Проведён",L653&lt;&gt;"Черновик")),"ОШИБКА","ОК"))</f>
        <v/>
      </c>
      <c r="W653" s="25" t="str">
        <f>IF(A653="","",SUMIF(Accounts[Счёт],F653,Accounts[Начальный])+SUMIFS($Q$7:Q653,$F$7:F653,F653)+SUMIFS($E$7:E653,$G$7:G653,F653,$C$7:C653,"Перевод",$L$7:L653,"Проведён"))</f>
        <v/>
      </c>
    </row>
    <row r="654" spans="1:23" x14ac:dyDescent="0.25">
      <c r="A654" s="22"/>
      <c r="B654" s="23"/>
      <c r="C654" s="22"/>
      <c r="D654" s="22"/>
      <c r="E654" s="27"/>
      <c r="F654" s="22"/>
      <c r="G654" s="22"/>
      <c r="H654" s="22"/>
      <c r="I654" s="22"/>
      <c r="J654" s="22"/>
      <c r="K654" s="22"/>
      <c r="L654" s="22"/>
      <c r="M654" s="22"/>
      <c r="N654" s="27"/>
      <c r="O654" s="22"/>
      <c r="P654" s="5" t="str">
        <f>IF(A654="","",IF(COUNTIF(Типы,C654)=0,0,VLOOKUP(C654,СПРАВОЧНИКИ!$A$7:$E$22,2,FALSE)))</f>
        <v/>
      </c>
      <c r="Q654" s="25" t="str">
        <f t="shared" si="10"/>
        <v/>
      </c>
      <c r="R654" s="5" t="str">
        <f>IF(A654="","",IF(COUNTIF(Типы,C654)=0,"НЕИЗВЕСТНЫЙ ТИП",VLOOKUP(C654,СПРАВОЧНИКИ!$A$7:$E$22,3,FALSE)))</f>
        <v/>
      </c>
      <c r="S654" s="26" t="str">
        <f>IF(A654="","",IF(L654="Проведён",E654*IF(COUNTIF(Типы,C654)=0,0,VLOOKUP(C654,СПРАВОЧНИКИ!$A$7:$E$22,4,FALSE)),0))</f>
        <v/>
      </c>
      <c r="T654" s="26" t="str">
        <f>IF(A654="","",IF(L654="Проведён",E654*IF(COUNTIF(Типы,C654)=0,0,VLOOKUP(C654,СПРАВОЧНИКИ!$A$7:$E$22,5,FALSE)),0))</f>
        <v/>
      </c>
      <c r="U654" s="5" t="str">
        <f>IF(A654="","",IF(COUNTIF(Контрагенты,H654)=0,"Не задан",VLOOKUP(H654,СПРАВОЧНИКИ!$G$7:$H$66,2,FALSE)))</f>
        <v/>
      </c>
      <c r="V654" s="4" t="str">
        <f>IF(A654="",IF(COUNTA(B654:O654)&gt;0,"НЕТ ID",""),IF(OR(AND(OR(C654="Оплата клиента",C654="Возврат клиенту"),COUNTIFS(Docs[ID],J654,Docs[Тип долга],"ДЗ")&lt;&gt;1),AND(OR(C654="Оплата поставщику",C654="Возврат поставщика"),COUNTIFS(Docs[ID],J654,Docs[Тип долга],"КЗ",Docs[Вид],"&lt;&gt;Дивиденды")&lt;&gt;1),AND(C654="Дивиденды",COUNTIFS(Docs[ID],J654,Docs[Вид],"Дивиденды")&lt;&gt;1),AND(C654="Проценты",COUNTIFS(Docs[ID],J654,Docs[Вид],"Проценты")&lt;&gt;1),COUNTIF(Cash[ID],A654)&gt;1,NOT(ISNUMBER(B654)),B654&lt;НачалоУчета,YEAR(B654)&lt;&gt;Год,NOT(ISNUMBER(E654)),E654&lt;=0,N654&lt;0,COUNTIF(Типы,C654)&lt;&gt;1,COUNTIF(Категории,D654)&lt;&gt;1,COUNTIF(Счета,F654)&lt;&gt;1,COUNTIF(Проекты,I654)&lt;&gt;1,AND(H654&lt;&gt;"",COUNTIF(Контрагенты,H654)&lt;&gt;1),AND(C654="Перевод",OR(F654=G654,COUNTIF(Счета,G654)&lt;&gt;1)),AND(S654&lt;&gt;0,COUNTIF(Docs[ID],J654)&lt;&gt;1),AND(Форма="ООО",C654="Вывод ИП"),AND(Форма="ИП",C654="Дивиденды"),AND(L654&lt;&gt;"Проведён",L654&lt;&gt;"Черновик")),"ОШИБКА","ОК"))</f>
        <v/>
      </c>
      <c r="W654" s="25" t="str">
        <f>IF(A654="","",SUMIF(Accounts[Счёт],F654,Accounts[Начальный])+SUMIFS($Q$7:Q654,$F$7:F654,F654)+SUMIFS($E$7:E654,$G$7:G654,F654,$C$7:C654,"Перевод",$L$7:L654,"Проведён"))</f>
        <v/>
      </c>
    </row>
    <row r="655" spans="1:23" x14ac:dyDescent="0.25">
      <c r="A655" s="22"/>
      <c r="B655" s="23"/>
      <c r="C655" s="22"/>
      <c r="D655" s="22"/>
      <c r="E655" s="27"/>
      <c r="F655" s="22"/>
      <c r="G655" s="22"/>
      <c r="H655" s="22"/>
      <c r="I655" s="22"/>
      <c r="J655" s="22"/>
      <c r="K655" s="22"/>
      <c r="L655" s="22"/>
      <c r="M655" s="22"/>
      <c r="N655" s="27"/>
      <c r="O655" s="22"/>
      <c r="P655" s="5" t="str">
        <f>IF(A655="","",IF(COUNTIF(Типы,C655)=0,0,VLOOKUP(C655,СПРАВОЧНИКИ!$A$7:$E$22,2,FALSE)))</f>
        <v/>
      </c>
      <c r="Q655" s="25" t="str">
        <f t="shared" si="10"/>
        <v/>
      </c>
      <c r="R655" s="5" t="str">
        <f>IF(A655="","",IF(COUNTIF(Типы,C655)=0,"НЕИЗВЕСТНЫЙ ТИП",VLOOKUP(C655,СПРАВОЧНИКИ!$A$7:$E$22,3,FALSE)))</f>
        <v/>
      </c>
      <c r="S655" s="26" t="str">
        <f>IF(A655="","",IF(L655="Проведён",E655*IF(COUNTIF(Типы,C655)=0,0,VLOOKUP(C655,СПРАВОЧНИКИ!$A$7:$E$22,4,FALSE)),0))</f>
        <v/>
      </c>
      <c r="T655" s="26" t="str">
        <f>IF(A655="","",IF(L655="Проведён",E655*IF(COUNTIF(Типы,C655)=0,0,VLOOKUP(C655,СПРАВОЧНИКИ!$A$7:$E$22,5,FALSE)),0))</f>
        <v/>
      </c>
      <c r="U655" s="5" t="str">
        <f>IF(A655="","",IF(COUNTIF(Контрагенты,H655)=0,"Не задан",VLOOKUP(H655,СПРАВОЧНИКИ!$G$7:$H$66,2,FALSE)))</f>
        <v/>
      </c>
      <c r="V655" s="4" t="str">
        <f>IF(A655="",IF(COUNTA(B655:O655)&gt;0,"НЕТ ID",""),IF(OR(AND(OR(C655="Оплата клиента",C655="Возврат клиенту"),COUNTIFS(Docs[ID],J655,Docs[Тип долга],"ДЗ")&lt;&gt;1),AND(OR(C655="Оплата поставщику",C655="Возврат поставщика"),COUNTIFS(Docs[ID],J655,Docs[Тип долга],"КЗ",Docs[Вид],"&lt;&gt;Дивиденды")&lt;&gt;1),AND(C655="Дивиденды",COUNTIFS(Docs[ID],J655,Docs[Вид],"Дивиденды")&lt;&gt;1),AND(C655="Проценты",COUNTIFS(Docs[ID],J655,Docs[Вид],"Проценты")&lt;&gt;1),COUNTIF(Cash[ID],A655)&gt;1,NOT(ISNUMBER(B655)),B655&lt;НачалоУчета,YEAR(B655)&lt;&gt;Год,NOT(ISNUMBER(E655)),E655&lt;=0,N655&lt;0,COUNTIF(Типы,C655)&lt;&gt;1,COUNTIF(Категории,D655)&lt;&gt;1,COUNTIF(Счета,F655)&lt;&gt;1,COUNTIF(Проекты,I655)&lt;&gt;1,AND(H655&lt;&gt;"",COUNTIF(Контрагенты,H655)&lt;&gt;1),AND(C655="Перевод",OR(F655=G655,COUNTIF(Счета,G655)&lt;&gt;1)),AND(S655&lt;&gt;0,COUNTIF(Docs[ID],J655)&lt;&gt;1),AND(Форма="ООО",C655="Вывод ИП"),AND(Форма="ИП",C655="Дивиденды"),AND(L655&lt;&gt;"Проведён",L655&lt;&gt;"Черновик")),"ОШИБКА","ОК"))</f>
        <v/>
      </c>
      <c r="W655" s="25" t="str">
        <f>IF(A655="","",SUMIF(Accounts[Счёт],F655,Accounts[Начальный])+SUMIFS($Q$7:Q655,$F$7:F655,F655)+SUMIFS($E$7:E655,$G$7:G655,F655,$C$7:C655,"Перевод",$L$7:L655,"Проведён"))</f>
        <v/>
      </c>
    </row>
    <row r="656" spans="1:23" x14ac:dyDescent="0.25">
      <c r="A656" s="22"/>
      <c r="B656" s="23"/>
      <c r="C656" s="22"/>
      <c r="D656" s="22"/>
      <c r="E656" s="27"/>
      <c r="F656" s="22"/>
      <c r="G656" s="22"/>
      <c r="H656" s="22"/>
      <c r="I656" s="22"/>
      <c r="J656" s="22"/>
      <c r="K656" s="22"/>
      <c r="L656" s="22"/>
      <c r="M656" s="22"/>
      <c r="N656" s="27"/>
      <c r="O656" s="22"/>
      <c r="P656" s="5" t="str">
        <f>IF(A656="","",IF(COUNTIF(Типы,C656)=0,0,VLOOKUP(C656,СПРАВОЧНИКИ!$A$7:$E$22,2,FALSE)))</f>
        <v/>
      </c>
      <c r="Q656" s="25" t="str">
        <f t="shared" si="10"/>
        <v/>
      </c>
      <c r="R656" s="5" t="str">
        <f>IF(A656="","",IF(COUNTIF(Типы,C656)=0,"НЕИЗВЕСТНЫЙ ТИП",VLOOKUP(C656,СПРАВОЧНИКИ!$A$7:$E$22,3,FALSE)))</f>
        <v/>
      </c>
      <c r="S656" s="26" t="str">
        <f>IF(A656="","",IF(L656="Проведён",E656*IF(COUNTIF(Типы,C656)=0,0,VLOOKUP(C656,СПРАВОЧНИКИ!$A$7:$E$22,4,FALSE)),0))</f>
        <v/>
      </c>
      <c r="T656" s="26" t="str">
        <f>IF(A656="","",IF(L656="Проведён",E656*IF(COUNTIF(Типы,C656)=0,0,VLOOKUP(C656,СПРАВОЧНИКИ!$A$7:$E$22,5,FALSE)),0))</f>
        <v/>
      </c>
      <c r="U656" s="5" t="str">
        <f>IF(A656="","",IF(COUNTIF(Контрагенты,H656)=0,"Не задан",VLOOKUP(H656,СПРАВОЧНИКИ!$G$7:$H$66,2,FALSE)))</f>
        <v/>
      </c>
      <c r="V656" s="4" t="str">
        <f>IF(A656="",IF(COUNTA(B656:O656)&gt;0,"НЕТ ID",""),IF(OR(AND(OR(C656="Оплата клиента",C656="Возврат клиенту"),COUNTIFS(Docs[ID],J656,Docs[Тип долга],"ДЗ")&lt;&gt;1),AND(OR(C656="Оплата поставщику",C656="Возврат поставщика"),COUNTIFS(Docs[ID],J656,Docs[Тип долга],"КЗ",Docs[Вид],"&lt;&gt;Дивиденды")&lt;&gt;1),AND(C656="Дивиденды",COUNTIFS(Docs[ID],J656,Docs[Вид],"Дивиденды")&lt;&gt;1),AND(C656="Проценты",COUNTIFS(Docs[ID],J656,Docs[Вид],"Проценты")&lt;&gt;1),COUNTIF(Cash[ID],A656)&gt;1,NOT(ISNUMBER(B656)),B656&lt;НачалоУчета,YEAR(B656)&lt;&gt;Год,NOT(ISNUMBER(E656)),E656&lt;=0,N656&lt;0,COUNTIF(Типы,C656)&lt;&gt;1,COUNTIF(Категории,D656)&lt;&gt;1,COUNTIF(Счета,F656)&lt;&gt;1,COUNTIF(Проекты,I656)&lt;&gt;1,AND(H656&lt;&gt;"",COUNTIF(Контрагенты,H656)&lt;&gt;1),AND(C656="Перевод",OR(F656=G656,COUNTIF(Счета,G656)&lt;&gt;1)),AND(S656&lt;&gt;0,COUNTIF(Docs[ID],J656)&lt;&gt;1),AND(Форма="ООО",C656="Вывод ИП"),AND(Форма="ИП",C656="Дивиденды"),AND(L656&lt;&gt;"Проведён",L656&lt;&gt;"Черновик")),"ОШИБКА","ОК"))</f>
        <v/>
      </c>
      <c r="W656" s="25" t="str">
        <f>IF(A656="","",SUMIF(Accounts[Счёт],F656,Accounts[Начальный])+SUMIFS($Q$7:Q656,$F$7:F656,F656)+SUMIFS($E$7:E656,$G$7:G656,F656,$C$7:C656,"Перевод",$L$7:L656,"Проведён"))</f>
        <v/>
      </c>
    </row>
    <row r="657" spans="1:23" x14ac:dyDescent="0.25">
      <c r="A657" s="22"/>
      <c r="B657" s="23"/>
      <c r="C657" s="22"/>
      <c r="D657" s="22"/>
      <c r="E657" s="27"/>
      <c r="F657" s="22"/>
      <c r="G657" s="22"/>
      <c r="H657" s="22"/>
      <c r="I657" s="22"/>
      <c r="J657" s="22"/>
      <c r="K657" s="22"/>
      <c r="L657" s="22"/>
      <c r="M657" s="22"/>
      <c r="N657" s="27"/>
      <c r="O657" s="22"/>
      <c r="P657" s="5" t="str">
        <f>IF(A657="","",IF(COUNTIF(Типы,C657)=0,0,VLOOKUP(C657,СПРАВОЧНИКИ!$A$7:$E$22,2,FALSE)))</f>
        <v/>
      </c>
      <c r="Q657" s="25" t="str">
        <f t="shared" si="10"/>
        <v/>
      </c>
      <c r="R657" s="5" t="str">
        <f>IF(A657="","",IF(COUNTIF(Типы,C657)=0,"НЕИЗВЕСТНЫЙ ТИП",VLOOKUP(C657,СПРАВОЧНИКИ!$A$7:$E$22,3,FALSE)))</f>
        <v/>
      </c>
      <c r="S657" s="26" t="str">
        <f>IF(A657="","",IF(L657="Проведён",E657*IF(COUNTIF(Типы,C657)=0,0,VLOOKUP(C657,СПРАВОЧНИКИ!$A$7:$E$22,4,FALSE)),0))</f>
        <v/>
      </c>
      <c r="T657" s="26" t="str">
        <f>IF(A657="","",IF(L657="Проведён",E657*IF(COUNTIF(Типы,C657)=0,0,VLOOKUP(C657,СПРАВОЧНИКИ!$A$7:$E$22,5,FALSE)),0))</f>
        <v/>
      </c>
      <c r="U657" s="5" t="str">
        <f>IF(A657="","",IF(COUNTIF(Контрагенты,H657)=0,"Не задан",VLOOKUP(H657,СПРАВОЧНИКИ!$G$7:$H$66,2,FALSE)))</f>
        <v/>
      </c>
      <c r="V657" s="4" t="str">
        <f>IF(A657="",IF(COUNTA(B657:O657)&gt;0,"НЕТ ID",""),IF(OR(AND(OR(C657="Оплата клиента",C657="Возврат клиенту"),COUNTIFS(Docs[ID],J657,Docs[Тип долга],"ДЗ")&lt;&gt;1),AND(OR(C657="Оплата поставщику",C657="Возврат поставщика"),COUNTIFS(Docs[ID],J657,Docs[Тип долга],"КЗ",Docs[Вид],"&lt;&gt;Дивиденды")&lt;&gt;1),AND(C657="Дивиденды",COUNTIFS(Docs[ID],J657,Docs[Вид],"Дивиденды")&lt;&gt;1),AND(C657="Проценты",COUNTIFS(Docs[ID],J657,Docs[Вид],"Проценты")&lt;&gt;1),COUNTIF(Cash[ID],A657)&gt;1,NOT(ISNUMBER(B657)),B657&lt;НачалоУчета,YEAR(B657)&lt;&gt;Год,NOT(ISNUMBER(E657)),E657&lt;=0,N657&lt;0,COUNTIF(Типы,C657)&lt;&gt;1,COUNTIF(Категории,D657)&lt;&gt;1,COUNTIF(Счета,F657)&lt;&gt;1,COUNTIF(Проекты,I657)&lt;&gt;1,AND(H657&lt;&gt;"",COUNTIF(Контрагенты,H657)&lt;&gt;1),AND(C657="Перевод",OR(F657=G657,COUNTIF(Счета,G657)&lt;&gt;1)),AND(S657&lt;&gt;0,COUNTIF(Docs[ID],J657)&lt;&gt;1),AND(Форма="ООО",C657="Вывод ИП"),AND(Форма="ИП",C657="Дивиденды"),AND(L657&lt;&gt;"Проведён",L657&lt;&gt;"Черновик")),"ОШИБКА","ОК"))</f>
        <v/>
      </c>
      <c r="W657" s="25" t="str">
        <f>IF(A657="","",SUMIF(Accounts[Счёт],F657,Accounts[Начальный])+SUMIFS($Q$7:Q657,$F$7:F657,F657)+SUMIFS($E$7:E657,$G$7:G657,F657,$C$7:C657,"Перевод",$L$7:L657,"Проведён"))</f>
        <v/>
      </c>
    </row>
    <row r="658" spans="1:23" x14ac:dyDescent="0.25">
      <c r="A658" s="22"/>
      <c r="B658" s="23"/>
      <c r="C658" s="22"/>
      <c r="D658" s="22"/>
      <c r="E658" s="27"/>
      <c r="F658" s="22"/>
      <c r="G658" s="22"/>
      <c r="H658" s="22"/>
      <c r="I658" s="22"/>
      <c r="J658" s="22"/>
      <c r="K658" s="22"/>
      <c r="L658" s="22"/>
      <c r="M658" s="22"/>
      <c r="N658" s="27"/>
      <c r="O658" s="22"/>
      <c r="P658" s="5" t="str">
        <f>IF(A658="","",IF(COUNTIF(Типы,C658)=0,0,VLOOKUP(C658,СПРАВОЧНИКИ!$A$7:$E$22,2,FALSE)))</f>
        <v/>
      </c>
      <c r="Q658" s="25" t="str">
        <f t="shared" si="10"/>
        <v/>
      </c>
      <c r="R658" s="5" t="str">
        <f>IF(A658="","",IF(COUNTIF(Типы,C658)=0,"НЕИЗВЕСТНЫЙ ТИП",VLOOKUP(C658,СПРАВОЧНИКИ!$A$7:$E$22,3,FALSE)))</f>
        <v/>
      </c>
      <c r="S658" s="26" t="str">
        <f>IF(A658="","",IF(L658="Проведён",E658*IF(COUNTIF(Типы,C658)=0,0,VLOOKUP(C658,СПРАВОЧНИКИ!$A$7:$E$22,4,FALSE)),0))</f>
        <v/>
      </c>
      <c r="T658" s="26" t="str">
        <f>IF(A658="","",IF(L658="Проведён",E658*IF(COUNTIF(Типы,C658)=0,0,VLOOKUP(C658,СПРАВОЧНИКИ!$A$7:$E$22,5,FALSE)),0))</f>
        <v/>
      </c>
      <c r="U658" s="5" t="str">
        <f>IF(A658="","",IF(COUNTIF(Контрагенты,H658)=0,"Не задан",VLOOKUP(H658,СПРАВОЧНИКИ!$G$7:$H$66,2,FALSE)))</f>
        <v/>
      </c>
      <c r="V658" s="4" t="str">
        <f>IF(A658="",IF(COUNTA(B658:O658)&gt;0,"НЕТ ID",""),IF(OR(AND(OR(C658="Оплата клиента",C658="Возврат клиенту"),COUNTIFS(Docs[ID],J658,Docs[Тип долга],"ДЗ")&lt;&gt;1),AND(OR(C658="Оплата поставщику",C658="Возврат поставщика"),COUNTIFS(Docs[ID],J658,Docs[Тип долга],"КЗ",Docs[Вид],"&lt;&gt;Дивиденды")&lt;&gt;1),AND(C658="Дивиденды",COUNTIFS(Docs[ID],J658,Docs[Вид],"Дивиденды")&lt;&gt;1),AND(C658="Проценты",COUNTIFS(Docs[ID],J658,Docs[Вид],"Проценты")&lt;&gt;1),COUNTIF(Cash[ID],A658)&gt;1,NOT(ISNUMBER(B658)),B658&lt;НачалоУчета,YEAR(B658)&lt;&gt;Год,NOT(ISNUMBER(E658)),E658&lt;=0,N658&lt;0,COUNTIF(Типы,C658)&lt;&gt;1,COUNTIF(Категории,D658)&lt;&gt;1,COUNTIF(Счета,F658)&lt;&gt;1,COUNTIF(Проекты,I658)&lt;&gt;1,AND(H658&lt;&gt;"",COUNTIF(Контрагенты,H658)&lt;&gt;1),AND(C658="Перевод",OR(F658=G658,COUNTIF(Счета,G658)&lt;&gt;1)),AND(S658&lt;&gt;0,COUNTIF(Docs[ID],J658)&lt;&gt;1),AND(Форма="ООО",C658="Вывод ИП"),AND(Форма="ИП",C658="Дивиденды"),AND(L658&lt;&gt;"Проведён",L658&lt;&gt;"Черновик")),"ОШИБКА","ОК"))</f>
        <v/>
      </c>
      <c r="W658" s="25" t="str">
        <f>IF(A658="","",SUMIF(Accounts[Счёт],F658,Accounts[Начальный])+SUMIFS($Q$7:Q658,$F$7:F658,F658)+SUMIFS($E$7:E658,$G$7:G658,F658,$C$7:C658,"Перевод",$L$7:L658,"Проведён"))</f>
        <v/>
      </c>
    </row>
    <row r="659" spans="1:23" x14ac:dyDescent="0.25">
      <c r="A659" s="22"/>
      <c r="B659" s="23"/>
      <c r="C659" s="22"/>
      <c r="D659" s="22"/>
      <c r="E659" s="27"/>
      <c r="F659" s="22"/>
      <c r="G659" s="22"/>
      <c r="H659" s="22"/>
      <c r="I659" s="22"/>
      <c r="J659" s="22"/>
      <c r="K659" s="22"/>
      <c r="L659" s="22"/>
      <c r="M659" s="22"/>
      <c r="N659" s="27"/>
      <c r="O659" s="22"/>
      <c r="P659" s="5" t="str">
        <f>IF(A659="","",IF(COUNTIF(Типы,C659)=0,0,VLOOKUP(C659,СПРАВОЧНИКИ!$A$7:$E$22,2,FALSE)))</f>
        <v/>
      </c>
      <c r="Q659" s="25" t="str">
        <f t="shared" si="10"/>
        <v/>
      </c>
      <c r="R659" s="5" t="str">
        <f>IF(A659="","",IF(COUNTIF(Типы,C659)=0,"НЕИЗВЕСТНЫЙ ТИП",VLOOKUP(C659,СПРАВОЧНИКИ!$A$7:$E$22,3,FALSE)))</f>
        <v/>
      </c>
      <c r="S659" s="26" t="str">
        <f>IF(A659="","",IF(L659="Проведён",E659*IF(COUNTIF(Типы,C659)=0,0,VLOOKUP(C659,СПРАВОЧНИКИ!$A$7:$E$22,4,FALSE)),0))</f>
        <v/>
      </c>
      <c r="T659" s="26" t="str">
        <f>IF(A659="","",IF(L659="Проведён",E659*IF(COUNTIF(Типы,C659)=0,0,VLOOKUP(C659,СПРАВОЧНИКИ!$A$7:$E$22,5,FALSE)),0))</f>
        <v/>
      </c>
      <c r="U659" s="5" t="str">
        <f>IF(A659="","",IF(COUNTIF(Контрагенты,H659)=0,"Не задан",VLOOKUP(H659,СПРАВОЧНИКИ!$G$7:$H$66,2,FALSE)))</f>
        <v/>
      </c>
      <c r="V659" s="4" t="str">
        <f>IF(A659="",IF(COUNTA(B659:O659)&gt;0,"НЕТ ID",""),IF(OR(AND(OR(C659="Оплата клиента",C659="Возврат клиенту"),COUNTIFS(Docs[ID],J659,Docs[Тип долга],"ДЗ")&lt;&gt;1),AND(OR(C659="Оплата поставщику",C659="Возврат поставщика"),COUNTIFS(Docs[ID],J659,Docs[Тип долга],"КЗ",Docs[Вид],"&lt;&gt;Дивиденды")&lt;&gt;1),AND(C659="Дивиденды",COUNTIFS(Docs[ID],J659,Docs[Вид],"Дивиденды")&lt;&gt;1),AND(C659="Проценты",COUNTIFS(Docs[ID],J659,Docs[Вид],"Проценты")&lt;&gt;1),COUNTIF(Cash[ID],A659)&gt;1,NOT(ISNUMBER(B659)),B659&lt;НачалоУчета,YEAR(B659)&lt;&gt;Год,NOT(ISNUMBER(E659)),E659&lt;=0,N659&lt;0,COUNTIF(Типы,C659)&lt;&gt;1,COUNTIF(Категории,D659)&lt;&gt;1,COUNTIF(Счета,F659)&lt;&gt;1,COUNTIF(Проекты,I659)&lt;&gt;1,AND(H659&lt;&gt;"",COUNTIF(Контрагенты,H659)&lt;&gt;1),AND(C659="Перевод",OR(F659=G659,COUNTIF(Счета,G659)&lt;&gt;1)),AND(S659&lt;&gt;0,COUNTIF(Docs[ID],J659)&lt;&gt;1),AND(Форма="ООО",C659="Вывод ИП"),AND(Форма="ИП",C659="Дивиденды"),AND(L659&lt;&gt;"Проведён",L659&lt;&gt;"Черновик")),"ОШИБКА","ОК"))</f>
        <v/>
      </c>
      <c r="W659" s="25" t="str">
        <f>IF(A659="","",SUMIF(Accounts[Счёт],F659,Accounts[Начальный])+SUMIFS($Q$7:Q659,$F$7:F659,F659)+SUMIFS($E$7:E659,$G$7:G659,F659,$C$7:C659,"Перевод",$L$7:L659,"Проведён"))</f>
        <v/>
      </c>
    </row>
    <row r="660" spans="1:23" x14ac:dyDescent="0.25">
      <c r="A660" s="22"/>
      <c r="B660" s="23"/>
      <c r="C660" s="22"/>
      <c r="D660" s="22"/>
      <c r="E660" s="27"/>
      <c r="F660" s="22"/>
      <c r="G660" s="22"/>
      <c r="H660" s="22"/>
      <c r="I660" s="22"/>
      <c r="J660" s="22"/>
      <c r="K660" s="22"/>
      <c r="L660" s="22"/>
      <c r="M660" s="22"/>
      <c r="N660" s="27"/>
      <c r="O660" s="22"/>
      <c r="P660" s="5" t="str">
        <f>IF(A660="","",IF(COUNTIF(Типы,C660)=0,0,VLOOKUP(C660,СПРАВОЧНИКИ!$A$7:$E$22,2,FALSE)))</f>
        <v/>
      </c>
      <c r="Q660" s="25" t="str">
        <f t="shared" si="10"/>
        <v/>
      </c>
      <c r="R660" s="5" t="str">
        <f>IF(A660="","",IF(COUNTIF(Типы,C660)=0,"НЕИЗВЕСТНЫЙ ТИП",VLOOKUP(C660,СПРАВОЧНИКИ!$A$7:$E$22,3,FALSE)))</f>
        <v/>
      </c>
      <c r="S660" s="26" t="str">
        <f>IF(A660="","",IF(L660="Проведён",E660*IF(COUNTIF(Типы,C660)=0,0,VLOOKUP(C660,СПРАВОЧНИКИ!$A$7:$E$22,4,FALSE)),0))</f>
        <v/>
      </c>
      <c r="T660" s="26" t="str">
        <f>IF(A660="","",IF(L660="Проведён",E660*IF(COUNTIF(Типы,C660)=0,0,VLOOKUP(C660,СПРАВОЧНИКИ!$A$7:$E$22,5,FALSE)),0))</f>
        <v/>
      </c>
      <c r="U660" s="5" t="str">
        <f>IF(A660="","",IF(COUNTIF(Контрагенты,H660)=0,"Не задан",VLOOKUP(H660,СПРАВОЧНИКИ!$G$7:$H$66,2,FALSE)))</f>
        <v/>
      </c>
      <c r="V660" s="4" t="str">
        <f>IF(A660="",IF(COUNTA(B660:O660)&gt;0,"НЕТ ID",""),IF(OR(AND(OR(C660="Оплата клиента",C660="Возврат клиенту"),COUNTIFS(Docs[ID],J660,Docs[Тип долга],"ДЗ")&lt;&gt;1),AND(OR(C660="Оплата поставщику",C660="Возврат поставщика"),COUNTIFS(Docs[ID],J660,Docs[Тип долга],"КЗ",Docs[Вид],"&lt;&gt;Дивиденды")&lt;&gt;1),AND(C660="Дивиденды",COUNTIFS(Docs[ID],J660,Docs[Вид],"Дивиденды")&lt;&gt;1),AND(C660="Проценты",COUNTIFS(Docs[ID],J660,Docs[Вид],"Проценты")&lt;&gt;1),COUNTIF(Cash[ID],A660)&gt;1,NOT(ISNUMBER(B660)),B660&lt;НачалоУчета,YEAR(B660)&lt;&gt;Год,NOT(ISNUMBER(E660)),E660&lt;=0,N660&lt;0,COUNTIF(Типы,C660)&lt;&gt;1,COUNTIF(Категории,D660)&lt;&gt;1,COUNTIF(Счета,F660)&lt;&gt;1,COUNTIF(Проекты,I660)&lt;&gt;1,AND(H660&lt;&gt;"",COUNTIF(Контрагенты,H660)&lt;&gt;1),AND(C660="Перевод",OR(F660=G660,COUNTIF(Счета,G660)&lt;&gt;1)),AND(S660&lt;&gt;0,COUNTIF(Docs[ID],J660)&lt;&gt;1),AND(Форма="ООО",C660="Вывод ИП"),AND(Форма="ИП",C660="Дивиденды"),AND(L660&lt;&gt;"Проведён",L660&lt;&gt;"Черновик")),"ОШИБКА","ОК"))</f>
        <v/>
      </c>
      <c r="W660" s="25" t="str">
        <f>IF(A660="","",SUMIF(Accounts[Счёт],F660,Accounts[Начальный])+SUMIFS($Q$7:Q660,$F$7:F660,F660)+SUMIFS($E$7:E660,$G$7:G660,F660,$C$7:C660,"Перевод",$L$7:L660,"Проведён"))</f>
        <v/>
      </c>
    </row>
    <row r="661" spans="1:23" x14ac:dyDescent="0.25">
      <c r="A661" s="22"/>
      <c r="B661" s="23"/>
      <c r="C661" s="22"/>
      <c r="D661" s="22"/>
      <c r="E661" s="27"/>
      <c r="F661" s="22"/>
      <c r="G661" s="22"/>
      <c r="H661" s="22"/>
      <c r="I661" s="22"/>
      <c r="J661" s="22"/>
      <c r="K661" s="22"/>
      <c r="L661" s="22"/>
      <c r="M661" s="22"/>
      <c r="N661" s="27"/>
      <c r="O661" s="22"/>
      <c r="P661" s="5" t="str">
        <f>IF(A661="","",IF(COUNTIF(Типы,C661)=0,0,VLOOKUP(C661,СПРАВОЧНИКИ!$A$7:$E$22,2,FALSE)))</f>
        <v/>
      </c>
      <c r="Q661" s="25" t="str">
        <f t="shared" si="10"/>
        <v/>
      </c>
      <c r="R661" s="5" t="str">
        <f>IF(A661="","",IF(COUNTIF(Типы,C661)=0,"НЕИЗВЕСТНЫЙ ТИП",VLOOKUP(C661,СПРАВОЧНИКИ!$A$7:$E$22,3,FALSE)))</f>
        <v/>
      </c>
      <c r="S661" s="26" t="str">
        <f>IF(A661="","",IF(L661="Проведён",E661*IF(COUNTIF(Типы,C661)=0,0,VLOOKUP(C661,СПРАВОЧНИКИ!$A$7:$E$22,4,FALSE)),0))</f>
        <v/>
      </c>
      <c r="T661" s="26" t="str">
        <f>IF(A661="","",IF(L661="Проведён",E661*IF(COUNTIF(Типы,C661)=0,0,VLOOKUP(C661,СПРАВОЧНИКИ!$A$7:$E$22,5,FALSE)),0))</f>
        <v/>
      </c>
      <c r="U661" s="5" t="str">
        <f>IF(A661="","",IF(COUNTIF(Контрагенты,H661)=0,"Не задан",VLOOKUP(H661,СПРАВОЧНИКИ!$G$7:$H$66,2,FALSE)))</f>
        <v/>
      </c>
      <c r="V661" s="4" t="str">
        <f>IF(A661="",IF(COUNTA(B661:O661)&gt;0,"НЕТ ID",""),IF(OR(AND(OR(C661="Оплата клиента",C661="Возврат клиенту"),COUNTIFS(Docs[ID],J661,Docs[Тип долга],"ДЗ")&lt;&gt;1),AND(OR(C661="Оплата поставщику",C661="Возврат поставщика"),COUNTIFS(Docs[ID],J661,Docs[Тип долга],"КЗ",Docs[Вид],"&lt;&gt;Дивиденды")&lt;&gt;1),AND(C661="Дивиденды",COUNTIFS(Docs[ID],J661,Docs[Вид],"Дивиденды")&lt;&gt;1),AND(C661="Проценты",COUNTIFS(Docs[ID],J661,Docs[Вид],"Проценты")&lt;&gt;1),COUNTIF(Cash[ID],A661)&gt;1,NOT(ISNUMBER(B661)),B661&lt;НачалоУчета,YEAR(B661)&lt;&gt;Год,NOT(ISNUMBER(E661)),E661&lt;=0,N661&lt;0,COUNTIF(Типы,C661)&lt;&gt;1,COUNTIF(Категории,D661)&lt;&gt;1,COUNTIF(Счета,F661)&lt;&gt;1,COUNTIF(Проекты,I661)&lt;&gt;1,AND(H661&lt;&gt;"",COUNTIF(Контрагенты,H661)&lt;&gt;1),AND(C661="Перевод",OR(F661=G661,COUNTIF(Счета,G661)&lt;&gt;1)),AND(S661&lt;&gt;0,COUNTIF(Docs[ID],J661)&lt;&gt;1),AND(Форма="ООО",C661="Вывод ИП"),AND(Форма="ИП",C661="Дивиденды"),AND(L661&lt;&gt;"Проведён",L661&lt;&gt;"Черновик")),"ОШИБКА","ОК"))</f>
        <v/>
      </c>
      <c r="W661" s="25" t="str">
        <f>IF(A661="","",SUMIF(Accounts[Счёт],F661,Accounts[Начальный])+SUMIFS($Q$7:Q661,$F$7:F661,F661)+SUMIFS($E$7:E661,$G$7:G661,F661,$C$7:C661,"Перевод",$L$7:L661,"Проведён"))</f>
        <v/>
      </c>
    </row>
    <row r="662" spans="1:23" x14ac:dyDescent="0.25">
      <c r="A662" s="22"/>
      <c r="B662" s="23"/>
      <c r="C662" s="22"/>
      <c r="D662" s="22"/>
      <c r="E662" s="27"/>
      <c r="F662" s="22"/>
      <c r="G662" s="22"/>
      <c r="H662" s="22"/>
      <c r="I662" s="22"/>
      <c r="J662" s="22"/>
      <c r="K662" s="22"/>
      <c r="L662" s="22"/>
      <c r="M662" s="22"/>
      <c r="N662" s="27"/>
      <c r="O662" s="22"/>
      <c r="P662" s="5" t="str">
        <f>IF(A662="","",IF(COUNTIF(Типы,C662)=0,0,VLOOKUP(C662,СПРАВОЧНИКИ!$A$7:$E$22,2,FALSE)))</f>
        <v/>
      </c>
      <c r="Q662" s="25" t="str">
        <f t="shared" si="10"/>
        <v/>
      </c>
      <c r="R662" s="5" t="str">
        <f>IF(A662="","",IF(COUNTIF(Типы,C662)=0,"НЕИЗВЕСТНЫЙ ТИП",VLOOKUP(C662,СПРАВОЧНИКИ!$A$7:$E$22,3,FALSE)))</f>
        <v/>
      </c>
      <c r="S662" s="26" t="str">
        <f>IF(A662="","",IF(L662="Проведён",E662*IF(COUNTIF(Типы,C662)=0,0,VLOOKUP(C662,СПРАВОЧНИКИ!$A$7:$E$22,4,FALSE)),0))</f>
        <v/>
      </c>
      <c r="T662" s="26" t="str">
        <f>IF(A662="","",IF(L662="Проведён",E662*IF(COUNTIF(Типы,C662)=0,0,VLOOKUP(C662,СПРАВОЧНИКИ!$A$7:$E$22,5,FALSE)),0))</f>
        <v/>
      </c>
      <c r="U662" s="5" t="str">
        <f>IF(A662="","",IF(COUNTIF(Контрагенты,H662)=0,"Не задан",VLOOKUP(H662,СПРАВОЧНИКИ!$G$7:$H$66,2,FALSE)))</f>
        <v/>
      </c>
      <c r="V662" s="4" t="str">
        <f>IF(A662="",IF(COUNTA(B662:O662)&gt;0,"НЕТ ID",""),IF(OR(AND(OR(C662="Оплата клиента",C662="Возврат клиенту"),COUNTIFS(Docs[ID],J662,Docs[Тип долга],"ДЗ")&lt;&gt;1),AND(OR(C662="Оплата поставщику",C662="Возврат поставщика"),COUNTIFS(Docs[ID],J662,Docs[Тип долга],"КЗ",Docs[Вид],"&lt;&gt;Дивиденды")&lt;&gt;1),AND(C662="Дивиденды",COUNTIFS(Docs[ID],J662,Docs[Вид],"Дивиденды")&lt;&gt;1),AND(C662="Проценты",COUNTIFS(Docs[ID],J662,Docs[Вид],"Проценты")&lt;&gt;1),COUNTIF(Cash[ID],A662)&gt;1,NOT(ISNUMBER(B662)),B662&lt;НачалоУчета,YEAR(B662)&lt;&gt;Год,NOT(ISNUMBER(E662)),E662&lt;=0,N662&lt;0,COUNTIF(Типы,C662)&lt;&gt;1,COUNTIF(Категории,D662)&lt;&gt;1,COUNTIF(Счета,F662)&lt;&gt;1,COUNTIF(Проекты,I662)&lt;&gt;1,AND(H662&lt;&gt;"",COUNTIF(Контрагенты,H662)&lt;&gt;1),AND(C662="Перевод",OR(F662=G662,COUNTIF(Счета,G662)&lt;&gt;1)),AND(S662&lt;&gt;0,COUNTIF(Docs[ID],J662)&lt;&gt;1),AND(Форма="ООО",C662="Вывод ИП"),AND(Форма="ИП",C662="Дивиденды"),AND(L662&lt;&gt;"Проведён",L662&lt;&gt;"Черновик")),"ОШИБКА","ОК"))</f>
        <v/>
      </c>
      <c r="W662" s="25" t="str">
        <f>IF(A662="","",SUMIF(Accounts[Счёт],F662,Accounts[Начальный])+SUMIFS($Q$7:Q662,$F$7:F662,F662)+SUMIFS($E$7:E662,$G$7:G662,F662,$C$7:C662,"Перевод",$L$7:L662,"Проведён"))</f>
        <v/>
      </c>
    </row>
    <row r="663" spans="1:23" x14ac:dyDescent="0.25">
      <c r="A663" s="22"/>
      <c r="B663" s="23"/>
      <c r="C663" s="22"/>
      <c r="D663" s="22"/>
      <c r="E663" s="27"/>
      <c r="F663" s="22"/>
      <c r="G663" s="22"/>
      <c r="H663" s="22"/>
      <c r="I663" s="22"/>
      <c r="J663" s="22"/>
      <c r="K663" s="22"/>
      <c r="L663" s="22"/>
      <c r="M663" s="22"/>
      <c r="N663" s="27"/>
      <c r="O663" s="22"/>
      <c r="P663" s="5" t="str">
        <f>IF(A663="","",IF(COUNTIF(Типы,C663)=0,0,VLOOKUP(C663,СПРАВОЧНИКИ!$A$7:$E$22,2,FALSE)))</f>
        <v/>
      </c>
      <c r="Q663" s="25" t="str">
        <f t="shared" si="10"/>
        <v/>
      </c>
      <c r="R663" s="5" t="str">
        <f>IF(A663="","",IF(COUNTIF(Типы,C663)=0,"НЕИЗВЕСТНЫЙ ТИП",VLOOKUP(C663,СПРАВОЧНИКИ!$A$7:$E$22,3,FALSE)))</f>
        <v/>
      </c>
      <c r="S663" s="26" t="str">
        <f>IF(A663="","",IF(L663="Проведён",E663*IF(COUNTIF(Типы,C663)=0,0,VLOOKUP(C663,СПРАВОЧНИКИ!$A$7:$E$22,4,FALSE)),0))</f>
        <v/>
      </c>
      <c r="T663" s="26" t="str">
        <f>IF(A663="","",IF(L663="Проведён",E663*IF(COUNTIF(Типы,C663)=0,0,VLOOKUP(C663,СПРАВОЧНИКИ!$A$7:$E$22,5,FALSE)),0))</f>
        <v/>
      </c>
      <c r="U663" s="5" t="str">
        <f>IF(A663="","",IF(COUNTIF(Контрагенты,H663)=0,"Не задан",VLOOKUP(H663,СПРАВОЧНИКИ!$G$7:$H$66,2,FALSE)))</f>
        <v/>
      </c>
      <c r="V663" s="4" t="str">
        <f>IF(A663="",IF(COUNTA(B663:O663)&gt;0,"НЕТ ID",""),IF(OR(AND(OR(C663="Оплата клиента",C663="Возврат клиенту"),COUNTIFS(Docs[ID],J663,Docs[Тип долга],"ДЗ")&lt;&gt;1),AND(OR(C663="Оплата поставщику",C663="Возврат поставщика"),COUNTIFS(Docs[ID],J663,Docs[Тип долга],"КЗ",Docs[Вид],"&lt;&gt;Дивиденды")&lt;&gt;1),AND(C663="Дивиденды",COUNTIFS(Docs[ID],J663,Docs[Вид],"Дивиденды")&lt;&gt;1),AND(C663="Проценты",COUNTIFS(Docs[ID],J663,Docs[Вид],"Проценты")&lt;&gt;1),COUNTIF(Cash[ID],A663)&gt;1,NOT(ISNUMBER(B663)),B663&lt;НачалоУчета,YEAR(B663)&lt;&gt;Год,NOT(ISNUMBER(E663)),E663&lt;=0,N663&lt;0,COUNTIF(Типы,C663)&lt;&gt;1,COUNTIF(Категории,D663)&lt;&gt;1,COUNTIF(Счета,F663)&lt;&gt;1,COUNTIF(Проекты,I663)&lt;&gt;1,AND(H663&lt;&gt;"",COUNTIF(Контрагенты,H663)&lt;&gt;1),AND(C663="Перевод",OR(F663=G663,COUNTIF(Счета,G663)&lt;&gt;1)),AND(S663&lt;&gt;0,COUNTIF(Docs[ID],J663)&lt;&gt;1),AND(Форма="ООО",C663="Вывод ИП"),AND(Форма="ИП",C663="Дивиденды"),AND(L663&lt;&gt;"Проведён",L663&lt;&gt;"Черновик")),"ОШИБКА","ОК"))</f>
        <v/>
      </c>
      <c r="W663" s="25" t="str">
        <f>IF(A663="","",SUMIF(Accounts[Счёт],F663,Accounts[Начальный])+SUMIFS($Q$7:Q663,$F$7:F663,F663)+SUMIFS($E$7:E663,$G$7:G663,F663,$C$7:C663,"Перевод",$L$7:L663,"Проведён"))</f>
        <v/>
      </c>
    </row>
    <row r="664" spans="1:23" x14ac:dyDescent="0.25">
      <c r="A664" s="22"/>
      <c r="B664" s="23"/>
      <c r="C664" s="22"/>
      <c r="D664" s="22"/>
      <c r="E664" s="27"/>
      <c r="F664" s="22"/>
      <c r="G664" s="22"/>
      <c r="H664" s="22"/>
      <c r="I664" s="22"/>
      <c r="J664" s="22"/>
      <c r="K664" s="22"/>
      <c r="L664" s="22"/>
      <c r="M664" s="22"/>
      <c r="N664" s="27"/>
      <c r="O664" s="22"/>
      <c r="P664" s="5" t="str">
        <f>IF(A664="","",IF(COUNTIF(Типы,C664)=0,0,VLOOKUP(C664,СПРАВОЧНИКИ!$A$7:$E$22,2,FALSE)))</f>
        <v/>
      </c>
      <c r="Q664" s="25" t="str">
        <f t="shared" si="10"/>
        <v/>
      </c>
      <c r="R664" s="5" t="str">
        <f>IF(A664="","",IF(COUNTIF(Типы,C664)=0,"НЕИЗВЕСТНЫЙ ТИП",VLOOKUP(C664,СПРАВОЧНИКИ!$A$7:$E$22,3,FALSE)))</f>
        <v/>
      </c>
      <c r="S664" s="26" t="str">
        <f>IF(A664="","",IF(L664="Проведён",E664*IF(COUNTIF(Типы,C664)=0,0,VLOOKUP(C664,СПРАВОЧНИКИ!$A$7:$E$22,4,FALSE)),0))</f>
        <v/>
      </c>
      <c r="T664" s="26" t="str">
        <f>IF(A664="","",IF(L664="Проведён",E664*IF(COUNTIF(Типы,C664)=0,0,VLOOKUP(C664,СПРАВОЧНИКИ!$A$7:$E$22,5,FALSE)),0))</f>
        <v/>
      </c>
      <c r="U664" s="5" t="str">
        <f>IF(A664="","",IF(COUNTIF(Контрагенты,H664)=0,"Не задан",VLOOKUP(H664,СПРАВОЧНИКИ!$G$7:$H$66,2,FALSE)))</f>
        <v/>
      </c>
      <c r="V664" s="4" t="str">
        <f>IF(A664="",IF(COUNTA(B664:O664)&gt;0,"НЕТ ID",""),IF(OR(AND(OR(C664="Оплата клиента",C664="Возврат клиенту"),COUNTIFS(Docs[ID],J664,Docs[Тип долга],"ДЗ")&lt;&gt;1),AND(OR(C664="Оплата поставщику",C664="Возврат поставщика"),COUNTIFS(Docs[ID],J664,Docs[Тип долга],"КЗ",Docs[Вид],"&lt;&gt;Дивиденды")&lt;&gt;1),AND(C664="Дивиденды",COUNTIFS(Docs[ID],J664,Docs[Вид],"Дивиденды")&lt;&gt;1),AND(C664="Проценты",COUNTIFS(Docs[ID],J664,Docs[Вид],"Проценты")&lt;&gt;1),COUNTIF(Cash[ID],A664)&gt;1,NOT(ISNUMBER(B664)),B664&lt;НачалоУчета,YEAR(B664)&lt;&gt;Год,NOT(ISNUMBER(E664)),E664&lt;=0,N664&lt;0,COUNTIF(Типы,C664)&lt;&gt;1,COUNTIF(Категории,D664)&lt;&gt;1,COUNTIF(Счета,F664)&lt;&gt;1,COUNTIF(Проекты,I664)&lt;&gt;1,AND(H664&lt;&gt;"",COUNTIF(Контрагенты,H664)&lt;&gt;1),AND(C664="Перевод",OR(F664=G664,COUNTIF(Счета,G664)&lt;&gt;1)),AND(S664&lt;&gt;0,COUNTIF(Docs[ID],J664)&lt;&gt;1),AND(Форма="ООО",C664="Вывод ИП"),AND(Форма="ИП",C664="Дивиденды"),AND(L664&lt;&gt;"Проведён",L664&lt;&gt;"Черновик")),"ОШИБКА","ОК"))</f>
        <v/>
      </c>
      <c r="W664" s="25" t="str">
        <f>IF(A664="","",SUMIF(Accounts[Счёт],F664,Accounts[Начальный])+SUMIFS($Q$7:Q664,$F$7:F664,F664)+SUMIFS($E$7:E664,$G$7:G664,F664,$C$7:C664,"Перевод",$L$7:L664,"Проведён"))</f>
        <v/>
      </c>
    </row>
    <row r="665" spans="1:23" x14ac:dyDescent="0.25">
      <c r="A665" s="22"/>
      <c r="B665" s="23"/>
      <c r="C665" s="22"/>
      <c r="D665" s="22"/>
      <c r="E665" s="27"/>
      <c r="F665" s="22"/>
      <c r="G665" s="22"/>
      <c r="H665" s="22"/>
      <c r="I665" s="22"/>
      <c r="J665" s="22"/>
      <c r="K665" s="22"/>
      <c r="L665" s="22"/>
      <c r="M665" s="22"/>
      <c r="N665" s="27"/>
      <c r="O665" s="22"/>
      <c r="P665" s="5" t="str">
        <f>IF(A665="","",IF(COUNTIF(Типы,C665)=0,0,VLOOKUP(C665,СПРАВОЧНИКИ!$A$7:$E$22,2,FALSE)))</f>
        <v/>
      </c>
      <c r="Q665" s="25" t="str">
        <f t="shared" si="10"/>
        <v/>
      </c>
      <c r="R665" s="5" t="str">
        <f>IF(A665="","",IF(COUNTIF(Типы,C665)=0,"НЕИЗВЕСТНЫЙ ТИП",VLOOKUP(C665,СПРАВОЧНИКИ!$A$7:$E$22,3,FALSE)))</f>
        <v/>
      </c>
      <c r="S665" s="26" t="str">
        <f>IF(A665="","",IF(L665="Проведён",E665*IF(COUNTIF(Типы,C665)=0,0,VLOOKUP(C665,СПРАВОЧНИКИ!$A$7:$E$22,4,FALSE)),0))</f>
        <v/>
      </c>
      <c r="T665" s="26" t="str">
        <f>IF(A665="","",IF(L665="Проведён",E665*IF(COUNTIF(Типы,C665)=0,0,VLOOKUP(C665,СПРАВОЧНИКИ!$A$7:$E$22,5,FALSE)),0))</f>
        <v/>
      </c>
      <c r="U665" s="5" t="str">
        <f>IF(A665="","",IF(COUNTIF(Контрагенты,H665)=0,"Не задан",VLOOKUP(H665,СПРАВОЧНИКИ!$G$7:$H$66,2,FALSE)))</f>
        <v/>
      </c>
      <c r="V665" s="4" t="str">
        <f>IF(A665="",IF(COUNTA(B665:O665)&gt;0,"НЕТ ID",""),IF(OR(AND(OR(C665="Оплата клиента",C665="Возврат клиенту"),COUNTIFS(Docs[ID],J665,Docs[Тип долга],"ДЗ")&lt;&gt;1),AND(OR(C665="Оплата поставщику",C665="Возврат поставщика"),COUNTIFS(Docs[ID],J665,Docs[Тип долга],"КЗ",Docs[Вид],"&lt;&gt;Дивиденды")&lt;&gt;1),AND(C665="Дивиденды",COUNTIFS(Docs[ID],J665,Docs[Вид],"Дивиденды")&lt;&gt;1),AND(C665="Проценты",COUNTIFS(Docs[ID],J665,Docs[Вид],"Проценты")&lt;&gt;1),COUNTIF(Cash[ID],A665)&gt;1,NOT(ISNUMBER(B665)),B665&lt;НачалоУчета,YEAR(B665)&lt;&gt;Год,NOT(ISNUMBER(E665)),E665&lt;=0,N665&lt;0,COUNTIF(Типы,C665)&lt;&gt;1,COUNTIF(Категории,D665)&lt;&gt;1,COUNTIF(Счета,F665)&lt;&gt;1,COUNTIF(Проекты,I665)&lt;&gt;1,AND(H665&lt;&gt;"",COUNTIF(Контрагенты,H665)&lt;&gt;1),AND(C665="Перевод",OR(F665=G665,COUNTIF(Счета,G665)&lt;&gt;1)),AND(S665&lt;&gt;0,COUNTIF(Docs[ID],J665)&lt;&gt;1),AND(Форма="ООО",C665="Вывод ИП"),AND(Форма="ИП",C665="Дивиденды"),AND(L665&lt;&gt;"Проведён",L665&lt;&gt;"Черновик")),"ОШИБКА","ОК"))</f>
        <v/>
      </c>
      <c r="W665" s="25" t="str">
        <f>IF(A665="","",SUMIF(Accounts[Счёт],F665,Accounts[Начальный])+SUMIFS($Q$7:Q665,$F$7:F665,F665)+SUMIFS($E$7:E665,$G$7:G665,F665,$C$7:C665,"Перевод",$L$7:L665,"Проведён"))</f>
        <v/>
      </c>
    </row>
    <row r="666" spans="1:23" x14ac:dyDescent="0.25">
      <c r="A666" s="22"/>
      <c r="B666" s="23"/>
      <c r="C666" s="22"/>
      <c r="D666" s="22"/>
      <c r="E666" s="27"/>
      <c r="F666" s="22"/>
      <c r="G666" s="22"/>
      <c r="H666" s="22"/>
      <c r="I666" s="22"/>
      <c r="J666" s="22"/>
      <c r="K666" s="22"/>
      <c r="L666" s="22"/>
      <c r="M666" s="22"/>
      <c r="N666" s="27"/>
      <c r="O666" s="22"/>
      <c r="P666" s="5" t="str">
        <f>IF(A666="","",IF(COUNTIF(Типы,C666)=0,0,VLOOKUP(C666,СПРАВОЧНИКИ!$A$7:$E$22,2,FALSE)))</f>
        <v/>
      </c>
      <c r="Q666" s="25" t="str">
        <f t="shared" si="10"/>
        <v/>
      </c>
      <c r="R666" s="5" t="str">
        <f>IF(A666="","",IF(COUNTIF(Типы,C666)=0,"НЕИЗВЕСТНЫЙ ТИП",VLOOKUP(C666,СПРАВОЧНИКИ!$A$7:$E$22,3,FALSE)))</f>
        <v/>
      </c>
      <c r="S666" s="26" t="str">
        <f>IF(A666="","",IF(L666="Проведён",E666*IF(COUNTIF(Типы,C666)=0,0,VLOOKUP(C666,СПРАВОЧНИКИ!$A$7:$E$22,4,FALSE)),0))</f>
        <v/>
      </c>
      <c r="T666" s="26" t="str">
        <f>IF(A666="","",IF(L666="Проведён",E666*IF(COUNTIF(Типы,C666)=0,0,VLOOKUP(C666,СПРАВОЧНИКИ!$A$7:$E$22,5,FALSE)),0))</f>
        <v/>
      </c>
      <c r="U666" s="5" t="str">
        <f>IF(A666="","",IF(COUNTIF(Контрагенты,H666)=0,"Не задан",VLOOKUP(H666,СПРАВОЧНИКИ!$G$7:$H$66,2,FALSE)))</f>
        <v/>
      </c>
      <c r="V666" s="4" t="str">
        <f>IF(A666="",IF(COUNTA(B666:O666)&gt;0,"НЕТ ID",""),IF(OR(AND(OR(C666="Оплата клиента",C666="Возврат клиенту"),COUNTIFS(Docs[ID],J666,Docs[Тип долга],"ДЗ")&lt;&gt;1),AND(OR(C666="Оплата поставщику",C666="Возврат поставщика"),COUNTIFS(Docs[ID],J666,Docs[Тип долга],"КЗ",Docs[Вид],"&lt;&gt;Дивиденды")&lt;&gt;1),AND(C666="Дивиденды",COUNTIFS(Docs[ID],J666,Docs[Вид],"Дивиденды")&lt;&gt;1),AND(C666="Проценты",COUNTIFS(Docs[ID],J666,Docs[Вид],"Проценты")&lt;&gt;1),COUNTIF(Cash[ID],A666)&gt;1,NOT(ISNUMBER(B666)),B666&lt;НачалоУчета,YEAR(B666)&lt;&gt;Год,NOT(ISNUMBER(E666)),E666&lt;=0,N666&lt;0,COUNTIF(Типы,C666)&lt;&gt;1,COUNTIF(Категории,D666)&lt;&gt;1,COUNTIF(Счета,F666)&lt;&gt;1,COUNTIF(Проекты,I666)&lt;&gt;1,AND(H666&lt;&gt;"",COUNTIF(Контрагенты,H666)&lt;&gt;1),AND(C666="Перевод",OR(F666=G666,COUNTIF(Счета,G666)&lt;&gt;1)),AND(S666&lt;&gt;0,COUNTIF(Docs[ID],J666)&lt;&gt;1),AND(Форма="ООО",C666="Вывод ИП"),AND(Форма="ИП",C666="Дивиденды"),AND(L666&lt;&gt;"Проведён",L666&lt;&gt;"Черновик")),"ОШИБКА","ОК"))</f>
        <v/>
      </c>
      <c r="W666" s="25" t="str">
        <f>IF(A666="","",SUMIF(Accounts[Счёт],F666,Accounts[Начальный])+SUMIFS($Q$7:Q666,$F$7:F666,F666)+SUMIFS($E$7:E666,$G$7:G666,F666,$C$7:C666,"Перевод",$L$7:L666,"Проведён"))</f>
        <v/>
      </c>
    </row>
    <row r="667" spans="1:23" x14ac:dyDescent="0.25">
      <c r="A667" s="22"/>
      <c r="B667" s="23"/>
      <c r="C667" s="22"/>
      <c r="D667" s="22"/>
      <c r="E667" s="27"/>
      <c r="F667" s="22"/>
      <c r="G667" s="22"/>
      <c r="H667" s="22"/>
      <c r="I667" s="22"/>
      <c r="J667" s="22"/>
      <c r="K667" s="22"/>
      <c r="L667" s="22"/>
      <c r="M667" s="22"/>
      <c r="N667" s="27"/>
      <c r="O667" s="22"/>
      <c r="P667" s="5" t="str">
        <f>IF(A667="","",IF(COUNTIF(Типы,C667)=0,0,VLOOKUP(C667,СПРАВОЧНИКИ!$A$7:$E$22,2,FALSE)))</f>
        <v/>
      </c>
      <c r="Q667" s="25" t="str">
        <f t="shared" si="10"/>
        <v/>
      </c>
      <c r="R667" s="5" t="str">
        <f>IF(A667="","",IF(COUNTIF(Типы,C667)=0,"НЕИЗВЕСТНЫЙ ТИП",VLOOKUP(C667,СПРАВОЧНИКИ!$A$7:$E$22,3,FALSE)))</f>
        <v/>
      </c>
      <c r="S667" s="26" t="str">
        <f>IF(A667="","",IF(L667="Проведён",E667*IF(COUNTIF(Типы,C667)=0,0,VLOOKUP(C667,СПРАВОЧНИКИ!$A$7:$E$22,4,FALSE)),0))</f>
        <v/>
      </c>
      <c r="T667" s="26" t="str">
        <f>IF(A667="","",IF(L667="Проведён",E667*IF(COUNTIF(Типы,C667)=0,0,VLOOKUP(C667,СПРАВОЧНИКИ!$A$7:$E$22,5,FALSE)),0))</f>
        <v/>
      </c>
      <c r="U667" s="5" t="str">
        <f>IF(A667="","",IF(COUNTIF(Контрагенты,H667)=0,"Не задан",VLOOKUP(H667,СПРАВОЧНИКИ!$G$7:$H$66,2,FALSE)))</f>
        <v/>
      </c>
      <c r="V667" s="4" t="str">
        <f>IF(A667="",IF(COUNTA(B667:O667)&gt;0,"НЕТ ID",""),IF(OR(AND(OR(C667="Оплата клиента",C667="Возврат клиенту"),COUNTIFS(Docs[ID],J667,Docs[Тип долга],"ДЗ")&lt;&gt;1),AND(OR(C667="Оплата поставщику",C667="Возврат поставщика"),COUNTIFS(Docs[ID],J667,Docs[Тип долга],"КЗ",Docs[Вид],"&lt;&gt;Дивиденды")&lt;&gt;1),AND(C667="Дивиденды",COUNTIFS(Docs[ID],J667,Docs[Вид],"Дивиденды")&lt;&gt;1),AND(C667="Проценты",COUNTIFS(Docs[ID],J667,Docs[Вид],"Проценты")&lt;&gt;1),COUNTIF(Cash[ID],A667)&gt;1,NOT(ISNUMBER(B667)),B667&lt;НачалоУчета,YEAR(B667)&lt;&gt;Год,NOT(ISNUMBER(E667)),E667&lt;=0,N667&lt;0,COUNTIF(Типы,C667)&lt;&gt;1,COUNTIF(Категории,D667)&lt;&gt;1,COUNTIF(Счета,F667)&lt;&gt;1,COUNTIF(Проекты,I667)&lt;&gt;1,AND(H667&lt;&gt;"",COUNTIF(Контрагенты,H667)&lt;&gt;1),AND(C667="Перевод",OR(F667=G667,COUNTIF(Счета,G667)&lt;&gt;1)),AND(S667&lt;&gt;0,COUNTIF(Docs[ID],J667)&lt;&gt;1),AND(Форма="ООО",C667="Вывод ИП"),AND(Форма="ИП",C667="Дивиденды"),AND(L667&lt;&gt;"Проведён",L667&lt;&gt;"Черновик")),"ОШИБКА","ОК"))</f>
        <v/>
      </c>
      <c r="W667" s="25" t="str">
        <f>IF(A667="","",SUMIF(Accounts[Счёт],F667,Accounts[Начальный])+SUMIFS($Q$7:Q667,$F$7:F667,F667)+SUMIFS($E$7:E667,$G$7:G667,F667,$C$7:C667,"Перевод",$L$7:L667,"Проведён"))</f>
        <v/>
      </c>
    </row>
    <row r="668" spans="1:23" x14ac:dyDescent="0.25">
      <c r="A668" s="22"/>
      <c r="B668" s="23"/>
      <c r="C668" s="22"/>
      <c r="D668" s="22"/>
      <c r="E668" s="27"/>
      <c r="F668" s="22"/>
      <c r="G668" s="22"/>
      <c r="H668" s="22"/>
      <c r="I668" s="22"/>
      <c r="J668" s="22"/>
      <c r="K668" s="22"/>
      <c r="L668" s="22"/>
      <c r="M668" s="22"/>
      <c r="N668" s="27"/>
      <c r="O668" s="22"/>
      <c r="P668" s="5" t="str">
        <f>IF(A668="","",IF(COUNTIF(Типы,C668)=0,0,VLOOKUP(C668,СПРАВОЧНИКИ!$A$7:$E$22,2,FALSE)))</f>
        <v/>
      </c>
      <c r="Q668" s="25" t="str">
        <f t="shared" si="10"/>
        <v/>
      </c>
      <c r="R668" s="5" t="str">
        <f>IF(A668="","",IF(COUNTIF(Типы,C668)=0,"НЕИЗВЕСТНЫЙ ТИП",VLOOKUP(C668,СПРАВОЧНИКИ!$A$7:$E$22,3,FALSE)))</f>
        <v/>
      </c>
      <c r="S668" s="26" t="str">
        <f>IF(A668="","",IF(L668="Проведён",E668*IF(COUNTIF(Типы,C668)=0,0,VLOOKUP(C668,СПРАВОЧНИКИ!$A$7:$E$22,4,FALSE)),0))</f>
        <v/>
      </c>
      <c r="T668" s="26" t="str">
        <f>IF(A668="","",IF(L668="Проведён",E668*IF(COUNTIF(Типы,C668)=0,0,VLOOKUP(C668,СПРАВОЧНИКИ!$A$7:$E$22,5,FALSE)),0))</f>
        <v/>
      </c>
      <c r="U668" s="5" t="str">
        <f>IF(A668="","",IF(COUNTIF(Контрагенты,H668)=0,"Не задан",VLOOKUP(H668,СПРАВОЧНИКИ!$G$7:$H$66,2,FALSE)))</f>
        <v/>
      </c>
      <c r="V668" s="4" t="str">
        <f>IF(A668="",IF(COUNTA(B668:O668)&gt;0,"НЕТ ID",""),IF(OR(AND(OR(C668="Оплата клиента",C668="Возврат клиенту"),COUNTIFS(Docs[ID],J668,Docs[Тип долга],"ДЗ")&lt;&gt;1),AND(OR(C668="Оплата поставщику",C668="Возврат поставщика"),COUNTIFS(Docs[ID],J668,Docs[Тип долга],"КЗ",Docs[Вид],"&lt;&gt;Дивиденды")&lt;&gt;1),AND(C668="Дивиденды",COUNTIFS(Docs[ID],J668,Docs[Вид],"Дивиденды")&lt;&gt;1),AND(C668="Проценты",COUNTIFS(Docs[ID],J668,Docs[Вид],"Проценты")&lt;&gt;1),COUNTIF(Cash[ID],A668)&gt;1,NOT(ISNUMBER(B668)),B668&lt;НачалоУчета,YEAR(B668)&lt;&gt;Год,NOT(ISNUMBER(E668)),E668&lt;=0,N668&lt;0,COUNTIF(Типы,C668)&lt;&gt;1,COUNTIF(Категории,D668)&lt;&gt;1,COUNTIF(Счета,F668)&lt;&gt;1,COUNTIF(Проекты,I668)&lt;&gt;1,AND(H668&lt;&gt;"",COUNTIF(Контрагенты,H668)&lt;&gt;1),AND(C668="Перевод",OR(F668=G668,COUNTIF(Счета,G668)&lt;&gt;1)),AND(S668&lt;&gt;0,COUNTIF(Docs[ID],J668)&lt;&gt;1),AND(Форма="ООО",C668="Вывод ИП"),AND(Форма="ИП",C668="Дивиденды"),AND(L668&lt;&gt;"Проведён",L668&lt;&gt;"Черновик")),"ОШИБКА","ОК"))</f>
        <v/>
      </c>
      <c r="W668" s="25" t="str">
        <f>IF(A668="","",SUMIF(Accounts[Счёт],F668,Accounts[Начальный])+SUMIFS($Q$7:Q668,$F$7:F668,F668)+SUMIFS($E$7:E668,$G$7:G668,F668,$C$7:C668,"Перевод",$L$7:L668,"Проведён"))</f>
        <v/>
      </c>
    </row>
    <row r="669" spans="1:23" x14ac:dyDescent="0.25">
      <c r="A669" s="22"/>
      <c r="B669" s="23"/>
      <c r="C669" s="22"/>
      <c r="D669" s="22"/>
      <c r="E669" s="27"/>
      <c r="F669" s="22"/>
      <c r="G669" s="22"/>
      <c r="H669" s="22"/>
      <c r="I669" s="22"/>
      <c r="J669" s="22"/>
      <c r="K669" s="22"/>
      <c r="L669" s="22"/>
      <c r="M669" s="22"/>
      <c r="N669" s="27"/>
      <c r="O669" s="22"/>
      <c r="P669" s="5" t="str">
        <f>IF(A669="","",IF(COUNTIF(Типы,C669)=0,0,VLOOKUP(C669,СПРАВОЧНИКИ!$A$7:$E$22,2,FALSE)))</f>
        <v/>
      </c>
      <c r="Q669" s="25" t="str">
        <f t="shared" si="10"/>
        <v/>
      </c>
      <c r="R669" s="5" t="str">
        <f>IF(A669="","",IF(COUNTIF(Типы,C669)=0,"НЕИЗВЕСТНЫЙ ТИП",VLOOKUP(C669,СПРАВОЧНИКИ!$A$7:$E$22,3,FALSE)))</f>
        <v/>
      </c>
      <c r="S669" s="26" t="str">
        <f>IF(A669="","",IF(L669="Проведён",E669*IF(COUNTIF(Типы,C669)=0,0,VLOOKUP(C669,СПРАВОЧНИКИ!$A$7:$E$22,4,FALSE)),0))</f>
        <v/>
      </c>
      <c r="T669" s="26" t="str">
        <f>IF(A669="","",IF(L669="Проведён",E669*IF(COUNTIF(Типы,C669)=0,0,VLOOKUP(C669,СПРАВОЧНИКИ!$A$7:$E$22,5,FALSE)),0))</f>
        <v/>
      </c>
      <c r="U669" s="5" t="str">
        <f>IF(A669="","",IF(COUNTIF(Контрагенты,H669)=0,"Не задан",VLOOKUP(H669,СПРАВОЧНИКИ!$G$7:$H$66,2,FALSE)))</f>
        <v/>
      </c>
      <c r="V669" s="4" t="str">
        <f>IF(A669="",IF(COUNTA(B669:O669)&gt;0,"НЕТ ID",""),IF(OR(AND(OR(C669="Оплата клиента",C669="Возврат клиенту"),COUNTIFS(Docs[ID],J669,Docs[Тип долга],"ДЗ")&lt;&gt;1),AND(OR(C669="Оплата поставщику",C669="Возврат поставщика"),COUNTIFS(Docs[ID],J669,Docs[Тип долга],"КЗ",Docs[Вид],"&lt;&gt;Дивиденды")&lt;&gt;1),AND(C669="Дивиденды",COUNTIFS(Docs[ID],J669,Docs[Вид],"Дивиденды")&lt;&gt;1),AND(C669="Проценты",COUNTIFS(Docs[ID],J669,Docs[Вид],"Проценты")&lt;&gt;1),COUNTIF(Cash[ID],A669)&gt;1,NOT(ISNUMBER(B669)),B669&lt;НачалоУчета,YEAR(B669)&lt;&gt;Год,NOT(ISNUMBER(E669)),E669&lt;=0,N669&lt;0,COUNTIF(Типы,C669)&lt;&gt;1,COUNTIF(Категории,D669)&lt;&gt;1,COUNTIF(Счета,F669)&lt;&gt;1,COUNTIF(Проекты,I669)&lt;&gt;1,AND(H669&lt;&gt;"",COUNTIF(Контрагенты,H669)&lt;&gt;1),AND(C669="Перевод",OR(F669=G669,COUNTIF(Счета,G669)&lt;&gt;1)),AND(S669&lt;&gt;0,COUNTIF(Docs[ID],J669)&lt;&gt;1),AND(Форма="ООО",C669="Вывод ИП"),AND(Форма="ИП",C669="Дивиденды"),AND(L669&lt;&gt;"Проведён",L669&lt;&gt;"Черновик")),"ОШИБКА","ОК"))</f>
        <v/>
      </c>
      <c r="W669" s="25" t="str">
        <f>IF(A669="","",SUMIF(Accounts[Счёт],F669,Accounts[Начальный])+SUMIFS($Q$7:Q669,$F$7:F669,F669)+SUMIFS($E$7:E669,$G$7:G669,F669,$C$7:C669,"Перевод",$L$7:L669,"Проведён"))</f>
        <v/>
      </c>
    </row>
    <row r="670" spans="1:23" x14ac:dyDescent="0.25">
      <c r="A670" s="22"/>
      <c r="B670" s="23"/>
      <c r="C670" s="22"/>
      <c r="D670" s="22"/>
      <c r="E670" s="27"/>
      <c r="F670" s="22"/>
      <c r="G670" s="22"/>
      <c r="H670" s="22"/>
      <c r="I670" s="22"/>
      <c r="J670" s="22"/>
      <c r="K670" s="22"/>
      <c r="L670" s="22"/>
      <c r="M670" s="22"/>
      <c r="N670" s="27"/>
      <c r="O670" s="22"/>
      <c r="P670" s="5" t="str">
        <f>IF(A670="","",IF(COUNTIF(Типы,C670)=0,0,VLOOKUP(C670,СПРАВОЧНИКИ!$A$7:$E$22,2,FALSE)))</f>
        <v/>
      </c>
      <c r="Q670" s="25" t="str">
        <f t="shared" si="10"/>
        <v/>
      </c>
      <c r="R670" s="5" t="str">
        <f>IF(A670="","",IF(COUNTIF(Типы,C670)=0,"НЕИЗВЕСТНЫЙ ТИП",VLOOKUP(C670,СПРАВОЧНИКИ!$A$7:$E$22,3,FALSE)))</f>
        <v/>
      </c>
      <c r="S670" s="26" t="str">
        <f>IF(A670="","",IF(L670="Проведён",E670*IF(COUNTIF(Типы,C670)=0,0,VLOOKUP(C670,СПРАВОЧНИКИ!$A$7:$E$22,4,FALSE)),0))</f>
        <v/>
      </c>
      <c r="T670" s="26" t="str">
        <f>IF(A670="","",IF(L670="Проведён",E670*IF(COUNTIF(Типы,C670)=0,0,VLOOKUP(C670,СПРАВОЧНИКИ!$A$7:$E$22,5,FALSE)),0))</f>
        <v/>
      </c>
      <c r="U670" s="5" t="str">
        <f>IF(A670="","",IF(COUNTIF(Контрагенты,H670)=0,"Не задан",VLOOKUP(H670,СПРАВОЧНИКИ!$G$7:$H$66,2,FALSE)))</f>
        <v/>
      </c>
      <c r="V670" s="4" t="str">
        <f>IF(A670="",IF(COUNTA(B670:O670)&gt;0,"НЕТ ID",""),IF(OR(AND(OR(C670="Оплата клиента",C670="Возврат клиенту"),COUNTIFS(Docs[ID],J670,Docs[Тип долга],"ДЗ")&lt;&gt;1),AND(OR(C670="Оплата поставщику",C670="Возврат поставщика"),COUNTIFS(Docs[ID],J670,Docs[Тип долга],"КЗ",Docs[Вид],"&lt;&gt;Дивиденды")&lt;&gt;1),AND(C670="Дивиденды",COUNTIFS(Docs[ID],J670,Docs[Вид],"Дивиденды")&lt;&gt;1),AND(C670="Проценты",COUNTIFS(Docs[ID],J670,Docs[Вид],"Проценты")&lt;&gt;1),COUNTIF(Cash[ID],A670)&gt;1,NOT(ISNUMBER(B670)),B670&lt;НачалоУчета,YEAR(B670)&lt;&gt;Год,NOT(ISNUMBER(E670)),E670&lt;=0,N670&lt;0,COUNTIF(Типы,C670)&lt;&gt;1,COUNTIF(Категории,D670)&lt;&gt;1,COUNTIF(Счета,F670)&lt;&gt;1,COUNTIF(Проекты,I670)&lt;&gt;1,AND(H670&lt;&gt;"",COUNTIF(Контрагенты,H670)&lt;&gt;1),AND(C670="Перевод",OR(F670=G670,COUNTIF(Счета,G670)&lt;&gt;1)),AND(S670&lt;&gt;0,COUNTIF(Docs[ID],J670)&lt;&gt;1),AND(Форма="ООО",C670="Вывод ИП"),AND(Форма="ИП",C670="Дивиденды"),AND(L670&lt;&gt;"Проведён",L670&lt;&gt;"Черновик")),"ОШИБКА","ОК"))</f>
        <v/>
      </c>
      <c r="W670" s="25" t="str">
        <f>IF(A670="","",SUMIF(Accounts[Счёт],F670,Accounts[Начальный])+SUMIFS($Q$7:Q670,$F$7:F670,F670)+SUMIFS($E$7:E670,$G$7:G670,F670,$C$7:C670,"Перевод",$L$7:L670,"Проведён"))</f>
        <v/>
      </c>
    </row>
    <row r="671" spans="1:23" x14ac:dyDescent="0.25">
      <c r="A671" s="22"/>
      <c r="B671" s="23"/>
      <c r="C671" s="22"/>
      <c r="D671" s="22"/>
      <c r="E671" s="27"/>
      <c r="F671" s="22"/>
      <c r="G671" s="22"/>
      <c r="H671" s="22"/>
      <c r="I671" s="22"/>
      <c r="J671" s="22"/>
      <c r="K671" s="22"/>
      <c r="L671" s="22"/>
      <c r="M671" s="22"/>
      <c r="N671" s="27"/>
      <c r="O671" s="22"/>
      <c r="P671" s="5" t="str">
        <f>IF(A671="","",IF(COUNTIF(Типы,C671)=0,0,VLOOKUP(C671,СПРАВОЧНИКИ!$A$7:$E$22,2,FALSE)))</f>
        <v/>
      </c>
      <c r="Q671" s="25" t="str">
        <f t="shared" si="10"/>
        <v/>
      </c>
      <c r="R671" s="5" t="str">
        <f>IF(A671="","",IF(COUNTIF(Типы,C671)=0,"НЕИЗВЕСТНЫЙ ТИП",VLOOKUP(C671,СПРАВОЧНИКИ!$A$7:$E$22,3,FALSE)))</f>
        <v/>
      </c>
      <c r="S671" s="26" t="str">
        <f>IF(A671="","",IF(L671="Проведён",E671*IF(COUNTIF(Типы,C671)=0,0,VLOOKUP(C671,СПРАВОЧНИКИ!$A$7:$E$22,4,FALSE)),0))</f>
        <v/>
      </c>
      <c r="T671" s="26" t="str">
        <f>IF(A671="","",IF(L671="Проведён",E671*IF(COUNTIF(Типы,C671)=0,0,VLOOKUP(C671,СПРАВОЧНИКИ!$A$7:$E$22,5,FALSE)),0))</f>
        <v/>
      </c>
      <c r="U671" s="5" t="str">
        <f>IF(A671="","",IF(COUNTIF(Контрагенты,H671)=0,"Не задан",VLOOKUP(H671,СПРАВОЧНИКИ!$G$7:$H$66,2,FALSE)))</f>
        <v/>
      </c>
      <c r="V671" s="4" t="str">
        <f>IF(A671="",IF(COUNTA(B671:O671)&gt;0,"НЕТ ID",""),IF(OR(AND(OR(C671="Оплата клиента",C671="Возврат клиенту"),COUNTIFS(Docs[ID],J671,Docs[Тип долга],"ДЗ")&lt;&gt;1),AND(OR(C671="Оплата поставщику",C671="Возврат поставщика"),COUNTIFS(Docs[ID],J671,Docs[Тип долга],"КЗ",Docs[Вид],"&lt;&gt;Дивиденды")&lt;&gt;1),AND(C671="Дивиденды",COUNTIFS(Docs[ID],J671,Docs[Вид],"Дивиденды")&lt;&gt;1),AND(C671="Проценты",COUNTIFS(Docs[ID],J671,Docs[Вид],"Проценты")&lt;&gt;1),COUNTIF(Cash[ID],A671)&gt;1,NOT(ISNUMBER(B671)),B671&lt;НачалоУчета,YEAR(B671)&lt;&gt;Год,NOT(ISNUMBER(E671)),E671&lt;=0,N671&lt;0,COUNTIF(Типы,C671)&lt;&gt;1,COUNTIF(Категории,D671)&lt;&gt;1,COUNTIF(Счета,F671)&lt;&gt;1,COUNTIF(Проекты,I671)&lt;&gt;1,AND(H671&lt;&gt;"",COUNTIF(Контрагенты,H671)&lt;&gt;1),AND(C671="Перевод",OR(F671=G671,COUNTIF(Счета,G671)&lt;&gt;1)),AND(S671&lt;&gt;0,COUNTIF(Docs[ID],J671)&lt;&gt;1),AND(Форма="ООО",C671="Вывод ИП"),AND(Форма="ИП",C671="Дивиденды"),AND(L671&lt;&gt;"Проведён",L671&lt;&gt;"Черновик")),"ОШИБКА","ОК"))</f>
        <v/>
      </c>
      <c r="W671" s="25" t="str">
        <f>IF(A671="","",SUMIF(Accounts[Счёт],F671,Accounts[Начальный])+SUMIFS($Q$7:Q671,$F$7:F671,F671)+SUMIFS($E$7:E671,$G$7:G671,F671,$C$7:C671,"Перевод",$L$7:L671,"Проведён"))</f>
        <v/>
      </c>
    </row>
    <row r="672" spans="1:23" x14ac:dyDescent="0.25">
      <c r="A672" s="22"/>
      <c r="B672" s="23"/>
      <c r="C672" s="22"/>
      <c r="D672" s="22"/>
      <c r="E672" s="27"/>
      <c r="F672" s="22"/>
      <c r="G672" s="22"/>
      <c r="H672" s="22"/>
      <c r="I672" s="22"/>
      <c r="J672" s="22"/>
      <c r="K672" s="22"/>
      <c r="L672" s="22"/>
      <c r="M672" s="22"/>
      <c r="N672" s="27"/>
      <c r="O672" s="22"/>
      <c r="P672" s="5" t="str">
        <f>IF(A672="","",IF(COUNTIF(Типы,C672)=0,0,VLOOKUP(C672,СПРАВОЧНИКИ!$A$7:$E$22,2,FALSE)))</f>
        <v/>
      </c>
      <c r="Q672" s="25" t="str">
        <f t="shared" si="10"/>
        <v/>
      </c>
      <c r="R672" s="5" t="str">
        <f>IF(A672="","",IF(COUNTIF(Типы,C672)=0,"НЕИЗВЕСТНЫЙ ТИП",VLOOKUP(C672,СПРАВОЧНИКИ!$A$7:$E$22,3,FALSE)))</f>
        <v/>
      </c>
      <c r="S672" s="26" t="str">
        <f>IF(A672="","",IF(L672="Проведён",E672*IF(COUNTIF(Типы,C672)=0,0,VLOOKUP(C672,СПРАВОЧНИКИ!$A$7:$E$22,4,FALSE)),0))</f>
        <v/>
      </c>
      <c r="T672" s="26" t="str">
        <f>IF(A672="","",IF(L672="Проведён",E672*IF(COUNTIF(Типы,C672)=0,0,VLOOKUP(C672,СПРАВОЧНИКИ!$A$7:$E$22,5,FALSE)),0))</f>
        <v/>
      </c>
      <c r="U672" s="5" t="str">
        <f>IF(A672="","",IF(COUNTIF(Контрагенты,H672)=0,"Не задан",VLOOKUP(H672,СПРАВОЧНИКИ!$G$7:$H$66,2,FALSE)))</f>
        <v/>
      </c>
      <c r="V672" s="4" t="str">
        <f>IF(A672="",IF(COUNTA(B672:O672)&gt;0,"НЕТ ID",""),IF(OR(AND(OR(C672="Оплата клиента",C672="Возврат клиенту"),COUNTIFS(Docs[ID],J672,Docs[Тип долга],"ДЗ")&lt;&gt;1),AND(OR(C672="Оплата поставщику",C672="Возврат поставщика"),COUNTIFS(Docs[ID],J672,Docs[Тип долга],"КЗ",Docs[Вид],"&lt;&gt;Дивиденды")&lt;&gt;1),AND(C672="Дивиденды",COUNTIFS(Docs[ID],J672,Docs[Вид],"Дивиденды")&lt;&gt;1),AND(C672="Проценты",COUNTIFS(Docs[ID],J672,Docs[Вид],"Проценты")&lt;&gt;1),COUNTIF(Cash[ID],A672)&gt;1,NOT(ISNUMBER(B672)),B672&lt;НачалоУчета,YEAR(B672)&lt;&gt;Год,NOT(ISNUMBER(E672)),E672&lt;=0,N672&lt;0,COUNTIF(Типы,C672)&lt;&gt;1,COUNTIF(Категории,D672)&lt;&gt;1,COUNTIF(Счета,F672)&lt;&gt;1,COUNTIF(Проекты,I672)&lt;&gt;1,AND(H672&lt;&gt;"",COUNTIF(Контрагенты,H672)&lt;&gt;1),AND(C672="Перевод",OR(F672=G672,COUNTIF(Счета,G672)&lt;&gt;1)),AND(S672&lt;&gt;0,COUNTIF(Docs[ID],J672)&lt;&gt;1),AND(Форма="ООО",C672="Вывод ИП"),AND(Форма="ИП",C672="Дивиденды"),AND(L672&lt;&gt;"Проведён",L672&lt;&gt;"Черновик")),"ОШИБКА","ОК"))</f>
        <v/>
      </c>
      <c r="W672" s="25" t="str">
        <f>IF(A672="","",SUMIF(Accounts[Счёт],F672,Accounts[Начальный])+SUMIFS($Q$7:Q672,$F$7:F672,F672)+SUMIFS($E$7:E672,$G$7:G672,F672,$C$7:C672,"Перевод",$L$7:L672,"Проведён"))</f>
        <v/>
      </c>
    </row>
    <row r="673" spans="1:23" x14ac:dyDescent="0.25">
      <c r="A673" s="22"/>
      <c r="B673" s="23"/>
      <c r="C673" s="22"/>
      <c r="D673" s="22"/>
      <c r="E673" s="27"/>
      <c r="F673" s="22"/>
      <c r="G673" s="22"/>
      <c r="H673" s="22"/>
      <c r="I673" s="22"/>
      <c r="J673" s="22"/>
      <c r="K673" s="22"/>
      <c r="L673" s="22"/>
      <c r="M673" s="22"/>
      <c r="N673" s="27"/>
      <c r="O673" s="22"/>
      <c r="P673" s="5" t="str">
        <f>IF(A673="","",IF(COUNTIF(Типы,C673)=0,0,VLOOKUP(C673,СПРАВОЧНИКИ!$A$7:$E$22,2,FALSE)))</f>
        <v/>
      </c>
      <c r="Q673" s="25" t="str">
        <f t="shared" si="10"/>
        <v/>
      </c>
      <c r="R673" s="5" t="str">
        <f>IF(A673="","",IF(COUNTIF(Типы,C673)=0,"НЕИЗВЕСТНЫЙ ТИП",VLOOKUP(C673,СПРАВОЧНИКИ!$A$7:$E$22,3,FALSE)))</f>
        <v/>
      </c>
      <c r="S673" s="26" t="str">
        <f>IF(A673="","",IF(L673="Проведён",E673*IF(COUNTIF(Типы,C673)=0,0,VLOOKUP(C673,СПРАВОЧНИКИ!$A$7:$E$22,4,FALSE)),0))</f>
        <v/>
      </c>
      <c r="T673" s="26" t="str">
        <f>IF(A673="","",IF(L673="Проведён",E673*IF(COUNTIF(Типы,C673)=0,0,VLOOKUP(C673,СПРАВОЧНИКИ!$A$7:$E$22,5,FALSE)),0))</f>
        <v/>
      </c>
      <c r="U673" s="5" t="str">
        <f>IF(A673="","",IF(COUNTIF(Контрагенты,H673)=0,"Не задан",VLOOKUP(H673,СПРАВОЧНИКИ!$G$7:$H$66,2,FALSE)))</f>
        <v/>
      </c>
      <c r="V673" s="4" t="str">
        <f>IF(A673="",IF(COUNTA(B673:O673)&gt;0,"НЕТ ID",""),IF(OR(AND(OR(C673="Оплата клиента",C673="Возврат клиенту"),COUNTIFS(Docs[ID],J673,Docs[Тип долга],"ДЗ")&lt;&gt;1),AND(OR(C673="Оплата поставщику",C673="Возврат поставщика"),COUNTIFS(Docs[ID],J673,Docs[Тип долга],"КЗ",Docs[Вид],"&lt;&gt;Дивиденды")&lt;&gt;1),AND(C673="Дивиденды",COUNTIFS(Docs[ID],J673,Docs[Вид],"Дивиденды")&lt;&gt;1),AND(C673="Проценты",COUNTIFS(Docs[ID],J673,Docs[Вид],"Проценты")&lt;&gt;1),COUNTIF(Cash[ID],A673)&gt;1,NOT(ISNUMBER(B673)),B673&lt;НачалоУчета,YEAR(B673)&lt;&gt;Год,NOT(ISNUMBER(E673)),E673&lt;=0,N673&lt;0,COUNTIF(Типы,C673)&lt;&gt;1,COUNTIF(Категории,D673)&lt;&gt;1,COUNTIF(Счета,F673)&lt;&gt;1,COUNTIF(Проекты,I673)&lt;&gt;1,AND(H673&lt;&gt;"",COUNTIF(Контрагенты,H673)&lt;&gt;1),AND(C673="Перевод",OR(F673=G673,COUNTIF(Счета,G673)&lt;&gt;1)),AND(S673&lt;&gt;0,COUNTIF(Docs[ID],J673)&lt;&gt;1),AND(Форма="ООО",C673="Вывод ИП"),AND(Форма="ИП",C673="Дивиденды"),AND(L673&lt;&gt;"Проведён",L673&lt;&gt;"Черновик")),"ОШИБКА","ОК"))</f>
        <v/>
      </c>
      <c r="W673" s="25" t="str">
        <f>IF(A673="","",SUMIF(Accounts[Счёт],F673,Accounts[Начальный])+SUMIFS($Q$7:Q673,$F$7:F673,F673)+SUMIFS($E$7:E673,$G$7:G673,F673,$C$7:C673,"Перевод",$L$7:L673,"Проведён"))</f>
        <v/>
      </c>
    </row>
    <row r="674" spans="1:23" x14ac:dyDescent="0.25">
      <c r="A674" s="22"/>
      <c r="B674" s="23"/>
      <c r="C674" s="22"/>
      <c r="D674" s="22"/>
      <c r="E674" s="27"/>
      <c r="F674" s="22"/>
      <c r="G674" s="22"/>
      <c r="H674" s="22"/>
      <c r="I674" s="22"/>
      <c r="J674" s="22"/>
      <c r="K674" s="22"/>
      <c r="L674" s="22"/>
      <c r="M674" s="22"/>
      <c r="N674" s="27"/>
      <c r="O674" s="22"/>
      <c r="P674" s="5" t="str">
        <f>IF(A674="","",IF(COUNTIF(Типы,C674)=0,0,VLOOKUP(C674,СПРАВОЧНИКИ!$A$7:$E$22,2,FALSE)))</f>
        <v/>
      </c>
      <c r="Q674" s="25" t="str">
        <f t="shared" si="10"/>
        <v/>
      </c>
      <c r="R674" s="5" t="str">
        <f>IF(A674="","",IF(COUNTIF(Типы,C674)=0,"НЕИЗВЕСТНЫЙ ТИП",VLOOKUP(C674,СПРАВОЧНИКИ!$A$7:$E$22,3,FALSE)))</f>
        <v/>
      </c>
      <c r="S674" s="26" t="str">
        <f>IF(A674="","",IF(L674="Проведён",E674*IF(COUNTIF(Типы,C674)=0,0,VLOOKUP(C674,СПРАВОЧНИКИ!$A$7:$E$22,4,FALSE)),0))</f>
        <v/>
      </c>
      <c r="T674" s="26" t="str">
        <f>IF(A674="","",IF(L674="Проведён",E674*IF(COUNTIF(Типы,C674)=0,0,VLOOKUP(C674,СПРАВОЧНИКИ!$A$7:$E$22,5,FALSE)),0))</f>
        <v/>
      </c>
      <c r="U674" s="5" t="str">
        <f>IF(A674="","",IF(COUNTIF(Контрагенты,H674)=0,"Не задан",VLOOKUP(H674,СПРАВОЧНИКИ!$G$7:$H$66,2,FALSE)))</f>
        <v/>
      </c>
      <c r="V674" s="4" t="str">
        <f>IF(A674="",IF(COUNTA(B674:O674)&gt;0,"НЕТ ID",""),IF(OR(AND(OR(C674="Оплата клиента",C674="Возврат клиенту"),COUNTIFS(Docs[ID],J674,Docs[Тип долга],"ДЗ")&lt;&gt;1),AND(OR(C674="Оплата поставщику",C674="Возврат поставщика"),COUNTIFS(Docs[ID],J674,Docs[Тип долга],"КЗ",Docs[Вид],"&lt;&gt;Дивиденды")&lt;&gt;1),AND(C674="Дивиденды",COUNTIFS(Docs[ID],J674,Docs[Вид],"Дивиденды")&lt;&gt;1),AND(C674="Проценты",COUNTIFS(Docs[ID],J674,Docs[Вид],"Проценты")&lt;&gt;1),COUNTIF(Cash[ID],A674)&gt;1,NOT(ISNUMBER(B674)),B674&lt;НачалоУчета,YEAR(B674)&lt;&gt;Год,NOT(ISNUMBER(E674)),E674&lt;=0,N674&lt;0,COUNTIF(Типы,C674)&lt;&gt;1,COUNTIF(Категории,D674)&lt;&gt;1,COUNTIF(Счета,F674)&lt;&gt;1,COUNTIF(Проекты,I674)&lt;&gt;1,AND(H674&lt;&gt;"",COUNTIF(Контрагенты,H674)&lt;&gt;1),AND(C674="Перевод",OR(F674=G674,COUNTIF(Счета,G674)&lt;&gt;1)),AND(S674&lt;&gt;0,COUNTIF(Docs[ID],J674)&lt;&gt;1),AND(Форма="ООО",C674="Вывод ИП"),AND(Форма="ИП",C674="Дивиденды"),AND(L674&lt;&gt;"Проведён",L674&lt;&gt;"Черновик")),"ОШИБКА","ОК"))</f>
        <v/>
      </c>
      <c r="W674" s="25" t="str">
        <f>IF(A674="","",SUMIF(Accounts[Счёт],F674,Accounts[Начальный])+SUMIFS($Q$7:Q674,$F$7:F674,F674)+SUMIFS($E$7:E674,$G$7:G674,F674,$C$7:C674,"Перевод",$L$7:L674,"Проведён"))</f>
        <v/>
      </c>
    </row>
    <row r="675" spans="1:23" x14ac:dyDescent="0.25">
      <c r="A675" s="22"/>
      <c r="B675" s="23"/>
      <c r="C675" s="22"/>
      <c r="D675" s="22"/>
      <c r="E675" s="27"/>
      <c r="F675" s="22"/>
      <c r="G675" s="22"/>
      <c r="H675" s="22"/>
      <c r="I675" s="22"/>
      <c r="J675" s="22"/>
      <c r="K675" s="22"/>
      <c r="L675" s="22"/>
      <c r="M675" s="22"/>
      <c r="N675" s="27"/>
      <c r="O675" s="22"/>
      <c r="P675" s="5" t="str">
        <f>IF(A675="","",IF(COUNTIF(Типы,C675)=0,0,VLOOKUP(C675,СПРАВОЧНИКИ!$A$7:$E$22,2,FALSE)))</f>
        <v/>
      </c>
      <c r="Q675" s="25" t="str">
        <f t="shared" si="10"/>
        <v/>
      </c>
      <c r="R675" s="5" t="str">
        <f>IF(A675="","",IF(COUNTIF(Типы,C675)=0,"НЕИЗВЕСТНЫЙ ТИП",VLOOKUP(C675,СПРАВОЧНИКИ!$A$7:$E$22,3,FALSE)))</f>
        <v/>
      </c>
      <c r="S675" s="26" t="str">
        <f>IF(A675="","",IF(L675="Проведён",E675*IF(COUNTIF(Типы,C675)=0,0,VLOOKUP(C675,СПРАВОЧНИКИ!$A$7:$E$22,4,FALSE)),0))</f>
        <v/>
      </c>
      <c r="T675" s="26" t="str">
        <f>IF(A675="","",IF(L675="Проведён",E675*IF(COUNTIF(Типы,C675)=0,0,VLOOKUP(C675,СПРАВОЧНИКИ!$A$7:$E$22,5,FALSE)),0))</f>
        <v/>
      </c>
      <c r="U675" s="5" t="str">
        <f>IF(A675="","",IF(COUNTIF(Контрагенты,H675)=0,"Не задан",VLOOKUP(H675,СПРАВОЧНИКИ!$G$7:$H$66,2,FALSE)))</f>
        <v/>
      </c>
      <c r="V675" s="4" t="str">
        <f>IF(A675="",IF(COUNTA(B675:O675)&gt;0,"НЕТ ID",""),IF(OR(AND(OR(C675="Оплата клиента",C675="Возврат клиенту"),COUNTIFS(Docs[ID],J675,Docs[Тип долга],"ДЗ")&lt;&gt;1),AND(OR(C675="Оплата поставщику",C675="Возврат поставщика"),COUNTIFS(Docs[ID],J675,Docs[Тип долга],"КЗ",Docs[Вид],"&lt;&gt;Дивиденды")&lt;&gt;1),AND(C675="Дивиденды",COUNTIFS(Docs[ID],J675,Docs[Вид],"Дивиденды")&lt;&gt;1),AND(C675="Проценты",COUNTIFS(Docs[ID],J675,Docs[Вид],"Проценты")&lt;&gt;1),COUNTIF(Cash[ID],A675)&gt;1,NOT(ISNUMBER(B675)),B675&lt;НачалоУчета,YEAR(B675)&lt;&gt;Год,NOT(ISNUMBER(E675)),E675&lt;=0,N675&lt;0,COUNTIF(Типы,C675)&lt;&gt;1,COUNTIF(Категории,D675)&lt;&gt;1,COUNTIF(Счета,F675)&lt;&gt;1,COUNTIF(Проекты,I675)&lt;&gt;1,AND(H675&lt;&gt;"",COUNTIF(Контрагенты,H675)&lt;&gt;1),AND(C675="Перевод",OR(F675=G675,COUNTIF(Счета,G675)&lt;&gt;1)),AND(S675&lt;&gt;0,COUNTIF(Docs[ID],J675)&lt;&gt;1),AND(Форма="ООО",C675="Вывод ИП"),AND(Форма="ИП",C675="Дивиденды"),AND(L675&lt;&gt;"Проведён",L675&lt;&gt;"Черновик")),"ОШИБКА","ОК"))</f>
        <v/>
      </c>
      <c r="W675" s="25" t="str">
        <f>IF(A675="","",SUMIF(Accounts[Счёт],F675,Accounts[Начальный])+SUMIFS($Q$7:Q675,$F$7:F675,F675)+SUMIFS($E$7:E675,$G$7:G675,F675,$C$7:C675,"Перевод",$L$7:L675,"Проведён"))</f>
        <v/>
      </c>
    </row>
    <row r="676" spans="1:23" x14ac:dyDescent="0.25">
      <c r="A676" s="22"/>
      <c r="B676" s="23"/>
      <c r="C676" s="22"/>
      <c r="D676" s="22"/>
      <c r="E676" s="27"/>
      <c r="F676" s="22"/>
      <c r="G676" s="22"/>
      <c r="H676" s="22"/>
      <c r="I676" s="22"/>
      <c r="J676" s="22"/>
      <c r="K676" s="22"/>
      <c r="L676" s="22"/>
      <c r="M676" s="22"/>
      <c r="N676" s="27"/>
      <c r="O676" s="22"/>
      <c r="P676" s="5" t="str">
        <f>IF(A676="","",IF(COUNTIF(Типы,C676)=0,0,VLOOKUP(C676,СПРАВОЧНИКИ!$A$7:$E$22,2,FALSE)))</f>
        <v/>
      </c>
      <c r="Q676" s="25" t="str">
        <f t="shared" si="10"/>
        <v/>
      </c>
      <c r="R676" s="5" t="str">
        <f>IF(A676="","",IF(COUNTIF(Типы,C676)=0,"НЕИЗВЕСТНЫЙ ТИП",VLOOKUP(C676,СПРАВОЧНИКИ!$A$7:$E$22,3,FALSE)))</f>
        <v/>
      </c>
      <c r="S676" s="26" t="str">
        <f>IF(A676="","",IF(L676="Проведён",E676*IF(COUNTIF(Типы,C676)=0,0,VLOOKUP(C676,СПРАВОЧНИКИ!$A$7:$E$22,4,FALSE)),0))</f>
        <v/>
      </c>
      <c r="T676" s="26" t="str">
        <f>IF(A676="","",IF(L676="Проведён",E676*IF(COUNTIF(Типы,C676)=0,0,VLOOKUP(C676,СПРАВОЧНИКИ!$A$7:$E$22,5,FALSE)),0))</f>
        <v/>
      </c>
      <c r="U676" s="5" t="str">
        <f>IF(A676="","",IF(COUNTIF(Контрагенты,H676)=0,"Не задан",VLOOKUP(H676,СПРАВОЧНИКИ!$G$7:$H$66,2,FALSE)))</f>
        <v/>
      </c>
      <c r="V676" s="4" t="str">
        <f>IF(A676="",IF(COUNTA(B676:O676)&gt;0,"НЕТ ID",""),IF(OR(AND(OR(C676="Оплата клиента",C676="Возврат клиенту"),COUNTIFS(Docs[ID],J676,Docs[Тип долга],"ДЗ")&lt;&gt;1),AND(OR(C676="Оплата поставщику",C676="Возврат поставщика"),COUNTIFS(Docs[ID],J676,Docs[Тип долга],"КЗ",Docs[Вид],"&lt;&gt;Дивиденды")&lt;&gt;1),AND(C676="Дивиденды",COUNTIFS(Docs[ID],J676,Docs[Вид],"Дивиденды")&lt;&gt;1),AND(C676="Проценты",COUNTIFS(Docs[ID],J676,Docs[Вид],"Проценты")&lt;&gt;1),COUNTIF(Cash[ID],A676)&gt;1,NOT(ISNUMBER(B676)),B676&lt;НачалоУчета,YEAR(B676)&lt;&gt;Год,NOT(ISNUMBER(E676)),E676&lt;=0,N676&lt;0,COUNTIF(Типы,C676)&lt;&gt;1,COUNTIF(Категории,D676)&lt;&gt;1,COUNTIF(Счета,F676)&lt;&gt;1,COUNTIF(Проекты,I676)&lt;&gt;1,AND(H676&lt;&gt;"",COUNTIF(Контрагенты,H676)&lt;&gt;1),AND(C676="Перевод",OR(F676=G676,COUNTIF(Счета,G676)&lt;&gt;1)),AND(S676&lt;&gt;0,COUNTIF(Docs[ID],J676)&lt;&gt;1),AND(Форма="ООО",C676="Вывод ИП"),AND(Форма="ИП",C676="Дивиденды"),AND(L676&lt;&gt;"Проведён",L676&lt;&gt;"Черновик")),"ОШИБКА","ОК"))</f>
        <v/>
      </c>
      <c r="W676" s="25" t="str">
        <f>IF(A676="","",SUMIF(Accounts[Счёт],F676,Accounts[Начальный])+SUMIFS($Q$7:Q676,$F$7:F676,F676)+SUMIFS($E$7:E676,$G$7:G676,F676,$C$7:C676,"Перевод",$L$7:L676,"Проведён"))</f>
        <v/>
      </c>
    </row>
    <row r="677" spans="1:23" x14ac:dyDescent="0.25">
      <c r="A677" s="22"/>
      <c r="B677" s="23"/>
      <c r="C677" s="22"/>
      <c r="D677" s="22"/>
      <c r="E677" s="27"/>
      <c r="F677" s="22"/>
      <c r="G677" s="22"/>
      <c r="H677" s="22"/>
      <c r="I677" s="22"/>
      <c r="J677" s="22"/>
      <c r="K677" s="22"/>
      <c r="L677" s="22"/>
      <c r="M677" s="22"/>
      <c r="N677" s="27"/>
      <c r="O677" s="22"/>
      <c r="P677" s="5" t="str">
        <f>IF(A677="","",IF(COUNTIF(Типы,C677)=0,0,VLOOKUP(C677,СПРАВОЧНИКИ!$A$7:$E$22,2,FALSE)))</f>
        <v/>
      </c>
      <c r="Q677" s="25" t="str">
        <f t="shared" si="10"/>
        <v/>
      </c>
      <c r="R677" s="5" t="str">
        <f>IF(A677="","",IF(COUNTIF(Типы,C677)=0,"НЕИЗВЕСТНЫЙ ТИП",VLOOKUP(C677,СПРАВОЧНИКИ!$A$7:$E$22,3,FALSE)))</f>
        <v/>
      </c>
      <c r="S677" s="26" t="str">
        <f>IF(A677="","",IF(L677="Проведён",E677*IF(COUNTIF(Типы,C677)=0,0,VLOOKUP(C677,СПРАВОЧНИКИ!$A$7:$E$22,4,FALSE)),0))</f>
        <v/>
      </c>
      <c r="T677" s="26" t="str">
        <f>IF(A677="","",IF(L677="Проведён",E677*IF(COUNTIF(Типы,C677)=0,0,VLOOKUP(C677,СПРАВОЧНИКИ!$A$7:$E$22,5,FALSE)),0))</f>
        <v/>
      </c>
      <c r="U677" s="5" t="str">
        <f>IF(A677="","",IF(COUNTIF(Контрагенты,H677)=0,"Не задан",VLOOKUP(H677,СПРАВОЧНИКИ!$G$7:$H$66,2,FALSE)))</f>
        <v/>
      </c>
      <c r="V677" s="4" t="str">
        <f>IF(A677="",IF(COUNTA(B677:O677)&gt;0,"НЕТ ID",""),IF(OR(AND(OR(C677="Оплата клиента",C677="Возврат клиенту"),COUNTIFS(Docs[ID],J677,Docs[Тип долга],"ДЗ")&lt;&gt;1),AND(OR(C677="Оплата поставщику",C677="Возврат поставщика"),COUNTIFS(Docs[ID],J677,Docs[Тип долга],"КЗ",Docs[Вид],"&lt;&gt;Дивиденды")&lt;&gt;1),AND(C677="Дивиденды",COUNTIFS(Docs[ID],J677,Docs[Вид],"Дивиденды")&lt;&gt;1),AND(C677="Проценты",COUNTIFS(Docs[ID],J677,Docs[Вид],"Проценты")&lt;&gt;1),COUNTIF(Cash[ID],A677)&gt;1,NOT(ISNUMBER(B677)),B677&lt;НачалоУчета,YEAR(B677)&lt;&gt;Год,NOT(ISNUMBER(E677)),E677&lt;=0,N677&lt;0,COUNTIF(Типы,C677)&lt;&gt;1,COUNTIF(Категории,D677)&lt;&gt;1,COUNTIF(Счета,F677)&lt;&gt;1,COUNTIF(Проекты,I677)&lt;&gt;1,AND(H677&lt;&gt;"",COUNTIF(Контрагенты,H677)&lt;&gt;1),AND(C677="Перевод",OR(F677=G677,COUNTIF(Счета,G677)&lt;&gt;1)),AND(S677&lt;&gt;0,COUNTIF(Docs[ID],J677)&lt;&gt;1),AND(Форма="ООО",C677="Вывод ИП"),AND(Форма="ИП",C677="Дивиденды"),AND(L677&lt;&gt;"Проведён",L677&lt;&gt;"Черновик")),"ОШИБКА","ОК"))</f>
        <v/>
      </c>
      <c r="W677" s="25" t="str">
        <f>IF(A677="","",SUMIF(Accounts[Счёт],F677,Accounts[Начальный])+SUMIFS($Q$7:Q677,$F$7:F677,F677)+SUMIFS($E$7:E677,$G$7:G677,F677,$C$7:C677,"Перевод",$L$7:L677,"Проведён"))</f>
        <v/>
      </c>
    </row>
    <row r="678" spans="1:23" x14ac:dyDescent="0.25">
      <c r="A678" s="22"/>
      <c r="B678" s="23"/>
      <c r="C678" s="22"/>
      <c r="D678" s="22"/>
      <c r="E678" s="27"/>
      <c r="F678" s="22"/>
      <c r="G678" s="22"/>
      <c r="H678" s="22"/>
      <c r="I678" s="22"/>
      <c r="J678" s="22"/>
      <c r="K678" s="22"/>
      <c r="L678" s="22"/>
      <c r="M678" s="22"/>
      <c r="N678" s="27"/>
      <c r="O678" s="22"/>
      <c r="P678" s="5" t="str">
        <f>IF(A678="","",IF(COUNTIF(Типы,C678)=0,0,VLOOKUP(C678,СПРАВОЧНИКИ!$A$7:$E$22,2,FALSE)))</f>
        <v/>
      </c>
      <c r="Q678" s="25" t="str">
        <f t="shared" si="10"/>
        <v/>
      </c>
      <c r="R678" s="5" t="str">
        <f>IF(A678="","",IF(COUNTIF(Типы,C678)=0,"НЕИЗВЕСТНЫЙ ТИП",VLOOKUP(C678,СПРАВОЧНИКИ!$A$7:$E$22,3,FALSE)))</f>
        <v/>
      </c>
      <c r="S678" s="26" t="str">
        <f>IF(A678="","",IF(L678="Проведён",E678*IF(COUNTIF(Типы,C678)=0,0,VLOOKUP(C678,СПРАВОЧНИКИ!$A$7:$E$22,4,FALSE)),0))</f>
        <v/>
      </c>
      <c r="T678" s="26" t="str">
        <f>IF(A678="","",IF(L678="Проведён",E678*IF(COUNTIF(Типы,C678)=0,0,VLOOKUP(C678,СПРАВОЧНИКИ!$A$7:$E$22,5,FALSE)),0))</f>
        <v/>
      </c>
      <c r="U678" s="5" t="str">
        <f>IF(A678="","",IF(COUNTIF(Контрагенты,H678)=0,"Не задан",VLOOKUP(H678,СПРАВОЧНИКИ!$G$7:$H$66,2,FALSE)))</f>
        <v/>
      </c>
      <c r="V678" s="4" t="str">
        <f>IF(A678="",IF(COUNTA(B678:O678)&gt;0,"НЕТ ID",""),IF(OR(AND(OR(C678="Оплата клиента",C678="Возврат клиенту"),COUNTIFS(Docs[ID],J678,Docs[Тип долга],"ДЗ")&lt;&gt;1),AND(OR(C678="Оплата поставщику",C678="Возврат поставщика"),COUNTIFS(Docs[ID],J678,Docs[Тип долга],"КЗ",Docs[Вид],"&lt;&gt;Дивиденды")&lt;&gt;1),AND(C678="Дивиденды",COUNTIFS(Docs[ID],J678,Docs[Вид],"Дивиденды")&lt;&gt;1),AND(C678="Проценты",COUNTIFS(Docs[ID],J678,Docs[Вид],"Проценты")&lt;&gt;1),COUNTIF(Cash[ID],A678)&gt;1,NOT(ISNUMBER(B678)),B678&lt;НачалоУчета,YEAR(B678)&lt;&gt;Год,NOT(ISNUMBER(E678)),E678&lt;=0,N678&lt;0,COUNTIF(Типы,C678)&lt;&gt;1,COUNTIF(Категории,D678)&lt;&gt;1,COUNTIF(Счета,F678)&lt;&gt;1,COUNTIF(Проекты,I678)&lt;&gt;1,AND(H678&lt;&gt;"",COUNTIF(Контрагенты,H678)&lt;&gt;1),AND(C678="Перевод",OR(F678=G678,COUNTIF(Счета,G678)&lt;&gt;1)),AND(S678&lt;&gt;0,COUNTIF(Docs[ID],J678)&lt;&gt;1),AND(Форма="ООО",C678="Вывод ИП"),AND(Форма="ИП",C678="Дивиденды"),AND(L678&lt;&gt;"Проведён",L678&lt;&gt;"Черновик")),"ОШИБКА","ОК"))</f>
        <v/>
      </c>
      <c r="W678" s="25" t="str">
        <f>IF(A678="","",SUMIF(Accounts[Счёт],F678,Accounts[Начальный])+SUMIFS($Q$7:Q678,$F$7:F678,F678)+SUMIFS($E$7:E678,$G$7:G678,F678,$C$7:C678,"Перевод",$L$7:L678,"Проведён"))</f>
        <v/>
      </c>
    </row>
    <row r="679" spans="1:23" x14ac:dyDescent="0.25">
      <c r="A679" s="22"/>
      <c r="B679" s="23"/>
      <c r="C679" s="22"/>
      <c r="D679" s="22"/>
      <c r="E679" s="27"/>
      <c r="F679" s="22"/>
      <c r="G679" s="22"/>
      <c r="H679" s="22"/>
      <c r="I679" s="22"/>
      <c r="J679" s="22"/>
      <c r="K679" s="22"/>
      <c r="L679" s="22"/>
      <c r="M679" s="22"/>
      <c r="N679" s="27"/>
      <c r="O679" s="22"/>
      <c r="P679" s="5" t="str">
        <f>IF(A679="","",IF(COUNTIF(Типы,C679)=0,0,VLOOKUP(C679,СПРАВОЧНИКИ!$A$7:$E$22,2,FALSE)))</f>
        <v/>
      </c>
      <c r="Q679" s="25" t="str">
        <f t="shared" si="10"/>
        <v/>
      </c>
      <c r="R679" s="5" t="str">
        <f>IF(A679="","",IF(COUNTIF(Типы,C679)=0,"НЕИЗВЕСТНЫЙ ТИП",VLOOKUP(C679,СПРАВОЧНИКИ!$A$7:$E$22,3,FALSE)))</f>
        <v/>
      </c>
      <c r="S679" s="26" t="str">
        <f>IF(A679="","",IF(L679="Проведён",E679*IF(COUNTIF(Типы,C679)=0,0,VLOOKUP(C679,СПРАВОЧНИКИ!$A$7:$E$22,4,FALSE)),0))</f>
        <v/>
      </c>
      <c r="T679" s="26" t="str">
        <f>IF(A679="","",IF(L679="Проведён",E679*IF(COUNTIF(Типы,C679)=0,0,VLOOKUP(C679,СПРАВОЧНИКИ!$A$7:$E$22,5,FALSE)),0))</f>
        <v/>
      </c>
      <c r="U679" s="5" t="str">
        <f>IF(A679="","",IF(COUNTIF(Контрагенты,H679)=0,"Не задан",VLOOKUP(H679,СПРАВОЧНИКИ!$G$7:$H$66,2,FALSE)))</f>
        <v/>
      </c>
      <c r="V679" s="4" t="str">
        <f>IF(A679="",IF(COUNTA(B679:O679)&gt;0,"НЕТ ID",""),IF(OR(AND(OR(C679="Оплата клиента",C679="Возврат клиенту"),COUNTIFS(Docs[ID],J679,Docs[Тип долга],"ДЗ")&lt;&gt;1),AND(OR(C679="Оплата поставщику",C679="Возврат поставщика"),COUNTIFS(Docs[ID],J679,Docs[Тип долга],"КЗ",Docs[Вид],"&lt;&gt;Дивиденды")&lt;&gt;1),AND(C679="Дивиденды",COUNTIFS(Docs[ID],J679,Docs[Вид],"Дивиденды")&lt;&gt;1),AND(C679="Проценты",COUNTIFS(Docs[ID],J679,Docs[Вид],"Проценты")&lt;&gt;1),COUNTIF(Cash[ID],A679)&gt;1,NOT(ISNUMBER(B679)),B679&lt;НачалоУчета,YEAR(B679)&lt;&gt;Год,NOT(ISNUMBER(E679)),E679&lt;=0,N679&lt;0,COUNTIF(Типы,C679)&lt;&gt;1,COUNTIF(Категории,D679)&lt;&gt;1,COUNTIF(Счета,F679)&lt;&gt;1,COUNTIF(Проекты,I679)&lt;&gt;1,AND(H679&lt;&gt;"",COUNTIF(Контрагенты,H679)&lt;&gt;1),AND(C679="Перевод",OR(F679=G679,COUNTIF(Счета,G679)&lt;&gt;1)),AND(S679&lt;&gt;0,COUNTIF(Docs[ID],J679)&lt;&gt;1),AND(Форма="ООО",C679="Вывод ИП"),AND(Форма="ИП",C679="Дивиденды"),AND(L679&lt;&gt;"Проведён",L679&lt;&gt;"Черновик")),"ОШИБКА","ОК"))</f>
        <v/>
      </c>
      <c r="W679" s="25" t="str">
        <f>IF(A679="","",SUMIF(Accounts[Счёт],F679,Accounts[Начальный])+SUMIFS($Q$7:Q679,$F$7:F679,F679)+SUMIFS($E$7:E679,$G$7:G679,F679,$C$7:C679,"Перевод",$L$7:L679,"Проведён"))</f>
        <v/>
      </c>
    </row>
    <row r="680" spans="1:23" x14ac:dyDescent="0.25">
      <c r="A680" s="22"/>
      <c r="B680" s="23"/>
      <c r="C680" s="22"/>
      <c r="D680" s="22"/>
      <c r="E680" s="27"/>
      <c r="F680" s="22"/>
      <c r="G680" s="22"/>
      <c r="H680" s="22"/>
      <c r="I680" s="22"/>
      <c r="J680" s="22"/>
      <c r="K680" s="22"/>
      <c r="L680" s="22"/>
      <c r="M680" s="22"/>
      <c r="N680" s="27"/>
      <c r="O680" s="22"/>
      <c r="P680" s="5" t="str">
        <f>IF(A680="","",IF(COUNTIF(Типы,C680)=0,0,VLOOKUP(C680,СПРАВОЧНИКИ!$A$7:$E$22,2,FALSE)))</f>
        <v/>
      </c>
      <c r="Q680" s="25" t="str">
        <f t="shared" si="10"/>
        <v/>
      </c>
      <c r="R680" s="5" t="str">
        <f>IF(A680="","",IF(COUNTIF(Типы,C680)=0,"НЕИЗВЕСТНЫЙ ТИП",VLOOKUP(C680,СПРАВОЧНИКИ!$A$7:$E$22,3,FALSE)))</f>
        <v/>
      </c>
      <c r="S680" s="26" t="str">
        <f>IF(A680="","",IF(L680="Проведён",E680*IF(COUNTIF(Типы,C680)=0,0,VLOOKUP(C680,СПРАВОЧНИКИ!$A$7:$E$22,4,FALSE)),0))</f>
        <v/>
      </c>
      <c r="T680" s="26" t="str">
        <f>IF(A680="","",IF(L680="Проведён",E680*IF(COUNTIF(Типы,C680)=0,0,VLOOKUP(C680,СПРАВОЧНИКИ!$A$7:$E$22,5,FALSE)),0))</f>
        <v/>
      </c>
      <c r="U680" s="5" t="str">
        <f>IF(A680="","",IF(COUNTIF(Контрагенты,H680)=0,"Не задан",VLOOKUP(H680,СПРАВОЧНИКИ!$G$7:$H$66,2,FALSE)))</f>
        <v/>
      </c>
      <c r="V680" s="4" t="str">
        <f>IF(A680="",IF(COUNTA(B680:O680)&gt;0,"НЕТ ID",""),IF(OR(AND(OR(C680="Оплата клиента",C680="Возврат клиенту"),COUNTIFS(Docs[ID],J680,Docs[Тип долга],"ДЗ")&lt;&gt;1),AND(OR(C680="Оплата поставщику",C680="Возврат поставщика"),COUNTIFS(Docs[ID],J680,Docs[Тип долга],"КЗ",Docs[Вид],"&lt;&gt;Дивиденды")&lt;&gt;1),AND(C680="Дивиденды",COUNTIFS(Docs[ID],J680,Docs[Вид],"Дивиденды")&lt;&gt;1),AND(C680="Проценты",COUNTIFS(Docs[ID],J680,Docs[Вид],"Проценты")&lt;&gt;1),COUNTIF(Cash[ID],A680)&gt;1,NOT(ISNUMBER(B680)),B680&lt;НачалоУчета,YEAR(B680)&lt;&gt;Год,NOT(ISNUMBER(E680)),E680&lt;=0,N680&lt;0,COUNTIF(Типы,C680)&lt;&gt;1,COUNTIF(Категории,D680)&lt;&gt;1,COUNTIF(Счета,F680)&lt;&gt;1,COUNTIF(Проекты,I680)&lt;&gt;1,AND(H680&lt;&gt;"",COUNTIF(Контрагенты,H680)&lt;&gt;1),AND(C680="Перевод",OR(F680=G680,COUNTIF(Счета,G680)&lt;&gt;1)),AND(S680&lt;&gt;0,COUNTIF(Docs[ID],J680)&lt;&gt;1),AND(Форма="ООО",C680="Вывод ИП"),AND(Форма="ИП",C680="Дивиденды"),AND(L680&lt;&gt;"Проведён",L680&lt;&gt;"Черновик")),"ОШИБКА","ОК"))</f>
        <v/>
      </c>
      <c r="W680" s="25" t="str">
        <f>IF(A680="","",SUMIF(Accounts[Счёт],F680,Accounts[Начальный])+SUMIFS($Q$7:Q680,$F$7:F680,F680)+SUMIFS($E$7:E680,$G$7:G680,F680,$C$7:C680,"Перевод",$L$7:L680,"Проведён"))</f>
        <v/>
      </c>
    </row>
    <row r="681" spans="1:23" x14ac:dyDescent="0.25">
      <c r="A681" s="22"/>
      <c r="B681" s="23"/>
      <c r="C681" s="22"/>
      <c r="D681" s="22"/>
      <c r="E681" s="27"/>
      <c r="F681" s="22"/>
      <c r="G681" s="22"/>
      <c r="H681" s="22"/>
      <c r="I681" s="22"/>
      <c r="J681" s="22"/>
      <c r="K681" s="22"/>
      <c r="L681" s="22"/>
      <c r="M681" s="22"/>
      <c r="N681" s="27"/>
      <c r="O681" s="22"/>
      <c r="P681" s="5" t="str">
        <f>IF(A681="","",IF(COUNTIF(Типы,C681)=0,0,VLOOKUP(C681,СПРАВОЧНИКИ!$A$7:$E$22,2,FALSE)))</f>
        <v/>
      </c>
      <c r="Q681" s="25" t="str">
        <f t="shared" si="10"/>
        <v/>
      </c>
      <c r="R681" s="5" t="str">
        <f>IF(A681="","",IF(COUNTIF(Типы,C681)=0,"НЕИЗВЕСТНЫЙ ТИП",VLOOKUP(C681,СПРАВОЧНИКИ!$A$7:$E$22,3,FALSE)))</f>
        <v/>
      </c>
      <c r="S681" s="26" t="str">
        <f>IF(A681="","",IF(L681="Проведён",E681*IF(COUNTIF(Типы,C681)=0,0,VLOOKUP(C681,СПРАВОЧНИКИ!$A$7:$E$22,4,FALSE)),0))</f>
        <v/>
      </c>
      <c r="T681" s="26" t="str">
        <f>IF(A681="","",IF(L681="Проведён",E681*IF(COUNTIF(Типы,C681)=0,0,VLOOKUP(C681,СПРАВОЧНИКИ!$A$7:$E$22,5,FALSE)),0))</f>
        <v/>
      </c>
      <c r="U681" s="5" t="str">
        <f>IF(A681="","",IF(COUNTIF(Контрагенты,H681)=0,"Не задан",VLOOKUP(H681,СПРАВОЧНИКИ!$G$7:$H$66,2,FALSE)))</f>
        <v/>
      </c>
      <c r="V681" s="4" t="str">
        <f>IF(A681="",IF(COUNTA(B681:O681)&gt;0,"НЕТ ID",""),IF(OR(AND(OR(C681="Оплата клиента",C681="Возврат клиенту"),COUNTIFS(Docs[ID],J681,Docs[Тип долга],"ДЗ")&lt;&gt;1),AND(OR(C681="Оплата поставщику",C681="Возврат поставщика"),COUNTIFS(Docs[ID],J681,Docs[Тип долга],"КЗ",Docs[Вид],"&lt;&gt;Дивиденды")&lt;&gt;1),AND(C681="Дивиденды",COUNTIFS(Docs[ID],J681,Docs[Вид],"Дивиденды")&lt;&gt;1),AND(C681="Проценты",COUNTIFS(Docs[ID],J681,Docs[Вид],"Проценты")&lt;&gt;1),COUNTIF(Cash[ID],A681)&gt;1,NOT(ISNUMBER(B681)),B681&lt;НачалоУчета,YEAR(B681)&lt;&gt;Год,NOT(ISNUMBER(E681)),E681&lt;=0,N681&lt;0,COUNTIF(Типы,C681)&lt;&gt;1,COUNTIF(Категории,D681)&lt;&gt;1,COUNTIF(Счета,F681)&lt;&gt;1,COUNTIF(Проекты,I681)&lt;&gt;1,AND(H681&lt;&gt;"",COUNTIF(Контрагенты,H681)&lt;&gt;1),AND(C681="Перевод",OR(F681=G681,COUNTIF(Счета,G681)&lt;&gt;1)),AND(S681&lt;&gt;0,COUNTIF(Docs[ID],J681)&lt;&gt;1),AND(Форма="ООО",C681="Вывод ИП"),AND(Форма="ИП",C681="Дивиденды"),AND(L681&lt;&gt;"Проведён",L681&lt;&gt;"Черновик")),"ОШИБКА","ОК"))</f>
        <v/>
      </c>
      <c r="W681" s="25" t="str">
        <f>IF(A681="","",SUMIF(Accounts[Счёт],F681,Accounts[Начальный])+SUMIFS($Q$7:Q681,$F$7:F681,F681)+SUMIFS($E$7:E681,$G$7:G681,F681,$C$7:C681,"Перевод",$L$7:L681,"Проведён"))</f>
        <v/>
      </c>
    </row>
    <row r="682" spans="1:23" x14ac:dyDescent="0.25">
      <c r="A682" s="22"/>
      <c r="B682" s="23"/>
      <c r="C682" s="22"/>
      <c r="D682" s="22"/>
      <c r="E682" s="27"/>
      <c r="F682" s="22"/>
      <c r="G682" s="22"/>
      <c r="H682" s="22"/>
      <c r="I682" s="22"/>
      <c r="J682" s="22"/>
      <c r="K682" s="22"/>
      <c r="L682" s="22"/>
      <c r="M682" s="22"/>
      <c r="N682" s="27"/>
      <c r="O682" s="22"/>
      <c r="P682" s="5" t="str">
        <f>IF(A682="","",IF(COUNTIF(Типы,C682)=0,0,VLOOKUP(C682,СПРАВОЧНИКИ!$A$7:$E$22,2,FALSE)))</f>
        <v/>
      </c>
      <c r="Q682" s="25" t="str">
        <f t="shared" si="10"/>
        <v/>
      </c>
      <c r="R682" s="5" t="str">
        <f>IF(A682="","",IF(COUNTIF(Типы,C682)=0,"НЕИЗВЕСТНЫЙ ТИП",VLOOKUP(C682,СПРАВОЧНИКИ!$A$7:$E$22,3,FALSE)))</f>
        <v/>
      </c>
      <c r="S682" s="26" t="str">
        <f>IF(A682="","",IF(L682="Проведён",E682*IF(COUNTIF(Типы,C682)=0,0,VLOOKUP(C682,СПРАВОЧНИКИ!$A$7:$E$22,4,FALSE)),0))</f>
        <v/>
      </c>
      <c r="T682" s="26" t="str">
        <f>IF(A682="","",IF(L682="Проведён",E682*IF(COUNTIF(Типы,C682)=0,0,VLOOKUP(C682,СПРАВОЧНИКИ!$A$7:$E$22,5,FALSE)),0))</f>
        <v/>
      </c>
      <c r="U682" s="5" t="str">
        <f>IF(A682="","",IF(COUNTIF(Контрагенты,H682)=0,"Не задан",VLOOKUP(H682,СПРАВОЧНИКИ!$G$7:$H$66,2,FALSE)))</f>
        <v/>
      </c>
      <c r="V682" s="4" t="str">
        <f>IF(A682="",IF(COUNTA(B682:O682)&gt;0,"НЕТ ID",""),IF(OR(AND(OR(C682="Оплата клиента",C682="Возврат клиенту"),COUNTIFS(Docs[ID],J682,Docs[Тип долга],"ДЗ")&lt;&gt;1),AND(OR(C682="Оплата поставщику",C682="Возврат поставщика"),COUNTIFS(Docs[ID],J682,Docs[Тип долга],"КЗ",Docs[Вид],"&lt;&gt;Дивиденды")&lt;&gt;1),AND(C682="Дивиденды",COUNTIFS(Docs[ID],J682,Docs[Вид],"Дивиденды")&lt;&gt;1),AND(C682="Проценты",COUNTIFS(Docs[ID],J682,Docs[Вид],"Проценты")&lt;&gt;1),COUNTIF(Cash[ID],A682)&gt;1,NOT(ISNUMBER(B682)),B682&lt;НачалоУчета,YEAR(B682)&lt;&gt;Год,NOT(ISNUMBER(E682)),E682&lt;=0,N682&lt;0,COUNTIF(Типы,C682)&lt;&gt;1,COUNTIF(Категории,D682)&lt;&gt;1,COUNTIF(Счета,F682)&lt;&gt;1,COUNTIF(Проекты,I682)&lt;&gt;1,AND(H682&lt;&gt;"",COUNTIF(Контрагенты,H682)&lt;&gt;1),AND(C682="Перевод",OR(F682=G682,COUNTIF(Счета,G682)&lt;&gt;1)),AND(S682&lt;&gt;0,COUNTIF(Docs[ID],J682)&lt;&gt;1),AND(Форма="ООО",C682="Вывод ИП"),AND(Форма="ИП",C682="Дивиденды"),AND(L682&lt;&gt;"Проведён",L682&lt;&gt;"Черновик")),"ОШИБКА","ОК"))</f>
        <v/>
      </c>
      <c r="W682" s="25" t="str">
        <f>IF(A682="","",SUMIF(Accounts[Счёт],F682,Accounts[Начальный])+SUMIFS($Q$7:Q682,$F$7:F682,F682)+SUMIFS($E$7:E682,$G$7:G682,F682,$C$7:C682,"Перевод",$L$7:L682,"Проведён"))</f>
        <v/>
      </c>
    </row>
    <row r="683" spans="1:23" x14ac:dyDescent="0.25">
      <c r="A683" s="22"/>
      <c r="B683" s="23"/>
      <c r="C683" s="22"/>
      <c r="D683" s="22"/>
      <c r="E683" s="27"/>
      <c r="F683" s="22"/>
      <c r="G683" s="22"/>
      <c r="H683" s="22"/>
      <c r="I683" s="22"/>
      <c r="J683" s="22"/>
      <c r="K683" s="22"/>
      <c r="L683" s="22"/>
      <c r="M683" s="22"/>
      <c r="N683" s="27"/>
      <c r="O683" s="22"/>
      <c r="P683" s="5" t="str">
        <f>IF(A683="","",IF(COUNTIF(Типы,C683)=0,0,VLOOKUP(C683,СПРАВОЧНИКИ!$A$7:$E$22,2,FALSE)))</f>
        <v/>
      </c>
      <c r="Q683" s="25" t="str">
        <f t="shared" si="10"/>
        <v/>
      </c>
      <c r="R683" s="5" t="str">
        <f>IF(A683="","",IF(COUNTIF(Типы,C683)=0,"НЕИЗВЕСТНЫЙ ТИП",VLOOKUP(C683,СПРАВОЧНИКИ!$A$7:$E$22,3,FALSE)))</f>
        <v/>
      </c>
      <c r="S683" s="26" t="str">
        <f>IF(A683="","",IF(L683="Проведён",E683*IF(COUNTIF(Типы,C683)=0,0,VLOOKUP(C683,СПРАВОЧНИКИ!$A$7:$E$22,4,FALSE)),0))</f>
        <v/>
      </c>
      <c r="T683" s="26" t="str">
        <f>IF(A683="","",IF(L683="Проведён",E683*IF(COUNTIF(Типы,C683)=0,0,VLOOKUP(C683,СПРАВОЧНИКИ!$A$7:$E$22,5,FALSE)),0))</f>
        <v/>
      </c>
      <c r="U683" s="5" t="str">
        <f>IF(A683="","",IF(COUNTIF(Контрагенты,H683)=0,"Не задан",VLOOKUP(H683,СПРАВОЧНИКИ!$G$7:$H$66,2,FALSE)))</f>
        <v/>
      </c>
      <c r="V683" s="4" t="str">
        <f>IF(A683="",IF(COUNTA(B683:O683)&gt;0,"НЕТ ID",""),IF(OR(AND(OR(C683="Оплата клиента",C683="Возврат клиенту"),COUNTIFS(Docs[ID],J683,Docs[Тип долга],"ДЗ")&lt;&gt;1),AND(OR(C683="Оплата поставщику",C683="Возврат поставщика"),COUNTIFS(Docs[ID],J683,Docs[Тип долга],"КЗ",Docs[Вид],"&lt;&gt;Дивиденды")&lt;&gt;1),AND(C683="Дивиденды",COUNTIFS(Docs[ID],J683,Docs[Вид],"Дивиденды")&lt;&gt;1),AND(C683="Проценты",COUNTIFS(Docs[ID],J683,Docs[Вид],"Проценты")&lt;&gt;1),COUNTIF(Cash[ID],A683)&gt;1,NOT(ISNUMBER(B683)),B683&lt;НачалоУчета,YEAR(B683)&lt;&gt;Год,NOT(ISNUMBER(E683)),E683&lt;=0,N683&lt;0,COUNTIF(Типы,C683)&lt;&gt;1,COUNTIF(Категории,D683)&lt;&gt;1,COUNTIF(Счета,F683)&lt;&gt;1,COUNTIF(Проекты,I683)&lt;&gt;1,AND(H683&lt;&gt;"",COUNTIF(Контрагенты,H683)&lt;&gt;1),AND(C683="Перевод",OR(F683=G683,COUNTIF(Счета,G683)&lt;&gt;1)),AND(S683&lt;&gt;0,COUNTIF(Docs[ID],J683)&lt;&gt;1),AND(Форма="ООО",C683="Вывод ИП"),AND(Форма="ИП",C683="Дивиденды"),AND(L683&lt;&gt;"Проведён",L683&lt;&gt;"Черновик")),"ОШИБКА","ОК"))</f>
        <v/>
      </c>
      <c r="W683" s="25" t="str">
        <f>IF(A683="","",SUMIF(Accounts[Счёт],F683,Accounts[Начальный])+SUMIFS($Q$7:Q683,$F$7:F683,F683)+SUMIFS($E$7:E683,$G$7:G683,F683,$C$7:C683,"Перевод",$L$7:L683,"Проведён"))</f>
        <v/>
      </c>
    </row>
    <row r="684" spans="1:23" x14ac:dyDescent="0.25">
      <c r="A684" s="22"/>
      <c r="B684" s="23"/>
      <c r="C684" s="22"/>
      <c r="D684" s="22"/>
      <c r="E684" s="27"/>
      <c r="F684" s="22"/>
      <c r="G684" s="22"/>
      <c r="H684" s="22"/>
      <c r="I684" s="22"/>
      <c r="J684" s="22"/>
      <c r="K684" s="22"/>
      <c r="L684" s="22"/>
      <c r="M684" s="22"/>
      <c r="N684" s="27"/>
      <c r="O684" s="22"/>
      <c r="P684" s="5" t="str">
        <f>IF(A684="","",IF(COUNTIF(Типы,C684)=0,0,VLOOKUP(C684,СПРАВОЧНИКИ!$A$7:$E$22,2,FALSE)))</f>
        <v/>
      </c>
      <c r="Q684" s="25" t="str">
        <f t="shared" si="10"/>
        <v/>
      </c>
      <c r="R684" s="5" t="str">
        <f>IF(A684="","",IF(COUNTIF(Типы,C684)=0,"НЕИЗВЕСТНЫЙ ТИП",VLOOKUP(C684,СПРАВОЧНИКИ!$A$7:$E$22,3,FALSE)))</f>
        <v/>
      </c>
      <c r="S684" s="26" t="str">
        <f>IF(A684="","",IF(L684="Проведён",E684*IF(COUNTIF(Типы,C684)=0,0,VLOOKUP(C684,СПРАВОЧНИКИ!$A$7:$E$22,4,FALSE)),0))</f>
        <v/>
      </c>
      <c r="T684" s="26" t="str">
        <f>IF(A684="","",IF(L684="Проведён",E684*IF(COUNTIF(Типы,C684)=0,0,VLOOKUP(C684,СПРАВОЧНИКИ!$A$7:$E$22,5,FALSE)),0))</f>
        <v/>
      </c>
      <c r="U684" s="5" t="str">
        <f>IF(A684="","",IF(COUNTIF(Контрагенты,H684)=0,"Не задан",VLOOKUP(H684,СПРАВОЧНИКИ!$G$7:$H$66,2,FALSE)))</f>
        <v/>
      </c>
      <c r="V684" s="4" t="str">
        <f>IF(A684="",IF(COUNTA(B684:O684)&gt;0,"НЕТ ID",""),IF(OR(AND(OR(C684="Оплата клиента",C684="Возврат клиенту"),COUNTIFS(Docs[ID],J684,Docs[Тип долга],"ДЗ")&lt;&gt;1),AND(OR(C684="Оплата поставщику",C684="Возврат поставщика"),COUNTIFS(Docs[ID],J684,Docs[Тип долга],"КЗ",Docs[Вид],"&lt;&gt;Дивиденды")&lt;&gt;1),AND(C684="Дивиденды",COUNTIFS(Docs[ID],J684,Docs[Вид],"Дивиденды")&lt;&gt;1),AND(C684="Проценты",COUNTIFS(Docs[ID],J684,Docs[Вид],"Проценты")&lt;&gt;1),COUNTIF(Cash[ID],A684)&gt;1,NOT(ISNUMBER(B684)),B684&lt;НачалоУчета,YEAR(B684)&lt;&gt;Год,NOT(ISNUMBER(E684)),E684&lt;=0,N684&lt;0,COUNTIF(Типы,C684)&lt;&gt;1,COUNTIF(Категории,D684)&lt;&gt;1,COUNTIF(Счета,F684)&lt;&gt;1,COUNTIF(Проекты,I684)&lt;&gt;1,AND(H684&lt;&gt;"",COUNTIF(Контрагенты,H684)&lt;&gt;1),AND(C684="Перевод",OR(F684=G684,COUNTIF(Счета,G684)&lt;&gt;1)),AND(S684&lt;&gt;0,COUNTIF(Docs[ID],J684)&lt;&gt;1),AND(Форма="ООО",C684="Вывод ИП"),AND(Форма="ИП",C684="Дивиденды"),AND(L684&lt;&gt;"Проведён",L684&lt;&gt;"Черновик")),"ОШИБКА","ОК"))</f>
        <v/>
      </c>
      <c r="W684" s="25" t="str">
        <f>IF(A684="","",SUMIF(Accounts[Счёт],F684,Accounts[Начальный])+SUMIFS($Q$7:Q684,$F$7:F684,F684)+SUMIFS($E$7:E684,$G$7:G684,F684,$C$7:C684,"Перевод",$L$7:L684,"Проведён"))</f>
        <v/>
      </c>
    </row>
    <row r="685" spans="1:23" x14ac:dyDescent="0.25">
      <c r="A685" s="22"/>
      <c r="B685" s="23"/>
      <c r="C685" s="22"/>
      <c r="D685" s="22"/>
      <c r="E685" s="27"/>
      <c r="F685" s="22"/>
      <c r="G685" s="22"/>
      <c r="H685" s="22"/>
      <c r="I685" s="22"/>
      <c r="J685" s="22"/>
      <c r="K685" s="22"/>
      <c r="L685" s="22"/>
      <c r="M685" s="22"/>
      <c r="N685" s="27"/>
      <c r="O685" s="22"/>
      <c r="P685" s="5" t="str">
        <f>IF(A685="","",IF(COUNTIF(Типы,C685)=0,0,VLOOKUP(C685,СПРАВОЧНИКИ!$A$7:$E$22,2,FALSE)))</f>
        <v/>
      </c>
      <c r="Q685" s="25" t="str">
        <f t="shared" si="10"/>
        <v/>
      </c>
      <c r="R685" s="5" t="str">
        <f>IF(A685="","",IF(COUNTIF(Типы,C685)=0,"НЕИЗВЕСТНЫЙ ТИП",VLOOKUP(C685,СПРАВОЧНИКИ!$A$7:$E$22,3,FALSE)))</f>
        <v/>
      </c>
      <c r="S685" s="26" t="str">
        <f>IF(A685="","",IF(L685="Проведён",E685*IF(COUNTIF(Типы,C685)=0,0,VLOOKUP(C685,СПРАВОЧНИКИ!$A$7:$E$22,4,FALSE)),0))</f>
        <v/>
      </c>
      <c r="T685" s="26" t="str">
        <f>IF(A685="","",IF(L685="Проведён",E685*IF(COUNTIF(Типы,C685)=0,0,VLOOKUP(C685,СПРАВОЧНИКИ!$A$7:$E$22,5,FALSE)),0))</f>
        <v/>
      </c>
      <c r="U685" s="5" t="str">
        <f>IF(A685="","",IF(COUNTIF(Контрагенты,H685)=0,"Не задан",VLOOKUP(H685,СПРАВОЧНИКИ!$G$7:$H$66,2,FALSE)))</f>
        <v/>
      </c>
      <c r="V685" s="4" t="str">
        <f>IF(A685="",IF(COUNTA(B685:O685)&gt;0,"НЕТ ID",""),IF(OR(AND(OR(C685="Оплата клиента",C685="Возврат клиенту"),COUNTIFS(Docs[ID],J685,Docs[Тип долга],"ДЗ")&lt;&gt;1),AND(OR(C685="Оплата поставщику",C685="Возврат поставщика"),COUNTIFS(Docs[ID],J685,Docs[Тип долга],"КЗ",Docs[Вид],"&lt;&gt;Дивиденды")&lt;&gt;1),AND(C685="Дивиденды",COUNTIFS(Docs[ID],J685,Docs[Вид],"Дивиденды")&lt;&gt;1),AND(C685="Проценты",COUNTIFS(Docs[ID],J685,Docs[Вид],"Проценты")&lt;&gt;1),COUNTIF(Cash[ID],A685)&gt;1,NOT(ISNUMBER(B685)),B685&lt;НачалоУчета,YEAR(B685)&lt;&gt;Год,NOT(ISNUMBER(E685)),E685&lt;=0,N685&lt;0,COUNTIF(Типы,C685)&lt;&gt;1,COUNTIF(Категории,D685)&lt;&gt;1,COUNTIF(Счета,F685)&lt;&gt;1,COUNTIF(Проекты,I685)&lt;&gt;1,AND(H685&lt;&gt;"",COUNTIF(Контрагенты,H685)&lt;&gt;1),AND(C685="Перевод",OR(F685=G685,COUNTIF(Счета,G685)&lt;&gt;1)),AND(S685&lt;&gt;0,COUNTIF(Docs[ID],J685)&lt;&gt;1),AND(Форма="ООО",C685="Вывод ИП"),AND(Форма="ИП",C685="Дивиденды"),AND(L685&lt;&gt;"Проведён",L685&lt;&gt;"Черновик")),"ОШИБКА","ОК"))</f>
        <v/>
      </c>
      <c r="W685" s="25" t="str">
        <f>IF(A685="","",SUMIF(Accounts[Счёт],F685,Accounts[Начальный])+SUMIFS($Q$7:Q685,$F$7:F685,F685)+SUMIFS($E$7:E685,$G$7:G685,F685,$C$7:C685,"Перевод",$L$7:L685,"Проведён"))</f>
        <v/>
      </c>
    </row>
    <row r="686" spans="1:23" x14ac:dyDescent="0.25">
      <c r="A686" s="22"/>
      <c r="B686" s="23"/>
      <c r="C686" s="22"/>
      <c r="D686" s="22"/>
      <c r="E686" s="27"/>
      <c r="F686" s="22"/>
      <c r="G686" s="22"/>
      <c r="H686" s="22"/>
      <c r="I686" s="22"/>
      <c r="J686" s="22"/>
      <c r="K686" s="22"/>
      <c r="L686" s="22"/>
      <c r="M686" s="22"/>
      <c r="N686" s="27"/>
      <c r="O686" s="22"/>
      <c r="P686" s="5" t="str">
        <f>IF(A686="","",IF(COUNTIF(Типы,C686)=0,0,VLOOKUP(C686,СПРАВОЧНИКИ!$A$7:$E$22,2,FALSE)))</f>
        <v/>
      </c>
      <c r="Q686" s="25" t="str">
        <f t="shared" si="10"/>
        <v/>
      </c>
      <c r="R686" s="5" t="str">
        <f>IF(A686="","",IF(COUNTIF(Типы,C686)=0,"НЕИЗВЕСТНЫЙ ТИП",VLOOKUP(C686,СПРАВОЧНИКИ!$A$7:$E$22,3,FALSE)))</f>
        <v/>
      </c>
      <c r="S686" s="26" t="str">
        <f>IF(A686="","",IF(L686="Проведён",E686*IF(COUNTIF(Типы,C686)=0,0,VLOOKUP(C686,СПРАВОЧНИКИ!$A$7:$E$22,4,FALSE)),0))</f>
        <v/>
      </c>
      <c r="T686" s="26" t="str">
        <f>IF(A686="","",IF(L686="Проведён",E686*IF(COUNTIF(Типы,C686)=0,0,VLOOKUP(C686,СПРАВОЧНИКИ!$A$7:$E$22,5,FALSE)),0))</f>
        <v/>
      </c>
      <c r="U686" s="5" t="str">
        <f>IF(A686="","",IF(COUNTIF(Контрагенты,H686)=0,"Не задан",VLOOKUP(H686,СПРАВОЧНИКИ!$G$7:$H$66,2,FALSE)))</f>
        <v/>
      </c>
      <c r="V686" s="4" t="str">
        <f>IF(A686="",IF(COUNTA(B686:O686)&gt;0,"НЕТ ID",""),IF(OR(AND(OR(C686="Оплата клиента",C686="Возврат клиенту"),COUNTIFS(Docs[ID],J686,Docs[Тип долга],"ДЗ")&lt;&gt;1),AND(OR(C686="Оплата поставщику",C686="Возврат поставщика"),COUNTIFS(Docs[ID],J686,Docs[Тип долга],"КЗ",Docs[Вид],"&lt;&gt;Дивиденды")&lt;&gt;1),AND(C686="Дивиденды",COUNTIFS(Docs[ID],J686,Docs[Вид],"Дивиденды")&lt;&gt;1),AND(C686="Проценты",COUNTIFS(Docs[ID],J686,Docs[Вид],"Проценты")&lt;&gt;1),COUNTIF(Cash[ID],A686)&gt;1,NOT(ISNUMBER(B686)),B686&lt;НачалоУчета,YEAR(B686)&lt;&gt;Год,NOT(ISNUMBER(E686)),E686&lt;=0,N686&lt;0,COUNTIF(Типы,C686)&lt;&gt;1,COUNTIF(Категории,D686)&lt;&gt;1,COUNTIF(Счета,F686)&lt;&gt;1,COUNTIF(Проекты,I686)&lt;&gt;1,AND(H686&lt;&gt;"",COUNTIF(Контрагенты,H686)&lt;&gt;1),AND(C686="Перевод",OR(F686=G686,COUNTIF(Счета,G686)&lt;&gt;1)),AND(S686&lt;&gt;0,COUNTIF(Docs[ID],J686)&lt;&gt;1),AND(Форма="ООО",C686="Вывод ИП"),AND(Форма="ИП",C686="Дивиденды"),AND(L686&lt;&gt;"Проведён",L686&lt;&gt;"Черновик")),"ОШИБКА","ОК"))</f>
        <v/>
      </c>
      <c r="W686" s="25" t="str">
        <f>IF(A686="","",SUMIF(Accounts[Счёт],F686,Accounts[Начальный])+SUMIFS($Q$7:Q686,$F$7:F686,F686)+SUMIFS($E$7:E686,$G$7:G686,F686,$C$7:C686,"Перевод",$L$7:L686,"Проведён"))</f>
        <v/>
      </c>
    </row>
    <row r="687" spans="1:23" x14ac:dyDescent="0.25">
      <c r="A687" s="22"/>
      <c r="B687" s="23"/>
      <c r="C687" s="22"/>
      <c r="D687" s="22"/>
      <c r="E687" s="27"/>
      <c r="F687" s="22"/>
      <c r="G687" s="22"/>
      <c r="H687" s="22"/>
      <c r="I687" s="22"/>
      <c r="J687" s="22"/>
      <c r="K687" s="22"/>
      <c r="L687" s="22"/>
      <c r="M687" s="22"/>
      <c r="N687" s="27"/>
      <c r="O687" s="22"/>
      <c r="P687" s="5" t="str">
        <f>IF(A687="","",IF(COUNTIF(Типы,C687)=0,0,VLOOKUP(C687,СПРАВОЧНИКИ!$A$7:$E$22,2,FALSE)))</f>
        <v/>
      </c>
      <c r="Q687" s="25" t="str">
        <f t="shared" si="10"/>
        <v/>
      </c>
      <c r="R687" s="5" t="str">
        <f>IF(A687="","",IF(COUNTIF(Типы,C687)=0,"НЕИЗВЕСТНЫЙ ТИП",VLOOKUP(C687,СПРАВОЧНИКИ!$A$7:$E$22,3,FALSE)))</f>
        <v/>
      </c>
      <c r="S687" s="26" t="str">
        <f>IF(A687="","",IF(L687="Проведён",E687*IF(COUNTIF(Типы,C687)=0,0,VLOOKUP(C687,СПРАВОЧНИКИ!$A$7:$E$22,4,FALSE)),0))</f>
        <v/>
      </c>
      <c r="T687" s="26" t="str">
        <f>IF(A687="","",IF(L687="Проведён",E687*IF(COUNTIF(Типы,C687)=0,0,VLOOKUP(C687,СПРАВОЧНИКИ!$A$7:$E$22,5,FALSE)),0))</f>
        <v/>
      </c>
      <c r="U687" s="5" t="str">
        <f>IF(A687="","",IF(COUNTIF(Контрагенты,H687)=0,"Не задан",VLOOKUP(H687,СПРАВОЧНИКИ!$G$7:$H$66,2,FALSE)))</f>
        <v/>
      </c>
      <c r="V687" s="4" t="str">
        <f>IF(A687="",IF(COUNTA(B687:O687)&gt;0,"НЕТ ID",""),IF(OR(AND(OR(C687="Оплата клиента",C687="Возврат клиенту"),COUNTIFS(Docs[ID],J687,Docs[Тип долга],"ДЗ")&lt;&gt;1),AND(OR(C687="Оплата поставщику",C687="Возврат поставщика"),COUNTIFS(Docs[ID],J687,Docs[Тип долга],"КЗ",Docs[Вид],"&lt;&gt;Дивиденды")&lt;&gt;1),AND(C687="Дивиденды",COUNTIFS(Docs[ID],J687,Docs[Вид],"Дивиденды")&lt;&gt;1),AND(C687="Проценты",COUNTIFS(Docs[ID],J687,Docs[Вид],"Проценты")&lt;&gt;1),COUNTIF(Cash[ID],A687)&gt;1,NOT(ISNUMBER(B687)),B687&lt;НачалоУчета,YEAR(B687)&lt;&gt;Год,NOT(ISNUMBER(E687)),E687&lt;=0,N687&lt;0,COUNTIF(Типы,C687)&lt;&gt;1,COUNTIF(Категории,D687)&lt;&gt;1,COUNTIF(Счета,F687)&lt;&gt;1,COUNTIF(Проекты,I687)&lt;&gt;1,AND(H687&lt;&gt;"",COUNTIF(Контрагенты,H687)&lt;&gt;1),AND(C687="Перевод",OR(F687=G687,COUNTIF(Счета,G687)&lt;&gt;1)),AND(S687&lt;&gt;0,COUNTIF(Docs[ID],J687)&lt;&gt;1),AND(Форма="ООО",C687="Вывод ИП"),AND(Форма="ИП",C687="Дивиденды"),AND(L687&lt;&gt;"Проведён",L687&lt;&gt;"Черновик")),"ОШИБКА","ОК"))</f>
        <v/>
      </c>
      <c r="W687" s="25" t="str">
        <f>IF(A687="","",SUMIF(Accounts[Счёт],F687,Accounts[Начальный])+SUMIFS($Q$7:Q687,$F$7:F687,F687)+SUMIFS($E$7:E687,$G$7:G687,F687,$C$7:C687,"Перевод",$L$7:L687,"Проведён"))</f>
        <v/>
      </c>
    </row>
    <row r="688" spans="1:23" x14ac:dyDescent="0.25">
      <c r="A688" s="22"/>
      <c r="B688" s="23"/>
      <c r="C688" s="22"/>
      <c r="D688" s="22"/>
      <c r="E688" s="27"/>
      <c r="F688" s="22"/>
      <c r="G688" s="22"/>
      <c r="H688" s="22"/>
      <c r="I688" s="22"/>
      <c r="J688" s="22"/>
      <c r="K688" s="22"/>
      <c r="L688" s="22"/>
      <c r="M688" s="22"/>
      <c r="N688" s="27"/>
      <c r="O688" s="22"/>
      <c r="P688" s="5" t="str">
        <f>IF(A688="","",IF(COUNTIF(Типы,C688)=0,0,VLOOKUP(C688,СПРАВОЧНИКИ!$A$7:$E$22,2,FALSE)))</f>
        <v/>
      </c>
      <c r="Q688" s="25" t="str">
        <f t="shared" si="10"/>
        <v/>
      </c>
      <c r="R688" s="5" t="str">
        <f>IF(A688="","",IF(COUNTIF(Типы,C688)=0,"НЕИЗВЕСТНЫЙ ТИП",VLOOKUP(C688,СПРАВОЧНИКИ!$A$7:$E$22,3,FALSE)))</f>
        <v/>
      </c>
      <c r="S688" s="26" t="str">
        <f>IF(A688="","",IF(L688="Проведён",E688*IF(COUNTIF(Типы,C688)=0,0,VLOOKUP(C688,СПРАВОЧНИКИ!$A$7:$E$22,4,FALSE)),0))</f>
        <v/>
      </c>
      <c r="T688" s="26" t="str">
        <f>IF(A688="","",IF(L688="Проведён",E688*IF(COUNTIF(Типы,C688)=0,0,VLOOKUP(C688,СПРАВОЧНИКИ!$A$7:$E$22,5,FALSE)),0))</f>
        <v/>
      </c>
      <c r="U688" s="5" t="str">
        <f>IF(A688="","",IF(COUNTIF(Контрагенты,H688)=0,"Не задан",VLOOKUP(H688,СПРАВОЧНИКИ!$G$7:$H$66,2,FALSE)))</f>
        <v/>
      </c>
      <c r="V688" s="4" t="str">
        <f>IF(A688="",IF(COUNTA(B688:O688)&gt;0,"НЕТ ID",""),IF(OR(AND(OR(C688="Оплата клиента",C688="Возврат клиенту"),COUNTIFS(Docs[ID],J688,Docs[Тип долга],"ДЗ")&lt;&gt;1),AND(OR(C688="Оплата поставщику",C688="Возврат поставщика"),COUNTIFS(Docs[ID],J688,Docs[Тип долга],"КЗ",Docs[Вид],"&lt;&gt;Дивиденды")&lt;&gt;1),AND(C688="Дивиденды",COUNTIFS(Docs[ID],J688,Docs[Вид],"Дивиденды")&lt;&gt;1),AND(C688="Проценты",COUNTIFS(Docs[ID],J688,Docs[Вид],"Проценты")&lt;&gt;1),COUNTIF(Cash[ID],A688)&gt;1,NOT(ISNUMBER(B688)),B688&lt;НачалоУчета,YEAR(B688)&lt;&gt;Год,NOT(ISNUMBER(E688)),E688&lt;=0,N688&lt;0,COUNTIF(Типы,C688)&lt;&gt;1,COUNTIF(Категории,D688)&lt;&gt;1,COUNTIF(Счета,F688)&lt;&gt;1,COUNTIF(Проекты,I688)&lt;&gt;1,AND(H688&lt;&gt;"",COUNTIF(Контрагенты,H688)&lt;&gt;1),AND(C688="Перевод",OR(F688=G688,COUNTIF(Счета,G688)&lt;&gt;1)),AND(S688&lt;&gt;0,COUNTIF(Docs[ID],J688)&lt;&gt;1),AND(Форма="ООО",C688="Вывод ИП"),AND(Форма="ИП",C688="Дивиденды"),AND(L688&lt;&gt;"Проведён",L688&lt;&gt;"Черновик")),"ОШИБКА","ОК"))</f>
        <v/>
      </c>
      <c r="W688" s="25" t="str">
        <f>IF(A688="","",SUMIF(Accounts[Счёт],F688,Accounts[Начальный])+SUMIFS($Q$7:Q688,$F$7:F688,F688)+SUMIFS($E$7:E688,$G$7:G688,F688,$C$7:C688,"Перевод",$L$7:L688,"Проведён"))</f>
        <v/>
      </c>
    </row>
    <row r="689" spans="1:23" x14ac:dyDescent="0.25">
      <c r="A689" s="22"/>
      <c r="B689" s="23"/>
      <c r="C689" s="22"/>
      <c r="D689" s="22"/>
      <c r="E689" s="27"/>
      <c r="F689" s="22"/>
      <c r="G689" s="22"/>
      <c r="H689" s="22"/>
      <c r="I689" s="22"/>
      <c r="J689" s="22"/>
      <c r="K689" s="22"/>
      <c r="L689" s="22"/>
      <c r="M689" s="22"/>
      <c r="N689" s="27"/>
      <c r="O689" s="22"/>
      <c r="P689" s="5" t="str">
        <f>IF(A689="","",IF(COUNTIF(Типы,C689)=0,0,VLOOKUP(C689,СПРАВОЧНИКИ!$A$7:$E$22,2,FALSE)))</f>
        <v/>
      </c>
      <c r="Q689" s="25" t="str">
        <f t="shared" si="10"/>
        <v/>
      </c>
      <c r="R689" s="5" t="str">
        <f>IF(A689="","",IF(COUNTIF(Типы,C689)=0,"НЕИЗВЕСТНЫЙ ТИП",VLOOKUP(C689,СПРАВОЧНИКИ!$A$7:$E$22,3,FALSE)))</f>
        <v/>
      </c>
      <c r="S689" s="26" t="str">
        <f>IF(A689="","",IF(L689="Проведён",E689*IF(COUNTIF(Типы,C689)=0,0,VLOOKUP(C689,СПРАВОЧНИКИ!$A$7:$E$22,4,FALSE)),0))</f>
        <v/>
      </c>
      <c r="T689" s="26" t="str">
        <f>IF(A689="","",IF(L689="Проведён",E689*IF(COUNTIF(Типы,C689)=0,0,VLOOKUP(C689,СПРАВОЧНИКИ!$A$7:$E$22,5,FALSE)),0))</f>
        <v/>
      </c>
      <c r="U689" s="5" t="str">
        <f>IF(A689="","",IF(COUNTIF(Контрагенты,H689)=0,"Не задан",VLOOKUP(H689,СПРАВОЧНИКИ!$G$7:$H$66,2,FALSE)))</f>
        <v/>
      </c>
      <c r="V689" s="4" t="str">
        <f>IF(A689="",IF(COUNTA(B689:O689)&gt;0,"НЕТ ID",""),IF(OR(AND(OR(C689="Оплата клиента",C689="Возврат клиенту"),COUNTIFS(Docs[ID],J689,Docs[Тип долга],"ДЗ")&lt;&gt;1),AND(OR(C689="Оплата поставщику",C689="Возврат поставщика"),COUNTIFS(Docs[ID],J689,Docs[Тип долга],"КЗ",Docs[Вид],"&lt;&gt;Дивиденды")&lt;&gt;1),AND(C689="Дивиденды",COUNTIFS(Docs[ID],J689,Docs[Вид],"Дивиденды")&lt;&gt;1),AND(C689="Проценты",COUNTIFS(Docs[ID],J689,Docs[Вид],"Проценты")&lt;&gt;1),COUNTIF(Cash[ID],A689)&gt;1,NOT(ISNUMBER(B689)),B689&lt;НачалоУчета,YEAR(B689)&lt;&gt;Год,NOT(ISNUMBER(E689)),E689&lt;=0,N689&lt;0,COUNTIF(Типы,C689)&lt;&gt;1,COUNTIF(Категории,D689)&lt;&gt;1,COUNTIF(Счета,F689)&lt;&gt;1,COUNTIF(Проекты,I689)&lt;&gt;1,AND(H689&lt;&gt;"",COUNTIF(Контрагенты,H689)&lt;&gt;1),AND(C689="Перевод",OR(F689=G689,COUNTIF(Счета,G689)&lt;&gt;1)),AND(S689&lt;&gt;0,COUNTIF(Docs[ID],J689)&lt;&gt;1),AND(Форма="ООО",C689="Вывод ИП"),AND(Форма="ИП",C689="Дивиденды"),AND(L689&lt;&gt;"Проведён",L689&lt;&gt;"Черновик")),"ОШИБКА","ОК"))</f>
        <v/>
      </c>
      <c r="W689" s="25" t="str">
        <f>IF(A689="","",SUMIF(Accounts[Счёт],F689,Accounts[Начальный])+SUMIFS($Q$7:Q689,$F$7:F689,F689)+SUMIFS($E$7:E689,$G$7:G689,F689,$C$7:C689,"Перевод",$L$7:L689,"Проведён"))</f>
        <v/>
      </c>
    </row>
    <row r="690" spans="1:23" x14ac:dyDescent="0.25">
      <c r="A690" s="22"/>
      <c r="B690" s="23"/>
      <c r="C690" s="22"/>
      <c r="D690" s="22"/>
      <c r="E690" s="27"/>
      <c r="F690" s="22"/>
      <c r="G690" s="22"/>
      <c r="H690" s="22"/>
      <c r="I690" s="22"/>
      <c r="J690" s="22"/>
      <c r="K690" s="22"/>
      <c r="L690" s="22"/>
      <c r="M690" s="22"/>
      <c r="N690" s="27"/>
      <c r="O690" s="22"/>
      <c r="P690" s="5" t="str">
        <f>IF(A690="","",IF(COUNTIF(Типы,C690)=0,0,VLOOKUP(C690,СПРАВОЧНИКИ!$A$7:$E$22,2,FALSE)))</f>
        <v/>
      </c>
      <c r="Q690" s="25" t="str">
        <f t="shared" si="10"/>
        <v/>
      </c>
      <c r="R690" s="5" t="str">
        <f>IF(A690="","",IF(COUNTIF(Типы,C690)=0,"НЕИЗВЕСТНЫЙ ТИП",VLOOKUP(C690,СПРАВОЧНИКИ!$A$7:$E$22,3,FALSE)))</f>
        <v/>
      </c>
      <c r="S690" s="26" t="str">
        <f>IF(A690="","",IF(L690="Проведён",E690*IF(COUNTIF(Типы,C690)=0,0,VLOOKUP(C690,СПРАВОЧНИКИ!$A$7:$E$22,4,FALSE)),0))</f>
        <v/>
      </c>
      <c r="T690" s="26" t="str">
        <f>IF(A690="","",IF(L690="Проведён",E690*IF(COUNTIF(Типы,C690)=0,0,VLOOKUP(C690,СПРАВОЧНИКИ!$A$7:$E$22,5,FALSE)),0))</f>
        <v/>
      </c>
      <c r="U690" s="5" t="str">
        <f>IF(A690="","",IF(COUNTIF(Контрагенты,H690)=0,"Не задан",VLOOKUP(H690,СПРАВОЧНИКИ!$G$7:$H$66,2,FALSE)))</f>
        <v/>
      </c>
      <c r="V690" s="4" t="str">
        <f>IF(A690="",IF(COUNTA(B690:O690)&gt;0,"НЕТ ID",""),IF(OR(AND(OR(C690="Оплата клиента",C690="Возврат клиенту"),COUNTIFS(Docs[ID],J690,Docs[Тип долга],"ДЗ")&lt;&gt;1),AND(OR(C690="Оплата поставщику",C690="Возврат поставщика"),COUNTIFS(Docs[ID],J690,Docs[Тип долга],"КЗ",Docs[Вид],"&lt;&gt;Дивиденды")&lt;&gt;1),AND(C690="Дивиденды",COUNTIFS(Docs[ID],J690,Docs[Вид],"Дивиденды")&lt;&gt;1),AND(C690="Проценты",COUNTIFS(Docs[ID],J690,Docs[Вид],"Проценты")&lt;&gt;1),COUNTIF(Cash[ID],A690)&gt;1,NOT(ISNUMBER(B690)),B690&lt;НачалоУчета,YEAR(B690)&lt;&gt;Год,NOT(ISNUMBER(E690)),E690&lt;=0,N690&lt;0,COUNTIF(Типы,C690)&lt;&gt;1,COUNTIF(Категории,D690)&lt;&gt;1,COUNTIF(Счета,F690)&lt;&gt;1,COUNTIF(Проекты,I690)&lt;&gt;1,AND(H690&lt;&gt;"",COUNTIF(Контрагенты,H690)&lt;&gt;1),AND(C690="Перевод",OR(F690=G690,COUNTIF(Счета,G690)&lt;&gt;1)),AND(S690&lt;&gt;0,COUNTIF(Docs[ID],J690)&lt;&gt;1),AND(Форма="ООО",C690="Вывод ИП"),AND(Форма="ИП",C690="Дивиденды"),AND(L690&lt;&gt;"Проведён",L690&lt;&gt;"Черновик")),"ОШИБКА","ОК"))</f>
        <v/>
      </c>
      <c r="W690" s="25" t="str">
        <f>IF(A690="","",SUMIF(Accounts[Счёт],F690,Accounts[Начальный])+SUMIFS($Q$7:Q690,$F$7:F690,F690)+SUMIFS($E$7:E690,$G$7:G690,F690,$C$7:C690,"Перевод",$L$7:L690,"Проведён"))</f>
        <v/>
      </c>
    </row>
    <row r="691" spans="1:23" x14ac:dyDescent="0.25">
      <c r="A691" s="22"/>
      <c r="B691" s="23"/>
      <c r="C691" s="22"/>
      <c r="D691" s="22"/>
      <c r="E691" s="27"/>
      <c r="F691" s="22"/>
      <c r="G691" s="22"/>
      <c r="H691" s="22"/>
      <c r="I691" s="22"/>
      <c r="J691" s="22"/>
      <c r="K691" s="22"/>
      <c r="L691" s="22"/>
      <c r="M691" s="22"/>
      <c r="N691" s="27"/>
      <c r="O691" s="22"/>
      <c r="P691" s="5" t="str">
        <f>IF(A691="","",IF(COUNTIF(Типы,C691)=0,0,VLOOKUP(C691,СПРАВОЧНИКИ!$A$7:$E$22,2,FALSE)))</f>
        <v/>
      </c>
      <c r="Q691" s="25" t="str">
        <f t="shared" si="10"/>
        <v/>
      </c>
      <c r="R691" s="5" t="str">
        <f>IF(A691="","",IF(COUNTIF(Типы,C691)=0,"НЕИЗВЕСТНЫЙ ТИП",VLOOKUP(C691,СПРАВОЧНИКИ!$A$7:$E$22,3,FALSE)))</f>
        <v/>
      </c>
      <c r="S691" s="26" t="str">
        <f>IF(A691="","",IF(L691="Проведён",E691*IF(COUNTIF(Типы,C691)=0,0,VLOOKUP(C691,СПРАВОЧНИКИ!$A$7:$E$22,4,FALSE)),0))</f>
        <v/>
      </c>
      <c r="T691" s="26" t="str">
        <f>IF(A691="","",IF(L691="Проведён",E691*IF(COUNTIF(Типы,C691)=0,0,VLOOKUP(C691,СПРАВОЧНИКИ!$A$7:$E$22,5,FALSE)),0))</f>
        <v/>
      </c>
      <c r="U691" s="5" t="str">
        <f>IF(A691="","",IF(COUNTIF(Контрагенты,H691)=0,"Не задан",VLOOKUP(H691,СПРАВОЧНИКИ!$G$7:$H$66,2,FALSE)))</f>
        <v/>
      </c>
      <c r="V691" s="4" t="str">
        <f>IF(A691="",IF(COUNTA(B691:O691)&gt;0,"НЕТ ID",""),IF(OR(AND(OR(C691="Оплата клиента",C691="Возврат клиенту"),COUNTIFS(Docs[ID],J691,Docs[Тип долга],"ДЗ")&lt;&gt;1),AND(OR(C691="Оплата поставщику",C691="Возврат поставщика"),COUNTIFS(Docs[ID],J691,Docs[Тип долга],"КЗ",Docs[Вид],"&lt;&gt;Дивиденды")&lt;&gt;1),AND(C691="Дивиденды",COUNTIFS(Docs[ID],J691,Docs[Вид],"Дивиденды")&lt;&gt;1),AND(C691="Проценты",COUNTIFS(Docs[ID],J691,Docs[Вид],"Проценты")&lt;&gt;1),COUNTIF(Cash[ID],A691)&gt;1,NOT(ISNUMBER(B691)),B691&lt;НачалоУчета,YEAR(B691)&lt;&gt;Год,NOT(ISNUMBER(E691)),E691&lt;=0,N691&lt;0,COUNTIF(Типы,C691)&lt;&gt;1,COUNTIF(Категории,D691)&lt;&gt;1,COUNTIF(Счета,F691)&lt;&gt;1,COUNTIF(Проекты,I691)&lt;&gt;1,AND(H691&lt;&gt;"",COUNTIF(Контрагенты,H691)&lt;&gt;1),AND(C691="Перевод",OR(F691=G691,COUNTIF(Счета,G691)&lt;&gt;1)),AND(S691&lt;&gt;0,COUNTIF(Docs[ID],J691)&lt;&gt;1),AND(Форма="ООО",C691="Вывод ИП"),AND(Форма="ИП",C691="Дивиденды"),AND(L691&lt;&gt;"Проведён",L691&lt;&gt;"Черновик")),"ОШИБКА","ОК"))</f>
        <v/>
      </c>
      <c r="W691" s="25" t="str">
        <f>IF(A691="","",SUMIF(Accounts[Счёт],F691,Accounts[Начальный])+SUMIFS($Q$7:Q691,$F$7:F691,F691)+SUMIFS($E$7:E691,$G$7:G691,F691,$C$7:C691,"Перевод",$L$7:L691,"Проведён"))</f>
        <v/>
      </c>
    </row>
    <row r="692" spans="1:23" x14ac:dyDescent="0.25">
      <c r="A692" s="22"/>
      <c r="B692" s="23"/>
      <c r="C692" s="22"/>
      <c r="D692" s="22"/>
      <c r="E692" s="27"/>
      <c r="F692" s="22"/>
      <c r="G692" s="22"/>
      <c r="H692" s="22"/>
      <c r="I692" s="22"/>
      <c r="J692" s="22"/>
      <c r="K692" s="22"/>
      <c r="L692" s="22"/>
      <c r="M692" s="22"/>
      <c r="N692" s="27"/>
      <c r="O692" s="22"/>
      <c r="P692" s="5" t="str">
        <f>IF(A692="","",IF(COUNTIF(Типы,C692)=0,0,VLOOKUP(C692,СПРАВОЧНИКИ!$A$7:$E$22,2,FALSE)))</f>
        <v/>
      </c>
      <c r="Q692" s="25" t="str">
        <f t="shared" si="10"/>
        <v/>
      </c>
      <c r="R692" s="5" t="str">
        <f>IF(A692="","",IF(COUNTIF(Типы,C692)=0,"НЕИЗВЕСТНЫЙ ТИП",VLOOKUP(C692,СПРАВОЧНИКИ!$A$7:$E$22,3,FALSE)))</f>
        <v/>
      </c>
      <c r="S692" s="26" t="str">
        <f>IF(A692="","",IF(L692="Проведён",E692*IF(COUNTIF(Типы,C692)=0,0,VLOOKUP(C692,СПРАВОЧНИКИ!$A$7:$E$22,4,FALSE)),0))</f>
        <v/>
      </c>
      <c r="T692" s="26" t="str">
        <f>IF(A692="","",IF(L692="Проведён",E692*IF(COUNTIF(Типы,C692)=0,0,VLOOKUP(C692,СПРАВОЧНИКИ!$A$7:$E$22,5,FALSE)),0))</f>
        <v/>
      </c>
      <c r="U692" s="5" t="str">
        <f>IF(A692="","",IF(COUNTIF(Контрагенты,H692)=0,"Не задан",VLOOKUP(H692,СПРАВОЧНИКИ!$G$7:$H$66,2,FALSE)))</f>
        <v/>
      </c>
      <c r="V692" s="4" t="str">
        <f>IF(A692="",IF(COUNTA(B692:O692)&gt;0,"НЕТ ID",""),IF(OR(AND(OR(C692="Оплата клиента",C692="Возврат клиенту"),COUNTIFS(Docs[ID],J692,Docs[Тип долга],"ДЗ")&lt;&gt;1),AND(OR(C692="Оплата поставщику",C692="Возврат поставщика"),COUNTIFS(Docs[ID],J692,Docs[Тип долга],"КЗ",Docs[Вид],"&lt;&gt;Дивиденды")&lt;&gt;1),AND(C692="Дивиденды",COUNTIFS(Docs[ID],J692,Docs[Вид],"Дивиденды")&lt;&gt;1),AND(C692="Проценты",COUNTIFS(Docs[ID],J692,Docs[Вид],"Проценты")&lt;&gt;1),COUNTIF(Cash[ID],A692)&gt;1,NOT(ISNUMBER(B692)),B692&lt;НачалоУчета,YEAR(B692)&lt;&gt;Год,NOT(ISNUMBER(E692)),E692&lt;=0,N692&lt;0,COUNTIF(Типы,C692)&lt;&gt;1,COUNTIF(Категории,D692)&lt;&gt;1,COUNTIF(Счета,F692)&lt;&gt;1,COUNTIF(Проекты,I692)&lt;&gt;1,AND(H692&lt;&gt;"",COUNTIF(Контрагенты,H692)&lt;&gt;1),AND(C692="Перевод",OR(F692=G692,COUNTIF(Счета,G692)&lt;&gt;1)),AND(S692&lt;&gt;0,COUNTIF(Docs[ID],J692)&lt;&gt;1),AND(Форма="ООО",C692="Вывод ИП"),AND(Форма="ИП",C692="Дивиденды"),AND(L692&lt;&gt;"Проведён",L692&lt;&gt;"Черновик")),"ОШИБКА","ОК"))</f>
        <v/>
      </c>
      <c r="W692" s="25" t="str">
        <f>IF(A692="","",SUMIF(Accounts[Счёт],F692,Accounts[Начальный])+SUMIFS($Q$7:Q692,$F$7:F692,F692)+SUMIFS($E$7:E692,$G$7:G692,F692,$C$7:C692,"Перевод",$L$7:L692,"Проведён"))</f>
        <v/>
      </c>
    </row>
    <row r="693" spans="1:23" x14ac:dyDescent="0.25">
      <c r="A693" s="22"/>
      <c r="B693" s="23"/>
      <c r="C693" s="22"/>
      <c r="D693" s="22"/>
      <c r="E693" s="27"/>
      <c r="F693" s="22"/>
      <c r="G693" s="22"/>
      <c r="H693" s="22"/>
      <c r="I693" s="22"/>
      <c r="J693" s="22"/>
      <c r="K693" s="22"/>
      <c r="L693" s="22"/>
      <c r="M693" s="22"/>
      <c r="N693" s="27"/>
      <c r="O693" s="22"/>
      <c r="P693" s="5" t="str">
        <f>IF(A693="","",IF(COUNTIF(Типы,C693)=0,0,VLOOKUP(C693,СПРАВОЧНИКИ!$A$7:$E$22,2,FALSE)))</f>
        <v/>
      </c>
      <c r="Q693" s="25" t="str">
        <f t="shared" si="10"/>
        <v/>
      </c>
      <c r="R693" s="5" t="str">
        <f>IF(A693="","",IF(COUNTIF(Типы,C693)=0,"НЕИЗВЕСТНЫЙ ТИП",VLOOKUP(C693,СПРАВОЧНИКИ!$A$7:$E$22,3,FALSE)))</f>
        <v/>
      </c>
      <c r="S693" s="26" t="str">
        <f>IF(A693="","",IF(L693="Проведён",E693*IF(COUNTIF(Типы,C693)=0,0,VLOOKUP(C693,СПРАВОЧНИКИ!$A$7:$E$22,4,FALSE)),0))</f>
        <v/>
      </c>
      <c r="T693" s="26" t="str">
        <f>IF(A693="","",IF(L693="Проведён",E693*IF(COUNTIF(Типы,C693)=0,0,VLOOKUP(C693,СПРАВОЧНИКИ!$A$7:$E$22,5,FALSE)),0))</f>
        <v/>
      </c>
      <c r="U693" s="5" t="str">
        <f>IF(A693="","",IF(COUNTIF(Контрагенты,H693)=0,"Не задан",VLOOKUP(H693,СПРАВОЧНИКИ!$G$7:$H$66,2,FALSE)))</f>
        <v/>
      </c>
      <c r="V693" s="4" t="str">
        <f>IF(A693="",IF(COUNTA(B693:O693)&gt;0,"НЕТ ID",""),IF(OR(AND(OR(C693="Оплата клиента",C693="Возврат клиенту"),COUNTIFS(Docs[ID],J693,Docs[Тип долга],"ДЗ")&lt;&gt;1),AND(OR(C693="Оплата поставщику",C693="Возврат поставщика"),COUNTIFS(Docs[ID],J693,Docs[Тип долга],"КЗ",Docs[Вид],"&lt;&gt;Дивиденды")&lt;&gt;1),AND(C693="Дивиденды",COUNTIFS(Docs[ID],J693,Docs[Вид],"Дивиденды")&lt;&gt;1),AND(C693="Проценты",COUNTIFS(Docs[ID],J693,Docs[Вид],"Проценты")&lt;&gt;1),COUNTIF(Cash[ID],A693)&gt;1,NOT(ISNUMBER(B693)),B693&lt;НачалоУчета,YEAR(B693)&lt;&gt;Год,NOT(ISNUMBER(E693)),E693&lt;=0,N693&lt;0,COUNTIF(Типы,C693)&lt;&gt;1,COUNTIF(Категории,D693)&lt;&gt;1,COUNTIF(Счета,F693)&lt;&gt;1,COUNTIF(Проекты,I693)&lt;&gt;1,AND(H693&lt;&gt;"",COUNTIF(Контрагенты,H693)&lt;&gt;1),AND(C693="Перевод",OR(F693=G693,COUNTIF(Счета,G693)&lt;&gt;1)),AND(S693&lt;&gt;0,COUNTIF(Docs[ID],J693)&lt;&gt;1),AND(Форма="ООО",C693="Вывод ИП"),AND(Форма="ИП",C693="Дивиденды"),AND(L693&lt;&gt;"Проведён",L693&lt;&gt;"Черновик")),"ОШИБКА","ОК"))</f>
        <v/>
      </c>
      <c r="W693" s="25" t="str">
        <f>IF(A693="","",SUMIF(Accounts[Счёт],F693,Accounts[Начальный])+SUMIFS($Q$7:Q693,$F$7:F693,F693)+SUMIFS($E$7:E693,$G$7:G693,F693,$C$7:C693,"Перевод",$L$7:L693,"Проведён"))</f>
        <v/>
      </c>
    </row>
    <row r="694" spans="1:23" x14ac:dyDescent="0.25">
      <c r="A694" s="22"/>
      <c r="B694" s="23"/>
      <c r="C694" s="22"/>
      <c r="D694" s="22"/>
      <c r="E694" s="27"/>
      <c r="F694" s="22"/>
      <c r="G694" s="22"/>
      <c r="H694" s="22"/>
      <c r="I694" s="22"/>
      <c r="J694" s="22"/>
      <c r="K694" s="22"/>
      <c r="L694" s="22"/>
      <c r="M694" s="22"/>
      <c r="N694" s="27"/>
      <c r="O694" s="22"/>
      <c r="P694" s="5" t="str">
        <f>IF(A694="","",IF(COUNTIF(Типы,C694)=0,0,VLOOKUP(C694,СПРАВОЧНИКИ!$A$7:$E$22,2,FALSE)))</f>
        <v/>
      </c>
      <c r="Q694" s="25" t="str">
        <f t="shared" si="10"/>
        <v/>
      </c>
      <c r="R694" s="5" t="str">
        <f>IF(A694="","",IF(COUNTIF(Типы,C694)=0,"НЕИЗВЕСТНЫЙ ТИП",VLOOKUP(C694,СПРАВОЧНИКИ!$A$7:$E$22,3,FALSE)))</f>
        <v/>
      </c>
      <c r="S694" s="26" t="str">
        <f>IF(A694="","",IF(L694="Проведён",E694*IF(COUNTIF(Типы,C694)=0,0,VLOOKUP(C694,СПРАВОЧНИКИ!$A$7:$E$22,4,FALSE)),0))</f>
        <v/>
      </c>
      <c r="T694" s="26" t="str">
        <f>IF(A694="","",IF(L694="Проведён",E694*IF(COUNTIF(Типы,C694)=0,0,VLOOKUP(C694,СПРАВОЧНИКИ!$A$7:$E$22,5,FALSE)),0))</f>
        <v/>
      </c>
      <c r="U694" s="5" t="str">
        <f>IF(A694="","",IF(COUNTIF(Контрагенты,H694)=0,"Не задан",VLOOKUP(H694,СПРАВОЧНИКИ!$G$7:$H$66,2,FALSE)))</f>
        <v/>
      </c>
      <c r="V694" s="4" t="str">
        <f>IF(A694="",IF(COUNTA(B694:O694)&gt;0,"НЕТ ID",""),IF(OR(AND(OR(C694="Оплата клиента",C694="Возврат клиенту"),COUNTIFS(Docs[ID],J694,Docs[Тип долга],"ДЗ")&lt;&gt;1),AND(OR(C694="Оплата поставщику",C694="Возврат поставщика"),COUNTIFS(Docs[ID],J694,Docs[Тип долга],"КЗ",Docs[Вид],"&lt;&gt;Дивиденды")&lt;&gt;1),AND(C694="Дивиденды",COUNTIFS(Docs[ID],J694,Docs[Вид],"Дивиденды")&lt;&gt;1),AND(C694="Проценты",COUNTIFS(Docs[ID],J694,Docs[Вид],"Проценты")&lt;&gt;1),COUNTIF(Cash[ID],A694)&gt;1,NOT(ISNUMBER(B694)),B694&lt;НачалоУчета,YEAR(B694)&lt;&gt;Год,NOT(ISNUMBER(E694)),E694&lt;=0,N694&lt;0,COUNTIF(Типы,C694)&lt;&gt;1,COUNTIF(Категории,D694)&lt;&gt;1,COUNTIF(Счета,F694)&lt;&gt;1,COUNTIF(Проекты,I694)&lt;&gt;1,AND(H694&lt;&gt;"",COUNTIF(Контрагенты,H694)&lt;&gt;1),AND(C694="Перевод",OR(F694=G694,COUNTIF(Счета,G694)&lt;&gt;1)),AND(S694&lt;&gt;0,COUNTIF(Docs[ID],J694)&lt;&gt;1),AND(Форма="ООО",C694="Вывод ИП"),AND(Форма="ИП",C694="Дивиденды"),AND(L694&lt;&gt;"Проведён",L694&lt;&gt;"Черновик")),"ОШИБКА","ОК"))</f>
        <v/>
      </c>
      <c r="W694" s="25" t="str">
        <f>IF(A694="","",SUMIF(Accounts[Счёт],F694,Accounts[Начальный])+SUMIFS($Q$7:Q694,$F$7:F694,F694)+SUMIFS($E$7:E694,$G$7:G694,F694,$C$7:C694,"Перевод",$L$7:L694,"Проведён"))</f>
        <v/>
      </c>
    </row>
    <row r="695" spans="1:23" x14ac:dyDescent="0.25">
      <c r="A695" s="22"/>
      <c r="B695" s="23"/>
      <c r="C695" s="22"/>
      <c r="D695" s="22"/>
      <c r="E695" s="27"/>
      <c r="F695" s="22"/>
      <c r="G695" s="22"/>
      <c r="H695" s="22"/>
      <c r="I695" s="22"/>
      <c r="J695" s="22"/>
      <c r="K695" s="22"/>
      <c r="L695" s="22"/>
      <c r="M695" s="22"/>
      <c r="N695" s="27"/>
      <c r="O695" s="22"/>
      <c r="P695" s="5" t="str">
        <f>IF(A695="","",IF(COUNTIF(Типы,C695)=0,0,VLOOKUP(C695,СПРАВОЧНИКИ!$A$7:$E$22,2,FALSE)))</f>
        <v/>
      </c>
      <c r="Q695" s="25" t="str">
        <f t="shared" si="10"/>
        <v/>
      </c>
      <c r="R695" s="5" t="str">
        <f>IF(A695="","",IF(COUNTIF(Типы,C695)=0,"НЕИЗВЕСТНЫЙ ТИП",VLOOKUP(C695,СПРАВОЧНИКИ!$A$7:$E$22,3,FALSE)))</f>
        <v/>
      </c>
      <c r="S695" s="26" t="str">
        <f>IF(A695="","",IF(L695="Проведён",E695*IF(COUNTIF(Типы,C695)=0,0,VLOOKUP(C695,СПРАВОЧНИКИ!$A$7:$E$22,4,FALSE)),0))</f>
        <v/>
      </c>
      <c r="T695" s="26" t="str">
        <f>IF(A695="","",IF(L695="Проведён",E695*IF(COUNTIF(Типы,C695)=0,0,VLOOKUP(C695,СПРАВОЧНИКИ!$A$7:$E$22,5,FALSE)),0))</f>
        <v/>
      </c>
      <c r="U695" s="5" t="str">
        <f>IF(A695="","",IF(COUNTIF(Контрагенты,H695)=0,"Не задан",VLOOKUP(H695,СПРАВОЧНИКИ!$G$7:$H$66,2,FALSE)))</f>
        <v/>
      </c>
      <c r="V695" s="4" t="str">
        <f>IF(A695="",IF(COUNTA(B695:O695)&gt;0,"НЕТ ID",""),IF(OR(AND(OR(C695="Оплата клиента",C695="Возврат клиенту"),COUNTIFS(Docs[ID],J695,Docs[Тип долга],"ДЗ")&lt;&gt;1),AND(OR(C695="Оплата поставщику",C695="Возврат поставщика"),COUNTIFS(Docs[ID],J695,Docs[Тип долга],"КЗ",Docs[Вид],"&lt;&gt;Дивиденды")&lt;&gt;1),AND(C695="Дивиденды",COUNTIFS(Docs[ID],J695,Docs[Вид],"Дивиденды")&lt;&gt;1),AND(C695="Проценты",COUNTIFS(Docs[ID],J695,Docs[Вид],"Проценты")&lt;&gt;1),COUNTIF(Cash[ID],A695)&gt;1,NOT(ISNUMBER(B695)),B695&lt;НачалоУчета,YEAR(B695)&lt;&gt;Год,NOT(ISNUMBER(E695)),E695&lt;=0,N695&lt;0,COUNTIF(Типы,C695)&lt;&gt;1,COUNTIF(Категории,D695)&lt;&gt;1,COUNTIF(Счета,F695)&lt;&gt;1,COUNTIF(Проекты,I695)&lt;&gt;1,AND(H695&lt;&gt;"",COUNTIF(Контрагенты,H695)&lt;&gt;1),AND(C695="Перевод",OR(F695=G695,COUNTIF(Счета,G695)&lt;&gt;1)),AND(S695&lt;&gt;0,COUNTIF(Docs[ID],J695)&lt;&gt;1),AND(Форма="ООО",C695="Вывод ИП"),AND(Форма="ИП",C695="Дивиденды"),AND(L695&lt;&gt;"Проведён",L695&lt;&gt;"Черновик")),"ОШИБКА","ОК"))</f>
        <v/>
      </c>
      <c r="W695" s="25" t="str">
        <f>IF(A695="","",SUMIF(Accounts[Счёт],F695,Accounts[Начальный])+SUMIFS($Q$7:Q695,$F$7:F695,F695)+SUMIFS($E$7:E695,$G$7:G695,F695,$C$7:C695,"Перевод",$L$7:L695,"Проведён"))</f>
        <v/>
      </c>
    </row>
    <row r="696" spans="1:23" x14ac:dyDescent="0.25">
      <c r="A696" s="22"/>
      <c r="B696" s="23"/>
      <c r="C696" s="22"/>
      <c r="D696" s="22"/>
      <c r="E696" s="27"/>
      <c r="F696" s="22"/>
      <c r="G696" s="22"/>
      <c r="H696" s="22"/>
      <c r="I696" s="22"/>
      <c r="J696" s="22"/>
      <c r="K696" s="22"/>
      <c r="L696" s="22"/>
      <c r="M696" s="22"/>
      <c r="N696" s="27"/>
      <c r="O696" s="22"/>
      <c r="P696" s="5" t="str">
        <f>IF(A696="","",IF(COUNTIF(Типы,C696)=0,0,VLOOKUP(C696,СПРАВОЧНИКИ!$A$7:$E$22,2,FALSE)))</f>
        <v/>
      </c>
      <c r="Q696" s="25" t="str">
        <f t="shared" si="10"/>
        <v/>
      </c>
      <c r="R696" s="5" t="str">
        <f>IF(A696="","",IF(COUNTIF(Типы,C696)=0,"НЕИЗВЕСТНЫЙ ТИП",VLOOKUP(C696,СПРАВОЧНИКИ!$A$7:$E$22,3,FALSE)))</f>
        <v/>
      </c>
      <c r="S696" s="26" t="str">
        <f>IF(A696="","",IF(L696="Проведён",E696*IF(COUNTIF(Типы,C696)=0,0,VLOOKUP(C696,СПРАВОЧНИКИ!$A$7:$E$22,4,FALSE)),0))</f>
        <v/>
      </c>
      <c r="T696" s="26" t="str">
        <f>IF(A696="","",IF(L696="Проведён",E696*IF(COUNTIF(Типы,C696)=0,0,VLOOKUP(C696,СПРАВОЧНИКИ!$A$7:$E$22,5,FALSE)),0))</f>
        <v/>
      </c>
      <c r="U696" s="5" t="str">
        <f>IF(A696="","",IF(COUNTIF(Контрагенты,H696)=0,"Не задан",VLOOKUP(H696,СПРАВОЧНИКИ!$G$7:$H$66,2,FALSE)))</f>
        <v/>
      </c>
      <c r="V696" s="4" t="str">
        <f>IF(A696="",IF(COUNTA(B696:O696)&gt;0,"НЕТ ID",""),IF(OR(AND(OR(C696="Оплата клиента",C696="Возврат клиенту"),COUNTIFS(Docs[ID],J696,Docs[Тип долга],"ДЗ")&lt;&gt;1),AND(OR(C696="Оплата поставщику",C696="Возврат поставщика"),COUNTIFS(Docs[ID],J696,Docs[Тип долга],"КЗ",Docs[Вид],"&lt;&gt;Дивиденды")&lt;&gt;1),AND(C696="Дивиденды",COUNTIFS(Docs[ID],J696,Docs[Вид],"Дивиденды")&lt;&gt;1),AND(C696="Проценты",COUNTIFS(Docs[ID],J696,Docs[Вид],"Проценты")&lt;&gt;1),COUNTIF(Cash[ID],A696)&gt;1,NOT(ISNUMBER(B696)),B696&lt;НачалоУчета,YEAR(B696)&lt;&gt;Год,NOT(ISNUMBER(E696)),E696&lt;=0,N696&lt;0,COUNTIF(Типы,C696)&lt;&gt;1,COUNTIF(Категории,D696)&lt;&gt;1,COUNTIF(Счета,F696)&lt;&gt;1,COUNTIF(Проекты,I696)&lt;&gt;1,AND(H696&lt;&gt;"",COUNTIF(Контрагенты,H696)&lt;&gt;1),AND(C696="Перевод",OR(F696=G696,COUNTIF(Счета,G696)&lt;&gt;1)),AND(S696&lt;&gt;0,COUNTIF(Docs[ID],J696)&lt;&gt;1),AND(Форма="ООО",C696="Вывод ИП"),AND(Форма="ИП",C696="Дивиденды"),AND(L696&lt;&gt;"Проведён",L696&lt;&gt;"Черновик")),"ОШИБКА","ОК"))</f>
        <v/>
      </c>
      <c r="W696" s="25" t="str">
        <f>IF(A696="","",SUMIF(Accounts[Счёт],F696,Accounts[Начальный])+SUMIFS($Q$7:Q696,$F$7:F696,F696)+SUMIFS($E$7:E696,$G$7:G696,F696,$C$7:C696,"Перевод",$L$7:L696,"Проведён"))</f>
        <v/>
      </c>
    </row>
    <row r="697" spans="1:23" x14ac:dyDescent="0.25">
      <c r="A697" s="22"/>
      <c r="B697" s="23"/>
      <c r="C697" s="22"/>
      <c r="D697" s="22"/>
      <c r="E697" s="27"/>
      <c r="F697" s="22"/>
      <c r="G697" s="22"/>
      <c r="H697" s="22"/>
      <c r="I697" s="22"/>
      <c r="J697" s="22"/>
      <c r="K697" s="22"/>
      <c r="L697" s="22"/>
      <c r="M697" s="22"/>
      <c r="N697" s="27"/>
      <c r="O697" s="22"/>
      <c r="P697" s="5" t="str">
        <f>IF(A697="","",IF(COUNTIF(Типы,C697)=0,0,VLOOKUP(C697,СПРАВОЧНИКИ!$A$7:$E$22,2,FALSE)))</f>
        <v/>
      </c>
      <c r="Q697" s="25" t="str">
        <f t="shared" si="10"/>
        <v/>
      </c>
      <c r="R697" s="5" t="str">
        <f>IF(A697="","",IF(COUNTIF(Типы,C697)=0,"НЕИЗВЕСТНЫЙ ТИП",VLOOKUP(C697,СПРАВОЧНИКИ!$A$7:$E$22,3,FALSE)))</f>
        <v/>
      </c>
      <c r="S697" s="26" t="str">
        <f>IF(A697="","",IF(L697="Проведён",E697*IF(COUNTIF(Типы,C697)=0,0,VLOOKUP(C697,СПРАВОЧНИКИ!$A$7:$E$22,4,FALSE)),0))</f>
        <v/>
      </c>
      <c r="T697" s="26" t="str">
        <f>IF(A697="","",IF(L697="Проведён",E697*IF(COUNTIF(Типы,C697)=0,0,VLOOKUP(C697,СПРАВОЧНИКИ!$A$7:$E$22,5,FALSE)),0))</f>
        <v/>
      </c>
      <c r="U697" s="5" t="str">
        <f>IF(A697="","",IF(COUNTIF(Контрагенты,H697)=0,"Не задан",VLOOKUP(H697,СПРАВОЧНИКИ!$G$7:$H$66,2,FALSE)))</f>
        <v/>
      </c>
      <c r="V697" s="4" t="str">
        <f>IF(A697="",IF(COUNTA(B697:O697)&gt;0,"НЕТ ID",""),IF(OR(AND(OR(C697="Оплата клиента",C697="Возврат клиенту"),COUNTIFS(Docs[ID],J697,Docs[Тип долга],"ДЗ")&lt;&gt;1),AND(OR(C697="Оплата поставщику",C697="Возврат поставщика"),COUNTIFS(Docs[ID],J697,Docs[Тип долга],"КЗ",Docs[Вид],"&lt;&gt;Дивиденды")&lt;&gt;1),AND(C697="Дивиденды",COUNTIFS(Docs[ID],J697,Docs[Вид],"Дивиденды")&lt;&gt;1),AND(C697="Проценты",COUNTIFS(Docs[ID],J697,Docs[Вид],"Проценты")&lt;&gt;1),COUNTIF(Cash[ID],A697)&gt;1,NOT(ISNUMBER(B697)),B697&lt;НачалоУчета,YEAR(B697)&lt;&gt;Год,NOT(ISNUMBER(E697)),E697&lt;=0,N697&lt;0,COUNTIF(Типы,C697)&lt;&gt;1,COUNTIF(Категории,D697)&lt;&gt;1,COUNTIF(Счета,F697)&lt;&gt;1,COUNTIF(Проекты,I697)&lt;&gt;1,AND(H697&lt;&gt;"",COUNTIF(Контрагенты,H697)&lt;&gt;1),AND(C697="Перевод",OR(F697=G697,COUNTIF(Счета,G697)&lt;&gt;1)),AND(S697&lt;&gt;0,COUNTIF(Docs[ID],J697)&lt;&gt;1),AND(Форма="ООО",C697="Вывод ИП"),AND(Форма="ИП",C697="Дивиденды"),AND(L697&lt;&gt;"Проведён",L697&lt;&gt;"Черновик")),"ОШИБКА","ОК"))</f>
        <v/>
      </c>
      <c r="W697" s="25" t="str">
        <f>IF(A697="","",SUMIF(Accounts[Счёт],F697,Accounts[Начальный])+SUMIFS($Q$7:Q697,$F$7:F697,F697)+SUMIFS($E$7:E697,$G$7:G697,F697,$C$7:C697,"Перевод",$L$7:L697,"Проведён"))</f>
        <v/>
      </c>
    </row>
    <row r="698" spans="1:23" x14ac:dyDescent="0.25">
      <c r="A698" s="22"/>
      <c r="B698" s="23"/>
      <c r="C698" s="22"/>
      <c r="D698" s="22"/>
      <c r="E698" s="27"/>
      <c r="F698" s="22"/>
      <c r="G698" s="22"/>
      <c r="H698" s="22"/>
      <c r="I698" s="22"/>
      <c r="J698" s="22"/>
      <c r="K698" s="22"/>
      <c r="L698" s="22"/>
      <c r="M698" s="22"/>
      <c r="N698" s="27"/>
      <c r="O698" s="22"/>
      <c r="P698" s="5" t="str">
        <f>IF(A698="","",IF(COUNTIF(Типы,C698)=0,0,VLOOKUP(C698,СПРАВОЧНИКИ!$A$7:$E$22,2,FALSE)))</f>
        <v/>
      </c>
      <c r="Q698" s="25" t="str">
        <f t="shared" si="10"/>
        <v/>
      </c>
      <c r="R698" s="5" t="str">
        <f>IF(A698="","",IF(COUNTIF(Типы,C698)=0,"НЕИЗВЕСТНЫЙ ТИП",VLOOKUP(C698,СПРАВОЧНИКИ!$A$7:$E$22,3,FALSE)))</f>
        <v/>
      </c>
      <c r="S698" s="26" t="str">
        <f>IF(A698="","",IF(L698="Проведён",E698*IF(COUNTIF(Типы,C698)=0,0,VLOOKUP(C698,СПРАВОЧНИКИ!$A$7:$E$22,4,FALSE)),0))</f>
        <v/>
      </c>
      <c r="T698" s="26" t="str">
        <f>IF(A698="","",IF(L698="Проведён",E698*IF(COUNTIF(Типы,C698)=0,0,VLOOKUP(C698,СПРАВОЧНИКИ!$A$7:$E$22,5,FALSE)),0))</f>
        <v/>
      </c>
      <c r="U698" s="5" t="str">
        <f>IF(A698="","",IF(COUNTIF(Контрагенты,H698)=0,"Не задан",VLOOKUP(H698,СПРАВОЧНИКИ!$G$7:$H$66,2,FALSE)))</f>
        <v/>
      </c>
      <c r="V698" s="4" t="str">
        <f>IF(A698="",IF(COUNTA(B698:O698)&gt;0,"НЕТ ID",""),IF(OR(AND(OR(C698="Оплата клиента",C698="Возврат клиенту"),COUNTIFS(Docs[ID],J698,Docs[Тип долга],"ДЗ")&lt;&gt;1),AND(OR(C698="Оплата поставщику",C698="Возврат поставщика"),COUNTIFS(Docs[ID],J698,Docs[Тип долга],"КЗ",Docs[Вид],"&lt;&gt;Дивиденды")&lt;&gt;1),AND(C698="Дивиденды",COUNTIFS(Docs[ID],J698,Docs[Вид],"Дивиденды")&lt;&gt;1),AND(C698="Проценты",COUNTIFS(Docs[ID],J698,Docs[Вид],"Проценты")&lt;&gt;1),COUNTIF(Cash[ID],A698)&gt;1,NOT(ISNUMBER(B698)),B698&lt;НачалоУчета,YEAR(B698)&lt;&gt;Год,NOT(ISNUMBER(E698)),E698&lt;=0,N698&lt;0,COUNTIF(Типы,C698)&lt;&gt;1,COUNTIF(Категории,D698)&lt;&gt;1,COUNTIF(Счета,F698)&lt;&gt;1,COUNTIF(Проекты,I698)&lt;&gt;1,AND(H698&lt;&gt;"",COUNTIF(Контрагенты,H698)&lt;&gt;1),AND(C698="Перевод",OR(F698=G698,COUNTIF(Счета,G698)&lt;&gt;1)),AND(S698&lt;&gt;0,COUNTIF(Docs[ID],J698)&lt;&gt;1),AND(Форма="ООО",C698="Вывод ИП"),AND(Форма="ИП",C698="Дивиденды"),AND(L698&lt;&gt;"Проведён",L698&lt;&gt;"Черновик")),"ОШИБКА","ОК"))</f>
        <v/>
      </c>
      <c r="W698" s="25" t="str">
        <f>IF(A698="","",SUMIF(Accounts[Счёт],F698,Accounts[Начальный])+SUMIFS($Q$7:Q698,$F$7:F698,F698)+SUMIFS($E$7:E698,$G$7:G698,F698,$C$7:C698,"Перевод",$L$7:L698,"Проведён"))</f>
        <v/>
      </c>
    </row>
    <row r="699" spans="1:23" x14ac:dyDescent="0.25">
      <c r="A699" s="22"/>
      <c r="B699" s="23"/>
      <c r="C699" s="22"/>
      <c r="D699" s="22"/>
      <c r="E699" s="27"/>
      <c r="F699" s="22"/>
      <c r="G699" s="22"/>
      <c r="H699" s="22"/>
      <c r="I699" s="22"/>
      <c r="J699" s="22"/>
      <c r="K699" s="22"/>
      <c r="L699" s="22"/>
      <c r="M699" s="22"/>
      <c r="N699" s="27"/>
      <c r="O699" s="22"/>
      <c r="P699" s="5" t="str">
        <f>IF(A699="","",IF(COUNTIF(Типы,C699)=0,0,VLOOKUP(C699,СПРАВОЧНИКИ!$A$7:$E$22,2,FALSE)))</f>
        <v/>
      </c>
      <c r="Q699" s="25" t="str">
        <f t="shared" si="10"/>
        <v/>
      </c>
      <c r="R699" s="5" t="str">
        <f>IF(A699="","",IF(COUNTIF(Типы,C699)=0,"НЕИЗВЕСТНЫЙ ТИП",VLOOKUP(C699,СПРАВОЧНИКИ!$A$7:$E$22,3,FALSE)))</f>
        <v/>
      </c>
      <c r="S699" s="26" t="str">
        <f>IF(A699="","",IF(L699="Проведён",E699*IF(COUNTIF(Типы,C699)=0,0,VLOOKUP(C699,СПРАВОЧНИКИ!$A$7:$E$22,4,FALSE)),0))</f>
        <v/>
      </c>
      <c r="T699" s="26" t="str">
        <f>IF(A699="","",IF(L699="Проведён",E699*IF(COUNTIF(Типы,C699)=0,0,VLOOKUP(C699,СПРАВОЧНИКИ!$A$7:$E$22,5,FALSE)),0))</f>
        <v/>
      </c>
      <c r="U699" s="5" t="str">
        <f>IF(A699="","",IF(COUNTIF(Контрагенты,H699)=0,"Не задан",VLOOKUP(H699,СПРАВОЧНИКИ!$G$7:$H$66,2,FALSE)))</f>
        <v/>
      </c>
      <c r="V699" s="4" t="str">
        <f>IF(A699="",IF(COUNTA(B699:O699)&gt;0,"НЕТ ID",""),IF(OR(AND(OR(C699="Оплата клиента",C699="Возврат клиенту"),COUNTIFS(Docs[ID],J699,Docs[Тип долга],"ДЗ")&lt;&gt;1),AND(OR(C699="Оплата поставщику",C699="Возврат поставщика"),COUNTIFS(Docs[ID],J699,Docs[Тип долга],"КЗ",Docs[Вид],"&lt;&gt;Дивиденды")&lt;&gt;1),AND(C699="Дивиденды",COUNTIFS(Docs[ID],J699,Docs[Вид],"Дивиденды")&lt;&gt;1),AND(C699="Проценты",COUNTIFS(Docs[ID],J699,Docs[Вид],"Проценты")&lt;&gt;1),COUNTIF(Cash[ID],A699)&gt;1,NOT(ISNUMBER(B699)),B699&lt;НачалоУчета,YEAR(B699)&lt;&gt;Год,NOT(ISNUMBER(E699)),E699&lt;=0,N699&lt;0,COUNTIF(Типы,C699)&lt;&gt;1,COUNTIF(Категории,D699)&lt;&gt;1,COUNTIF(Счета,F699)&lt;&gt;1,COUNTIF(Проекты,I699)&lt;&gt;1,AND(H699&lt;&gt;"",COUNTIF(Контрагенты,H699)&lt;&gt;1),AND(C699="Перевод",OR(F699=G699,COUNTIF(Счета,G699)&lt;&gt;1)),AND(S699&lt;&gt;0,COUNTIF(Docs[ID],J699)&lt;&gt;1),AND(Форма="ООО",C699="Вывод ИП"),AND(Форма="ИП",C699="Дивиденды"),AND(L699&lt;&gt;"Проведён",L699&lt;&gt;"Черновик")),"ОШИБКА","ОК"))</f>
        <v/>
      </c>
      <c r="W699" s="25" t="str">
        <f>IF(A699="","",SUMIF(Accounts[Счёт],F699,Accounts[Начальный])+SUMIFS($Q$7:Q699,$F$7:F699,F699)+SUMIFS($E$7:E699,$G$7:G699,F699,$C$7:C699,"Перевод",$L$7:L699,"Проведён"))</f>
        <v/>
      </c>
    </row>
    <row r="700" spans="1:23" x14ac:dyDescent="0.25">
      <c r="A700" s="22"/>
      <c r="B700" s="23"/>
      <c r="C700" s="22"/>
      <c r="D700" s="22"/>
      <c r="E700" s="27"/>
      <c r="F700" s="22"/>
      <c r="G700" s="22"/>
      <c r="H700" s="22"/>
      <c r="I700" s="22"/>
      <c r="J700" s="22"/>
      <c r="K700" s="22"/>
      <c r="L700" s="22"/>
      <c r="M700" s="22"/>
      <c r="N700" s="27"/>
      <c r="O700" s="22"/>
      <c r="P700" s="5" t="str">
        <f>IF(A700="","",IF(COUNTIF(Типы,C700)=0,0,VLOOKUP(C700,СПРАВОЧНИКИ!$A$7:$E$22,2,FALSE)))</f>
        <v/>
      </c>
      <c r="Q700" s="25" t="str">
        <f t="shared" si="10"/>
        <v/>
      </c>
      <c r="R700" s="5" t="str">
        <f>IF(A700="","",IF(COUNTIF(Типы,C700)=0,"НЕИЗВЕСТНЫЙ ТИП",VLOOKUP(C700,СПРАВОЧНИКИ!$A$7:$E$22,3,FALSE)))</f>
        <v/>
      </c>
      <c r="S700" s="26" t="str">
        <f>IF(A700="","",IF(L700="Проведён",E700*IF(COUNTIF(Типы,C700)=0,0,VLOOKUP(C700,СПРАВОЧНИКИ!$A$7:$E$22,4,FALSE)),0))</f>
        <v/>
      </c>
      <c r="T700" s="26" t="str">
        <f>IF(A700="","",IF(L700="Проведён",E700*IF(COUNTIF(Типы,C700)=0,0,VLOOKUP(C700,СПРАВОЧНИКИ!$A$7:$E$22,5,FALSE)),0))</f>
        <v/>
      </c>
      <c r="U700" s="5" t="str">
        <f>IF(A700="","",IF(COUNTIF(Контрагенты,H700)=0,"Не задан",VLOOKUP(H700,СПРАВОЧНИКИ!$G$7:$H$66,2,FALSE)))</f>
        <v/>
      </c>
      <c r="V700" s="4" t="str">
        <f>IF(A700="",IF(COUNTA(B700:O700)&gt;0,"НЕТ ID",""),IF(OR(AND(OR(C700="Оплата клиента",C700="Возврат клиенту"),COUNTIFS(Docs[ID],J700,Docs[Тип долга],"ДЗ")&lt;&gt;1),AND(OR(C700="Оплата поставщику",C700="Возврат поставщика"),COUNTIFS(Docs[ID],J700,Docs[Тип долга],"КЗ",Docs[Вид],"&lt;&gt;Дивиденды")&lt;&gt;1),AND(C700="Дивиденды",COUNTIFS(Docs[ID],J700,Docs[Вид],"Дивиденды")&lt;&gt;1),AND(C700="Проценты",COUNTIFS(Docs[ID],J700,Docs[Вид],"Проценты")&lt;&gt;1),COUNTIF(Cash[ID],A700)&gt;1,NOT(ISNUMBER(B700)),B700&lt;НачалоУчета,YEAR(B700)&lt;&gt;Год,NOT(ISNUMBER(E700)),E700&lt;=0,N700&lt;0,COUNTIF(Типы,C700)&lt;&gt;1,COUNTIF(Категории,D700)&lt;&gt;1,COUNTIF(Счета,F700)&lt;&gt;1,COUNTIF(Проекты,I700)&lt;&gt;1,AND(H700&lt;&gt;"",COUNTIF(Контрагенты,H700)&lt;&gt;1),AND(C700="Перевод",OR(F700=G700,COUNTIF(Счета,G700)&lt;&gt;1)),AND(S700&lt;&gt;0,COUNTIF(Docs[ID],J700)&lt;&gt;1),AND(Форма="ООО",C700="Вывод ИП"),AND(Форма="ИП",C700="Дивиденды"),AND(L700&lt;&gt;"Проведён",L700&lt;&gt;"Черновик")),"ОШИБКА","ОК"))</f>
        <v/>
      </c>
      <c r="W700" s="25" t="str">
        <f>IF(A700="","",SUMIF(Accounts[Счёт],F700,Accounts[Начальный])+SUMIFS($Q$7:Q700,$F$7:F700,F700)+SUMIFS($E$7:E700,$G$7:G700,F700,$C$7:C700,"Перевод",$L$7:L700,"Проведён"))</f>
        <v/>
      </c>
    </row>
    <row r="701" spans="1:23" x14ac:dyDescent="0.25">
      <c r="A701" s="22"/>
      <c r="B701" s="23"/>
      <c r="C701" s="22"/>
      <c r="D701" s="22"/>
      <c r="E701" s="27"/>
      <c r="F701" s="22"/>
      <c r="G701" s="22"/>
      <c r="H701" s="22"/>
      <c r="I701" s="22"/>
      <c r="J701" s="22"/>
      <c r="K701" s="22"/>
      <c r="L701" s="22"/>
      <c r="M701" s="22"/>
      <c r="N701" s="27"/>
      <c r="O701" s="22"/>
      <c r="P701" s="5" t="str">
        <f>IF(A701="","",IF(COUNTIF(Типы,C701)=0,0,VLOOKUP(C701,СПРАВОЧНИКИ!$A$7:$E$22,2,FALSE)))</f>
        <v/>
      </c>
      <c r="Q701" s="25" t="str">
        <f t="shared" si="10"/>
        <v/>
      </c>
      <c r="R701" s="5" t="str">
        <f>IF(A701="","",IF(COUNTIF(Типы,C701)=0,"НЕИЗВЕСТНЫЙ ТИП",VLOOKUP(C701,СПРАВОЧНИКИ!$A$7:$E$22,3,FALSE)))</f>
        <v/>
      </c>
      <c r="S701" s="26" t="str">
        <f>IF(A701="","",IF(L701="Проведён",E701*IF(COUNTIF(Типы,C701)=0,0,VLOOKUP(C701,СПРАВОЧНИКИ!$A$7:$E$22,4,FALSE)),0))</f>
        <v/>
      </c>
      <c r="T701" s="26" t="str">
        <f>IF(A701="","",IF(L701="Проведён",E701*IF(COUNTIF(Типы,C701)=0,0,VLOOKUP(C701,СПРАВОЧНИКИ!$A$7:$E$22,5,FALSE)),0))</f>
        <v/>
      </c>
      <c r="U701" s="5" t="str">
        <f>IF(A701="","",IF(COUNTIF(Контрагенты,H701)=0,"Не задан",VLOOKUP(H701,СПРАВОЧНИКИ!$G$7:$H$66,2,FALSE)))</f>
        <v/>
      </c>
      <c r="V701" s="4" t="str">
        <f>IF(A701="",IF(COUNTA(B701:O701)&gt;0,"НЕТ ID",""),IF(OR(AND(OR(C701="Оплата клиента",C701="Возврат клиенту"),COUNTIFS(Docs[ID],J701,Docs[Тип долга],"ДЗ")&lt;&gt;1),AND(OR(C701="Оплата поставщику",C701="Возврат поставщика"),COUNTIFS(Docs[ID],J701,Docs[Тип долга],"КЗ",Docs[Вид],"&lt;&gt;Дивиденды")&lt;&gt;1),AND(C701="Дивиденды",COUNTIFS(Docs[ID],J701,Docs[Вид],"Дивиденды")&lt;&gt;1),AND(C701="Проценты",COUNTIFS(Docs[ID],J701,Docs[Вид],"Проценты")&lt;&gt;1),COUNTIF(Cash[ID],A701)&gt;1,NOT(ISNUMBER(B701)),B701&lt;НачалоУчета,YEAR(B701)&lt;&gt;Год,NOT(ISNUMBER(E701)),E701&lt;=0,N701&lt;0,COUNTIF(Типы,C701)&lt;&gt;1,COUNTIF(Категории,D701)&lt;&gt;1,COUNTIF(Счета,F701)&lt;&gt;1,COUNTIF(Проекты,I701)&lt;&gt;1,AND(H701&lt;&gt;"",COUNTIF(Контрагенты,H701)&lt;&gt;1),AND(C701="Перевод",OR(F701=G701,COUNTIF(Счета,G701)&lt;&gt;1)),AND(S701&lt;&gt;0,COUNTIF(Docs[ID],J701)&lt;&gt;1),AND(Форма="ООО",C701="Вывод ИП"),AND(Форма="ИП",C701="Дивиденды"),AND(L701&lt;&gt;"Проведён",L701&lt;&gt;"Черновик")),"ОШИБКА","ОК"))</f>
        <v/>
      </c>
      <c r="W701" s="25" t="str">
        <f>IF(A701="","",SUMIF(Accounts[Счёт],F701,Accounts[Начальный])+SUMIFS($Q$7:Q701,$F$7:F701,F701)+SUMIFS($E$7:E701,$G$7:G701,F701,$C$7:C701,"Перевод",$L$7:L701,"Проведён"))</f>
        <v/>
      </c>
    </row>
    <row r="702" spans="1:23" x14ac:dyDescent="0.25">
      <c r="A702" s="22"/>
      <c r="B702" s="23"/>
      <c r="C702" s="22"/>
      <c r="D702" s="22"/>
      <c r="E702" s="27"/>
      <c r="F702" s="22"/>
      <c r="G702" s="22"/>
      <c r="H702" s="22"/>
      <c r="I702" s="22"/>
      <c r="J702" s="22"/>
      <c r="K702" s="22"/>
      <c r="L702" s="22"/>
      <c r="M702" s="22"/>
      <c r="N702" s="27"/>
      <c r="O702" s="22"/>
      <c r="P702" s="5" t="str">
        <f>IF(A702="","",IF(COUNTIF(Типы,C702)=0,0,VLOOKUP(C702,СПРАВОЧНИКИ!$A$7:$E$22,2,FALSE)))</f>
        <v/>
      </c>
      <c r="Q702" s="25" t="str">
        <f t="shared" si="10"/>
        <v/>
      </c>
      <c r="R702" s="5" t="str">
        <f>IF(A702="","",IF(COUNTIF(Типы,C702)=0,"НЕИЗВЕСТНЫЙ ТИП",VLOOKUP(C702,СПРАВОЧНИКИ!$A$7:$E$22,3,FALSE)))</f>
        <v/>
      </c>
      <c r="S702" s="26" t="str">
        <f>IF(A702="","",IF(L702="Проведён",E702*IF(COUNTIF(Типы,C702)=0,0,VLOOKUP(C702,СПРАВОЧНИКИ!$A$7:$E$22,4,FALSE)),0))</f>
        <v/>
      </c>
      <c r="T702" s="26" t="str">
        <f>IF(A702="","",IF(L702="Проведён",E702*IF(COUNTIF(Типы,C702)=0,0,VLOOKUP(C702,СПРАВОЧНИКИ!$A$7:$E$22,5,FALSE)),0))</f>
        <v/>
      </c>
      <c r="U702" s="5" t="str">
        <f>IF(A702="","",IF(COUNTIF(Контрагенты,H702)=0,"Не задан",VLOOKUP(H702,СПРАВОЧНИКИ!$G$7:$H$66,2,FALSE)))</f>
        <v/>
      </c>
      <c r="V702" s="4" t="str">
        <f>IF(A702="",IF(COUNTA(B702:O702)&gt;0,"НЕТ ID",""),IF(OR(AND(OR(C702="Оплата клиента",C702="Возврат клиенту"),COUNTIFS(Docs[ID],J702,Docs[Тип долга],"ДЗ")&lt;&gt;1),AND(OR(C702="Оплата поставщику",C702="Возврат поставщика"),COUNTIFS(Docs[ID],J702,Docs[Тип долга],"КЗ",Docs[Вид],"&lt;&gt;Дивиденды")&lt;&gt;1),AND(C702="Дивиденды",COUNTIFS(Docs[ID],J702,Docs[Вид],"Дивиденды")&lt;&gt;1),AND(C702="Проценты",COUNTIFS(Docs[ID],J702,Docs[Вид],"Проценты")&lt;&gt;1),COUNTIF(Cash[ID],A702)&gt;1,NOT(ISNUMBER(B702)),B702&lt;НачалоУчета,YEAR(B702)&lt;&gt;Год,NOT(ISNUMBER(E702)),E702&lt;=0,N702&lt;0,COUNTIF(Типы,C702)&lt;&gt;1,COUNTIF(Категории,D702)&lt;&gt;1,COUNTIF(Счета,F702)&lt;&gt;1,COUNTIF(Проекты,I702)&lt;&gt;1,AND(H702&lt;&gt;"",COUNTIF(Контрагенты,H702)&lt;&gt;1),AND(C702="Перевод",OR(F702=G702,COUNTIF(Счета,G702)&lt;&gt;1)),AND(S702&lt;&gt;0,COUNTIF(Docs[ID],J702)&lt;&gt;1),AND(Форма="ООО",C702="Вывод ИП"),AND(Форма="ИП",C702="Дивиденды"),AND(L702&lt;&gt;"Проведён",L702&lt;&gt;"Черновик")),"ОШИБКА","ОК"))</f>
        <v/>
      </c>
      <c r="W702" s="25" t="str">
        <f>IF(A702="","",SUMIF(Accounts[Счёт],F702,Accounts[Начальный])+SUMIFS($Q$7:Q702,$F$7:F702,F702)+SUMIFS($E$7:E702,$G$7:G702,F702,$C$7:C702,"Перевод",$L$7:L702,"Проведён"))</f>
        <v/>
      </c>
    </row>
    <row r="703" spans="1:23" x14ac:dyDescent="0.25">
      <c r="A703" s="22"/>
      <c r="B703" s="23"/>
      <c r="C703" s="22"/>
      <c r="D703" s="22"/>
      <c r="E703" s="27"/>
      <c r="F703" s="22"/>
      <c r="G703" s="22"/>
      <c r="H703" s="22"/>
      <c r="I703" s="22"/>
      <c r="J703" s="22"/>
      <c r="K703" s="22"/>
      <c r="L703" s="22"/>
      <c r="M703" s="22"/>
      <c r="N703" s="27"/>
      <c r="O703" s="22"/>
      <c r="P703" s="5" t="str">
        <f>IF(A703="","",IF(COUNTIF(Типы,C703)=0,0,VLOOKUP(C703,СПРАВОЧНИКИ!$A$7:$E$22,2,FALSE)))</f>
        <v/>
      </c>
      <c r="Q703" s="25" t="str">
        <f t="shared" si="10"/>
        <v/>
      </c>
      <c r="R703" s="5" t="str">
        <f>IF(A703="","",IF(COUNTIF(Типы,C703)=0,"НЕИЗВЕСТНЫЙ ТИП",VLOOKUP(C703,СПРАВОЧНИКИ!$A$7:$E$22,3,FALSE)))</f>
        <v/>
      </c>
      <c r="S703" s="26" t="str">
        <f>IF(A703="","",IF(L703="Проведён",E703*IF(COUNTIF(Типы,C703)=0,0,VLOOKUP(C703,СПРАВОЧНИКИ!$A$7:$E$22,4,FALSE)),0))</f>
        <v/>
      </c>
      <c r="T703" s="26" t="str">
        <f>IF(A703="","",IF(L703="Проведён",E703*IF(COUNTIF(Типы,C703)=0,0,VLOOKUP(C703,СПРАВОЧНИКИ!$A$7:$E$22,5,FALSE)),0))</f>
        <v/>
      </c>
      <c r="U703" s="5" t="str">
        <f>IF(A703="","",IF(COUNTIF(Контрагенты,H703)=0,"Не задан",VLOOKUP(H703,СПРАВОЧНИКИ!$G$7:$H$66,2,FALSE)))</f>
        <v/>
      </c>
      <c r="V703" s="4" t="str">
        <f>IF(A703="",IF(COUNTA(B703:O703)&gt;0,"НЕТ ID",""),IF(OR(AND(OR(C703="Оплата клиента",C703="Возврат клиенту"),COUNTIFS(Docs[ID],J703,Docs[Тип долга],"ДЗ")&lt;&gt;1),AND(OR(C703="Оплата поставщику",C703="Возврат поставщика"),COUNTIFS(Docs[ID],J703,Docs[Тип долга],"КЗ",Docs[Вид],"&lt;&gt;Дивиденды")&lt;&gt;1),AND(C703="Дивиденды",COUNTIFS(Docs[ID],J703,Docs[Вид],"Дивиденды")&lt;&gt;1),AND(C703="Проценты",COUNTIFS(Docs[ID],J703,Docs[Вид],"Проценты")&lt;&gt;1),COUNTIF(Cash[ID],A703)&gt;1,NOT(ISNUMBER(B703)),B703&lt;НачалоУчета,YEAR(B703)&lt;&gt;Год,NOT(ISNUMBER(E703)),E703&lt;=0,N703&lt;0,COUNTIF(Типы,C703)&lt;&gt;1,COUNTIF(Категории,D703)&lt;&gt;1,COUNTIF(Счета,F703)&lt;&gt;1,COUNTIF(Проекты,I703)&lt;&gt;1,AND(H703&lt;&gt;"",COUNTIF(Контрагенты,H703)&lt;&gt;1),AND(C703="Перевод",OR(F703=G703,COUNTIF(Счета,G703)&lt;&gt;1)),AND(S703&lt;&gt;0,COUNTIF(Docs[ID],J703)&lt;&gt;1),AND(Форма="ООО",C703="Вывод ИП"),AND(Форма="ИП",C703="Дивиденды"),AND(L703&lt;&gt;"Проведён",L703&lt;&gt;"Черновик")),"ОШИБКА","ОК"))</f>
        <v/>
      </c>
      <c r="W703" s="25" t="str">
        <f>IF(A703="","",SUMIF(Accounts[Счёт],F703,Accounts[Начальный])+SUMIFS($Q$7:Q703,$F$7:F703,F703)+SUMIFS($E$7:E703,$G$7:G703,F703,$C$7:C703,"Перевод",$L$7:L703,"Проведён"))</f>
        <v/>
      </c>
    </row>
    <row r="704" spans="1:23" x14ac:dyDescent="0.25">
      <c r="A704" s="22"/>
      <c r="B704" s="23"/>
      <c r="C704" s="22"/>
      <c r="D704" s="22"/>
      <c r="E704" s="27"/>
      <c r="F704" s="22"/>
      <c r="G704" s="22"/>
      <c r="H704" s="22"/>
      <c r="I704" s="22"/>
      <c r="J704" s="22"/>
      <c r="K704" s="22"/>
      <c r="L704" s="22"/>
      <c r="M704" s="22"/>
      <c r="N704" s="27"/>
      <c r="O704" s="22"/>
      <c r="P704" s="5" t="str">
        <f>IF(A704="","",IF(COUNTIF(Типы,C704)=0,0,VLOOKUP(C704,СПРАВОЧНИКИ!$A$7:$E$22,2,FALSE)))</f>
        <v/>
      </c>
      <c r="Q704" s="25" t="str">
        <f t="shared" si="10"/>
        <v/>
      </c>
      <c r="R704" s="5" t="str">
        <f>IF(A704="","",IF(COUNTIF(Типы,C704)=0,"НЕИЗВЕСТНЫЙ ТИП",VLOOKUP(C704,СПРАВОЧНИКИ!$A$7:$E$22,3,FALSE)))</f>
        <v/>
      </c>
      <c r="S704" s="26" t="str">
        <f>IF(A704="","",IF(L704="Проведён",E704*IF(COUNTIF(Типы,C704)=0,0,VLOOKUP(C704,СПРАВОЧНИКИ!$A$7:$E$22,4,FALSE)),0))</f>
        <v/>
      </c>
      <c r="T704" s="26" t="str">
        <f>IF(A704="","",IF(L704="Проведён",E704*IF(COUNTIF(Типы,C704)=0,0,VLOOKUP(C704,СПРАВОЧНИКИ!$A$7:$E$22,5,FALSE)),0))</f>
        <v/>
      </c>
      <c r="U704" s="5" t="str">
        <f>IF(A704="","",IF(COUNTIF(Контрагенты,H704)=0,"Не задан",VLOOKUP(H704,СПРАВОЧНИКИ!$G$7:$H$66,2,FALSE)))</f>
        <v/>
      </c>
      <c r="V704" s="4" t="str">
        <f>IF(A704="",IF(COUNTA(B704:O704)&gt;0,"НЕТ ID",""),IF(OR(AND(OR(C704="Оплата клиента",C704="Возврат клиенту"),COUNTIFS(Docs[ID],J704,Docs[Тип долга],"ДЗ")&lt;&gt;1),AND(OR(C704="Оплата поставщику",C704="Возврат поставщика"),COUNTIFS(Docs[ID],J704,Docs[Тип долга],"КЗ",Docs[Вид],"&lt;&gt;Дивиденды")&lt;&gt;1),AND(C704="Дивиденды",COUNTIFS(Docs[ID],J704,Docs[Вид],"Дивиденды")&lt;&gt;1),AND(C704="Проценты",COUNTIFS(Docs[ID],J704,Docs[Вид],"Проценты")&lt;&gt;1),COUNTIF(Cash[ID],A704)&gt;1,NOT(ISNUMBER(B704)),B704&lt;НачалоУчета,YEAR(B704)&lt;&gt;Год,NOT(ISNUMBER(E704)),E704&lt;=0,N704&lt;0,COUNTIF(Типы,C704)&lt;&gt;1,COUNTIF(Категории,D704)&lt;&gt;1,COUNTIF(Счета,F704)&lt;&gt;1,COUNTIF(Проекты,I704)&lt;&gt;1,AND(H704&lt;&gt;"",COUNTIF(Контрагенты,H704)&lt;&gt;1),AND(C704="Перевод",OR(F704=G704,COUNTIF(Счета,G704)&lt;&gt;1)),AND(S704&lt;&gt;0,COUNTIF(Docs[ID],J704)&lt;&gt;1),AND(Форма="ООО",C704="Вывод ИП"),AND(Форма="ИП",C704="Дивиденды"),AND(L704&lt;&gt;"Проведён",L704&lt;&gt;"Черновик")),"ОШИБКА","ОК"))</f>
        <v/>
      </c>
      <c r="W704" s="25" t="str">
        <f>IF(A704="","",SUMIF(Accounts[Счёт],F704,Accounts[Начальный])+SUMIFS($Q$7:Q704,$F$7:F704,F704)+SUMIFS($E$7:E704,$G$7:G704,F704,$C$7:C704,"Перевод",$L$7:L704,"Проведён"))</f>
        <v/>
      </c>
    </row>
    <row r="705" spans="1:23" x14ac:dyDescent="0.25">
      <c r="A705" s="22"/>
      <c r="B705" s="23"/>
      <c r="C705" s="22"/>
      <c r="D705" s="22"/>
      <c r="E705" s="27"/>
      <c r="F705" s="22"/>
      <c r="G705" s="22"/>
      <c r="H705" s="22"/>
      <c r="I705" s="22"/>
      <c r="J705" s="22"/>
      <c r="K705" s="22"/>
      <c r="L705" s="22"/>
      <c r="M705" s="22"/>
      <c r="N705" s="27"/>
      <c r="O705" s="22"/>
      <c r="P705" s="5" t="str">
        <f>IF(A705="","",IF(COUNTIF(Типы,C705)=0,0,VLOOKUP(C705,СПРАВОЧНИКИ!$A$7:$E$22,2,FALSE)))</f>
        <v/>
      </c>
      <c r="Q705" s="25" t="str">
        <f t="shared" si="10"/>
        <v/>
      </c>
      <c r="R705" s="5" t="str">
        <f>IF(A705="","",IF(COUNTIF(Типы,C705)=0,"НЕИЗВЕСТНЫЙ ТИП",VLOOKUP(C705,СПРАВОЧНИКИ!$A$7:$E$22,3,FALSE)))</f>
        <v/>
      </c>
      <c r="S705" s="26" t="str">
        <f>IF(A705="","",IF(L705="Проведён",E705*IF(COUNTIF(Типы,C705)=0,0,VLOOKUP(C705,СПРАВОЧНИКИ!$A$7:$E$22,4,FALSE)),0))</f>
        <v/>
      </c>
      <c r="T705" s="26" t="str">
        <f>IF(A705="","",IF(L705="Проведён",E705*IF(COUNTIF(Типы,C705)=0,0,VLOOKUP(C705,СПРАВОЧНИКИ!$A$7:$E$22,5,FALSE)),0))</f>
        <v/>
      </c>
      <c r="U705" s="5" t="str">
        <f>IF(A705="","",IF(COUNTIF(Контрагенты,H705)=0,"Не задан",VLOOKUP(H705,СПРАВОЧНИКИ!$G$7:$H$66,2,FALSE)))</f>
        <v/>
      </c>
      <c r="V705" s="4" t="str">
        <f>IF(A705="",IF(COUNTA(B705:O705)&gt;0,"НЕТ ID",""),IF(OR(AND(OR(C705="Оплата клиента",C705="Возврат клиенту"),COUNTIFS(Docs[ID],J705,Docs[Тип долга],"ДЗ")&lt;&gt;1),AND(OR(C705="Оплата поставщику",C705="Возврат поставщика"),COUNTIFS(Docs[ID],J705,Docs[Тип долга],"КЗ",Docs[Вид],"&lt;&gt;Дивиденды")&lt;&gt;1),AND(C705="Дивиденды",COUNTIFS(Docs[ID],J705,Docs[Вид],"Дивиденды")&lt;&gt;1),AND(C705="Проценты",COUNTIFS(Docs[ID],J705,Docs[Вид],"Проценты")&lt;&gt;1),COUNTIF(Cash[ID],A705)&gt;1,NOT(ISNUMBER(B705)),B705&lt;НачалоУчета,YEAR(B705)&lt;&gt;Год,NOT(ISNUMBER(E705)),E705&lt;=0,N705&lt;0,COUNTIF(Типы,C705)&lt;&gt;1,COUNTIF(Категории,D705)&lt;&gt;1,COUNTIF(Счета,F705)&lt;&gt;1,COUNTIF(Проекты,I705)&lt;&gt;1,AND(H705&lt;&gt;"",COUNTIF(Контрагенты,H705)&lt;&gt;1),AND(C705="Перевод",OR(F705=G705,COUNTIF(Счета,G705)&lt;&gt;1)),AND(S705&lt;&gt;0,COUNTIF(Docs[ID],J705)&lt;&gt;1),AND(Форма="ООО",C705="Вывод ИП"),AND(Форма="ИП",C705="Дивиденды"),AND(L705&lt;&gt;"Проведён",L705&lt;&gt;"Черновик")),"ОШИБКА","ОК"))</f>
        <v/>
      </c>
      <c r="W705" s="25" t="str">
        <f>IF(A705="","",SUMIF(Accounts[Счёт],F705,Accounts[Начальный])+SUMIFS($Q$7:Q705,$F$7:F705,F705)+SUMIFS($E$7:E705,$G$7:G705,F705,$C$7:C705,"Перевод",$L$7:L705,"Проведён"))</f>
        <v/>
      </c>
    </row>
    <row r="706" spans="1:23" x14ac:dyDescent="0.25">
      <c r="A706" s="22"/>
      <c r="B706" s="23"/>
      <c r="C706" s="22"/>
      <c r="D706" s="22"/>
      <c r="E706" s="27"/>
      <c r="F706" s="22"/>
      <c r="G706" s="22"/>
      <c r="H706" s="22"/>
      <c r="I706" s="22"/>
      <c r="J706" s="22"/>
      <c r="K706" s="22"/>
      <c r="L706" s="22"/>
      <c r="M706" s="22"/>
      <c r="N706" s="27"/>
      <c r="O706" s="22"/>
      <c r="P706" s="5" t="str">
        <f>IF(A706="","",IF(COUNTIF(Типы,C706)=0,0,VLOOKUP(C706,СПРАВОЧНИКИ!$A$7:$E$22,2,FALSE)))</f>
        <v/>
      </c>
      <c r="Q706" s="25" t="str">
        <f t="shared" si="10"/>
        <v/>
      </c>
      <c r="R706" s="5" t="str">
        <f>IF(A706="","",IF(COUNTIF(Типы,C706)=0,"НЕИЗВЕСТНЫЙ ТИП",VLOOKUP(C706,СПРАВОЧНИКИ!$A$7:$E$22,3,FALSE)))</f>
        <v/>
      </c>
      <c r="S706" s="26" t="str">
        <f>IF(A706="","",IF(L706="Проведён",E706*IF(COUNTIF(Типы,C706)=0,0,VLOOKUP(C706,СПРАВОЧНИКИ!$A$7:$E$22,4,FALSE)),0))</f>
        <v/>
      </c>
      <c r="T706" s="26" t="str">
        <f>IF(A706="","",IF(L706="Проведён",E706*IF(COUNTIF(Типы,C706)=0,0,VLOOKUP(C706,СПРАВОЧНИКИ!$A$7:$E$22,5,FALSE)),0))</f>
        <v/>
      </c>
      <c r="U706" s="5" t="str">
        <f>IF(A706="","",IF(COUNTIF(Контрагенты,H706)=0,"Не задан",VLOOKUP(H706,СПРАВОЧНИКИ!$G$7:$H$66,2,FALSE)))</f>
        <v/>
      </c>
      <c r="V706" s="4" t="str">
        <f>IF(A706="",IF(COUNTA(B706:O706)&gt;0,"НЕТ ID",""),IF(OR(AND(OR(C706="Оплата клиента",C706="Возврат клиенту"),COUNTIFS(Docs[ID],J706,Docs[Тип долга],"ДЗ")&lt;&gt;1),AND(OR(C706="Оплата поставщику",C706="Возврат поставщика"),COUNTIFS(Docs[ID],J706,Docs[Тип долга],"КЗ",Docs[Вид],"&lt;&gt;Дивиденды")&lt;&gt;1),AND(C706="Дивиденды",COUNTIFS(Docs[ID],J706,Docs[Вид],"Дивиденды")&lt;&gt;1),AND(C706="Проценты",COUNTIFS(Docs[ID],J706,Docs[Вид],"Проценты")&lt;&gt;1),COUNTIF(Cash[ID],A706)&gt;1,NOT(ISNUMBER(B706)),B706&lt;НачалоУчета,YEAR(B706)&lt;&gt;Год,NOT(ISNUMBER(E706)),E706&lt;=0,N706&lt;0,COUNTIF(Типы,C706)&lt;&gt;1,COUNTIF(Категории,D706)&lt;&gt;1,COUNTIF(Счета,F706)&lt;&gt;1,COUNTIF(Проекты,I706)&lt;&gt;1,AND(H706&lt;&gt;"",COUNTIF(Контрагенты,H706)&lt;&gt;1),AND(C706="Перевод",OR(F706=G706,COUNTIF(Счета,G706)&lt;&gt;1)),AND(S706&lt;&gt;0,COUNTIF(Docs[ID],J706)&lt;&gt;1),AND(Форма="ООО",C706="Вывод ИП"),AND(Форма="ИП",C706="Дивиденды"),AND(L706&lt;&gt;"Проведён",L706&lt;&gt;"Черновик")),"ОШИБКА","ОК"))</f>
        <v/>
      </c>
      <c r="W706" s="25" t="str">
        <f>IF(A706="","",SUMIF(Accounts[Счёт],F706,Accounts[Начальный])+SUMIFS($Q$7:Q706,$F$7:F706,F706)+SUMIFS($E$7:E706,$G$7:G706,F706,$C$7:C706,"Перевод",$L$7:L706,"Проведён"))</f>
        <v/>
      </c>
    </row>
    <row r="707" spans="1:23" x14ac:dyDescent="0.25">
      <c r="A707" s="22"/>
      <c r="B707" s="23"/>
      <c r="C707" s="22"/>
      <c r="D707" s="22"/>
      <c r="E707" s="27"/>
      <c r="F707" s="22"/>
      <c r="G707" s="22"/>
      <c r="H707" s="22"/>
      <c r="I707" s="22"/>
      <c r="J707" s="22"/>
      <c r="K707" s="22"/>
      <c r="L707" s="22"/>
      <c r="M707" s="22"/>
      <c r="N707" s="27"/>
      <c r="O707" s="22"/>
      <c r="P707" s="5" t="str">
        <f>IF(A707="","",IF(COUNTIF(Типы,C707)=0,0,VLOOKUP(C707,СПРАВОЧНИКИ!$A$7:$E$22,2,FALSE)))</f>
        <v/>
      </c>
      <c r="Q707" s="25" t="str">
        <f t="shared" si="10"/>
        <v/>
      </c>
      <c r="R707" s="5" t="str">
        <f>IF(A707="","",IF(COUNTIF(Типы,C707)=0,"НЕИЗВЕСТНЫЙ ТИП",VLOOKUP(C707,СПРАВОЧНИКИ!$A$7:$E$22,3,FALSE)))</f>
        <v/>
      </c>
      <c r="S707" s="26" t="str">
        <f>IF(A707="","",IF(L707="Проведён",E707*IF(COUNTIF(Типы,C707)=0,0,VLOOKUP(C707,СПРАВОЧНИКИ!$A$7:$E$22,4,FALSE)),0))</f>
        <v/>
      </c>
      <c r="T707" s="26" t="str">
        <f>IF(A707="","",IF(L707="Проведён",E707*IF(COUNTIF(Типы,C707)=0,0,VLOOKUP(C707,СПРАВОЧНИКИ!$A$7:$E$22,5,FALSE)),0))</f>
        <v/>
      </c>
      <c r="U707" s="5" t="str">
        <f>IF(A707="","",IF(COUNTIF(Контрагенты,H707)=0,"Не задан",VLOOKUP(H707,СПРАВОЧНИКИ!$G$7:$H$66,2,FALSE)))</f>
        <v/>
      </c>
      <c r="V707" s="4" t="str">
        <f>IF(A707="",IF(COUNTA(B707:O707)&gt;0,"НЕТ ID",""),IF(OR(AND(OR(C707="Оплата клиента",C707="Возврат клиенту"),COUNTIFS(Docs[ID],J707,Docs[Тип долга],"ДЗ")&lt;&gt;1),AND(OR(C707="Оплата поставщику",C707="Возврат поставщика"),COUNTIFS(Docs[ID],J707,Docs[Тип долга],"КЗ",Docs[Вид],"&lt;&gt;Дивиденды")&lt;&gt;1),AND(C707="Дивиденды",COUNTIFS(Docs[ID],J707,Docs[Вид],"Дивиденды")&lt;&gt;1),AND(C707="Проценты",COUNTIFS(Docs[ID],J707,Docs[Вид],"Проценты")&lt;&gt;1),COUNTIF(Cash[ID],A707)&gt;1,NOT(ISNUMBER(B707)),B707&lt;НачалоУчета,YEAR(B707)&lt;&gt;Год,NOT(ISNUMBER(E707)),E707&lt;=0,N707&lt;0,COUNTIF(Типы,C707)&lt;&gt;1,COUNTIF(Категории,D707)&lt;&gt;1,COUNTIF(Счета,F707)&lt;&gt;1,COUNTIF(Проекты,I707)&lt;&gt;1,AND(H707&lt;&gt;"",COUNTIF(Контрагенты,H707)&lt;&gt;1),AND(C707="Перевод",OR(F707=G707,COUNTIF(Счета,G707)&lt;&gt;1)),AND(S707&lt;&gt;0,COUNTIF(Docs[ID],J707)&lt;&gt;1),AND(Форма="ООО",C707="Вывод ИП"),AND(Форма="ИП",C707="Дивиденды"),AND(L707&lt;&gt;"Проведён",L707&lt;&gt;"Черновик")),"ОШИБКА","ОК"))</f>
        <v/>
      </c>
      <c r="W707" s="25" t="str">
        <f>IF(A707="","",SUMIF(Accounts[Счёт],F707,Accounts[Начальный])+SUMIFS($Q$7:Q707,$F$7:F707,F707)+SUMIFS($E$7:E707,$G$7:G707,F707,$C$7:C707,"Перевод",$L$7:L707,"Проведён"))</f>
        <v/>
      </c>
    </row>
    <row r="708" spans="1:23" x14ac:dyDescent="0.25">
      <c r="A708" s="22"/>
      <c r="B708" s="23"/>
      <c r="C708" s="22"/>
      <c r="D708" s="22"/>
      <c r="E708" s="27"/>
      <c r="F708" s="22"/>
      <c r="G708" s="22"/>
      <c r="H708" s="22"/>
      <c r="I708" s="22"/>
      <c r="J708" s="22"/>
      <c r="K708" s="22"/>
      <c r="L708" s="22"/>
      <c r="M708" s="22"/>
      <c r="N708" s="27"/>
      <c r="O708" s="22"/>
      <c r="P708" s="5" t="str">
        <f>IF(A708="","",IF(COUNTIF(Типы,C708)=0,0,VLOOKUP(C708,СПРАВОЧНИКИ!$A$7:$E$22,2,FALSE)))</f>
        <v/>
      </c>
      <c r="Q708" s="25" t="str">
        <f t="shared" si="10"/>
        <v/>
      </c>
      <c r="R708" s="5" t="str">
        <f>IF(A708="","",IF(COUNTIF(Типы,C708)=0,"НЕИЗВЕСТНЫЙ ТИП",VLOOKUP(C708,СПРАВОЧНИКИ!$A$7:$E$22,3,FALSE)))</f>
        <v/>
      </c>
      <c r="S708" s="26" t="str">
        <f>IF(A708="","",IF(L708="Проведён",E708*IF(COUNTIF(Типы,C708)=0,0,VLOOKUP(C708,СПРАВОЧНИКИ!$A$7:$E$22,4,FALSE)),0))</f>
        <v/>
      </c>
      <c r="T708" s="26" t="str">
        <f>IF(A708="","",IF(L708="Проведён",E708*IF(COUNTIF(Типы,C708)=0,0,VLOOKUP(C708,СПРАВОЧНИКИ!$A$7:$E$22,5,FALSE)),0))</f>
        <v/>
      </c>
      <c r="U708" s="5" t="str">
        <f>IF(A708="","",IF(COUNTIF(Контрагенты,H708)=0,"Не задан",VLOOKUP(H708,СПРАВОЧНИКИ!$G$7:$H$66,2,FALSE)))</f>
        <v/>
      </c>
      <c r="V708" s="4" t="str">
        <f>IF(A708="",IF(COUNTA(B708:O708)&gt;0,"НЕТ ID",""),IF(OR(AND(OR(C708="Оплата клиента",C708="Возврат клиенту"),COUNTIFS(Docs[ID],J708,Docs[Тип долга],"ДЗ")&lt;&gt;1),AND(OR(C708="Оплата поставщику",C708="Возврат поставщика"),COUNTIFS(Docs[ID],J708,Docs[Тип долга],"КЗ",Docs[Вид],"&lt;&gt;Дивиденды")&lt;&gt;1),AND(C708="Дивиденды",COUNTIFS(Docs[ID],J708,Docs[Вид],"Дивиденды")&lt;&gt;1),AND(C708="Проценты",COUNTIFS(Docs[ID],J708,Docs[Вид],"Проценты")&lt;&gt;1),COUNTIF(Cash[ID],A708)&gt;1,NOT(ISNUMBER(B708)),B708&lt;НачалоУчета,YEAR(B708)&lt;&gt;Год,NOT(ISNUMBER(E708)),E708&lt;=0,N708&lt;0,COUNTIF(Типы,C708)&lt;&gt;1,COUNTIF(Категории,D708)&lt;&gt;1,COUNTIF(Счета,F708)&lt;&gt;1,COUNTIF(Проекты,I708)&lt;&gt;1,AND(H708&lt;&gt;"",COUNTIF(Контрагенты,H708)&lt;&gt;1),AND(C708="Перевод",OR(F708=G708,COUNTIF(Счета,G708)&lt;&gt;1)),AND(S708&lt;&gt;0,COUNTIF(Docs[ID],J708)&lt;&gt;1),AND(Форма="ООО",C708="Вывод ИП"),AND(Форма="ИП",C708="Дивиденды"),AND(L708&lt;&gt;"Проведён",L708&lt;&gt;"Черновик")),"ОШИБКА","ОК"))</f>
        <v/>
      </c>
      <c r="W708" s="25" t="str">
        <f>IF(A708="","",SUMIF(Accounts[Счёт],F708,Accounts[Начальный])+SUMIFS($Q$7:Q708,$F$7:F708,F708)+SUMIFS($E$7:E708,$G$7:G708,F708,$C$7:C708,"Перевод",$L$7:L708,"Проведён"))</f>
        <v/>
      </c>
    </row>
    <row r="709" spans="1:23" x14ac:dyDescent="0.25">
      <c r="A709" s="22"/>
      <c r="B709" s="23"/>
      <c r="C709" s="22"/>
      <c r="D709" s="22"/>
      <c r="E709" s="27"/>
      <c r="F709" s="22"/>
      <c r="G709" s="22"/>
      <c r="H709" s="22"/>
      <c r="I709" s="22"/>
      <c r="J709" s="22"/>
      <c r="K709" s="22"/>
      <c r="L709" s="22"/>
      <c r="M709" s="22"/>
      <c r="N709" s="27"/>
      <c r="O709" s="22"/>
      <c r="P709" s="5" t="str">
        <f>IF(A709="","",IF(COUNTIF(Типы,C709)=0,0,VLOOKUP(C709,СПРАВОЧНИКИ!$A$7:$E$22,2,FALSE)))</f>
        <v/>
      </c>
      <c r="Q709" s="25" t="str">
        <f t="shared" si="10"/>
        <v/>
      </c>
      <c r="R709" s="5" t="str">
        <f>IF(A709="","",IF(COUNTIF(Типы,C709)=0,"НЕИЗВЕСТНЫЙ ТИП",VLOOKUP(C709,СПРАВОЧНИКИ!$A$7:$E$22,3,FALSE)))</f>
        <v/>
      </c>
      <c r="S709" s="26" t="str">
        <f>IF(A709="","",IF(L709="Проведён",E709*IF(COUNTIF(Типы,C709)=0,0,VLOOKUP(C709,СПРАВОЧНИКИ!$A$7:$E$22,4,FALSE)),0))</f>
        <v/>
      </c>
      <c r="T709" s="26" t="str">
        <f>IF(A709="","",IF(L709="Проведён",E709*IF(COUNTIF(Типы,C709)=0,0,VLOOKUP(C709,СПРАВОЧНИКИ!$A$7:$E$22,5,FALSE)),0))</f>
        <v/>
      </c>
      <c r="U709" s="5" t="str">
        <f>IF(A709="","",IF(COUNTIF(Контрагенты,H709)=0,"Не задан",VLOOKUP(H709,СПРАВОЧНИКИ!$G$7:$H$66,2,FALSE)))</f>
        <v/>
      </c>
      <c r="V709" s="4" t="str">
        <f>IF(A709="",IF(COUNTA(B709:O709)&gt;0,"НЕТ ID",""),IF(OR(AND(OR(C709="Оплата клиента",C709="Возврат клиенту"),COUNTIFS(Docs[ID],J709,Docs[Тип долга],"ДЗ")&lt;&gt;1),AND(OR(C709="Оплата поставщику",C709="Возврат поставщика"),COUNTIFS(Docs[ID],J709,Docs[Тип долга],"КЗ",Docs[Вид],"&lt;&gt;Дивиденды")&lt;&gt;1),AND(C709="Дивиденды",COUNTIFS(Docs[ID],J709,Docs[Вид],"Дивиденды")&lt;&gt;1),AND(C709="Проценты",COUNTIFS(Docs[ID],J709,Docs[Вид],"Проценты")&lt;&gt;1),COUNTIF(Cash[ID],A709)&gt;1,NOT(ISNUMBER(B709)),B709&lt;НачалоУчета,YEAR(B709)&lt;&gt;Год,NOT(ISNUMBER(E709)),E709&lt;=0,N709&lt;0,COUNTIF(Типы,C709)&lt;&gt;1,COUNTIF(Категории,D709)&lt;&gt;1,COUNTIF(Счета,F709)&lt;&gt;1,COUNTIF(Проекты,I709)&lt;&gt;1,AND(H709&lt;&gt;"",COUNTIF(Контрагенты,H709)&lt;&gt;1),AND(C709="Перевод",OR(F709=G709,COUNTIF(Счета,G709)&lt;&gt;1)),AND(S709&lt;&gt;0,COUNTIF(Docs[ID],J709)&lt;&gt;1),AND(Форма="ООО",C709="Вывод ИП"),AND(Форма="ИП",C709="Дивиденды"),AND(L709&lt;&gt;"Проведён",L709&lt;&gt;"Черновик")),"ОШИБКА","ОК"))</f>
        <v/>
      </c>
      <c r="W709" s="25" t="str">
        <f>IF(A709="","",SUMIF(Accounts[Счёт],F709,Accounts[Начальный])+SUMIFS($Q$7:Q709,$F$7:F709,F709)+SUMIFS($E$7:E709,$G$7:G709,F709,$C$7:C709,"Перевод",$L$7:L709,"Проведён"))</f>
        <v/>
      </c>
    </row>
    <row r="710" spans="1:23" x14ac:dyDescent="0.25">
      <c r="A710" s="22"/>
      <c r="B710" s="23"/>
      <c r="C710" s="22"/>
      <c r="D710" s="22"/>
      <c r="E710" s="27"/>
      <c r="F710" s="22"/>
      <c r="G710" s="22"/>
      <c r="H710" s="22"/>
      <c r="I710" s="22"/>
      <c r="J710" s="22"/>
      <c r="K710" s="22"/>
      <c r="L710" s="22"/>
      <c r="M710" s="22"/>
      <c r="N710" s="27"/>
      <c r="O710" s="22"/>
      <c r="P710" s="5" t="str">
        <f>IF(A710="","",IF(COUNTIF(Типы,C710)=0,0,VLOOKUP(C710,СПРАВОЧНИКИ!$A$7:$E$22,2,FALSE)))</f>
        <v/>
      </c>
      <c r="Q710" s="25" t="str">
        <f t="shared" si="10"/>
        <v/>
      </c>
      <c r="R710" s="5" t="str">
        <f>IF(A710="","",IF(COUNTIF(Типы,C710)=0,"НЕИЗВЕСТНЫЙ ТИП",VLOOKUP(C710,СПРАВОЧНИКИ!$A$7:$E$22,3,FALSE)))</f>
        <v/>
      </c>
      <c r="S710" s="26" t="str">
        <f>IF(A710="","",IF(L710="Проведён",E710*IF(COUNTIF(Типы,C710)=0,0,VLOOKUP(C710,СПРАВОЧНИКИ!$A$7:$E$22,4,FALSE)),0))</f>
        <v/>
      </c>
      <c r="T710" s="26" t="str">
        <f>IF(A710="","",IF(L710="Проведён",E710*IF(COUNTIF(Типы,C710)=0,0,VLOOKUP(C710,СПРАВОЧНИКИ!$A$7:$E$22,5,FALSE)),0))</f>
        <v/>
      </c>
      <c r="U710" s="5" t="str">
        <f>IF(A710="","",IF(COUNTIF(Контрагенты,H710)=0,"Не задан",VLOOKUP(H710,СПРАВОЧНИКИ!$G$7:$H$66,2,FALSE)))</f>
        <v/>
      </c>
      <c r="V710" s="4" t="str">
        <f>IF(A710="",IF(COUNTA(B710:O710)&gt;0,"НЕТ ID",""),IF(OR(AND(OR(C710="Оплата клиента",C710="Возврат клиенту"),COUNTIFS(Docs[ID],J710,Docs[Тип долга],"ДЗ")&lt;&gt;1),AND(OR(C710="Оплата поставщику",C710="Возврат поставщика"),COUNTIFS(Docs[ID],J710,Docs[Тип долга],"КЗ",Docs[Вид],"&lt;&gt;Дивиденды")&lt;&gt;1),AND(C710="Дивиденды",COUNTIFS(Docs[ID],J710,Docs[Вид],"Дивиденды")&lt;&gt;1),AND(C710="Проценты",COUNTIFS(Docs[ID],J710,Docs[Вид],"Проценты")&lt;&gt;1),COUNTIF(Cash[ID],A710)&gt;1,NOT(ISNUMBER(B710)),B710&lt;НачалоУчета,YEAR(B710)&lt;&gt;Год,NOT(ISNUMBER(E710)),E710&lt;=0,N710&lt;0,COUNTIF(Типы,C710)&lt;&gt;1,COUNTIF(Категории,D710)&lt;&gt;1,COUNTIF(Счета,F710)&lt;&gt;1,COUNTIF(Проекты,I710)&lt;&gt;1,AND(H710&lt;&gt;"",COUNTIF(Контрагенты,H710)&lt;&gt;1),AND(C710="Перевод",OR(F710=G710,COUNTIF(Счета,G710)&lt;&gt;1)),AND(S710&lt;&gt;0,COUNTIF(Docs[ID],J710)&lt;&gt;1),AND(Форма="ООО",C710="Вывод ИП"),AND(Форма="ИП",C710="Дивиденды"),AND(L710&lt;&gt;"Проведён",L710&lt;&gt;"Черновик")),"ОШИБКА","ОК"))</f>
        <v/>
      </c>
      <c r="W710" s="25" t="str">
        <f>IF(A710="","",SUMIF(Accounts[Счёт],F710,Accounts[Начальный])+SUMIFS($Q$7:Q710,$F$7:F710,F710)+SUMIFS($E$7:E710,$G$7:G710,F710,$C$7:C710,"Перевод",$L$7:L710,"Проведён"))</f>
        <v/>
      </c>
    </row>
    <row r="711" spans="1:23" x14ac:dyDescent="0.25">
      <c r="A711" s="22"/>
      <c r="B711" s="23"/>
      <c r="C711" s="22"/>
      <c r="D711" s="22"/>
      <c r="E711" s="27"/>
      <c r="F711" s="22"/>
      <c r="G711" s="22"/>
      <c r="H711" s="22"/>
      <c r="I711" s="22"/>
      <c r="J711" s="22"/>
      <c r="K711" s="22"/>
      <c r="L711" s="22"/>
      <c r="M711" s="22"/>
      <c r="N711" s="27"/>
      <c r="O711" s="22"/>
      <c r="P711" s="5" t="str">
        <f>IF(A711="","",IF(COUNTIF(Типы,C711)=0,0,VLOOKUP(C711,СПРАВОЧНИКИ!$A$7:$E$22,2,FALSE)))</f>
        <v/>
      </c>
      <c r="Q711" s="25" t="str">
        <f t="shared" ref="Q711:Q774" si="11">IF(A711="","",IF(L711="Проведён",E711*P711,0))</f>
        <v/>
      </c>
      <c r="R711" s="5" t="str">
        <f>IF(A711="","",IF(COUNTIF(Типы,C711)=0,"НЕИЗВЕСТНЫЙ ТИП",VLOOKUP(C711,СПРАВОЧНИКИ!$A$7:$E$22,3,FALSE)))</f>
        <v/>
      </c>
      <c r="S711" s="26" t="str">
        <f>IF(A711="","",IF(L711="Проведён",E711*IF(COUNTIF(Типы,C711)=0,0,VLOOKUP(C711,СПРАВОЧНИКИ!$A$7:$E$22,4,FALSE)),0))</f>
        <v/>
      </c>
      <c r="T711" s="26" t="str">
        <f>IF(A711="","",IF(L711="Проведён",E711*IF(COUNTIF(Типы,C711)=0,0,VLOOKUP(C711,СПРАВОЧНИКИ!$A$7:$E$22,5,FALSE)),0))</f>
        <v/>
      </c>
      <c r="U711" s="5" t="str">
        <f>IF(A711="","",IF(COUNTIF(Контрагенты,H711)=0,"Не задан",VLOOKUP(H711,СПРАВОЧНИКИ!$G$7:$H$66,2,FALSE)))</f>
        <v/>
      </c>
      <c r="V711" s="4" t="str">
        <f>IF(A711="",IF(COUNTA(B711:O711)&gt;0,"НЕТ ID",""),IF(OR(AND(OR(C711="Оплата клиента",C711="Возврат клиенту"),COUNTIFS(Docs[ID],J711,Docs[Тип долга],"ДЗ")&lt;&gt;1),AND(OR(C711="Оплата поставщику",C711="Возврат поставщика"),COUNTIFS(Docs[ID],J711,Docs[Тип долга],"КЗ",Docs[Вид],"&lt;&gt;Дивиденды")&lt;&gt;1),AND(C711="Дивиденды",COUNTIFS(Docs[ID],J711,Docs[Вид],"Дивиденды")&lt;&gt;1),AND(C711="Проценты",COUNTIFS(Docs[ID],J711,Docs[Вид],"Проценты")&lt;&gt;1),COUNTIF(Cash[ID],A711)&gt;1,NOT(ISNUMBER(B711)),B711&lt;НачалоУчета,YEAR(B711)&lt;&gt;Год,NOT(ISNUMBER(E711)),E711&lt;=0,N711&lt;0,COUNTIF(Типы,C711)&lt;&gt;1,COUNTIF(Категории,D711)&lt;&gt;1,COUNTIF(Счета,F711)&lt;&gt;1,COUNTIF(Проекты,I711)&lt;&gt;1,AND(H711&lt;&gt;"",COUNTIF(Контрагенты,H711)&lt;&gt;1),AND(C711="Перевод",OR(F711=G711,COUNTIF(Счета,G711)&lt;&gt;1)),AND(S711&lt;&gt;0,COUNTIF(Docs[ID],J711)&lt;&gt;1),AND(Форма="ООО",C711="Вывод ИП"),AND(Форма="ИП",C711="Дивиденды"),AND(L711&lt;&gt;"Проведён",L711&lt;&gt;"Черновик")),"ОШИБКА","ОК"))</f>
        <v/>
      </c>
      <c r="W711" s="25" t="str">
        <f>IF(A711="","",SUMIF(Accounts[Счёт],F711,Accounts[Начальный])+SUMIFS($Q$7:Q711,$F$7:F711,F711)+SUMIFS($E$7:E711,$G$7:G711,F711,$C$7:C711,"Перевод",$L$7:L711,"Проведён"))</f>
        <v/>
      </c>
    </row>
    <row r="712" spans="1:23" x14ac:dyDescent="0.25">
      <c r="A712" s="22"/>
      <c r="B712" s="23"/>
      <c r="C712" s="22"/>
      <c r="D712" s="22"/>
      <c r="E712" s="27"/>
      <c r="F712" s="22"/>
      <c r="G712" s="22"/>
      <c r="H712" s="22"/>
      <c r="I712" s="22"/>
      <c r="J712" s="22"/>
      <c r="K712" s="22"/>
      <c r="L712" s="22"/>
      <c r="M712" s="22"/>
      <c r="N712" s="27"/>
      <c r="O712" s="22"/>
      <c r="P712" s="5" t="str">
        <f>IF(A712="","",IF(COUNTIF(Типы,C712)=0,0,VLOOKUP(C712,СПРАВОЧНИКИ!$A$7:$E$22,2,FALSE)))</f>
        <v/>
      </c>
      <c r="Q712" s="25" t="str">
        <f t="shared" si="11"/>
        <v/>
      </c>
      <c r="R712" s="5" t="str">
        <f>IF(A712="","",IF(COUNTIF(Типы,C712)=0,"НЕИЗВЕСТНЫЙ ТИП",VLOOKUP(C712,СПРАВОЧНИКИ!$A$7:$E$22,3,FALSE)))</f>
        <v/>
      </c>
      <c r="S712" s="26" t="str">
        <f>IF(A712="","",IF(L712="Проведён",E712*IF(COUNTIF(Типы,C712)=0,0,VLOOKUP(C712,СПРАВОЧНИКИ!$A$7:$E$22,4,FALSE)),0))</f>
        <v/>
      </c>
      <c r="T712" s="26" t="str">
        <f>IF(A712="","",IF(L712="Проведён",E712*IF(COUNTIF(Типы,C712)=0,0,VLOOKUP(C712,СПРАВОЧНИКИ!$A$7:$E$22,5,FALSE)),0))</f>
        <v/>
      </c>
      <c r="U712" s="5" t="str">
        <f>IF(A712="","",IF(COUNTIF(Контрагенты,H712)=0,"Не задан",VLOOKUP(H712,СПРАВОЧНИКИ!$G$7:$H$66,2,FALSE)))</f>
        <v/>
      </c>
      <c r="V712" s="4" t="str">
        <f>IF(A712="",IF(COUNTA(B712:O712)&gt;0,"НЕТ ID",""),IF(OR(AND(OR(C712="Оплата клиента",C712="Возврат клиенту"),COUNTIFS(Docs[ID],J712,Docs[Тип долга],"ДЗ")&lt;&gt;1),AND(OR(C712="Оплата поставщику",C712="Возврат поставщика"),COUNTIFS(Docs[ID],J712,Docs[Тип долга],"КЗ",Docs[Вид],"&lt;&gt;Дивиденды")&lt;&gt;1),AND(C712="Дивиденды",COUNTIFS(Docs[ID],J712,Docs[Вид],"Дивиденды")&lt;&gt;1),AND(C712="Проценты",COUNTIFS(Docs[ID],J712,Docs[Вид],"Проценты")&lt;&gt;1),COUNTIF(Cash[ID],A712)&gt;1,NOT(ISNUMBER(B712)),B712&lt;НачалоУчета,YEAR(B712)&lt;&gt;Год,NOT(ISNUMBER(E712)),E712&lt;=0,N712&lt;0,COUNTIF(Типы,C712)&lt;&gt;1,COUNTIF(Категории,D712)&lt;&gt;1,COUNTIF(Счета,F712)&lt;&gt;1,COUNTIF(Проекты,I712)&lt;&gt;1,AND(H712&lt;&gt;"",COUNTIF(Контрагенты,H712)&lt;&gt;1),AND(C712="Перевод",OR(F712=G712,COUNTIF(Счета,G712)&lt;&gt;1)),AND(S712&lt;&gt;0,COUNTIF(Docs[ID],J712)&lt;&gt;1),AND(Форма="ООО",C712="Вывод ИП"),AND(Форма="ИП",C712="Дивиденды"),AND(L712&lt;&gt;"Проведён",L712&lt;&gt;"Черновик")),"ОШИБКА","ОК"))</f>
        <v/>
      </c>
      <c r="W712" s="25" t="str">
        <f>IF(A712="","",SUMIF(Accounts[Счёт],F712,Accounts[Начальный])+SUMIFS($Q$7:Q712,$F$7:F712,F712)+SUMIFS($E$7:E712,$G$7:G712,F712,$C$7:C712,"Перевод",$L$7:L712,"Проведён"))</f>
        <v/>
      </c>
    </row>
    <row r="713" spans="1:23" x14ac:dyDescent="0.25">
      <c r="A713" s="22"/>
      <c r="B713" s="23"/>
      <c r="C713" s="22"/>
      <c r="D713" s="22"/>
      <c r="E713" s="27"/>
      <c r="F713" s="22"/>
      <c r="G713" s="22"/>
      <c r="H713" s="22"/>
      <c r="I713" s="22"/>
      <c r="J713" s="22"/>
      <c r="K713" s="22"/>
      <c r="L713" s="22"/>
      <c r="M713" s="22"/>
      <c r="N713" s="27"/>
      <c r="O713" s="22"/>
      <c r="P713" s="5" t="str">
        <f>IF(A713="","",IF(COUNTIF(Типы,C713)=0,0,VLOOKUP(C713,СПРАВОЧНИКИ!$A$7:$E$22,2,FALSE)))</f>
        <v/>
      </c>
      <c r="Q713" s="25" t="str">
        <f t="shared" si="11"/>
        <v/>
      </c>
      <c r="R713" s="5" t="str">
        <f>IF(A713="","",IF(COUNTIF(Типы,C713)=0,"НЕИЗВЕСТНЫЙ ТИП",VLOOKUP(C713,СПРАВОЧНИКИ!$A$7:$E$22,3,FALSE)))</f>
        <v/>
      </c>
      <c r="S713" s="26" t="str">
        <f>IF(A713="","",IF(L713="Проведён",E713*IF(COUNTIF(Типы,C713)=0,0,VLOOKUP(C713,СПРАВОЧНИКИ!$A$7:$E$22,4,FALSE)),0))</f>
        <v/>
      </c>
      <c r="T713" s="26" t="str">
        <f>IF(A713="","",IF(L713="Проведён",E713*IF(COUNTIF(Типы,C713)=0,0,VLOOKUP(C713,СПРАВОЧНИКИ!$A$7:$E$22,5,FALSE)),0))</f>
        <v/>
      </c>
      <c r="U713" s="5" t="str">
        <f>IF(A713="","",IF(COUNTIF(Контрагенты,H713)=0,"Не задан",VLOOKUP(H713,СПРАВОЧНИКИ!$G$7:$H$66,2,FALSE)))</f>
        <v/>
      </c>
      <c r="V713" s="4" t="str">
        <f>IF(A713="",IF(COUNTA(B713:O713)&gt;0,"НЕТ ID",""),IF(OR(AND(OR(C713="Оплата клиента",C713="Возврат клиенту"),COUNTIFS(Docs[ID],J713,Docs[Тип долга],"ДЗ")&lt;&gt;1),AND(OR(C713="Оплата поставщику",C713="Возврат поставщика"),COUNTIFS(Docs[ID],J713,Docs[Тип долга],"КЗ",Docs[Вид],"&lt;&gt;Дивиденды")&lt;&gt;1),AND(C713="Дивиденды",COUNTIFS(Docs[ID],J713,Docs[Вид],"Дивиденды")&lt;&gt;1),AND(C713="Проценты",COUNTIFS(Docs[ID],J713,Docs[Вид],"Проценты")&lt;&gt;1),COUNTIF(Cash[ID],A713)&gt;1,NOT(ISNUMBER(B713)),B713&lt;НачалоУчета,YEAR(B713)&lt;&gt;Год,NOT(ISNUMBER(E713)),E713&lt;=0,N713&lt;0,COUNTIF(Типы,C713)&lt;&gt;1,COUNTIF(Категории,D713)&lt;&gt;1,COUNTIF(Счета,F713)&lt;&gt;1,COUNTIF(Проекты,I713)&lt;&gt;1,AND(H713&lt;&gt;"",COUNTIF(Контрагенты,H713)&lt;&gt;1),AND(C713="Перевод",OR(F713=G713,COUNTIF(Счета,G713)&lt;&gt;1)),AND(S713&lt;&gt;0,COUNTIF(Docs[ID],J713)&lt;&gt;1),AND(Форма="ООО",C713="Вывод ИП"),AND(Форма="ИП",C713="Дивиденды"),AND(L713&lt;&gt;"Проведён",L713&lt;&gt;"Черновик")),"ОШИБКА","ОК"))</f>
        <v/>
      </c>
      <c r="W713" s="25" t="str">
        <f>IF(A713="","",SUMIF(Accounts[Счёт],F713,Accounts[Начальный])+SUMIFS($Q$7:Q713,$F$7:F713,F713)+SUMIFS($E$7:E713,$G$7:G713,F713,$C$7:C713,"Перевод",$L$7:L713,"Проведён"))</f>
        <v/>
      </c>
    </row>
    <row r="714" spans="1:23" x14ac:dyDescent="0.25">
      <c r="A714" s="22"/>
      <c r="B714" s="23"/>
      <c r="C714" s="22"/>
      <c r="D714" s="22"/>
      <c r="E714" s="27"/>
      <c r="F714" s="22"/>
      <c r="G714" s="22"/>
      <c r="H714" s="22"/>
      <c r="I714" s="22"/>
      <c r="J714" s="22"/>
      <c r="K714" s="22"/>
      <c r="L714" s="22"/>
      <c r="M714" s="22"/>
      <c r="N714" s="27"/>
      <c r="O714" s="22"/>
      <c r="P714" s="5" t="str">
        <f>IF(A714="","",IF(COUNTIF(Типы,C714)=0,0,VLOOKUP(C714,СПРАВОЧНИКИ!$A$7:$E$22,2,FALSE)))</f>
        <v/>
      </c>
      <c r="Q714" s="25" t="str">
        <f t="shared" si="11"/>
        <v/>
      </c>
      <c r="R714" s="5" t="str">
        <f>IF(A714="","",IF(COUNTIF(Типы,C714)=0,"НЕИЗВЕСТНЫЙ ТИП",VLOOKUP(C714,СПРАВОЧНИКИ!$A$7:$E$22,3,FALSE)))</f>
        <v/>
      </c>
      <c r="S714" s="26" t="str">
        <f>IF(A714="","",IF(L714="Проведён",E714*IF(COUNTIF(Типы,C714)=0,0,VLOOKUP(C714,СПРАВОЧНИКИ!$A$7:$E$22,4,FALSE)),0))</f>
        <v/>
      </c>
      <c r="T714" s="26" t="str">
        <f>IF(A714="","",IF(L714="Проведён",E714*IF(COUNTIF(Типы,C714)=0,0,VLOOKUP(C714,СПРАВОЧНИКИ!$A$7:$E$22,5,FALSE)),0))</f>
        <v/>
      </c>
      <c r="U714" s="5" t="str">
        <f>IF(A714="","",IF(COUNTIF(Контрагенты,H714)=0,"Не задан",VLOOKUP(H714,СПРАВОЧНИКИ!$G$7:$H$66,2,FALSE)))</f>
        <v/>
      </c>
      <c r="V714" s="4" t="str">
        <f>IF(A714="",IF(COUNTA(B714:O714)&gt;0,"НЕТ ID",""),IF(OR(AND(OR(C714="Оплата клиента",C714="Возврат клиенту"),COUNTIFS(Docs[ID],J714,Docs[Тип долга],"ДЗ")&lt;&gt;1),AND(OR(C714="Оплата поставщику",C714="Возврат поставщика"),COUNTIFS(Docs[ID],J714,Docs[Тип долга],"КЗ",Docs[Вид],"&lt;&gt;Дивиденды")&lt;&gt;1),AND(C714="Дивиденды",COUNTIFS(Docs[ID],J714,Docs[Вид],"Дивиденды")&lt;&gt;1),AND(C714="Проценты",COUNTIFS(Docs[ID],J714,Docs[Вид],"Проценты")&lt;&gt;1),COUNTIF(Cash[ID],A714)&gt;1,NOT(ISNUMBER(B714)),B714&lt;НачалоУчета,YEAR(B714)&lt;&gt;Год,NOT(ISNUMBER(E714)),E714&lt;=0,N714&lt;0,COUNTIF(Типы,C714)&lt;&gt;1,COUNTIF(Категории,D714)&lt;&gt;1,COUNTIF(Счета,F714)&lt;&gt;1,COUNTIF(Проекты,I714)&lt;&gt;1,AND(H714&lt;&gt;"",COUNTIF(Контрагенты,H714)&lt;&gt;1),AND(C714="Перевод",OR(F714=G714,COUNTIF(Счета,G714)&lt;&gt;1)),AND(S714&lt;&gt;0,COUNTIF(Docs[ID],J714)&lt;&gt;1),AND(Форма="ООО",C714="Вывод ИП"),AND(Форма="ИП",C714="Дивиденды"),AND(L714&lt;&gt;"Проведён",L714&lt;&gt;"Черновик")),"ОШИБКА","ОК"))</f>
        <v/>
      </c>
      <c r="W714" s="25" t="str">
        <f>IF(A714="","",SUMIF(Accounts[Счёт],F714,Accounts[Начальный])+SUMIFS($Q$7:Q714,$F$7:F714,F714)+SUMIFS($E$7:E714,$G$7:G714,F714,$C$7:C714,"Перевод",$L$7:L714,"Проведён"))</f>
        <v/>
      </c>
    </row>
    <row r="715" spans="1:23" x14ac:dyDescent="0.25">
      <c r="A715" s="22"/>
      <c r="B715" s="23"/>
      <c r="C715" s="22"/>
      <c r="D715" s="22"/>
      <c r="E715" s="27"/>
      <c r="F715" s="22"/>
      <c r="G715" s="22"/>
      <c r="H715" s="22"/>
      <c r="I715" s="22"/>
      <c r="J715" s="22"/>
      <c r="K715" s="22"/>
      <c r="L715" s="22"/>
      <c r="M715" s="22"/>
      <c r="N715" s="27"/>
      <c r="O715" s="22"/>
      <c r="P715" s="5" t="str">
        <f>IF(A715="","",IF(COUNTIF(Типы,C715)=0,0,VLOOKUP(C715,СПРАВОЧНИКИ!$A$7:$E$22,2,FALSE)))</f>
        <v/>
      </c>
      <c r="Q715" s="25" t="str">
        <f t="shared" si="11"/>
        <v/>
      </c>
      <c r="R715" s="5" t="str">
        <f>IF(A715="","",IF(COUNTIF(Типы,C715)=0,"НЕИЗВЕСТНЫЙ ТИП",VLOOKUP(C715,СПРАВОЧНИКИ!$A$7:$E$22,3,FALSE)))</f>
        <v/>
      </c>
      <c r="S715" s="26" t="str">
        <f>IF(A715="","",IF(L715="Проведён",E715*IF(COUNTIF(Типы,C715)=0,0,VLOOKUP(C715,СПРАВОЧНИКИ!$A$7:$E$22,4,FALSE)),0))</f>
        <v/>
      </c>
      <c r="T715" s="26" t="str">
        <f>IF(A715="","",IF(L715="Проведён",E715*IF(COUNTIF(Типы,C715)=0,0,VLOOKUP(C715,СПРАВОЧНИКИ!$A$7:$E$22,5,FALSE)),0))</f>
        <v/>
      </c>
      <c r="U715" s="5" t="str">
        <f>IF(A715="","",IF(COUNTIF(Контрагенты,H715)=0,"Не задан",VLOOKUP(H715,СПРАВОЧНИКИ!$G$7:$H$66,2,FALSE)))</f>
        <v/>
      </c>
      <c r="V715" s="4" t="str">
        <f>IF(A715="",IF(COUNTA(B715:O715)&gt;0,"НЕТ ID",""),IF(OR(AND(OR(C715="Оплата клиента",C715="Возврат клиенту"),COUNTIFS(Docs[ID],J715,Docs[Тип долга],"ДЗ")&lt;&gt;1),AND(OR(C715="Оплата поставщику",C715="Возврат поставщика"),COUNTIFS(Docs[ID],J715,Docs[Тип долга],"КЗ",Docs[Вид],"&lt;&gt;Дивиденды")&lt;&gt;1),AND(C715="Дивиденды",COUNTIFS(Docs[ID],J715,Docs[Вид],"Дивиденды")&lt;&gt;1),AND(C715="Проценты",COUNTIFS(Docs[ID],J715,Docs[Вид],"Проценты")&lt;&gt;1),COUNTIF(Cash[ID],A715)&gt;1,NOT(ISNUMBER(B715)),B715&lt;НачалоУчета,YEAR(B715)&lt;&gt;Год,NOT(ISNUMBER(E715)),E715&lt;=0,N715&lt;0,COUNTIF(Типы,C715)&lt;&gt;1,COUNTIF(Категории,D715)&lt;&gt;1,COUNTIF(Счета,F715)&lt;&gt;1,COUNTIF(Проекты,I715)&lt;&gt;1,AND(H715&lt;&gt;"",COUNTIF(Контрагенты,H715)&lt;&gt;1),AND(C715="Перевод",OR(F715=G715,COUNTIF(Счета,G715)&lt;&gt;1)),AND(S715&lt;&gt;0,COUNTIF(Docs[ID],J715)&lt;&gt;1),AND(Форма="ООО",C715="Вывод ИП"),AND(Форма="ИП",C715="Дивиденды"),AND(L715&lt;&gt;"Проведён",L715&lt;&gt;"Черновик")),"ОШИБКА","ОК"))</f>
        <v/>
      </c>
      <c r="W715" s="25" t="str">
        <f>IF(A715="","",SUMIF(Accounts[Счёт],F715,Accounts[Начальный])+SUMIFS($Q$7:Q715,$F$7:F715,F715)+SUMIFS($E$7:E715,$G$7:G715,F715,$C$7:C715,"Перевод",$L$7:L715,"Проведён"))</f>
        <v/>
      </c>
    </row>
    <row r="716" spans="1:23" x14ac:dyDescent="0.25">
      <c r="A716" s="22"/>
      <c r="B716" s="23"/>
      <c r="C716" s="22"/>
      <c r="D716" s="22"/>
      <c r="E716" s="27"/>
      <c r="F716" s="22"/>
      <c r="G716" s="22"/>
      <c r="H716" s="22"/>
      <c r="I716" s="22"/>
      <c r="J716" s="22"/>
      <c r="K716" s="22"/>
      <c r="L716" s="22"/>
      <c r="M716" s="22"/>
      <c r="N716" s="27"/>
      <c r="O716" s="22"/>
      <c r="P716" s="5" t="str">
        <f>IF(A716="","",IF(COUNTIF(Типы,C716)=0,0,VLOOKUP(C716,СПРАВОЧНИКИ!$A$7:$E$22,2,FALSE)))</f>
        <v/>
      </c>
      <c r="Q716" s="25" t="str">
        <f t="shared" si="11"/>
        <v/>
      </c>
      <c r="R716" s="5" t="str">
        <f>IF(A716="","",IF(COUNTIF(Типы,C716)=0,"НЕИЗВЕСТНЫЙ ТИП",VLOOKUP(C716,СПРАВОЧНИКИ!$A$7:$E$22,3,FALSE)))</f>
        <v/>
      </c>
      <c r="S716" s="26" t="str">
        <f>IF(A716="","",IF(L716="Проведён",E716*IF(COUNTIF(Типы,C716)=0,0,VLOOKUP(C716,СПРАВОЧНИКИ!$A$7:$E$22,4,FALSE)),0))</f>
        <v/>
      </c>
      <c r="T716" s="26" t="str">
        <f>IF(A716="","",IF(L716="Проведён",E716*IF(COUNTIF(Типы,C716)=0,0,VLOOKUP(C716,СПРАВОЧНИКИ!$A$7:$E$22,5,FALSE)),0))</f>
        <v/>
      </c>
      <c r="U716" s="5" t="str">
        <f>IF(A716="","",IF(COUNTIF(Контрагенты,H716)=0,"Не задан",VLOOKUP(H716,СПРАВОЧНИКИ!$G$7:$H$66,2,FALSE)))</f>
        <v/>
      </c>
      <c r="V716" s="4" t="str">
        <f>IF(A716="",IF(COUNTA(B716:O716)&gt;0,"НЕТ ID",""),IF(OR(AND(OR(C716="Оплата клиента",C716="Возврат клиенту"),COUNTIFS(Docs[ID],J716,Docs[Тип долга],"ДЗ")&lt;&gt;1),AND(OR(C716="Оплата поставщику",C716="Возврат поставщика"),COUNTIFS(Docs[ID],J716,Docs[Тип долга],"КЗ",Docs[Вид],"&lt;&gt;Дивиденды")&lt;&gt;1),AND(C716="Дивиденды",COUNTIFS(Docs[ID],J716,Docs[Вид],"Дивиденды")&lt;&gt;1),AND(C716="Проценты",COUNTIFS(Docs[ID],J716,Docs[Вид],"Проценты")&lt;&gt;1),COUNTIF(Cash[ID],A716)&gt;1,NOT(ISNUMBER(B716)),B716&lt;НачалоУчета,YEAR(B716)&lt;&gt;Год,NOT(ISNUMBER(E716)),E716&lt;=0,N716&lt;0,COUNTIF(Типы,C716)&lt;&gt;1,COUNTIF(Категории,D716)&lt;&gt;1,COUNTIF(Счета,F716)&lt;&gt;1,COUNTIF(Проекты,I716)&lt;&gt;1,AND(H716&lt;&gt;"",COUNTIF(Контрагенты,H716)&lt;&gt;1),AND(C716="Перевод",OR(F716=G716,COUNTIF(Счета,G716)&lt;&gt;1)),AND(S716&lt;&gt;0,COUNTIF(Docs[ID],J716)&lt;&gt;1),AND(Форма="ООО",C716="Вывод ИП"),AND(Форма="ИП",C716="Дивиденды"),AND(L716&lt;&gt;"Проведён",L716&lt;&gt;"Черновик")),"ОШИБКА","ОК"))</f>
        <v/>
      </c>
      <c r="W716" s="25" t="str">
        <f>IF(A716="","",SUMIF(Accounts[Счёт],F716,Accounts[Начальный])+SUMIFS($Q$7:Q716,$F$7:F716,F716)+SUMIFS($E$7:E716,$G$7:G716,F716,$C$7:C716,"Перевод",$L$7:L716,"Проведён"))</f>
        <v/>
      </c>
    </row>
    <row r="717" spans="1:23" x14ac:dyDescent="0.25">
      <c r="A717" s="22"/>
      <c r="B717" s="23"/>
      <c r="C717" s="22"/>
      <c r="D717" s="22"/>
      <c r="E717" s="27"/>
      <c r="F717" s="22"/>
      <c r="G717" s="22"/>
      <c r="H717" s="22"/>
      <c r="I717" s="22"/>
      <c r="J717" s="22"/>
      <c r="K717" s="22"/>
      <c r="L717" s="22"/>
      <c r="M717" s="22"/>
      <c r="N717" s="27"/>
      <c r="O717" s="22"/>
      <c r="P717" s="5" t="str">
        <f>IF(A717="","",IF(COUNTIF(Типы,C717)=0,0,VLOOKUP(C717,СПРАВОЧНИКИ!$A$7:$E$22,2,FALSE)))</f>
        <v/>
      </c>
      <c r="Q717" s="25" t="str">
        <f t="shared" si="11"/>
        <v/>
      </c>
      <c r="R717" s="5" t="str">
        <f>IF(A717="","",IF(COUNTIF(Типы,C717)=0,"НЕИЗВЕСТНЫЙ ТИП",VLOOKUP(C717,СПРАВОЧНИКИ!$A$7:$E$22,3,FALSE)))</f>
        <v/>
      </c>
      <c r="S717" s="26" t="str">
        <f>IF(A717="","",IF(L717="Проведён",E717*IF(COUNTIF(Типы,C717)=0,0,VLOOKUP(C717,СПРАВОЧНИКИ!$A$7:$E$22,4,FALSE)),0))</f>
        <v/>
      </c>
      <c r="T717" s="26" t="str">
        <f>IF(A717="","",IF(L717="Проведён",E717*IF(COUNTIF(Типы,C717)=0,0,VLOOKUP(C717,СПРАВОЧНИКИ!$A$7:$E$22,5,FALSE)),0))</f>
        <v/>
      </c>
      <c r="U717" s="5" t="str">
        <f>IF(A717="","",IF(COUNTIF(Контрагенты,H717)=0,"Не задан",VLOOKUP(H717,СПРАВОЧНИКИ!$G$7:$H$66,2,FALSE)))</f>
        <v/>
      </c>
      <c r="V717" s="4" t="str">
        <f>IF(A717="",IF(COUNTA(B717:O717)&gt;0,"НЕТ ID",""),IF(OR(AND(OR(C717="Оплата клиента",C717="Возврат клиенту"),COUNTIFS(Docs[ID],J717,Docs[Тип долга],"ДЗ")&lt;&gt;1),AND(OR(C717="Оплата поставщику",C717="Возврат поставщика"),COUNTIFS(Docs[ID],J717,Docs[Тип долга],"КЗ",Docs[Вид],"&lt;&gt;Дивиденды")&lt;&gt;1),AND(C717="Дивиденды",COUNTIFS(Docs[ID],J717,Docs[Вид],"Дивиденды")&lt;&gt;1),AND(C717="Проценты",COUNTIFS(Docs[ID],J717,Docs[Вид],"Проценты")&lt;&gt;1),COUNTIF(Cash[ID],A717)&gt;1,NOT(ISNUMBER(B717)),B717&lt;НачалоУчета,YEAR(B717)&lt;&gt;Год,NOT(ISNUMBER(E717)),E717&lt;=0,N717&lt;0,COUNTIF(Типы,C717)&lt;&gt;1,COUNTIF(Категории,D717)&lt;&gt;1,COUNTIF(Счета,F717)&lt;&gt;1,COUNTIF(Проекты,I717)&lt;&gt;1,AND(H717&lt;&gt;"",COUNTIF(Контрагенты,H717)&lt;&gt;1),AND(C717="Перевод",OR(F717=G717,COUNTIF(Счета,G717)&lt;&gt;1)),AND(S717&lt;&gt;0,COUNTIF(Docs[ID],J717)&lt;&gt;1),AND(Форма="ООО",C717="Вывод ИП"),AND(Форма="ИП",C717="Дивиденды"),AND(L717&lt;&gt;"Проведён",L717&lt;&gt;"Черновик")),"ОШИБКА","ОК"))</f>
        <v/>
      </c>
      <c r="W717" s="25" t="str">
        <f>IF(A717="","",SUMIF(Accounts[Счёт],F717,Accounts[Начальный])+SUMIFS($Q$7:Q717,$F$7:F717,F717)+SUMIFS($E$7:E717,$G$7:G717,F717,$C$7:C717,"Перевод",$L$7:L717,"Проведён"))</f>
        <v/>
      </c>
    </row>
    <row r="718" spans="1:23" x14ac:dyDescent="0.25">
      <c r="A718" s="22"/>
      <c r="B718" s="23"/>
      <c r="C718" s="22"/>
      <c r="D718" s="22"/>
      <c r="E718" s="27"/>
      <c r="F718" s="22"/>
      <c r="G718" s="22"/>
      <c r="H718" s="22"/>
      <c r="I718" s="22"/>
      <c r="J718" s="22"/>
      <c r="K718" s="22"/>
      <c r="L718" s="22"/>
      <c r="M718" s="22"/>
      <c r="N718" s="27"/>
      <c r="O718" s="22"/>
      <c r="P718" s="5" t="str">
        <f>IF(A718="","",IF(COUNTIF(Типы,C718)=0,0,VLOOKUP(C718,СПРАВОЧНИКИ!$A$7:$E$22,2,FALSE)))</f>
        <v/>
      </c>
      <c r="Q718" s="25" t="str">
        <f t="shared" si="11"/>
        <v/>
      </c>
      <c r="R718" s="5" t="str">
        <f>IF(A718="","",IF(COUNTIF(Типы,C718)=0,"НЕИЗВЕСТНЫЙ ТИП",VLOOKUP(C718,СПРАВОЧНИКИ!$A$7:$E$22,3,FALSE)))</f>
        <v/>
      </c>
      <c r="S718" s="26" t="str">
        <f>IF(A718="","",IF(L718="Проведён",E718*IF(COUNTIF(Типы,C718)=0,0,VLOOKUP(C718,СПРАВОЧНИКИ!$A$7:$E$22,4,FALSE)),0))</f>
        <v/>
      </c>
      <c r="T718" s="26" t="str">
        <f>IF(A718="","",IF(L718="Проведён",E718*IF(COUNTIF(Типы,C718)=0,0,VLOOKUP(C718,СПРАВОЧНИКИ!$A$7:$E$22,5,FALSE)),0))</f>
        <v/>
      </c>
      <c r="U718" s="5" t="str">
        <f>IF(A718="","",IF(COUNTIF(Контрагенты,H718)=0,"Не задан",VLOOKUP(H718,СПРАВОЧНИКИ!$G$7:$H$66,2,FALSE)))</f>
        <v/>
      </c>
      <c r="V718" s="4" t="str">
        <f>IF(A718="",IF(COUNTA(B718:O718)&gt;0,"НЕТ ID",""),IF(OR(AND(OR(C718="Оплата клиента",C718="Возврат клиенту"),COUNTIFS(Docs[ID],J718,Docs[Тип долга],"ДЗ")&lt;&gt;1),AND(OR(C718="Оплата поставщику",C718="Возврат поставщика"),COUNTIFS(Docs[ID],J718,Docs[Тип долга],"КЗ",Docs[Вид],"&lt;&gt;Дивиденды")&lt;&gt;1),AND(C718="Дивиденды",COUNTIFS(Docs[ID],J718,Docs[Вид],"Дивиденды")&lt;&gt;1),AND(C718="Проценты",COUNTIFS(Docs[ID],J718,Docs[Вид],"Проценты")&lt;&gt;1),COUNTIF(Cash[ID],A718)&gt;1,NOT(ISNUMBER(B718)),B718&lt;НачалоУчета,YEAR(B718)&lt;&gt;Год,NOT(ISNUMBER(E718)),E718&lt;=0,N718&lt;0,COUNTIF(Типы,C718)&lt;&gt;1,COUNTIF(Категории,D718)&lt;&gt;1,COUNTIF(Счета,F718)&lt;&gt;1,COUNTIF(Проекты,I718)&lt;&gt;1,AND(H718&lt;&gt;"",COUNTIF(Контрагенты,H718)&lt;&gt;1),AND(C718="Перевод",OR(F718=G718,COUNTIF(Счета,G718)&lt;&gt;1)),AND(S718&lt;&gt;0,COUNTIF(Docs[ID],J718)&lt;&gt;1),AND(Форма="ООО",C718="Вывод ИП"),AND(Форма="ИП",C718="Дивиденды"),AND(L718&lt;&gt;"Проведён",L718&lt;&gt;"Черновик")),"ОШИБКА","ОК"))</f>
        <v/>
      </c>
      <c r="W718" s="25" t="str">
        <f>IF(A718="","",SUMIF(Accounts[Счёт],F718,Accounts[Начальный])+SUMIFS($Q$7:Q718,$F$7:F718,F718)+SUMIFS($E$7:E718,$G$7:G718,F718,$C$7:C718,"Перевод",$L$7:L718,"Проведён"))</f>
        <v/>
      </c>
    </row>
    <row r="719" spans="1:23" x14ac:dyDescent="0.25">
      <c r="A719" s="22"/>
      <c r="B719" s="23"/>
      <c r="C719" s="22"/>
      <c r="D719" s="22"/>
      <c r="E719" s="27"/>
      <c r="F719" s="22"/>
      <c r="G719" s="22"/>
      <c r="H719" s="22"/>
      <c r="I719" s="22"/>
      <c r="J719" s="22"/>
      <c r="K719" s="22"/>
      <c r="L719" s="22"/>
      <c r="M719" s="22"/>
      <c r="N719" s="27"/>
      <c r="O719" s="22"/>
      <c r="P719" s="5" t="str">
        <f>IF(A719="","",IF(COUNTIF(Типы,C719)=0,0,VLOOKUP(C719,СПРАВОЧНИКИ!$A$7:$E$22,2,FALSE)))</f>
        <v/>
      </c>
      <c r="Q719" s="25" t="str">
        <f t="shared" si="11"/>
        <v/>
      </c>
      <c r="R719" s="5" t="str">
        <f>IF(A719="","",IF(COUNTIF(Типы,C719)=0,"НЕИЗВЕСТНЫЙ ТИП",VLOOKUP(C719,СПРАВОЧНИКИ!$A$7:$E$22,3,FALSE)))</f>
        <v/>
      </c>
      <c r="S719" s="26" t="str">
        <f>IF(A719="","",IF(L719="Проведён",E719*IF(COUNTIF(Типы,C719)=0,0,VLOOKUP(C719,СПРАВОЧНИКИ!$A$7:$E$22,4,FALSE)),0))</f>
        <v/>
      </c>
      <c r="T719" s="26" t="str">
        <f>IF(A719="","",IF(L719="Проведён",E719*IF(COUNTIF(Типы,C719)=0,0,VLOOKUP(C719,СПРАВОЧНИКИ!$A$7:$E$22,5,FALSE)),0))</f>
        <v/>
      </c>
      <c r="U719" s="5" t="str">
        <f>IF(A719="","",IF(COUNTIF(Контрагенты,H719)=0,"Не задан",VLOOKUP(H719,СПРАВОЧНИКИ!$G$7:$H$66,2,FALSE)))</f>
        <v/>
      </c>
      <c r="V719" s="4" t="str">
        <f>IF(A719="",IF(COUNTA(B719:O719)&gt;0,"НЕТ ID",""),IF(OR(AND(OR(C719="Оплата клиента",C719="Возврат клиенту"),COUNTIFS(Docs[ID],J719,Docs[Тип долга],"ДЗ")&lt;&gt;1),AND(OR(C719="Оплата поставщику",C719="Возврат поставщика"),COUNTIFS(Docs[ID],J719,Docs[Тип долга],"КЗ",Docs[Вид],"&lt;&gt;Дивиденды")&lt;&gt;1),AND(C719="Дивиденды",COUNTIFS(Docs[ID],J719,Docs[Вид],"Дивиденды")&lt;&gt;1),AND(C719="Проценты",COUNTIFS(Docs[ID],J719,Docs[Вид],"Проценты")&lt;&gt;1),COUNTIF(Cash[ID],A719)&gt;1,NOT(ISNUMBER(B719)),B719&lt;НачалоУчета,YEAR(B719)&lt;&gt;Год,NOT(ISNUMBER(E719)),E719&lt;=0,N719&lt;0,COUNTIF(Типы,C719)&lt;&gt;1,COUNTIF(Категории,D719)&lt;&gt;1,COUNTIF(Счета,F719)&lt;&gt;1,COUNTIF(Проекты,I719)&lt;&gt;1,AND(H719&lt;&gt;"",COUNTIF(Контрагенты,H719)&lt;&gt;1),AND(C719="Перевод",OR(F719=G719,COUNTIF(Счета,G719)&lt;&gt;1)),AND(S719&lt;&gt;0,COUNTIF(Docs[ID],J719)&lt;&gt;1),AND(Форма="ООО",C719="Вывод ИП"),AND(Форма="ИП",C719="Дивиденды"),AND(L719&lt;&gt;"Проведён",L719&lt;&gt;"Черновик")),"ОШИБКА","ОК"))</f>
        <v/>
      </c>
      <c r="W719" s="25" t="str">
        <f>IF(A719="","",SUMIF(Accounts[Счёт],F719,Accounts[Начальный])+SUMIFS($Q$7:Q719,$F$7:F719,F719)+SUMIFS($E$7:E719,$G$7:G719,F719,$C$7:C719,"Перевод",$L$7:L719,"Проведён"))</f>
        <v/>
      </c>
    </row>
    <row r="720" spans="1:23" x14ac:dyDescent="0.25">
      <c r="A720" s="22"/>
      <c r="B720" s="23"/>
      <c r="C720" s="22"/>
      <c r="D720" s="22"/>
      <c r="E720" s="27"/>
      <c r="F720" s="22"/>
      <c r="G720" s="22"/>
      <c r="H720" s="22"/>
      <c r="I720" s="22"/>
      <c r="J720" s="22"/>
      <c r="K720" s="22"/>
      <c r="L720" s="22"/>
      <c r="M720" s="22"/>
      <c r="N720" s="27"/>
      <c r="O720" s="22"/>
      <c r="P720" s="5" t="str">
        <f>IF(A720="","",IF(COUNTIF(Типы,C720)=0,0,VLOOKUP(C720,СПРАВОЧНИКИ!$A$7:$E$22,2,FALSE)))</f>
        <v/>
      </c>
      <c r="Q720" s="25" t="str">
        <f t="shared" si="11"/>
        <v/>
      </c>
      <c r="R720" s="5" t="str">
        <f>IF(A720="","",IF(COUNTIF(Типы,C720)=0,"НЕИЗВЕСТНЫЙ ТИП",VLOOKUP(C720,СПРАВОЧНИКИ!$A$7:$E$22,3,FALSE)))</f>
        <v/>
      </c>
      <c r="S720" s="26" t="str">
        <f>IF(A720="","",IF(L720="Проведён",E720*IF(COUNTIF(Типы,C720)=0,0,VLOOKUP(C720,СПРАВОЧНИКИ!$A$7:$E$22,4,FALSE)),0))</f>
        <v/>
      </c>
      <c r="T720" s="26" t="str">
        <f>IF(A720="","",IF(L720="Проведён",E720*IF(COUNTIF(Типы,C720)=0,0,VLOOKUP(C720,СПРАВОЧНИКИ!$A$7:$E$22,5,FALSE)),0))</f>
        <v/>
      </c>
      <c r="U720" s="5" t="str">
        <f>IF(A720="","",IF(COUNTIF(Контрагенты,H720)=0,"Не задан",VLOOKUP(H720,СПРАВОЧНИКИ!$G$7:$H$66,2,FALSE)))</f>
        <v/>
      </c>
      <c r="V720" s="4" t="str">
        <f>IF(A720="",IF(COUNTA(B720:O720)&gt;0,"НЕТ ID",""),IF(OR(AND(OR(C720="Оплата клиента",C720="Возврат клиенту"),COUNTIFS(Docs[ID],J720,Docs[Тип долга],"ДЗ")&lt;&gt;1),AND(OR(C720="Оплата поставщику",C720="Возврат поставщика"),COUNTIFS(Docs[ID],J720,Docs[Тип долга],"КЗ",Docs[Вид],"&lt;&gt;Дивиденды")&lt;&gt;1),AND(C720="Дивиденды",COUNTIFS(Docs[ID],J720,Docs[Вид],"Дивиденды")&lt;&gt;1),AND(C720="Проценты",COUNTIFS(Docs[ID],J720,Docs[Вид],"Проценты")&lt;&gt;1),COUNTIF(Cash[ID],A720)&gt;1,NOT(ISNUMBER(B720)),B720&lt;НачалоУчета,YEAR(B720)&lt;&gt;Год,NOT(ISNUMBER(E720)),E720&lt;=0,N720&lt;0,COUNTIF(Типы,C720)&lt;&gt;1,COUNTIF(Категории,D720)&lt;&gt;1,COUNTIF(Счета,F720)&lt;&gt;1,COUNTIF(Проекты,I720)&lt;&gt;1,AND(H720&lt;&gt;"",COUNTIF(Контрагенты,H720)&lt;&gt;1),AND(C720="Перевод",OR(F720=G720,COUNTIF(Счета,G720)&lt;&gt;1)),AND(S720&lt;&gt;0,COUNTIF(Docs[ID],J720)&lt;&gt;1),AND(Форма="ООО",C720="Вывод ИП"),AND(Форма="ИП",C720="Дивиденды"),AND(L720&lt;&gt;"Проведён",L720&lt;&gt;"Черновик")),"ОШИБКА","ОК"))</f>
        <v/>
      </c>
      <c r="W720" s="25" t="str">
        <f>IF(A720="","",SUMIF(Accounts[Счёт],F720,Accounts[Начальный])+SUMIFS($Q$7:Q720,$F$7:F720,F720)+SUMIFS($E$7:E720,$G$7:G720,F720,$C$7:C720,"Перевод",$L$7:L720,"Проведён"))</f>
        <v/>
      </c>
    </row>
    <row r="721" spans="1:23" x14ac:dyDescent="0.25">
      <c r="A721" s="22"/>
      <c r="B721" s="23"/>
      <c r="C721" s="22"/>
      <c r="D721" s="22"/>
      <c r="E721" s="27"/>
      <c r="F721" s="22"/>
      <c r="G721" s="22"/>
      <c r="H721" s="22"/>
      <c r="I721" s="22"/>
      <c r="J721" s="22"/>
      <c r="K721" s="22"/>
      <c r="L721" s="22"/>
      <c r="M721" s="22"/>
      <c r="N721" s="27"/>
      <c r="O721" s="22"/>
      <c r="P721" s="5" t="str">
        <f>IF(A721="","",IF(COUNTIF(Типы,C721)=0,0,VLOOKUP(C721,СПРАВОЧНИКИ!$A$7:$E$22,2,FALSE)))</f>
        <v/>
      </c>
      <c r="Q721" s="25" t="str">
        <f t="shared" si="11"/>
        <v/>
      </c>
      <c r="R721" s="5" t="str">
        <f>IF(A721="","",IF(COUNTIF(Типы,C721)=0,"НЕИЗВЕСТНЫЙ ТИП",VLOOKUP(C721,СПРАВОЧНИКИ!$A$7:$E$22,3,FALSE)))</f>
        <v/>
      </c>
      <c r="S721" s="26" t="str">
        <f>IF(A721="","",IF(L721="Проведён",E721*IF(COUNTIF(Типы,C721)=0,0,VLOOKUP(C721,СПРАВОЧНИКИ!$A$7:$E$22,4,FALSE)),0))</f>
        <v/>
      </c>
      <c r="T721" s="26" t="str">
        <f>IF(A721="","",IF(L721="Проведён",E721*IF(COUNTIF(Типы,C721)=0,0,VLOOKUP(C721,СПРАВОЧНИКИ!$A$7:$E$22,5,FALSE)),0))</f>
        <v/>
      </c>
      <c r="U721" s="5" t="str">
        <f>IF(A721="","",IF(COUNTIF(Контрагенты,H721)=0,"Не задан",VLOOKUP(H721,СПРАВОЧНИКИ!$G$7:$H$66,2,FALSE)))</f>
        <v/>
      </c>
      <c r="V721" s="4" t="str">
        <f>IF(A721="",IF(COUNTA(B721:O721)&gt;0,"НЕТ ID",""),IF(OR(AND(OR(C721="Оплата клиента",C721="Возврат клиенту"),COUNTIFS(Docs[ID],J721,Docs[Тип долга],"ДЗ")&lt;&gt;1),AND(OR(C721="Оплата поставщику",C721="Возврат поставщика"),COUNTIFS(Docs[ID],J721,Docs[Тип долга],"КЗ",Docs[Вид],"&lt;&gt;Дивиденды")&lt;&gt;1),AND(C721="Дивиденды",COUNTIFS(Docs[ID],J721,Docs[Вид],"Дивиденды")&lt;&gt;1),AND(C721="Проценты",COUNTIFS(Docs[ID],J721,Docs[Вид],"Проценты")&lt;&gt;1),COUNTIF(Cash[ID],A721)&gt;1,NOT(ISNUMBER(B721)),B721&lt;НачалоУчета,YEAR(B721)&lt;&gt;Год,NOT(ISNUMBER(E721)),E721&lt;=0,N721&lt;0,COUNTIF(Типы,C721)&lt;&gt;1,COUNTIF(Категории,D721)&lt;&gt;1,COUNTIF(Счета,F721)&lt;&gt;1,COUNTIF(Проекты,I721)&lt;&gt;1,AND(H721&lt;&gt;"",COUNTIF(Контрагенты,H721)&lt;&gt;1),AND(C721="Перевод",OR(F721=G721,COUNTIF(Счета,G721)&lt;&gt;1)),AND(S721&lt;&gt;0,COUNTIF(Docs[ID],J721)&lt;&gt;1),AND(Форма="ООО",C721="Вывод ИП"),AND(Форма="ИП",C721="Дивиденды"),AND(L721&lt;&gt;"Проведён",L721&lt;&gt;"Черновик")),"ОШИБКА","ОК"))</f>
        <v/>
      </c>
      <c r="W721" s="25" t="str">
        <f>IF(A721="","",SUMIF(Accounts[Счёт],F721,Accounts[Начальный])+SUMIFS($Q$7:Q721,$F$7:F721,F721)+SUMIFS($E$7:E721,$G$7:G721,F721,$C$7:C721,"Перевод",$L$7:L721,"Проведён"))</f>
        <v/>
      </c>
    </row>
    <row r="722" spans="1:23" x14ac:dyDescent="0.25">
      <c r="A722" s="22"/>
      <c r="B722" s="23"/>
      <c r="C722" s="22"/>
      <c r="D722" s="22"/>
      <c r="E722" s="27"/>
      <c r="F722" s="22"/>
      <c r="G722" s="22"/>
      <c r="H722" s="22"/>
      <c r="I722" s="22"/>
      <c r="J722" s="22"/>
      <c r="K722" s="22"/>
      <c r="L722" s="22"/>
      <c r="M722" s="22"/>
      <c r="N722" s="27"/>
      <c r="O722" s="22"/>
      <c r="P722" s="5" t="str">
        <f>IF(A722="","",IF(COUNTIF(Типы,C722)=0,0,VLOOKUP(C722,СПРАВОЧНИКИ!$A$7:$E$22,2,FALSE)))</f>
        <v/>
      </c>
      <c r="Q722" s="25" t="str">
        <f t="shared" si="11"/>
        <v/>
      </c>
      <c r="R722" s="5" t="str">
        <f>IF(A722="","",IF(COUNTIF(Типы,C722)=0,"НЕИЗВЕСТНЫЙ ТИП",VLOOKUP(C722,СПРАВОЧНИКИ!$A$7:$E$22,3,FALSE)))</f>
        <v/>
      </c>
      <c r="S722" s="26" t="str">
        <f>IF(A722="","",IF(L722="Проведён",E722*IF(COUNTIF(Типы,C722)=0,0,VLOOKUP(C722,СПРАВОЧНИКИ!$A$7:$E$22,4,FALSE)),0))</f>
        <v/>
      </c>
      <c r="T722" s="26" t="str">
        <f>IF(A722="","",IF(L722="Проведён",E722*IF(COUNTIF(Типы,C722)=0,0,VLOOKUP(C722,СПРАВОЧНИКИ!$A$7:$E$22,5,FALSE)),0))</f>
        <v/>
      </c>
      <c r="U722" s="5" t="str">
        <f>IF(A722="","",IF(COUNTIF(Контрагенты,H722)=0,"Не задан",VLOOKUP(H722,СПРАВОЧНИКИ!$G$7:$H$66,2,FALSE)))</f>
        <v/>
      </c>
      <c r="V722" s="4" t="str">
        <f>IF(A722="",IF(COUNTA(B722:O722)&gt;0,"НЕТ ID",""),IF(OR(AND(OR(C722="Оплата клиента",C722="Возврат клиенту"),COUNTIFS(Docs[ID],J722,Docs[Тип долга],"ДЗ")&lt;&gt;1),AND(OR(C722="Оплата поставщику",C722="Возврат поставщика"),COUNTIFS(Docs[ID],J722,Docs[Тип долга],"КЗ",Docs[Вид],"&lt;&gt;Дивиденды")&lt;&gt;1),AND(C722="Дивиденды",COUNTIFS(Docs[ID],J722,Docs[Вид],"Дивиденды")&lt;&gt;1),AND(C722="Проценты",COUNTIFS(Docs[ID],J722,Docs[Вид],"Проценты")&lt;&gt;1),COUNTIF(Cash[ID],A722)&gt;1,NOT(ISNUMBER(B722)),B722&lt;НачалоУчета,YEAR(B722)&lt;&gt;Год,NOT(ISNUMBER(E722)),E722&lt;=0,N722&lt;0,COUNTIF(Типы,C722)&lt;&gt;1,COUNTIF(Категории,D722)&lt;&gt;1,COUNTIF(Счета,F722)&lt;&gt;1,COUNTIF(Проекты,I722)&lt;&gt;1,AND(H722&lt;&gt;"",COUNTIF(Контрагенты,H722)&lt;&gt;1),AND(C722="Перевод",OR(F722=G722,COUNTIF(Счета,G722)&lt;&gt;1)),AND(S722&lt;&gt;0,COUNTIF(Docs[ID],J722)&lt;&gt;1),AND(Форма="ООО",C722="Вывод ИП"),AND(Форма="ИП",C722="Дивиденды"),AND(L722&lt;&gt;"Проведён",L722&lt;&gt;"Черновик")),"ОШИБКА","ОК"))</f>
        <v/>
      </c>
      <c r="W722" s="25" t="str">
        <f>IF(A722="","",SUMIF(Accounts[Счёт],F722,Accounts[Начальный])+SUMIFS($Q$7:Q722,$F$7:F722,F722)+SUMIFS($E$7:E722,$G$7:G722,F722,$C$7:C722,"Перевод",$L$7:L722,"Проведён"))</f>
        <v/>
      </c>
    </row>
    <row r="723" spans="1:23" x14ac:dyDescent="0.25">
      <c r="A723" s="22"/>
      <c r="B723" s="23"/>
      <c r="C723" s="22"/>
      <c r="D723" s="22"/>
      <c r="E723" s="27"/>
      <c r="F723" s="22"/>
      <c r="G723" s="22"/>
      <c r="H723" s="22"/>
      <c r="I723" s="22"/>
      <c r="J723" s="22"/>
      <c r="K723" s="22"/>
      <c r="L723" s="22"/>
      <c r="M723" s="22"/>
      <c r="N723" s="27"/>
      <c r="O723" s="22"/>
      <c r="P723" s="5" t="str">
        <f>IF(A723="","",IF(COUNTIF(Типы,C723)=0,0,VLOOKUP(C723,СПРАВОЧНИКИ!$A$7:$E$22,2,FALSE)))</f>
        <v/>
      </c>
      <c r="Q723" s="25" t="str">
        <f t="shared" si="11"/>
        <v/>
      </c>
      <c r="R723" s="5" t="str">
        <f>IF(A723="","",IF(COUNTIF(Типы,C723)=0,"НЕИЗВЕСТНЫЙ ТИП",VLOOKUP(C723,СПРАВОЧНИКИ!$A$7:$E$22,3,FALSE)))</f>
        <v/>
      </c>
      <c r="S723" s="26" t="str">
        <f>IF(A723="","",IF(L723="Проведён",E723*IF(COUNTIF(Типы,C723)=0,0,VLOOKUP(C723,СПРАВОЧНИКИ!$A$7:$E$22,4,FALSE)),0))</f>
        <v/>
      </c>
      <c r="T723" s="26" t="str">
        <f>IF(A723="","",IF(L723="Проведён",E723*IF(COUNTIF(Типы,C723)=0,0,VLOOKUP(C723,СПРАВОЧНИКИ!$A$7:$E$22,5,FALSE)),0))</f>
        <v/>
      </c>
      <c r="U723" s="5" t="str">
        <f>IF(A723="","",IF(COUNTIF(Контрагенты,H723)=0,"Не задан",VLOOKUP(H723,СПРАВОЧНИКИ!$G$7:$H$66,2,FALSE)))</f>
        <v/>
      </c>
      <c r="V723" s="4" t="str">
        <f>IF(A723="",IF(COUNTA(B723:O723)&gt;0,"НЕТ ID",""),IF(OR(AND(OR(C723="Оплата клиента",C723="Возврат клиенту"),COUNTIFS(Docs[ID],J723,Docs[Тип долга],"ДЗ")&lt;&gt;1),AND(OR(C723="Оплата поставщику",C723="Возврат поставщика"),COUNTIFS(Docs[ID],J723,Docs[Тип долга],"КЗ",Docs[Вид],"&lt;&gt;Дивиденды")&lt;&gt;1),AND(C723="Дивиденды",COUNTIFS(Docs[ID],J723,Docs[Вид],"Дивиденды")&lt;&gt;1),AND(C723="Проценты",COUNTIFS(Docs[ID],J723,Docs[Вид],"Проценты")&lt;&gt;1),COUNTIF(Cash[ID],A723)&gt;1,NOT(ISNUMBER(B723)),B723&lt;НачалоУчета,YEAR(B723)&lt;&gt;Год,NOT(ISNUMBER(E723)),E723&lt;=0,N723&lt;0,COUNTIF(Типы,C723)&lt;&gt;1,COUNTIF(Категории,D723)&lt;&gt;1,COUNTIF(Счета,F723)&lt;&gt;1,COUNTIF(Проекты,I723)&lt;&gt;1,AND(H723&lt;&gt;"",COUNTIF(Контрагенты,H723)&lt;&gt;1),AND(C723="Перевод",OR(F723=G723,COUNTIF(Счета,G723)&lt;&gt;1)),AND(S723&lt;&gt;0,COUNTIF(Docs[ID],J723)&lt;&gt;1),AND(Форма="ООО",C723="Вывод ИП"),AND(Форма="ИП",C723="Дивиденды"),AND(L723&lt;&gt;"Проведён",L723&lt;&gt;"Черновик")),"ОШИБКА","ОК"))</f>
        <v/>
      </c>
      <c r="W723" s="25" t="str">
        <f>IF(A723="","",SUMIF(Accounts[Счёт],F723,Accounts[Начальный])+SUMIFS($Q$7:Q723,$F$7:F723,F723)+SUMIFS($E$7:E723,$G$7:G723,F723,$C$7:C723,"Перевод",$L$7:L723,"Проведён"))</f>
        <v/>
      </c>
    </row>
    <row r="724" spans="1:23" x14ac:dyDescent="0.25">
      <c r="A724" s="22"/>
      <c r="B724" s="23"/>
      <c r="C724" s="22"/>
      <c r="D724" s="22"/>
      <c r="E724" s="27"/>
      <c r="F724" s="22"/>
      <c r="G724" s="22"/>
      <c r="H724" s="22"/>
      <c r="I724" s="22"/>
      <c r="J724" s="22"/>
      <c r="K724" s="22"/>
      <c r="L724" s="22"/>
      <c r="M724" s="22"/>
      <c r="N724" s="27"/>
      <c r="O724" s="22"/>
      <c r="P724" s="5" t="str">
        <f>IF(A724="","",IF(COUNTIF(Типы,C724)=0,0,VLOOKUP(C724,СПРАВОЧНИКИ!$A$7:$E$22,2,FALSE)))</f>
        <v/>
      </c>
      <c r="Q724" s="25" t="str">
        <f t="shared" si="11"/>
        <v/>
      </c>
      <c r="R724" s="5" t="str">
        <f>IF(A724="","",IF(COUNTIF(Типы,C724)=0,"НЕИЗВЕСТНЫЙ ТИП",VLOOKUP(C724,СПРАВОЧНИКИ!$A$7:$E$22,3,FALSE)))</f>
        <v/>
      </c>
      <c r="S724" s="26" t="str">
        <f>IF(A724="","",IF(L724="Проведён",E724*IF(COUNTIF(Типы,C724)=0,0,VLOOKUP(C724,СПРАВОЧНИКИ!$A$7:$E$22,4,FALSE)),0))</f>
        <v/>
      </c>
      <c r="T724" s="26" t="str">
        <f>IF(A724="","",IF(L724="Проведён",E724*IF(COUNTIF(Типы,C724)=0,0,VLOOKUP(C724,СПРАВОЧНИКИ!$A$7:$E$22,5,FALSE)),0))</f>
        <v/>
      </c>
      <c r="U724" s="5" t="str">
        <f>IF(A724="","",IF(COUNTIF(Контрагенты,H724)=0,"Не задан",VLOOKUP(H724,СПРАВОЧНИКИ!$G$7:$H$66,2,FALSE)))</f>
        <v/>
      </c>
      <c r="V724" s="4" t="str">
        <f>IF(A724="",IF(COUNTA(B724:O724)&gt;0,"НЕТ ID",""),IF(OR(AND(OR(C724="Оплата клиента",C724="Возврат клиенту"),COUNTIFS(Docs[ID],J724,Docs[Тип долга],"ДЗ")&lt;&gt;1),AND(OR(C724="Оплата поставщику",C724="Возврат поставщика"),COUNTIFS(Docs[ID],J724,Docs[Тип долга],"КЗ",Docs[Вид],"&lt;&gt;Дивиденды")&lt;&gt;1),AND(C724="Дивиденды",COUNTIFS(Docs[ID],J724,Docs[Вид],"Дивиденды")&lt;&gt;1),AND(C724="Проценты",COUNTIFS(Docs[ID],J724,Docs[Вид],"Проценты")&lt;&gt;1),COUNTIF(Cash[ID],A724)&gt;1,NOT(ISNUMBER(B724)),B724&lt;НачалоУчета,YEAR(B724)&lt;&gt;Год,NOT(ISNUMBER(E724)),E724&lt;=0,N724&lt;0,COUNTIF(Типы,C724)&lt;&gt;1,COUNTIF(Категории,D724)&lt;&gt;1,COUNTIF(Счета,F724)&lt;&gt;1,COUNTIF(Проекты,I724)&lt;&gt;1,AND(H724&lt;&gt;"",COUNTIF(Контрагенты,H724)&lt;&gt;1),AND(C724="Перевод",OR(F724=G724,COUNTIF(Счета,G724)&lt;&gt;1)),AND(S724&lt;&gt;0,COUNTIF(Docs[ID],J724)&lt;&gt;1),AND(Форма="ООО",C724="Вывод ИП"),AND(Форма="ИП",C724="Дивиденды"),AND(L724&lt;&gt;"Проведён",L724&lt;&gt;"Черновик")),"ОШИБКА","ОК"))</f>
        <v/>
      </c>
      <c r="W724" s="25" t="str">
        <f>IF(A724="","",SUMIF(Accounts[Счёт],F724,Accounts[Начальный])+SUMIFS($Q$7:Q724,$F$7:F724,F724)+SUMIFS($E$7:E724,$G$7:G724,F724,$C$7:C724,"Перевод",$L$7:L724,"Проведён"))</f>
        <v/>
      </c>
    </row>
    <row r="725" spans="1:23" x14ac:dyDescent="0.25">
      <c r="A725" s="22"/>
      <c r="B725" s="23"/>
      <c r="C725" s="22"/>
      <c r="D725" s="22"/>
      <c r="E725" s="27"/>
      <c r="F725" s="22"/>
      <c r="G725" s="22"/>
      <c r="H725" s="22"/>
      <c r="I725" s="22"/>
      <c r="J725" s="22"/>
      <c r="K725" s="22"/>
      <c r="L725" s="22"/>
      <c r="M725" s="22"/>
      <c r="N725" s="27"/>
      <c r="O725" s="22"/>
      <c r="P725" s="5" t="str">
        <f>IF(A725="","",IF(COUNTIF(Типы,C725)=0,0,VLOOKUP(C725,СПРАВОЧНИКИ!$A$7:$E$22,2,FALSE)))</f>
        <v/>
      </c>
      <c r="Q725" s="25" t="str">
        <f t="shared" si="11"/>
        <v/>
      </c>
      <c r="R725" s="5" t="str">
        <f>IF(A725="","",IF(COUNTIF(Типы,C725)=0,"НЕИЗВЕСТНЫЙ ТИП",VLOOKUP(C725,СПРАВОЧНИКИ!$A$7:$E$22,3,FALSE)))</f>
        <v/>
      </c>
      <c r="S725" s="26" t="str">
        <f>IF(A725="","",IF(L725="Проведён",E725*IF(COUNTIF(Типы,C725)=0,0,VLOOKUP(C725,СПРАВОЧНИКИ!$A$7:$E$22,4,FALSE)),0))</f>
        <v/>
      </c>
      <c r="T725" s="26" t="str">
        <f>IF(A725="","",IF(L725="Проведён",E725*IF(COUNTIF(Типы,C725)=0,0,VLOOKUP(C725,СПРАВОЧНИКИ!$A$7:$E$22,5,FALSE)),0))</f>
        <v/>
      </c>
      <c r="U725" s="5" t="str">
        <f>IF(A725="","",IF(COUNTIF(Контрагенты,H725)=0,"Не задан",VLOOKUP(H725,СПРАВОЧНИКИ!$G$7:$H$66,2,FALSE)))</f>
        <v/>
      </c>
      <c r="V725" s="4" t="str">
        <f>IF(A725="",IF(COUNTA(B725:O725)&gt;0,"НЕТ ID",""),IF(OR(AND(OR(C725="Оплата клиента",C725="Возврат клиенту"),COUNTIFS(Docs[ID],J725,Docs[Тип долга],"ДЗ")&lt;&gt;1),AND(OR(C725="Оплата поставщику",C725="Возврат поставщика"),COUNTIFS(Docs[ID],J725,Docs[Тип долга],"КЗ",Docs[Вид],"&lt;&gt;Дивиденды")&lt;&gt;1),AND(C725="Дивиденды",COUNTIFS(Docs[ID],J725,Docs[Вид],"Дивиденды")&lt;&gt;1),AND(C725="Проценты",COUNTIFS(Docs[ID],J725,Docs[Вид],"Проценты")&lt;&gt;1),COUNTIF(Cash[ID],A725)&gt;1,NOT(ISNUMBER(B725)),B725&lt;НачалоУчета,YEAR(B725)&lt;&gt;Год,NOT(ISNUMBER(E725)),E725&lt;=0,N725&lt;0,COUNTIF(Типы,C725)&lt;&gt;1,COUNTIF(Категории,D725)&lt;&gt;1,COUNTIF(Счета,F725)&lt;&gt;1,COUNTIF(Проекты,I725)&lt;&gt;1,AND(H725&lt;&gt;"",COUNTIF(Контрагенты,H725)&lt;&gt;1),AND(C725="Перевод",OR(F725=G725,COUNTIF(Счета,G725)&lt;&gt;1)),AND(S725&lt;&gt;0,COUNTIF(Docs[ID],J725)&lt;&gt;1),AND(Форма="ООО",C725="Вывод ИП"),AND(Форма="ИП",C725="Дивиденды"),AND(L725&lt;&gt;"Проведён",L725&lt;&gt;"Черновик")),"ОШИБКА","ОК"))</f>
        <v/>
      </c>
      <c r="W725" s="25" t="str">
        <f>IF(A725="","",SUMIF(Accounts[Счёт],F725,Accounts[Начальный])+SUMIFS($Q$7:Q725,$F$7:F725,F725)+SUMIFS($E$7:E725,$G$7:G725,F725,$C$7:C725,"Перевод",$L$7:L725,"Проведён"))</f>
        <v/>
      </c>
    </row>
    <row r="726" spans="1:23" x14ac:dyDescent="0.25">
      <c r="A726" s="22"/>
      <c r="B726" s="23"/>
      <c r="C726" s="22"/>
      <c r="D726" s="22"/>
      <c r="E726" s="27"/>
      <c r="F726" s="22"/>
      <c r="G726" s="22"/>
      <c r="H726" s="22"/>
      <c r="I726" s="22"/>
      <c r="J726" s="22"/>
      <c r="K726" s="22"/>
      <c r="L726" s="22"/>
      <c r="M726" s="22"/>
      <c r="N726" s="27"/>
      <c r="O726" s="22"/>
      <c r="P726" s="5" t="str">
        <f>IF(A726="","",IF(COUNTIF(Типы,C726)=0,0,VLOOKUP(C726,СПРАВОЧНИКИ!$A$7:$E$22,2,FALSE)))</f>
        <v/>
      </c>
      <c r="Q726" s="25" t="str">
        <f t="shared" si="11"/>
        <v/>
      </c>
      <c r="R726" s="5" t="str">
        <f>IF(A726="","",IF(COUNTIF(Типы,C726)=0,"НЕИЗВЕСТНЫЙ ТИП",VLOOKUP(C726,СПРАВОЧНИКИ!$A$7:$E$22,3,FALSE)))</f>
        <v/>
      </c>
      <c r="S726" s="26" t="str">
        <f>IF(A726="","",IF(L726="Проведён",E726*IF(COUNTIF(Типы,C726)=0,0,VLOOKUP(C726,СПРАВОЧНИКИ!$A$7:$E$22,4,FALSE)),0))</f>
        <v/>
      </c>
      <c r="T726" s="26" t="str">
        <f>IF(A726="","",IF(L726="Проведён",E726*IF(COUNTIF(Типы,C726)=0,0,VLOOKUP(C726,СПРАВОЧНИКИ!$A$7:$E$22,5,FALSE)),0))</f>
        <v/>
      </c>
      <c r="U726" s="5" t="str">
        <f>IF(A726="","",IF(COUNTIF(Контрагенты,H726)=0,"Не задан",VLOOKUP(H726,СПРАВОЧНИКИ!$G$7:$H$66,2,FALSE)))</f>
        <v/>
      </c>
      <c r="V726" s="4" t="str">
        <f>IF(A726="",IF(COUNTA(B726:O726)&gt;0,"НЕТ ID",""),IF(OR(AND(OR(C726="Оплата клиента",C726="Возврат клиенту"),COUNTIFS(Docs[ID],J726,Docs[Тип долга],"ДЗ")&lt;&gt;1),AND(OR(C726="Оплата поставщику",C726="Возврат поставщика"),COUNTIFS(Docs[ID],J726,Docs[Тип долга],"КЗ",Docs[Вид],"&lt;&gt;Дивиденды")&lt;&gt;1),AND(C726="Дивиденды",COUNTIFS(Docs[ID],J726,Docs[Вид],"Дивиденды")&lt;&gt;1),AND(C726="Проценты",COUNTIFS(Docs[ID],J726,Docs[Вид],"Проценты")&lt;&gt;1),COUNTIF(Cash[ID],A726)&gt;1,NOT(ISNUMBER(B726)),B726&lt;НачалоУчета,YEAR(B726)&lt;&gt;Год,NOT(ISNUMBER(E726)),E726&lt;=0,N726&lt;0,COUNTIF(Типы,C726)&lt;&gt;1,COUNTIF(Категории,D726)&lt;&gt;1,COUNTIF(Счета,F726)&lt;&gt;1,COUNTIF(Проекты,I726)&lt;&gt;1,AND(H726&lt;&gt;"",COUNTIF(Контрагенты,H726)&lt;&gt;1),AND(C726="Перевод",OR(F726=G726,COUNTIF(Счета,G726)&lt;&gt;1)),AND(S726&lt;&gt;0,COUNTIF(Docs[ID],J726)&lt;&gt;1),AND(Форма="ООО",C726="Вывод ИП"),AND(Форма="ИП",C726="Дивиденды"),AND(L726&lt;&gt;"Проведён",L726&lt;&gt;"Черновик")),"ОШИБКА","ОК"))</f>
        <v/>
      </c>
      <c r="W726" s="25" t="str">
        <f>IF(A726="","",SUMIF(Accounts[Счёт],F726,Accounts[Начальный])+SUMIFS($Q$7:Q726,$F$7:F726,F726)+SUMIFS($E$7:E726,$G$7:G726,F726,$C$7:C726,"Перевод",$L$7:L726,"Проведён"))</f>
        <v/>
      </c>
    </row>
    <row r="727" spans="1:23" x14ac:dyDescent="0.25">
      <c r="A727" s="22"/>
      <c r="B727" s="23"/>
      <c r="C727" s="22"/>
      <c r="D727" s="22"/>
      <c r="E727" s="27"/>
      <c r="F727" s="22"/>
      <c r="G727" s="22"/>
      <c r="H727" s="22"/>
      <c r="I727" s="22"/>
      <c r="J727" s="22"/>
      <c r="K727" s="22"/>
      <c r="L727" s="22"/>
      <c r="M727" s="22"/>
      <c r="N727" s="27"/>
      <c r="O727" s="22"/>
      <c r="P727" s="5" t="str">
        <f>IF(A727="","",IF(COUNTIF(Типы,C727)=0,0,VLOOKUP(C727,СПРАВОЧНИКИ!$A$7:$E$22,2,FALSE)))</f>
        <v/>
      </c>
      <c r="Q727" s="25" t="str">
        <f t="shared" si="11"/>
        <v/>
      </c>
      <c r="R727" s="5" t="str">
        <f>IF(A727="","",IF(COUNTIF(Типы,C727)=0,"НЕИЗВЕСТНЫЙ ТИП",VLOOKUP(C727,СПРАВОЧНИКИ!$A$7:$E$22,3,FALSE)))</f>
        <v/>
      </c>
      <c r="S727" s="26" t="str">
        <f>IF(A727="","",IF(L727="Проведён",E727*IF(COUNTIF(Типы,C727)=0,0,VLOOKUP(C727,СПРАВОЧНИКИ!$A$7:$E$22,4,FALSE)),0))</f>
        <v/>
      </c>
      <c r="T727" s="26" t="str">
        <f>IF(A727="","",IF(L727="Проведён",E727*IF(COUNTIF(Типы,C727)=0,0,VLOOKUP(C727,СПРАВОЧНИКИ!$A$7:$E$22,5,FALSE)),0))</f>
        <v/>
      </c>
      <c r="U727" s="5" t="str">
        <f>IF(A727="","",IF(COUNTIF(Контрагенты,H727)=0,"Не задан",VLOOKUP(H727,СПРАВОЧНИКИ!$G$7:$H$66,2,FALSE)))</f>
        <v/>
      </c>
      <c r="V727" s="4" t="str">
        <f>IF(A727="",IF(COUNTA(B727:O727)&gt;0,"НЕТ ID",""),IF(OR(AND(OR(C727="Оплата клиента",C727="Возврат клиенту"),COUNTIFS(Docs[ID],J727,Docs[Тип долга],"ДЗ")&lt;&gt;1),AND(OR(C727="Оплата поставщику",C727="Возврат поставщика"),COUNTIFS(Docs[ID],J727,Docs[Тип долга],"КЗ",Docs[Вид],"&lt;&gt;Дивиденды")&lt;&gt;1),AND(C727="Дивиденды",COUNTIFS(Docs[ID],J727,Docs[Вид],"Дивиденды")&lt;&gt;1),AND(C727="Проценты",COUNTIFS(Docs[ID],J727,Docs[Вид],"Проценты")&lt;&gt;1),COUNTIF(Cash[ID],A727)&gt;1,NOT(ISNUMBER(B727)),B727&lt;НачалоУчета,YEAR(B727)&lt;&gt;Год,NOT(ISNUMBER(E727)),E727&lt;=0,N727&lt;0,COUNTIF(Типы,C727)&lt;&gt;1,COUNTIF(Категории,D727)&lt;&gt;1,COUNTIF(Счета,F727)&lt;&gt;1,COUNTIF(Проекты,I727)&lt;&gt;1,AND(H727&lt;&gt;"",COUNTIF(Контрагенты,H727)&lt;&gt;1),AND(C727="Перевод",OR(F727=G727,COUNTIF(Счета,G727)&lt;&gt;1)),AND(S727&lt;&gt;0,COUNTIF(Docs[ID],J727)&lt;&gt;1),AND(Форма="ООО",C727="Вывод ИП"),AND(Форма="ИП",C727="Дивиденды"),AND(L727&lt;&gt;"Проведён",L727&lt;&gt;"Черновик")),"ОШИБКА","ОК"))</f>
        <v/>
      </c>
      <c r="W727" s="25" t="str">
        <f>IF(A727="","",SUMIF(Accounts[Счёт],F727,Accounts[Начальный])+SUMIFS($Q$7:Q727,$F$7:F727,F727)+SUMIFS($E$7:E727,$G$7:G727,F727,$C$7:C727,"Перевод",$L$7:L727,"Проведён"))</f>
        <v/>
      </c>
    </row>
    <row r="728" spans="1:23" x14ac:dyDescent="0.25">
      <c r="A728" s="22"/>
      <c r="B728" s="23"/>
      <c r="C728" s="22"/>
      <c r="D728" s="22"/>
      <c r="E728" s="27"/>
      <c r="F728" s="22"/>
      <c r="G728" s="22"/>
      <c r="H728" s="22"/>
      <c r="I728" s="22"/>
      <c r="J728" s="22"/>
      <c r="K728" s="22"/>
      <c r="L728" s="22"/>
      <c r="M728" s="22"/>
      <c r="N728" s="27"/>
      <c r="O728" s="22"/>
      <c r="P728" s="5" t="str">
        <f>IF(A728="","",IF(COUNTIF(Типы,C728)=0,0,VLOOKUP(C728,СПРАВОЧНИКИ!$A$7:$E$22,2,FALSE)))</f>
        <v/>
      </c>
      <c r="Q728" s="25" t="str">
        <f t="shared" si="11"/>
        <v/>
      </c>
      <c r="R728" s="5" t="str">
        <f>IF(A728="","",IF(COUNTIF(Типы,C728)=0,"НЕИЗВЕСТНЫЙ ТИП",VLOOKUP(C728,СПРАВОЧНИКИ!$A$7:$E$22,3,FALSE)))</f>
        <v/>
      </c>
      <c r="S728" s="26" t="str">
        <f>IF(A728="","",IF(L728="Проведён",E728*IF(COUNTIF(Типы,C728)=0,0,VLOOKUP(C728,СПРАВОЧНИКИ!$A$7:$E$22,4,FALSE)),0))</f>
        <v/>
      </c>
      <c r="T728" s="26" t="str">
        <f>IF(A728="","",IF(L728="Проведён",E728*IF(COUNTIF(Типы,C728)=0,0,VLOOKUP(C728,СПРАВОЧНИКИ!$A$7:$E$22,5,FALSE)),0))</f>
        <v/>
      </c>
      <c r="U728" s="5" t="str">
        <f>IF(A728="","",IF(COUNTIF(Контрагенты,H728)=0,"Не задан",VLOOKUP(H728,СПРАВОЧНИКИ!$G$7:$H$66,2,FALSE)))</f>
        <v/>
      </c>
      <c r="V728" s="4" t="str">
        <f>IF(A728="",IF(COUNTA(B728:O728)&gt;0,"НЕТ ID",""),IF(OR(AND(OR(C728="Оплата клиента",C728="Возврат клиенту"),COUNTIFS(Docs[ID],J728,Docs[Тип долга],"ДЗ")&lt;&gt;1),AND(OR(C728="Оплата поставщику",C728="Возврат поставщика"),COUNTIFS(Docs[ID],J728,Docs[Тип долга],"КЗ",Docs[Вид],"&lt;&gt;Дивиденды")&lt;&gt;1),AND(C728="Дивиденды",COUNTIFS(Docs[ID],J728,Docs[Вид],"Дивиденды")&lt;&gt;1),AND(C728="Проценты",COUNTIFS(Docs[ID],J728,Docs[Вид],"Проценты")&lt;&gt;1),COUNTIF(Cash[ID],A728)&gt;1,NOT(ISNUMBER(B728)),B728&lt;НачалоУчета,YEAR(B728)&lt;&gt;Год,NOT(ISNUMBER(E728)),E728&lt;=0,N728&lt;0,COUNTIF(Типы,C728)&lt;&gt;1,COUNTIF(Категории,D728)&lt;&gt;1,COUNTIF(Счета,F728)&lt;&gt;1,COUNTIF(Проекты,I728)&lt;&gt;1,AND(H728&lt;&gt;"",COUNTIF(Контрагенты,H728)&lt;&gt;1),AND(C728="Перевод",OR(F728=G728,COUNTIF(Счета,G728)&lt;&gt;1)),AND(S728&lt;&gt;0,COUNTIF(Docs[ID],J728)&lt;&gt;1),AND(Форма="ООО",C728="Вывод ИП"),AND(Форма="ИП",C728="Дивиденды"),AND(L728&lt;&gt;"Проведён",L728&lt;&gt;"Черновик")),"ОШИБКА","ОК"))</f>
        <v/>
      </c>
      <c r="W728" s="25" t="str">
        <f>IF(A728="","",SUMIF(Accounts[Счёт],F728,Accounts[Начальный])+SUMIFS($Q$7:Q728,$F$7:F728,F728)+SUMIFS($E$7:E728,$G$7:G728,F728,$C$7:C728,"Перевод",$L$7:L728,"Проведён"))</f>
        <v/>
      </c>
    </row>
    <row r="729" spans="1:23" x14ac:dyDescent="0.25">
      <c r="A729" s="22"/>
      <c r="B729" s="23"/>
      <c r="C729" s="22"/>
      <c r="D729" s="22"/>
      <c r="E729" s="27"/>
      <c r="F729" s="22"/>
      <c r="G729" s="22"/>
      <c r="H729" s="22"/>
      <c r="I729" s="22"/>
      <c r="J729" s="22"/>
      <c r="K729" s="22"/>
      <c r="L729" s="22"/>
      <c r="M729" s="22"/>
      <c r="N729" s="27"/>
      <c r="O729" s="22"/>
      <c r="P729" s="5" t="str">
        <f>IF(A729="","",IF(COUNTIF(Типы,C729)=0,0,VLOOKUP(C729,СПРАВОЧНИКИ!$A$7:$E$22,2,FALSE)))</f>
        <v/>
      </c>
      <c r="Q729" s="25" t="str">
        <f t="shared" si="11"/>
        <v/>
      </c>
      <c r="R729" s="5" t="str">
        <f>IF(A729="","",IF(COUNTIF(Типы,C729)=0,"НЕИЗВЕСТНЫЙ ТИП",VLOOKUP(C729,СПРАВОЧНИКИ!$A$7:$E$22,3,FALSE)))</f>
        <v/>
      </c>
      <c r="S729" s="26" t="str">
        <f>IF(A729="","",IF(L729="Проведён",E729*IF(COUNTIF(Типы,C729)=0,0,VLOOKUP(C729,СПРАВОЧНИКИ!$A$7:$E$22,4,FALSE)),0))</f>
        <v/>
      </c>
      <c r="T729" s="26" t="str">
        <f>IF(A729="","",IF(L729="Проведён",E729*IF(COUNTIF(Типы,C729)=0,0,VLOOKUP(C729,СПРАВОЧНИКИ!$A$7:$E$22,5,FALSE)),0))</f>
        <v/>
      </c>
      <c r="U729" s="5" t="str">
        <f>IF(A729="","",IF(COUNTIF(Контрагенты,H729)=0,"Не задан",VLOOKUP(H729,СПРАВОЧНИКИ!$G$7:$H$66,2,FALSE)))</f>
        <v/>
      </c>
      <c r="V729" s="4" t="str">
        <f>IF(A729="",IF(COUNTA(B729:O729)&gt;0,"НЕТ ID",""),IF(OR(AND(OR(C729="Оплата клиента",C729="Возврат клиенту"),COUNTIFS(Docs[ID],J729,Docs[Тип долга],"ДЗ")&lt;&gt;1),AND(OR(C729="Оплата поставщику",C729="Возврат поставщика"),COUNTIFS(Docs[ID],J729,Docs[Тип долга],"КЗ",Docs[Вид],"&lt;&gt;Дивиденды")&lt;&gt;1),AND(C729="Дивиденды",COUNTIFS(Docs[ID],J729,Docs[Вид],"Дивиденды")&lt;&gt;1),AND(C729="Проценты",COUNTIFS(Docs[ID],J729,Docs[Вид],"Проценты")&lt;&gt;1),COUNTIF(Cash[ID],A729)&gt;1,NOT(ISNUMBER(B729)),B729&lt;НачалоУчета,YEAR(B729)&lt;&gt;Год,NOT(ISNUMBER(E729)),E729&lt;=0,N729&lt;0,COUNTIF(Типы,C729)&lt;&gt;1,COUNTIF(Категории,D729)&lt;&gt;1,COUNTIF(Счета,F729)&lt;&gt;1,COUNTIF(Проекты,I729)&lt;&gt;1,AND(H729&lt;&gt;"",COUNTIF(Контрагенты,H729)&lt;&gt;1),AND(C729="Перевод",OR(F729=G729,COUNTIF(Счета,G729)&lt;&gt;1)),AND(S729&lt;&gt;0,COUNTIF(Docs[ID],J729)&lt;&gt;1),AND(Форма="ООО",C729="Вывод ИП"),AND(Форма="ИП",C729="Дивиденды"),AND(L729&lt;&gt;"Проведён",L729&lt;&gt;"Черновик")),"ОШИБКА","ОК"))</f>
        <v/>
      </c>
      <c r="W729" s="25" t="str">
        <f>IF(A729="","",SUMIF(Accounts[Счёт],F729,Accounts[Начальный])+SUMIFS($Q$7:Q729,$F$7:F729,F729)+SUMIFS($E$7:E729,$G$7:G729,F729,$C$7:C729,"Перевод",$L$7:L729,"Проведён"))</f>
        <v/>
      </c>
    </row>
    <row r="730" spans="1:23" x14ac:dyDescent="0.25">
      <c r="A730" s="22"/>
      <c r="B730" s="23"/>
      <c r="C730" s="22"/>
      <c r="D730" s="22"/>
      <c r="E730" s="27"/>
      <c r="F730" s="22"/>
      <c r="G730" s="22"/>
      <c r="H730" s="22"/>
      <c r="I730" s="22"/>
      <c r="J730" s="22"/>
      <c r="K730" s="22"/>
      <c r="L730" s="22"/>
      <c r="M730" s="22"/>
      <c r="N730" s="27"/>
      <c r="O730" s="22"/>
      <c r="P730" s="5" t="str">
        <f>IF(A730="","",IF(COUNTIF(Типы,C730)=0,0,VLOOKUP(C730,СПРАВОЧНИКИ!$A$7:$E$22,2,FALSE)))</f>
        <v/>
      </c>
      <c r="Q730" s="25" t="str">
        <f t="shared" si="11"/>
        <v/>
      </c>
      <c r="R730" s="5" t="str">
        <f>IF(A730="","",IF(COUNTIF(Типы,C730)=0,"НЕИЗВЕСТНЫЙ ТИП",VLOOKUP(C730,СПРАВОЧНИКИ!$A$7:$E$22,3,FALSE)))</f>
        <v/>
      </c>
      <c r="S730" s="26" t="str">
        <f>IF(A730="","",IF(L730="Проведён",E730*IF(COUNTIF(Типы,C730)=0,0,VLOOKUP(C730,СПРАВОЧНИКИ!$A$7:$E$22,4,FALSE)),0))</f>
        <v/>
      </c>
      <c r="T730" s="26" t="str">
        <f>IF(A730="","",IF(L730="Проведён",E730*IF(COUNTIF(Типы,C730)=0,0,VLOOKUP(C730,СПРАВОЧНИКИ!$A$7:$E$22,5,FALSE)),0))</f>
        <v/>
      </c>
      <c r="U730" s="5" t="str">
        <f>IF(A730="","",IF(COUNTIF(Контрагенты,H730)=0,"Не задан",VLOOKUP(H730,СПРАВОЧНИКИ!$G$7:$H$66,2,FALSE)))</f>
        <v/>
      </c>
      <c r="V730" s="4" t="str">
        <f>IF(A730="",IF(COUNTA(B730:O730)&gt;0,"НЕТ ID",""),IF(OR(AND(OR(C730="Оплата клиента",C730="Возврат клиенту"),COUNTIFS(Docs[ID],J730,Docs[Тип долга],"ДЗ")&lt;&gt;1),AND(OR(C730="Оплата поставщику",C730="Возврат поставщика"),COUNTIFS(Docs[ID],J730,Docs[Тип долга],"КЗ",Docs[Вид],"&lt;&gt;Дивиденды")&lt;&gt;1),AND(C730="Дивиденды",COUNTIFS(Docs[ID],J730,Docs[Вид],"Дивиденды")&lt;&gt;1),AND(C730="Проценты",COUNTIFS(Docs[ID],J730,Docs[Вид],"Проценты")&lt;&gt;1),COUNTIF(Cash[ID],A730)&gt;1,NOT(ISNUMBER(B730)),B730&lt;НачалоУчета,YEAR(B730)&lt;&gt;Год,NOT(ISNUMBER(E730)),E730&lt;=0,N730&lt;0,COUNTIF(Типы,C730)&lt;&gt;1,COUNTIF(Категории,D730)&lt;&gt;1,COUNTIF(Счета,F730)&lt;&gt;1,COUNTIF(Проекты,I730)&lt;&gt;1,AND(H730&lt;&gt;"",COUNTIF(Контрагенты,H730)&lt;&gt;1),AND(C730="Перевод",OR(F730=G730,COUNTIF(Счета,G730)&lt;&gt;1)),AND(S730&lt;&gt;0,COUNTIF(Docs[ID],J730)&lt;&gt;1),AND(Форма="ООО",C730="Вывод ИП"),AND(Форма="ИП",C730="Дивиденды"),AND(L730&lt;&gt;"Проведён",L730&lt;&gt;"Черновик")),"ОШИБКА","ОК"))</f>
        <v/>
      </c>
      <c r="W730" s="25" t="str">
        <f>IF(A730="","",SUMIF(Accounts[Счёт],F730,Accounts[Начальный])+SUMIFS($Q$7:Q730,$F$7:F730,F730)+SUMIFS($E$7:E730,$G$7:G730,F730,$C$7:C730,"Перевод",$L$7:L730,"Проведён"))</f>
        <v/>
      </c>
    </row>
    <row r="731" spans="1:23" x14ac:dyDescent="0.25">
      <c r="A731" s="22"/>
      <c r="B731" s="23"/>
      <c r="C731" s="22"/>
      <c r="D731" s="22"/>
      <c r="E731" s="27"/>
      <c r="F731" s="22"/>
      <c r="G731" s="22"/>
      <c r="H731" s="22"/>
      <c r="I731" s="22"/>
      <c r="J731" s="22"/>
      <c r="K731" s="22"/>
      <c r="L731" s="22"/>
      <c r="M731" s="22"/>
      <c r="N731" s="27"/>
      <c r="O731" s="22"/>
      <c r="P731" s="5" t="str">
        <f>IF(A731="","",IF(COUNTIF(Типы,C731)=0,0,VLOOKUP(C731,СПРАВОЧНИКИ!$A$7:$E$22,2,FALSE)))</f>
        <v/>
      </c>
      <c r="Q731" s="25" t="str">
        <f t="shared" si="11"/>
        <v/>
      </c>
      <c r="R731" s="5" t="str">
        <f>IF(A731="","",IF(COUNTIF(Типы,C731)=0,"НЕИЗВЕСТНЫЙ ТИП",VLOOKUP(C731,СПРАВОЧНИКИ!$A$7:$E$22,3,FALSE)))</f>
        <v/>
      </c>
      <c r="S731" s="26" t="str">
        <f>IF(A731="","",IF(L731="Проведён",E731*IF(COUNTIF(Типы,C731)=0,0,VLOOKUP(C731,СПРАВОЧНИКИ!$A$7:$E$22,4,FALSE)),0))</f>
        <v/>
      </c>
      <c r="T731" s="26" t="str">
        <f>IF(A731="","",IF(L731="Проведён",E731*IF(COUNTIF(Типы,C731)=0,0,VLOOKUP(C731,СПРАВОЧНИКИ!$A$7:$E$22,5,FALSE)),0))</f>
        <v/>
      </c>
      <c r="U731" s="5" t="str">
        <f>IF(A731="","",IF(COUNTIF(Контрагенты,H731)=0,"Не задан",VLOOKUP(H731,СПРАВОЧНИКИ!$G$7:$H$66,2,FALSE)))</f>
        <v/>
      </c>
      <c r="V731" s="4" t="str">
        <f>IF(A731="",IF(COUNTA(B731:O731)&gt;0,"НЕТ ID",""),IF(OR(AND(OR(C731="Оплата клиента",C731="Возврат клиенту"),COUNTIFS(Docs[ID],J731,Docs[Тип долга],"ДЗ")&lt;&gt;1),AND(OR(C731="Оплата поставщику",C731="Возврат поставщика"),COUNTIFS(Docs[ID],J731,Docs[Тип долга],"КЗ",Docs[Вид],"&lt;&gt;Дивиденды")&lt;&gt;1),AND(C731="Дивиденды",COUNTIFS(Docs[ID],J731,Docs[Вид],"Дивиденды")&lt;&gt;1),AND(C731="Проценты",COUNTIFS(Docs[ID],J731,Docs[Вид],"Проценты")&lt;&gt;1),COUNTIF(Cash[ID],A731)&gt;1,NOT(ISNUMBER(B731)),B731&lt;НачалоУчета,YEAR(B731)&lt;&gt;Год,NOT(ISNUMBER(E731)),E731&lt;=0,N731&lt;0,COUNTIF(Типы,C731)&lt;&gt;1,COUNTIF(Категории,D731)&lt;&gt;1,COUNTIF(Счета,F731)&lt;&gt;1,COUNTIF(Проекты,I731)&lt;&gt;1,AND(H731&lt;&gt;"",COUNTIF(Контрагенты,H731)&lt;&gt;1),AND(C731="Перевод",OR(F731=G731,COUNTIF(Счета,G731)&lt;&gt;1)),AND(S731&lt;&gt;0,COUNTIF(Docs[ID],J731)&lt;&gt;1),AND(Форма="ООО",C731="Вывод ИП"),AND(Форма="ИП",C731="Дивиденды"),AND(L731&lt;&gt;"Проведён",L731&lt;&gt;"Черновик")),"ОШИБКА","ОК"))</f>
        <v/>
      </c>
      <c r="W731" s="25" t="str">
        <f>IF(A731="","",SUMIF(Accounts[Счёт],F731,Accounts[Начальный])+SUMIFS($Q$7:Q731,$F$7:F731,F731)+SUMIFS($E$7:E731,$G$7:G731,F731,$C$7:C731,"Перевод",$L$7:L731,"Проведён"))</f>
        <v/>
      </c>
    </row>
    <row r="732" spans="1:23" x14ac:dyDescent="0.25">
      <c r="A732" s="22"/>
      <c r="B732" s="23"/>
      <c r="C732" s="22"/>
      <c r="D732" s="22"/>
      <c r="E732" s="27"/>
      <c r="F732" s="22"/>
      <c r="G732" s="22"/>
      <c r="H732" s="22"/>
      <c r="I732" s="22"/>
      <c r="J732" s="22"/>
      <c r="K732" s="22"/>
      <c r="L732" s="22"/>
      <c r="M732" s="22"/>
      <c r="N732" s="27"/>
      <c r="O732" s="22"/>
      <c r="P732" s="5" t="str">
        <f>IF(A732="","",IF(COUNTIF(Типы,C732)=0,0,VLOOKUP(C732,СПРАВОЧНИКИ!$A$7:$E$22,2,FALSE)))</f>
        <v/>
      </c>
      <c r="Q732" s="25" t="str">
        <f t="shared" si="11"/>
        <v/>
      </c>
      <c r="R732" s="5" t="str">
        <f>IF(A732="","",IF(COUNTIF(Типы,C732)=0,"НЕИЗВЕСТНЫЙ ТИП",VLOOKUP(C732,СПРАВОЧНИКИ!$A$7:$E$22,3,FALSE)))</f>
        <v/>
      </c>
      <c r="S732" s="26" t="str">
        <f>IF(A732="","",IF(L732="Проведён",E732*IF(COUNTIF(Типы,C732)=0,0,VLOOKUP(C732,СПРАВОЧНИКИ!$A$7:$E$22,4,FALSE)),0))</f>
        <v/>
      </c>
      <c r="T732" s="26" t="str">
        <f>IF(A732="","",IF(L732="Проведён",E732*IF(COUNTIF(Типы,C732)=0,0,VLOOKUP(C732,СПРАВОЧНИКИ!$A$7:$E$22,5,FALSE)),0))</f>
        <v/>
      </c>
      <c r="U732" s="5" t="str">
        <f>IF(A732="","",IF(COUNTIF(Контрагенты,H732)=0,"Не задан",VLOOKUP(H732,СПРАВОЧНИКИ!$G$7:$H$66,2,FALSE)))</f>
        <v/>
      </c>
      <c r="V732" s="4" t="str">
        <f>IF(A732="",IF(COUNTA(B732:O732)&gt;0,"НЕТ ID",""),IF(OR(AND(OR(C732="Оплата клиента",C732="Возврат клиенту"),COUNTIFS(Docs[ID],J732,Docs[Тип долга],"ДЗ")&lt;&gt;1),AND(OR(C732="Оплата поставщику",C732="Возврат поставщика"),COUNTIFS(Docs[ID],J732,Docs[Тип долга],"КЗ",Docs[Вид],"&lt;&gt;Дивиденды")&lt;&gt;1),AND(C732="Дивиденды",COUNTIFS(Docs[ID],J732,Docs[Вид],"Дивиденды")&lt;&gt;1),AND(C732="Проценты",COUNTIFS(Docs[ID],J732,Docs[Вид],"Проценты")&lt;&gt;1),COUNTIF(Cash[ID],A732)&gt;1,NOT(ISNUMBER(B732)),B732&lt;НачалоУчета,YEAR(B732)&lt;&gt;Год,NOT(ISNUMBER(E732)),E732&lt;=0,N732&lt;0,COUNTIF(Типы,C732)&lt;&gt;1,COUNTIF(Категории,D732)&lt;&gt;1,COUNTIF(Счета,F732)&lt;&gt;1,COUNTIF(Проекты,I732)&lt;&gt;1,AND(H732&lt;&gt;"",COUNTIF(Контрагенты,H732)&lt;&gt;1),AND(C732="Перевод",OR(F732=G732,COUNTIF(Счета,G732)&lt;&gt;1)),AND(S732&lt;&gt;0,COUNTIF(Docs[ID],J732)&lt;&gt;1),AND(Форма="ООО",C732="Вывод ИП"),AND(Форма="ИП",C732="Дивиденды"),AND(L732&lt;&gt;"Проведён",L732&lt;&gt;"Черновик")),"ОШИБКА","ОК"))</f>
        <v/>
      </c>
      <c r="W732" s="25" t="str">
        <f>IF(A732="","",SUMIF(Accounts[Счёт],F732,Accounts[Начальный])+SUMIFS($Q$7:Q732,$F$7:F732,F732)+SUMIFS($E$7:E732,$G$7:G732,F732,$C$7:C732,"Перевод",$L$7:L732,"Проведён"))</f>
        <v/>
      </c>
    </row>
    <row r="733" spans="1:23" x14ac:dyDescent="0.25">
      <c r="A733" s="22"/>
      <c r="B733" s="23"/>
      <c r="C733" s="22"/>
      <c r="D733" s="22"/>
      <c r="E733" s="27"/>
      <c r="F733" s="22"/>
      <c r="G733" s="22"/>
      <c r="H733" s="22"/>
      <c r="I733" s="22"/>
      <c r="J733" s="22"/>
      <c r="K733" s="22"/>
      <c r="L733" s="22"/>
      <c r="M733" s="22"/>
      <c r="N733" s="27"/>
      <c r="O733" s="22"/>
      <c r="P733" s="5" t="str">
        <f>IF(A733="","",IF(COUNTIF(Типы,C733)=0,0,VLOOKUP(C733,СПРАВОЧНИКИ!$A$7:$E$22,2,FALSE)))</f>
        <v/>
      </c>
      <c r="Q733" s="25" t="str">
        <f t="shared" si="11"/>
        <v/>
      </c>
      <c r="R733" s="5" t="str">
        <f>IF(A733="","",IF(COUNTIF(Типы,C733)=0,"НЕИЗВЕСТНЫЙ ТИП",VLOOKUP(C733,СПРАВОЧНИКИ!$A$7:$E$22,3,FALSE)))</f>
        <v/>
      </c>
      <c r="S733" s="26" t="str">
        <f>IF(A733="","",IF(L733="Проведён",E733*IF(COUNTIF(Типы,C733)=0,0,VLOOKUP(C733,СПРАВОЧНИКИ!$A$7:$E$22,4,FALSE)),0))</f>
        <v/>
      </c>
      <c r="T733" s="26" t="str">
        <f>IF(A733="","",IF(L733="Проведён",E733*IF(COUNTIF(Типы,C733)=0,0,VLOOKUP(C733,СПРАВОЧНИКИ!$A$7:$E$22,5,FALSE)),0))</f>
        <v/>
      </c>
      <c r="U733" s="5" t="str">
        <f>IF(A733="","",IF(COUNTIF(Контрагенты,H733)=0,"Не задан",VLOOKUP(H733,СПРАВОЧНИКИ!$G$7:$H$66,2,FALSE)))</f>
        <v/>
      </c>
      <c r="V733" s="4" t="str">
        <f>IF(A733="",IF(COUNTA(B733:O733)&gt;0,"НЕТ ID",""),IF(OR(AND(OR(C733="Оплата клиента",C733="Возврат клиенту"),COUNTIFS(Docs[ID],J733,Docs[Тип долга],"ДЗ")&lt;&gt;1),AND(OR(C733="Оплата поставщику",C733="Возврат поставщика"),COUNTIFS(Docs[ID],J733,Docs[Тип долга],"КЗ",Docs[Вид],"&lt;&gt;Дивиденды")&lt;&gt;1),AND(C733="Дивиденды",COUNTIFS(Docs[ID],J733,Docs[Вид],"Дивиденды")&lt;&gt;1),AND(C733="Проценты",COUNTIFS(Docs[ID],J733,Docs[Вид],"Проценты")&lt;&gt;1),COUNTIF(Cash[ID],A733)&gt;1,NOT(ISNUMBER(B733)),B733&lt;НачалоУчета,YEAR(B733)&lt;&gt;Год,NOT(ISNUMBER(E733)),E733&lt;=0,N733&lt;0,COUNTIF(Типы,C733)&lt;&gt;1,COUNTIF(Категории,D733)&lt;&gt;1,COUNTIF(Счета,F733)&lt;&gt;1,COUNTIF(Проекты,I733)&lt;&gt;1,AND(H733&lt;&gt;"",COUNTIF(Контрагенты,H733)&lt;&gt;1),AND(C733="Перевод",OR(F733=G733,COUNTIF(Счета,G733)&lt;&gt;1)),AND(S733&lt;&gt;0,COUNTIF(Docs[ID],J733)&lt;&gt;1),AND(Форма="ООО",C733="Вывод ИП"),AND(Форма="ИП",C733="Дивиденды"),AND(L733&lt;&gt;"Проведён",L733&lt;&gt;"Черновик")),"ОШИБКА","ОК"))</f>
        <v/>
      </c>
      <c r="W733" s="25" t="str">
        <f>IF(A733="","",SUMIF(Accounts[Счёт],F733,Accounts[Начальный])+SUMIFS($Q$7:Q733,$F$7:F733,F733)+SUMIFS($E$7:E733,$G$7:G733,F733,$C$7:C733,"Перевод",$L$7:L733,"Проведён"))</f>
        <v/>
      </c>
    </row>
    <row r="734" spans="1:23" x14ac:dyDescent="0.25">
      <c r="A734" s="22"/>
      <c r="B734" s="23"/>
      <c r="C734" s="22"/>
      <c r="D734" s="22"/>
      <c r="E734" s="27"/>
      <c r="F734" s="22"/>
      <c r="G734" s="22"/>
      <c r="H734" s="22"/>
      <c r="I734" s="22"/>
      <c r="J734" s="22"/>
      <c r="K734" s="22"/>
      <c r="L734" s="22"/>
      <c r="M734" s="22"/>
      <c r="N734" s="27"/>
      <c r="O734" s="22"/>
      <c r="P734" s="5" t="str">
        <f>IF(A734="","",IF(COUNTIF(Типы,C734)=0,0,VLOOKUP(C734,СПРАВОЧНИКИ!$A$7:$E$22,2,FALSE)))</f>
        <v/>
      </c>
      <c r="Q734" s="25" t="str">
        <f t="shared" si="11"/>
        <v/>
      </c>
      <c r="R734" s="5" t="str">
        <f>IF(A734="","",IF(COUNTIF(Типы,C734)=0,"НЕИЗВЕСТНЫЙ ТИП",VLOOKUP(C734,СПРАВОЧНИКИ!$A$7:$E$22,3,FALSE)))</f>
        <v/>
      </c>
      <c r="S734" s="26" t="str">
        <f>IF(A734="","",IF(L734="Проведён",E734*IF(COUNTIF(Типы,C734)=0,0,VLOOKUP(C734,СПРАВОЧНИКИ!$A$7:$E$22,4,FALSE)),0))</f>
        <v/>
      </c>
      <c r="T734" s="26" t="str">
        <f>IF(A734="","",IF(L734="Проведён",E734*IF(COUNTIF(Типы,C734)=0,0,VLOOKUP(C734,СПРАВОЧНИКИ!$A$7:$E$22,5,FALSE)),0))</f>
        <v/>
      </c>
      <c r="U734" s="5" t="str">
        <f>IF(A734="","",IF(COUNTIF(Контрагенты,H734)=0,"Не задан",VLOOKUP(H734,СПРАВОЧНИКИ!$G$7:$H$66,2,FALSE)))</f>
        <v/>
      </c>
      <c r="V734" s="4" t="str">
        <f>IF(A734="",IF(COUNTA(B734:O734)&gt;0,"НЕТ ID",""),IF(OR(AND(OR(C734="Оплата клиента",C734="Возврат клиенту"),COUNTIFS(Docs[ID],J734,Docs[Тип долга],"ДЗ")&lt;&gt;1),AND(OR(C734="Оплата поставщику",C734="Возврат поставщика"),COUNTIFS(Docs[ID],J734,Docs[Тип долга],"КЗ",Docs[Вид],"&lt;&gt;Дивиденды")&lt;&gt;1),AND(C734="Дивиденды",COUNTIFS(Docs[ID],J734,Docs[Вид],"Дивиденды")&lt;&gt;1),AND(C734="Проценты",COUNTIFS(Docs[ID],J734,Docs[Вид],"Проценты")&lt;&gt;1),COUNTIF(Cash[ID],A734)&gt;1,NOT(ISNUMBER(B734)),B734&lt;НачалоУчета,YEAR(B734)&lt;&gt;Год,NOT(ISNUMBER(E734)),E734&lt;=0,N734&lt;0,COUNTIF(Типы,C734)&lt;&gt;1,COUNTIF(Категории,D734)&lt;&gt;1,COUNTIF(Счета,F734)&lt;&gt;1,COUNTIF(Проекты,I734)&lt;&gt;1,AND(H734&lt;&gt;"",COUNTIF(Контрагенты,H734)&lt;&gt;1),AND(C734="Перевод",OR(F734=G734,COUNTIF(Счета,G734)&lt;&gt;1)),AND(S734&lt;&gt;0,COUNTIF(Docs[ID],J734)&lt;&gt;1),AND(Форма="ООО",C734="Вывод ИП"),AND(Форма="ИП",C734="Дивиденды"),AND(L734&lt;&gt;"Проведён",L734&lt;&gt;"Черновик")),"ОШИБКА","ОК"))</f>
        <v/>
      </c>
      <c r="W734" s="25" t="str">
        <f>IF(A734="","",SUMIF(Accounts[Счёт],F734,Accounts[Начальный])+SUMIFS($Q$7:Q734,$F$7:F734,F734)+SUMIFS($E$7:E734,$G$7:G734,F734,$C$7:C734,"Перевод",$L$7:L734,"Проведён"))</f>
        <v/>
      </c>
    </row>
    <row r="735" spans="1:23" x14ac:dyDescent="0.25">
      <c r="A735" s="22"/>
      <c r="B735" s="23"/>
      <c r="C735" s="22"/>
      <c r="D735" s="22"/>
      <c r="E735" s="27"/>
      <c r="F735" s="22"/>
      <c r="G735" s="22"/>
      <c r="H735" s="22"/>
      <c r="I735" s="22"/>
      <c r="J735" s="22"/>
      <c r="K735" s="22"/>
      <c r="L735" s="22"/>
      <c r="M735" s="22"/>
      <c r="N735" s="27"/>
      <c r="O735" s="22"/>
      <c r="P735" s="5" t="str">
        <f>IF(A735="","",IF(COUNTIF(Типы,C735)=0,0,VLOOKUP(C735,СПРАВОЧНИКИ!$A$7:$E$22,2,FALSE)))</f>
        <v/>
      </c>
      <c r="Q735" s="25" t="str">
        <f t="shared" si="11"/>
        <v/>
      </c>
      <c r="R735" s="5" t="str">
        <f>IF(A735="","",IF(COUNTIF(Типы,C735)=0,"НЕИЗВЕСТНЫЙ ТИП",VLOOKUP(C735,СПРАВОЧНИКИ!$A$7:$E$22,3,FALSE)))</f>
        <v/>
      </c>
      <c r="S735" s="26" t="str">
        <f>IF(A735="","",IF(L735="Проведён",E735*IF(COUNTIF(Типы,C735)=0,0,VLOOKUP(C735,СПРАВОЧНИКИ!$A$7:$E$22,4,FALSE)),0))</f>
        <v/>
      </c>
      <c r="T735" s="26" t="str">
        <f>IF(A735="","",IF(L735="Проведён",E735*IF(COUNTIF(Типы,C735)=0,0,VLOOKUP(C735,СПРАВОЧНИКИ!$A$7:$E$22,5,FALSE)),0))</f>
        <v/>
      </c>
      <c r="U735" s="5" t="str">
        <f>IF(A735="","",IF(COUNTIF(Контрагенты,H735)=0,"Не задан",VLOOKUP(H735,СПРАВОЧНИКИ!$G$7:$H$66,2,FALSE)))</f>
        <v/>
      </c>
      <c r="V735" s="4" t="str">
        <f>IF(A735="",IF(COUNTA(B735:O735)&gt;0,"НЕТ ID",""),IF(OR(AND(OR(C735="Оплата клиента",C735="Возврат клиенту"),COUNTIFS(Docs[ID],J735,Docs[Тип долга],"ДЗ")&lt;&gt;1),AND(OR(C735="Оплата поставщику",C735="Возврат поставщика"),COUNTIFS(Docs[ID],J735,Docs[Тип долга],"КЗ",Docs[Вид],"&lt;&gt;Дивиденды")&lt;&gt;1),AND(C735="Дивиденды",COUNTIFS(Docs[ID],J735,Docs[Вид],"Дивиденды")&lt;&gt;1),AND(C735="Проценты",COUNTIFS(Docs[ID],J735,Docs[Вид],"Проценты")&lt;&gt;1),COUNTIF(Cash[ID],A735)&gt;1,NOT(ISNUMBER(B735)),B735&lt;НачалоУчета,YEAR(B735)&lt;&gt;Год,NOT(ISNUMBER(E735)),E735&lt;=0,N735&lt;0,COUNTIF(Типы,C735)&lt;&gt;1,COUNTIF(Категории,D735)&lt;&gt;1,COUNTIF(Счета,F735)&lt;&gt;1,COUNTIF(Проекты,I735)&lt;&gt;1,AND(H735&lt;&gt;"",COUNTIF(Контрагенты,H735)&lt;&gt;1),AND(C735="Перевод",OR(F735=G735,COUNTIF(Счета,G735)&lt;&gt;1)),AND(S735&lt;&gt;0,COUNTIF(Docs[ID],J735)&lt;&gt;1),AND(Форма="ООО",C735="Вывод ИП"),AND(Форма="ИП",C735="Дивиденды"),AND(L735&lt;&gt;"Проведён",L735&lt;&gt;"Черновик")),"ОШИБКА","ОК"))</f>
        <v/>
      </c>
      <c r="W735" s="25" t="str">
        <f>IF(A735="","",SUMIF(Accounts[Счёт],F735,Accounts[Начальный])+SUMIFS($Q$7:Q735,$F$7:F735,F735)+SUMIFS($E$7:E735,$G$7:G735,F735,$C$7:C735,"Перевод",$L$7:L735,"Проведён"))</f>
        <v/>
      </c>
    </row>
    <row r="736" spans="1:23" x14ac:dyDescent="0.25">
      <c r="A736" s="22"/>
      <c r="B736" s="23"/>
      <c r="C736" s="22"/>
      <c r="D736" s="22"/>
      <c r="E736" s="27"/>
      <c r="F736" s="22"/>
      <c r="G736" s="22"/>
      <c r="H736" s="22"/>
      <c r="I736" s="22"/>
      <c r="J736" s="22"/>
      <c r="K736" s="22"/>
      <c r="L736" s="22"/>
      <c r="M736" s="22"/>
      <c r="N736" s="27"/>
      <c r="O736" s="22"/>
      <c r="P736" s="5" t="str">
        <f>IF(A736="","",IF(COUNTIF(Типы,C736)=0,0,VLOOKUP(C736,СПРАВОЧНИКИ!$A$7:$E$22,2,FALSE)))</f>
        <v/>
      </c>
      <c r="Q736" s="25" t="str">
        <f t="shared" si="11"/>
        <v/>
      </c>
      <c r="R736" s="5" t="str">
        <f>IF(A736="","",IF(COUNTIF(Типы,C736)=0,"НЕИЗВЕСТНЫЙ ТИП",VLOOKUP(C736,СПРАВОЧНИКИ!$A$7:$E$22,3,FALSE)))</f>
        <v/>
      </c>
      <c r="S736" s="26" t="str">
        <f>IF(A736="","",IF(L736="Проведён",E736*IF(COUNTIF(Типы,C736)=0,0,VLOOKUP(C736,СПРАВОЧНИКИ!$A$7:$E$22,4,FALSE)),0))</f>
        <v/>
      </c>
      <c r="T736" s="26" t="str">
        <f>IF(A736="","",IF(L736="Проведён",E736*IF(COUNTIF(Типы,C736)=0,0,VLOOKUP(C736,СПРАВОЧНИКИ!$A$7:$E$22,5,FALSE)),0))</f>
        <v/>
      </c>
      <c r="U736" s="5" t="str">
        <f>IF(A736="","",IF(COUNTIF(Контрагенты,H736)=0,"Не задан",VLOOKUP(H736,СПРАВОЧНИКИ!$G$7:$H$66,2,FALSE)))</f>
        <v/>
      </c>
      <c r="V736" s="4" t="str">
        <f>IF(A736="",IF(COUNTA(B736:O736)&gt;0,"НЕТ ID",""),IF(OR(AND(OR(C736="Оплата клиента",C736="Возврат клиенту"),COUNTIFS(Docs[ID],J736,Docs[Тип долга],"ДЗ")&lt;&gt;1),AND(OR(C736="Оплата поставщику",C736="Возврат поставщика"),COUNTIFS(Docs[ID],J736,Docs[Тип долга],"КЗ",Docs[Вид],"&lt;&gt;Дивиденды")&lt;&gt;1),AND(C736="Дивиденды",COUNTIFS(Docs[ID],J736,Docs[Вид],"Дивиденды")&lt;&gt;1),AND(C736="Проценты",COUNTIFS(Docs[ID],J736,Docs[Вид],"Проценты")&lt;&gt;1),COUNTIF(Cash[ID],A736)&gt;1,NOT(ISNUMBER(B736)),B736&lt;НачалоУчета,YEAR(B736)&lt;&gt;Год,NOT(ISNUMBER(E736)),E736&lt;=0,N736&lt;0,COUNTIF(Типы,C736)&lt;&gt;1,COUNTIF(Категории,D736)&lt;&gt;1,COUNTIF(Счета,F736)&lt;&gt;1,COUNTIF(Проекты,I736)&lt;&gt;1,AND(H736&lt;&gt;"",COUNTIF(Контрагенты,H736)&lt;&gt;1),AND(C736="Перевод",OR(F736=G736,COUNTIF(Счета,G736)&lt;&gt;1)),AND(S736&lt;&gt;0,COUNTIF(Docs[ID],J736)&lt;&gt;1),AND(Форма="ООО",C736="Вывод ИП"),AND(Форма="ИП",C736="Дивиденды"),AND(L736&lt;&gt;"Проведён",L736&lt;&gt;"Черновик")),"ОШИБКА","ОК"))</f>
        <v/>
      </c>
      <c r="W736" s="25" t="str">
        <f>IF(A736="","",SUMIF(Accounts[Счёт],F736,Accounts[Начальный])+SUMIFS($Q$7:Q736,$F$7:F736,F736)+SUMIFS($E$7:E736,$G$7:G736,F736,$C$7:C736,"Перевод",$L$7:L736,"Проведён"))</f>
        <v/>
      </c>
    </row>
    <row r="737" spans="1:23" x14ac:dyDescent="0.25">
      <c r="A737" s="22"/>
      <c r="B737" s="23"/>
      <c r="C737" s="22"/>
      <c r="D737" s="22"/>
      <c r="E737" s="27"/>
      <c r="F737" s="22"/>
      <c r="G737" s="22"/>
      <c r="H737" s="22"/>
      <c r="I737" s="22"/>
      <c r="J737" s="22"/>
      <c r="K737" s="22"/>
      <c r="L737" s="22"/>
      <c r="M737" s="22"/>
      <c r="N737" s="27"/>
      <c r="O737" s="22"/>
      <c r="P737" s="5" t="str">
        <f>IF(A737="","",IF(COUNTIF(Типы,C737)=0,0,VLOOKUP(C737,СПРАВОЧНИКИ!$A$7:$E$22,2,FALSE)))</f>
        <v/>
      </c>
      <c r="Q737" s="25" t="str">
        <f t="shared" si="11"/>
        <v/>
      </c>
      <c r="R737" s="5" t="str">
        <f>IF(A737="","",IF(COUNTIF(Типы,C737)=0,"НЕИЗВЕСТНЫЙ ТИП",VLOOKUP(C737,СПРАВОЧНИКИ!$A$7:$E$22,3,FALSE)))</f>
        <v/>
      </c>
      <c r="S737" s="26" t="str">
        <f>IF(A737="","",IF(L737="Проведён",E737*IF(COUNTIF(Типы,C737)=0,0,VLOOKUP(C737,СПРАВОЧНИКИ!$A$7:$E$22,4,FALSE)),0))</f>
        <v/>
      </c>
      <c r="T737" s="26" t="str">
        <f>IF(A737="","",IF(L737="Проведён",E737*IF(COUNTIF(Типы,C737)=0,0,VLOOKUP(C737,СПРАВОЧНИКИ!$A$7:$E$22,5,FALSE)),0))</f>
        <v/>
      </c>
      <c r="U737" s="5" t="str">
        <f>IF(A737="","",IF(COUNTIF(Контрагенты,H737)=0,"Не задан",VLOOKUP(H737,СПРАВОЧНИКИ!$G$7:$H$66,2,FALSE)))</f>
        <v/>
      </c>
      <c r="V737" s="4" t="str">
        <f>IF(A737="",IF(COUNTA(B737:O737)&gt;0,"НЕТ ID",""),IF(OR(AND(OR(C737="Оплата клиента",C737="Возврат клиенту"),COUNTIFS(Docs[ID],J737,Docs[Тип долга],"ДЗ")&lt;&gt;1),AND(OR(C737="Оплата поставщику",C737="Возврат поставщика"),COUNTIFS(Docs[ID],J737,Docs[Тип долга],"КЗ",Docs[Вид],"&lt;&gt;Дивиденды")&lt;&gt;1),AND(C737="Дивиденды",COUNTIFS(Docs[ID],J737,Docs[Вид],"Дивиденды")&lt;&gt;1),AND(C737="Проценты",COUNTIFS(Docs[ID],J737,Docs[Вид],"Проценты")&lt;&gt;1),COUNTIF(Cash[ID],A737)&gt;1,NOT(ISNUMBER(B737)),B737&lt;НачалоУчета,YEAR(B737)&lt;&gt;Год,NOT(ISNUMBER(E737)),E737&lt;=0,N737&lt;0,COUNTIF(Типы,C737)&lt;&gt;1,COUNTIF(Категории,D737)&lt;&gt;1,COUNTIF(Счета,F737)&lt;&gt;1,COUNTIF(Проекты,I737)&lt;&gt;1,AND(H737&lt;&gt;"",COUNTIF(Контрагенты,H737)&lt;&gt;1),AND(C737="Перевод",OR(F737=G737,COUNTIF(Счета,G737)&lt;&gt;1)),AND(S737&lt;&gt;0,COUNTIF(Docs[ID],J737)&lt;&gt;1),AND(Форма="ООО",C737="Вывод ИП"),AND(Форма="ИП",C737="Дивиденды"),AND(L737&lt;&gt;"Проведён",L737&lt;&gt;"Черновик")),"ОШИБКА","ОК"))</f>
        <v/>
      </c>
      <c r="W737" s="25" t="str">
        <f>IF(A737="","",SUMIF(Accounts[Счёт],F737,Accounts[Начальный])+SUMIFS($Q$7:Q737,$F$7:F737,F737)+SUMIFS($E$7:E737,$G$7:G737,F737,$C$7:C737,"Перевод",$L$7:L737,"Проведён"))</f>
        <v/>
      </c>
    </row>
    <row r="738" spans="1:23" x14ac:dyDescent="0.25">
      <c r="A738" s="22"/>
      <c r="B738" s="23"/>
      <c r="C738" s="22"/>
      <c r="D738" s="22"/>
      <c r="E738" s="27"/>
      <c r="F738" s="22"/>
      <c r="G738" s="22"/>
      <c r="H738" s="22"/>
      <c r="I738" s="22"/>
      <c r="J738" s="22"/>
      <c r="K738" s="22"/>
      <c r="L738" s="22"/>
      <c r="M738" s="22"/>
      <c r="N738" s="27"/>
      <c r="O738" s="22"/>
      <c r="P738" s="5" t="str">
        <f>IF(A738="","",IF(COUNTIF(Типы,C738)=0,0,VLOOKUP(C738,СПРАВОЧНИКИ!$A$7:$E$22,2,FALSE)))</f>
        <v/>
      </c>
      <c r="Q738" s="25" t="str">
        <f t="shared" si="11"/>
        <v/>
      </c>
      <c r="R738" s="5" t="str">
        <f>IF(A738="","",IF(COUNTIF(Типы,C738)=0,"НЕИЗВЕСТНЫЙ ТИП",VLOOKUP(C738,СПРАВОЧНИКИ!$A$7:$E$22,3,FALSE)))</f>
        <v/>
      </c>
      <c r="S738" s="26" t="str">
        <f>IF(A738="","",IF(L738="Проведён",E738*IF(COUNTIF(Типы,C738)=0,0,VLOOKUP(C738,СПРАВОЧНИКИ!$A$7:$E$22,4,FALSE)),0))</f>
        <v/>
      </c>
      <c r="T738" s="26" t="str">
        <f>IF(A738="","",IF(L738="Проведён",E738*IF(COUNTIF(Типы,C738)=0,0,VLOOKUP(C738,СПРАВОЧНИКИ!$A$7:$E$22,5,FALSE)),0))</f>
        <v/>
      </c>
      <c r="U738" s="5" t="str">
        <f>IF(A738="","",IF(COUNTIF(Контрагенты,H738)=0,"Не задан",VLOOKUP(H738,СПРАВОЧНИКИ!$G$7:$H$66,2,FALSE)))</f>
        <v/>
      </c>
      <c r="V738" s="4" t="str">
        <f>IF(A738="",IF(COUNTA(B738:O738)&gt;0,"НЕТ ID",""),IF(OR(AND(OR(C738="Оплата клиента",C738="Возврат клиенту"),COUNTIFS(Docs[ID],J738,Docs[Тип долга],"ДЗ")&lt;&gt;1),AND(OR(C738="Оплата поставщику",C738="Возврат поставщика"),COUNTIFS(Docs[ID],J738,Docs[Тип долга],"КЗ",Docs[Вид],"&lt;&gt;Дивиденды")&lt;&gt;1),AND(C738="Дивиденды",COUNTIFS(Docs[ID],J738,Docs[Вид],"Дивиденды")&lt;&gt;1),AND(C738="Проценты",COUNTIFS(Docs[ID],J738,Docs[Вид],"Проценты")&lt;&gt;1),COUNTIF(Cash[ID],A738)&gt;1,NOT(ISNUMBER(B738)),B738&lt;НачалоУчета,YEAR(B738)&lt;&gt;Год,NOT(ISNUMBER(E738)),E738&lt;=0,N738&lt;0,COUNTIF(Типы,C738)&lt;&gt;1,COUNTIF(Категории,D738)&lt;&gt;1,COUNTIF(Счета,F738)&lt;&gt;1,COUNTIF(Проекты,I738)&lt;&gt;1,AND(H738&lt;&gt;"",COUNTIF(Контрагенты,H738)&lt;&gt;1),AND(C738="Перевод",OR(F738=G738,COUNTIF(Счета,G738)&lt;&gt;1)),AND(S738&lt;&gt;0,COUNTIF(Docs[ID],J738)&lt;&gt;1),AND(Форма="ООО",C738="Вывод ИП"),AND(Форма="ИП",C738="Дивиденды"),AND(L738&lt;&gt;"Проведён",L738&lt;&gt;"Черновик")),"ОШИБКА","ОК"))</f>
        <v/>
      </c>
      <c r="W738" s="25" t="str">
        <f>IF(A738="","",SUMIF(Accounts[Счёт],F738,Accounts[Начальный])+SUMIFS($Q$7:Q738,$F$7:F738,F738)+SUMIFS($E$7:E738,$G$7:G738,F738,$C$7:C738,"Перевод",$L$7:L738,"Проведён"))</f>
        <v/>
      </c>
    </row>
    <row r="739" spans="1:23" x14ac:dyDescent="0.25">
      <c r="A739" s="22"/>
      <c r="B739" s="23"/>
      <c r="C739" s="22"/>
      <c r="D739" s="22"/>
      <c r="E739" s="27"/>
      <c r="F739" s="22"/>
      <c r="G739" s="22"/>
      <c r="H739" s="22"/>
      <c r="I739" s="22"/>
      <c r="J739" s="22"/>
      <c r="K739" s="22"/>
      <c r="L739" s="22"/>
      <c r="M739" s="22"/>
      <c r="N739" s="27"/>
      <c r="O739" s="22"/>
      <c r="P739" s="5" t="str">
        <f>IF(A739="","",IF(COUNTIF(Типы,C739)=0,0,VLOOKUP(C739,СПРАВОЧНИКИ!$A$7:$E$22,2,FALSE)))</f>
        <v/>
      </c>
      <c r="Q739" s="25" t="str">
        <f t="shared" si="11"/>
        <v/>
      </c>
      <c r="R739" s="5" t="str">
        <f>IF(A739="","",IF(COUNTIF(Типы,C739)=0,"НЕИЗВЕСТНЫЙ ТИП",VLOOKUP(C739,СПРАВОЧНИКИ!$A$7:$E$22,3,FALSE)))</f>
        <v/>
      </c>
      <c r="S739" s="26" t="str">
        <f>IF(A739="","",IF(L739="Проведён",E739*IF(COUNTIF(Типы,C739)=0,0,VLOOKUP(C739,СПРАВОЧНИКИ!$A$7:$E$22,4,FALSE)),0))</f>
        <v/>
      </c>
      <c r="T739" s="26" t="str">
        <f>IF(A739="","",IF(L739="Проведён",E739*IF(COUNTIF(Типы,C739)=0,0,VLOOKUP(C739,СПРАВОЧНИКИ!$A$7:$E$22,5,FALSE)),0))</f>
        <v/>
      </c>
      <c r="U739" s="5" t="str">
        <f>IF(A739="","",IF(COUNTIF(Контрагенты,H739)=0,"Не задан",VLOOKUP(H739,СПРАВОЧНИКИ!$G$7:$H$66,2,FALSE)))</f>
        <v/>
      </c>
      <c r="V739" s="4" t="str">
        <f>IF(A739="",IF(COUNTA(B739:O739)&gt;0,"НЕТ ID",""),IF(OR(AND(OR(C739="Оплата клиента",C739="Возврат клиенту"),COUNTIFS(Docs[ID],J739,Docs[Тип долга],"ДЗ")&lt;&gt;1),AND(OR(C739="Оплата поставщику",C739="Возврат поставщика"),COUNTIFS(Docs[ID],J739,Docs[Тип долга],"КЗ",Docs[Вид],"&lt;&gt;Дивиденды")&lt;&gt;1),AND(C739="Дивиденды",COUNTIFS(Docs[ID],J739,Docs[Вид],"Дивиденды")&lt;&gt;1),AND(C739="Проценты",COUNTIFS(Docs[ID],J739,Docs[Вид],"Проценты")&lt;&gt;1),COUNTIF(Cash[ID],A739)&gt;1,NOT(ISNUMBER(B739)),B739&lt;НачалоУчета,YEAR(B739)&lt;&gt;Год,NOT(ISNUMBER(E739)),E739&lt;=0,N739&lt;0,COUNTIF(Типы,C739)&lt;&gt;1,COUNTIF(Категории,D739)&lt;&gt;1,COUNTIF(Счета,F739)&lt;&gt;1,COUNTIF(Проекты,I739)&lt;&gt;1,AND(H739&lt;&gt;"",COUNTIF(Контрагенты,H739)&lt;&gt;1),AND(C739="Перевод",OR(F739=G739,COUNTIF(Счета,G739)&lt;&gt;1)),AND(S739&lt;&gt;0,COUNTIF(Docs[ID],J739)&lt;&gt;1),AND(Форма="ООО",C739="Вывод ИП"),AND(Форма="ИП",C739="Дивиденды"),AND(L739&lt;&gt;"Проведён",L739&lt;&gt;"Черновик")),"ОШИБКА","ОК"))</f>
        <v/>
      </c>
      <c r="W739" s="25" t="str">
        <f>IF(A739="","",SUMIF(Accounts[Счёт],F739,Accounts[Начальный])+SUMIFS($Q$7:Q739,$F$7:F739,F739)+SUMIFS($E$7:E739,$G$7:G739,F739,$C$7:C739,"Перевод",$L$7:L739,"Проведён"))</f>
        <v/>
      </c>
    </row>
    <row r="740" spans="1:23" x14ac:dyDescent="0.25">
      <c r="A740" s="22"/>
      <c r="B740" s="23"/>
      <c r="C740" s="22"/>
      <c r="D740" s="22"/>
      <c r="E740" s="27"/>
      <c r="F740" s="22"/>
      <c r="G740" s="22"/>
      <c r="H740" s="22"/>
      <c r="I740" s="22"/>
      <c r="J740" s="22"/>
      <c r="K740" s="22"/>
      <c r="L740" s="22"/>
      <c r="M740" s="22"/>
      <c r="N740" s="27"/>
      <c r="O740" s="22"/>
      <c r="P740" s="5" t="str">
        <f>IF(A740="","",IF(COUNTIF(Типы,C740)=0,0,VLOOKUP(C740,СПРАВОЧНИКИ!$A$7:$E$22,2,FALSE)))</f>
        <v/>
      </c>
      <c r="Q740" s="25" t="str">
        <f t="shared" si="11"/>
        <v/>
      </c>
      <c r="R740" s="5" t="str">
        <f>IF(A740="","",IF(COUNTIF(Типы,C740)=0,"НЕИЗВЕСТНЫЙ ТИП",VLOOKUP(C740,СПРАВОЧНИКИ!$A$7:$E$22,3,FALSE)))</f>
        <v/>
      </c>
      <c r="S740" s="26" t="str">
        <f>IF(A740="","",IF(L740="Проведён",E740*IF(COUNTIF(Типы,C740)=0,0,VLOOKUP(C740,СПРАВОЧНИКИ!$A$7:$E$22,4,FALSE)),0))</f>
        <v/>
      </c>
      <c r="T740" s="26" t="str">
        <f>IF(A740="","",IF(L740="Проведён",E740*IF(COUNTIF(Типы,C740)=0,0,VLOOKUP(C740,СПРАВОЧНИКИ!$A$7:$E$22,5,FALSE)),0))</f>
        <v/>
      </c>
      <c r="U740" s="5" t="str">
        <f>IF(A740="","",IF(COUNTIF(Контрагенты,H740)=0,"Не задан",VLOOKUP(H740,СПРАВОЧНИКИ!$G$7:$H$66,2,FALSE)))</f>
        <v/>
      </c>
      <c r="V740" s="4" t="str">
        <f>IF(A740="",IF(COUNTA(B740:O740)&gt;0,"НЕТ ID",""),IF(OR(AND(OR(C740="Оплата клиента",C740="Возврат клиенту"),COUNTIFS(Docs[ID],J740,Docs[Тип долга],"ДЗ")&lt;&gt;1),AND(OR(C740="Оплата поставщику",C740="Возврат поставщика"),COUNTIFS(Docs[ID],J740,Docs[Тип долга],"КЗ",Docs[Вид],"&lt;&gt;Дивиденды")&lt;&gt;1),AND(C740="Дивиденды",COUNTIFS(Docs[ID],J740,Docs[Вид],"Дивиденды")&lt;&gt;1),AND(C740="Проценты",COUNTIFS(Docs[ID],J740,Docs[Вид],"Проценты")&lt;&gt;1),COUNTIF(Cash[ID],A740)&gt;1,NOT(ISNUMBER(B740)),B740&lt;НачалоУчета,YEAR(B740)&lt;&gt;Год,NOT(ISNUMBER(E740)),E740&lt;=0,N740&lt;0,COUNTIF(Типы,C740)&lt;&gt;1,COUNTIF(Категории,D740)&lt;&gt;1,COUNTIF(Счета,F740)&lt;&gt;1,COUNTIF(Проекты,I740)&lt;&gt;1,AND(H740&lt;&gt;"",COUNTIF(Контрагенты,H740)&lt;&gt;1),AND(C740="Перевод",OR(F740=G740,COUNTIF(Счета,G740)&lt;&gt;1)),AND(S740&lt;&gt;0,COUNTIF(Docs[ID],J740)&lt;&gt;1),AND(Форма="ООО",C740="Вывод ИП"),AND(Форма="ИП",C740="Дивиденды"),AND(L740&lt;&gt;"Проведён",L740&lt;&gt;"Черновик")),"ОШИБКА","ОК"))</f>
        <v/>
      </c>
      <c r="W740" s="25" t="str">
        <f>IF(A740="","",SUMIF(Accounts[Счёт],F740,Accounts[Начальный])+SUMIFS($Q$7:Q740,$F$7:F740,F740)+SUMIFS($E$7:E740,$G$7:G740,F740,$C$7:C740,"Перевод",$L$7:L740,"Проведён"))</f>
        <v/>
      </c>
    </row>
    <row r="741" spans="1:23" x14ac:dyDescent="0.25">
      <c r="A741" s="22"/>
      <c r="B741" s="23"/>
      <c r="C741" s="22"/>
      <c r="D741" s="22"/>
      <c r="E741" s="27"/>
      <c r="F741" s="22"/>
      <c r="G741" s="22"/>
      <c r="H741" s="22"/>
      <c r="I741" s="22"/>
      <c r="J741" s="22"/>
      <c r="K741" s="22"/>
      <c r="L741" s="22"/>
      <c r="M741" s="22"/>
      <c r="N741" s="27"/>
      <c r="O741" s="22"/>
      <c r="P741" s="5" t="str">
        <f>IF(A741="","",IF(COUNTIF(Типы,C741)=0,0,VLOOKUP(C741,СПРАВОЧНИКИ!$A$7:$E$22,2,FALSE)))</f>
        <v/>
      </c>
      <c r="Q741" s="25" t="str">
        <f t="shared" si="11"/>
        <v/>
      </c>
      <c r="R741" s="5" t="str">
        <f>IF(A741="","",IF(COUNTIF(Типы,C741)=0,"НЕИЗВЕСТНЫЙ ТИП",VLOOKUP(C741,СПРАВОЧНИКИ!$A$7:$E$22,3,FALSE)))</f>
        <v/>
      </c>
      <c r="S741" s="26" t="str">
        <f>IF(A741="","",IF(L741="Проведён",E741*IF(COUNTIF(Типы,C741)=0,0,VLOOKUP(C741,СПРАВОЧНИКИ!$A$7:$E$22,4,FALSE)),0))</f>
        <v/>
      </c>
      <c r="T741" s="26" t="str">
        <f>IF(A741="","",IF(L741="Проведён",E741*IF(COUNTIF(Типы,C741)=0,0,VLOOKUP(C741,СПРАВОЧНИКИ!$A$7:$E$22,5,FALSE)),0))</f>
        <v/>
      </c>
      <c r="U741" s="5" t="str">
        <f>IF(A741="","",IF(COUNTIF(Контрагенты,H741)=0,"Не задан",VLOOKUP(H741,СПРАВОЧНИКИ!$G$7:$H$66,2,FALSE)))</f>
        <v/>
      </c>
      <c r="V741" s="4" t="str">
        <f>IF(A741="",IF(COUNTA(B741:O741)&gt;0,"НЕТ ID",""),IF(OR(AND(OR(C741="Оплата клиента",C741="Возврат клиенту"),COUNTIFS(Docs[ID],J741,Docs[Тип долга],"ДЗ")&lt;&gt;1),AND(OR(C741="Оплата поставщику",C741="Возврат поставщика"),COUNTIFS(Docs[ID],J741,Docs[Тип долга],"КЗ",Docs[Вид],"&lt;&gt;Дивиденды")&lt;&gt;1),AND(C741="Дивиденды",COUNTIFS(Docs[ID],J741,Docs[Вид],"Дивиденды")&lt;&gt;1),AND(C741="Проценты",COUNTIFS(Docs[ID],J741,Docs[Вид],"Проценты")&lt;&gt;1),COUNTIF(Cash[ID],A741)&gt;1,NOT(ISNUMBER(B741)),B741&lt;НачалоУчета,YEAR(B741)&lt;&gt;Год,NOT(ISNUMBER(E741)),E741&lt;=0,N741&lt;0,COUNTIF(Типы,C741)&lt;&gt;1,COUNTIF(Категории,D741)&lt;&gt;1,COUNTIF(Счета,F741)&lt;&gt;1,COUNTIF(Проекты,I741)&lt;&gt;1,AND(H741&lt;&gt;"",COUNTIF(Контрагенты,H741)&lt;&gt;1),AND(C741="Перевод",OR(F741=G741,COUNTIF(Счета,G741)&lt;&gt;1)),AND(S741&lt;&gt;0,COUNTIF(Docs[ID],J741)&lt;&gt;1),AND(Форма="ООО",C741="Вывод ИП"),AND(Форма="ИП",C741="Дивиденды"),AND(L741&lt;&gt;"Проведён",L741&lt;&gt;"Черновик")),"ОШИБКА","ОК"))</f>
        <v/>
      </c>
      <c r="W741" s="25" t="str">
        <f>IF(A741="","",SUMIF(Accounts[Счёт],F741,Accounts[Начальный])+SUMIFS($Q$7:Q741,$F$7:F741,F741)+SUMIFS($E$7:E741,$G$7:G741,F741,$C$7:C741,"Перевод",$L$7:L741,"Проведён"))</f>
        <v/>
      </c>
    </row>
    <row r="742" spans="1:23" x14ac:dyDescent="0.25">
      <c r="A742" s="22"/>
      <c r="B742" s="23"/>
      <c r="C742" s="22"/>
      <c r="D742" s="22"/>
      <c r="E742" s="27"/>
      <c r="F742" s="22"/>
      <c r="G742" s="22"/>
      <c r="H742" s="22"/>
      <c r="I742" s="22"/>
      <c r="J742" s="22"/>
      <c r="K742" s="22"/>
      <c r="L742" s="22"/>
      <c r="M742" s="22"/>
      <c r="N742" s="27"/>
      <c r="O742" s="22"/>
      <c r="P742" s="5" t="str">
        <f>IF(A742="","",IF(COUNTIF(Типы,C742)=0,0,VLOOKUP(C742,СПРАВОЧНИКИ!$A$7:$E$22,2,FALSE)))</f>
        <v/>
      </c>
      <c r="Q742" s="25" t="str">
        <f t="shared" si="11"/>
        <v/>
      </c>
      <c r="R742" s="5" t="str">
        <f>IF(A742="","",IF(COUNTIF(Типы,C742)=0,"НЕИЗВЕСТНЫЙ ТИП",VLOOKUP(C742,СПРАВОЧНИКИ!$A$7:$E$22,3,FALSE)))</f>
        <v/>
      </c>
      <c r="S742" s="26" t="str">
        <f>IF(A742="","",IF(L742="Проведён",E742*IF(COUNTIF(Типы,C742)=0,0,VLOOKUP(C742,СПРАВОЧНИКИ!$A$7:$E$22,4,FALSE)),0))</f>
        <v/>
      </c>
      <c r="T742" s="26" t="str">
        <f>IF(A742="","",IF(L742="Проведён",E742*IF(COUNTIF(Типы,C742)=0,0,VLOOKUP(C742,СПРАВОЧНИКИ!$A$7:$E$22,5,FALSE)),0))</f>
        <v/>
      </c>
      <c r="U742" s="5" t="str">
        <f>IF(A742="","",IF(COUNTIF(Контрагенты,H742)=0,"Не задан",VLOOKUP(H742,СПРАВОЧНИКИ!$G$7:$H$66,2,FALSE)))</f>
        <v/>
      </c>
      <c r="V742" s="4" t="str">
        <f>IF(A742="",IF(COUNTA(B742:O742)&gt;0,"НЕТ ID",""),IF(OR(AND(OR(C742="Оплата клиента",C742="Возврат клиенту"),COUNTIFS(Docs[ID],J742,Docs[Тип долга],"ДЗ")&lt;&gt;1),AND(OR(C742="Оплата поставщику",C742="Возврат поставщика"),COUNTIFS(Docs[ID],J742,Docs[Тип долга],"КЗ",Docs[Вид],"&lt;&gt;Дивиденды")&lt;&gt;1),AND(C742="Дивиденды",COUNTIFS(Docs[ID],J742,Docs[Вид],"Дивиденды")&lt;&gt;1),AND(C742="Проценты",COUNTIFS(Docs[ID],J742,Docs[Вид],"Проценты")&lt;&gt;1),COUNTIF(Cash[ID],A742)&gt;1,NOT(ISNUMBER(B742)),B742&lt;НачалоУчета,YEAR(B742)&lt;&gt;Год,NOT(ISNUMBER(E742)),E742&lt;=0,N742&lt;0,COUNTIF(Типы,C742)&lt;&gt;1,COUNTIF(Категории,D742)&lt;&gt;1,COUNTIF(Счета,F742)&lt;&gt;1,COUNTIF(Проекты,I742)&lt;&gt;1,AND(H742&lt;&gt;"",COUNTIF(Контрагенты,H742)&lt;&gt;1),AND(C742="Перевод",OR(F742=G742,COUNTIF(Счета,G742)&lt;&gt;1)),AND(S742&lt;&gt;0,COUNTIF(Docs[ID],J742)&lt;&gt;1),AND(Форма="ООО",C742="Вывод ИП"),AND(Форма="ИП",C742="Дивиденды"),AND(L742&lt;&gt;"Проведён",L742&lt;&gt;"Черновик")),"ОШИБКА","ОК"))</f>
        <v/>
      </c>
      <c r="W742" s="25" t="str">
        <f>IF(A742="","",SUMIF(Accounts[Счёт],F742,Accounts[Начальный])+SUMIFS($Q$7:Q742,$F$7:F742,F742)+SUMIFS($E$7:E742,$G$7:G742,F742,$C$7:C742,"Перевод",$L$7:L742,"Проведён"))</f>
        <v/>
      </c>
    </row>
    <row r="743" spans="1:23" x14ac:dyDescent="0.25">
      <c r="A743" s="22"/>
      <c r="B743" s="23"/>
      <c r="C743" s="22"/>
      <c r="D743" s="22"/>
      <c r="E743" s="27"/>
      <c r="F743" s="22"/>
      <c r="G743" s="22"/>
      <c r="H743" s="22"/>
      <c r="I743" s="22"/>
      <c r="J743" s="22"/>
      <c r="K743" s="22"/>
      <c r="L743" s="22"/>
      <c r="M743" s="22"/>
      <c r="N743" s="27"/>
      <c r="O743" s="22"/>
      <c r="P743" s="5" t="str">
        <f>IF(A743="","",IF(COUNTIF(Типы,C743)=0,0,VLOOKUP(C743,СПРАВОЧНИКИ!$A$7:$E$22,2,FALSE)))</f>
        <v/>
      </c>
      <c r="Q743" s="25" t="str">
        <f t="shared" si="11"/>
        <v/>
      </c>
      <c r="R743" s="5" t="str">
        <f>IF(A743="","",IF(COUNTIF(Типы,C743)=0,"НЕИЗВЕСТНЫЙ ТИП",VLOOKUP(C743,СПРАВОЧНИКИ!$A$7:$E$22,3,FALSE)))</f>
        <v/>
      </c>
      <c r="S743" s="26" t="str">
        <f>IF(A743="","",IF(L743="Проведён",E743*IF(COUNTIF(Типы,C743)=0,0,VLOOKUP(C743,СПРАВОЧНИКИ!$A$7:$E$22,4,FALSE)),0))</f>
        <v/>
      </c>
      <c r="T743" s="26" t="str">
        <f>IF(A743="","",IF(L743="Проведён",E743*IF(COUNTIF(Типы,C743)=0,0,VLOOKUP(C743,СПРАВОЧНИКИ!$A$7:$E$22,5,FALSE)),0))</f>
        <v/>
      </c>
      <c r="U743" s="5" t="str">
        <f>IF(A743="","",IF(COUNTIF(Контрагенты,H743)=0,"Не задан",VLOOKUP(H743,СПРАВОЧНИКИ!$G$7:$H$66,2,FALSE)))</f>
        <v/>
      </c>
      <c r="V743" s="4" t="str">
        <f>IF(A743="",IF(COUNTA(B743:O743)&gt;0,"НЕТ ID",""),IF(OR(AND(OR(C743="Оплата клиента",C743="Возврат клиенту"),COUNTIFS(Docs[ID],J743,Docs[Тип долга],"ДЗ")&lt;&gt;1),AND(OR(C743="Оплата поставщику",C743="Возврат поставщика"),COUNTIFS(Docs[ID],J743,Docs[Тип долга],"КЗ",Docs[Вид],"&lt;&gt;Дивиденды")&lt;&gt;1),AND(C743="Дивиденды",COUNTIFS(Docs[ID],J743,Docs[Вид],"Дивиденды")&lt;&gt;1),AND(C743="Проценты",COUNTIFS(Docs[ID],J743,Docs[Вид],"Проценты")&lt;&gt;1),COUNTIF(Cash[ID],A743)&gt;1,NOT(ISNUMBER(B743)),B743&lt;НачалоУчета,YEAR(B743)&lt;&gt;Год,NOT(ISNUMBER(E743)),E743&lt;=0,N743&lt;0,COUNTIF(Типы,C743)&lt;&gt;1,COUNTIF(Категории,D743)&lt;&gt;1,COUNTIF(Счета,F743)&lt;&gt;1,COUNTIF(Проекты,I743)&lt;&gt;1,AND(H743&lt;&gt;"",COUNTIF(Контрагенты,H743)&lt;&gt;1),AND(C743="Перевод",OR(F743=G743,COUNTIF(Счета,G743)&lt;&gt;1)),AND(S743&lt;&gt;0,COUNTIF(Docs[ID],J743)&lt;&gt;1),AND(Форма="ООО",C743="Вывод ИП"),AND(Форма="ИП",C743="Дивиденды"),AND(L743&lt;&gt;"Проведён",L743&lt;&gt;"Черновик")),"ОШИБКА","ОК"))</f>
        <v/>
      </c>
      <c r="W743" s="25" t="str">
        <f>IF(A743="","",SUMIF(Accounts[Счёт],F743,Accounts[Начальный])+SUMIFS($Q$7:Q743,$F$7:F743,F743)+SUMIFS($E$7:E743,$G$7:G743,F743,$C$7:C743,"Перевод",$L$7:L743,"Проведён"))</f>
        <v/>
      </c>
    </row>
    <row r="744" spans="1:23" x14ac:dyDescent="0.25">
      <c r="A744" s="22"/>
      <c r="B744" s="23"/>
      <c r="C744" s="22"/>
      <c r="D744" s="22"/>
      <c r="E744" s="27"/>
      <c r="F744" s="22"/>
      <c r="G744" s="22"/>
      <c r="H744" s="22"/>
      <c r="I744" s="22"/>
      <c r="J744" s="22"/>
      <c r="K744" s="22"/>
      <c r="L744" s="22"/>
      <c r="M744" s="22"/>
      <c r="N744" s="27"/>
      <c r="O744" s="22"/>
      <c r="P744" s="5" t="str">
        <f>IF(A744="","",IF(COUNTIF(Типы,C744)=0,0,VLOOKUP(C744,СПРАВОЧНИКИ!$A$7:$E$22,2,FALSE)))</f>
        <v/>
      </c>
      <c r="Q744" s="25" t="str">
        <f t="shared" si="11"/>
        <v/>
      </c>
      <c r="R744" s="5" t="str">
        <f>IF(A744="","",IF(COUNTIF(Типы,C744)=0,"НЕИЗВЕСТНЫЙ ТИП",VLOOKUP(C744,СПРАВОЧНИКИ!$A$7:$E$22,3,FALSE)))</f>
        <v/>
      </c>
      <c r="S744" s="26" t="str">
        <f>IF(A744="","",IF(L744="Проведён",E744*IF(COUNTIF(Типы,C744)=0,0,VLOOKUP(C744,СПРАВОЧНИКИ!$A$7:$E$22,4,FALSE)),0))</f>
        <v/>
      </c>
      <c r="T744" s="26" t="str">
        <f>IF(A744="","",IF(L744="Проведён",E744*IF(COUNTIF(Типы,C744)=0,0,VLOOKUP(C744,СПРАВОЧНИКИ!$A$7:$E$22,5,FALSE)),0))</f>
        <v/>
      </c>
      <c r="U744" s="5" t="str">
        <f>IF(A744="","",IF(COUNTIF(Контрагенты,H744)=0,"Не задан",VLOOKUP(H744,СПРАВОЧНИКИ!$G$7:$H$66,2,FALSE)))</f>
        <v/>
      </c>
      <c r="V744" s="4" t="str">
        <f>IF(A744="",IF(COUNTA(B744:O744)&gt;0,"НЕТ ID",""),IF(OR(AND(OR(C744="Оплата клиента",C744="Возврат клиенту"),COUNTIFS(Docs[ID],J744,Docs[Тип долга],"ДЗ")&lt;&gt;1),AND(OR(C744="Оплата поставщику",C744="Возврат поставщика"),COUNTIFS(Docs[ID],J744,Docs[Тип долга],"КЗ",Docs[Вид],"&lt;&gt;Дивиденды")&lt;&gt;1),AND(C744="Дивиденды",COUNTIFS(Docs[ID],J744,Docs[Вид],"Дивиденды")&lt;&gt;1),AND(C744="Проценты",COUNTIFS(Docs[ID],J744,Docs[Вид],"Проценты")&lt;&gt;1),COUNTIF(Cash[ID],A744)&gt;1,NOT(ISNUMBER(B744)),B744&lt;НачалоУчета,YEAR(B744)&lt;&gt;Год,NOT(ISNUMBER(E744)),E744&lt;=0,N744&lt;0,COUNTIF(Типы,C744)&lt;&gt;1,COUNTIF(Категории,D744)&lt;&gt;1,COUNTIF(Счета,F744)&lt;&gt;1,COUNTIF(Проекты,I744)&lt;&gt;1,AND(H744&lt;&gt;"",COUNTIF(Контрагенты,H744)&lt;&gt;1),AND(C744="Перевод",OR(F744=G744,COUNTIF(Счета,G744)&lt;&gt;1)),AND(S744&lt;&gt;0,COUNTIF(Docs[ID],J744)&lt;&gt;1),AND(Форма="ООО",C744="Вывод ИП"),AND(Форма="ИП",C744="Дивиденды"),AND(L744&lt;&gt;"Проведён",L744&lt;&gt;"Черновик")),"ОШИБКА","ОК"))</f>
        <v/>
      </c>
      <c r="W744" s="25" t="str">
        <f>IF(A744="","",SUMIF(Accounts[Счёт],F744,Accounts[Начальный])+SUMIFS($Q$7:Q744,$F$7:F744,F744)+SUMIFS($E$7:E744,$G$7:G744,F744,$C$7:C744,"Перевод",$L$7:L744,"Проведён"))</f>
        <v/>
      </c>
    </row>
    <row r="745" spans="1:23" x14ac:dyDescent="0.25">
      <c r="A745" s="22"/>
      <c r="B745" s="23"/>
      <c r="C745" s="22"/>
      <c r="D745" s="22"/>
      <c r="E745" s="27"/>
      <c r="F745" s="22"/>
      <c r="G745" s="22"/>
      <c r="H745" s="22"/>
      <c r="I745" s="22"/>
      <c r="J745" s="22"/>
      <c r="K745" s="22"/>
      <c r="L745" s="22"/>
      <c r="M745" s="22"/>
      <c r="N745" s="27"/>
      <c r="O745" s="22"/>
      <c r="P745" s="5" t="str">
        <f>IF(A745="","",IF(COUNTIF(Типы,C745)=0,0,VLOOKUP(C745,СПРАВОЧНИКИ!$A$7:$E$22,2,FALSE)))</f>
        <v/>
      </c>
      <c r="Q745" s="25" t="str">
        <f t="shared" si="11"/>
        <v/>
      </c>
      <c r="R745" s="5" t="str">
        <f>IF(A745="","",IF(COUNTIF(Типы,C745)=0,"НЕИЗВЕСТНЫЙ ТИП",VLOOKUP(C745,СПРАВОЧНИКИ!$A$7:$E$22,3,FALSE)))</f>
        <v/>
      </c>
      <c r="S745" s="26" t="str">
        <f>IF(A745="","",IF(L745="Проведён",E745*IF(COUNTIF(Типы,C745)=0,0,VLOOKUP(C745,СПРАВОЧНИКИ!$A$7:$E$22,4,FALSE)),0))</f>
        <v/>
      </c>
      <c r="T745" s="26" t="str">
        <f>IF(A745="","",IF(L745="Проведён",E745*IF(COUNTIF(Типы,C745)=0,0,VLOOKUP(C745,СПРАВОЧНИКИ!$A$7:$E$22,5,FALSE)),0))</f>
        <v/>
      </c>
      <c r="U745" s="5" t="str">
        <f>IF(A745="","",IF(COUNTIF(Контрагенты,H745)=0,"Не задан",VLOOKUP(H745,СПРАВОЧНИКИ!$G$7:$H$66,2,FALSE)))</f>
        <v/>
      </c>
      <c r="V745" s="4" t="str">
        <f>IF(A745="",IF(COUNTA(B745:O745)&gt;0,"НЕТ ID",""),IF(OR(AND(OR(C745="Оплата клиента",C745="Возврат клиенту"),COUNTIFS(Docs[ID],J745,Docs[Тип долга],"ДЗ")&lt;&gt;1),AND(OR(C745="Оплата поставщику",C745="Возврат поставщика"),COUNTIFS(Docs[ID],J745,Docs[Тип долга],"КЗ",Docs[Вид],"&lt;&gt;Дивиденды")&lt;&gt;1),AND(C745="Дивиденды",COUNTIFS(Docs[ID],J745,Docs[Вид],"Дивиденды")&lt;&gt;1),AND(C745="Проценты",COUNTIFS(Docs[ID],J745,Docs[Вид],"Проценты")&lt;&gt;1),COUNTIF(Cash[ID],A745)&gt;1,NOT(ISNUMBER(B745)),B745&lt;НачалоУчета,YEAR(B745)&lt;&gt;Год,NOT(ISNUMBER(E745)),E745&lt;=0,N745&lt;0,COUNTIF(Типы,C745)&lt;&gt;1,COUNTIF(Категории,D745)&lt;&gt;1,COUNTIF(Счета,F745)&lt;&gt;1,COUNTIF(Проекты,I745)&lt;&gt;1,AND(H745&lt;&gt;"",COUNTIF(Контрагенты,H745)&lt;&gt;1),AND(C745="Перевод",OR(F745=G745,COUNTIF(Счета,G745)&lt;&gt;1)),AND(S745&lt;&gt;0,COUNTIF(Docs[ID],J745)&lt;&gt;1),AND(Форма="ООО",C745="Вывод ИП"),AND(Форма="ИП",C745="Дивиденды"),AND(L745&lt;&gt;"Проведён",L745&lt;&gt;"Черновик")),"ОШИБКА","ОК"))</f>
        <v/>
      </c>
      <c r="W745" s="25" t="str">
        <f>IF(A745="","",SUMIF(Accounts[Счёт],F745,Accounts[Начальный])+SUMIFS($Q$7:Q745,$F$7:F745,F745)+SUMIFS($E$7:E745,$G$7:G745,F745,$C$7:C745,"Перевод",$L$7:L745,"Проведён"))</f>
        <v/>
      </c>
    </row>
    <row r="746" spans="1:23" x14ac:dyDescent="0.25">
      <c r="A746" s="22"/>
      <c r="B746" s="23"/>
      <c r="C746" s="22"/>
      <c r="D746" s="22"/>
      <c r="E746" s="27"/>
      <c r="F746" s="22"/>
      <c r="G746" s="22"/>
      <c r="H746" s="22"/>
      <c r="I746" s="22"/>
      <c r="J746" s="22"/>
      <c r="K746" s="22"/>
      <c r="L746" s="22"/>
      <c r="M746" s="22"/>
      <c r="N746" s="27"/>
      <c r="O746" s="22"/>
      <c r="P746" s="5" t="str">
        <f>IF(A746="","",IF(COUNTIF(Типы,C746)=0,0,VLOOKUP(C746,СПРАВОЧНИКИ!$A$7:$E$22,2,FALSE)))</f>
        <v/>
      </c>
      <c r="Q746" s="25" t="str">
        <f t="shared" si="11"/>
        <v/>
      </c>
      <c r="R746" s="5" t="str">
        <f>IF(A746="","",IF(COUNTIF(Типы,C746)=0,"НЕИЗВЕСТНЫЙ ТИП",VLOOKUP(C746,СПРАВОЧНИКИ!$A$7:$E$22,3,FALSE)))</f>
        <v/>
      </c>
      <c r="S746" s="26" t="str">
        <f>IF(A746="","",IF(L746="Проведён",E746*IF(COUNTIF(Типы,C746)=0,0,VLOOKUP(C746,СПРАВОЧНИКИ!$A$7:$E$22,4,FALSE)),0))</f>
        <v/>
      </c>
      <c r="T746" s="26" t="str">
        <f>IF(A746="","",IF(L746="Проведён",E746*IF(COUNTIF(Типы,C746)=0,0,VLOOKUP(C746,СПРАВОЧНИКИ!$A$7:$E$22,5,FALSE)),0))</f>
        <v/>
      </c>
      <c r="U746" s="5" t="str">
        <f>IF(A746="","",IF(COUNTIF(Контрагенты,H746)=0,"Не задан",VLOOKUP(H746,СПРАВОЧНИКИ!$G$7:$H$66,2,FALSE)))</f>
        <v/>
      </c>
      <c r="V746" s="4" t="str">
        <f>IF(A746="",IF(COUNTA(B746:O746)&gt;0,"НЕТ ID",""),IF(OR(AND(OR(C746="Оплата клиента",C746="Возврат клиенту"),COUNTIFS(Docs[ID],J746,Docs[Тип долга],"ДЗ")&lt;&gt;1),AND(OR(C746="Оплата поставщику",C746="Возврат поставщика"),COUNTIFS(Docs[ID],J746,Docs[Тип долга],"КЗ",Docs[Вид],"&lt;&gt;Дивиденды")&lt;&gt;1),AND(C746="Дивиденды",COUNTIFS(Docs[ID],J746,Docs[Вид],"Дивиденды")&lt;&gt;1),AND(C746="Проценты",COUNTIFS(Docs[ID],J746,Docs[Вид],"Проценты")&lt;&gt;1),COUNTIF(Cash[ID],A746)&gt;1,NOT(ISNUMBER(B746)),B746&lt;НачалоУчета,YEAR(B746)&lt;&gt;Год,NOT(ISNUMBER(E746)),E746&lt;=0,N746&lt;0,COUNTIF(Типы,C746)&lt;&gt;1,COUNTIF(Категории,D746)&lt;&gt;1,COUNTIF(Счета,F746)&lt;&gt;1,COUNTIF(Проекты,I746)&lt;&gt;1,AND(H746&lt;&gt;"",COUNTIF(Контрагенты,H746)&lt;&gt;1),AND(C746="Перевод",OR(F746=G746,COUNTIF(Счета,G746)&lt;&gt;1)),AND(S746&lt;&gt;0,COUNTIF(Docs[ID],J746)&lt;&gt;1),AND(Форма="ООО",C746="Вывод ИП"),AND(Форма="ИП",C746="Дивиденды"),AND(L746&lt;&gt;"Проведён",L746&lt;&gt;"Черновик")),"ОШИБКА","ОК"))</f>
        <v/>
      </c>
      <c r="W746" s="25" t="str">
        <f>IF(A746="","",SUMIF(Accounts[Счёт],F746,Accounts[Начальный])+SUMIFS($Q$7:Q746,$F$7:F746,F746)+SUMIFS($E$7:E746,$G$7:G746,F746,$C$7:C746,"Перевод",$L$7:L746,"Проведён"))</f>
        <v/>
      </c>
    </row>
    <row r="747" spans="1:23" x14ac:dyDescent="0.25">
      <c r="A747" s="22"/>
      <c r="B747" s="23"/>
      <c r="C747" s="22"/>
      <c r="D747" s="22"/>
      <c r="E747" s="27"/>
      <c r="F747" s="22"/>
      <c r="G747" s="22"/>
      <c r="H747" s="22"/>
      <c r="I747" s="22"/>
      <c r="J747" s="22"/>
      <c r="K747" s="22"/>
      <c r="L747" s="22"/>
      <c r="M747" s="22"/>
      <c r="N747" s="27"/>
      <c r="O747" s="22"/>
      <c r="P747" s="5" t="str">
        <f>IF(A747="","",IF(COUNTIF(Типы,C747)=0,0,VLOOKUP(C747,СПРАВОЧНИКИ!$A$7:$E$22,2,FALSE)))</f>
        <v/>
      </c>
      <c r="Q747" s="25" t="str">
        <f t="shared" si="11"/>
        <v/>
      </c>
      <c r="R747" s="5" t="str">
        <f>IF(A747="","",IF(COUNTIF(Типы,C747)=0,"НЕИЗВЕСТНЫЙ ТИП",VLOOKUP(C747,СПРАВОЧНИКИ!$A$7:$E$22,3,FALSE)))</f>
        <v/>
      </c>
      <c r="S747" s="26" t="str">
        <f>IF(A747="","",IF(L747="Проведён",E747*IF(COUNTIF(Типы,C747)=0,0,VLOOKUP(C747,СПРАВОЧНИКИ!$A$7:$E$22,4,FALSE)),0))</f>
        <v/>
      </c>
      <c r="T747" s="26" t="str">
        <f>IF(A747="","",IF(L747="Проведён",E747*IF(COUNTIF(Типы,C747)=0,0,VLOOKUP(C747,СПРАВОЧНИКИ!$A$7:$E$22,5,FALSE)),0))</f>
        <v/>
      </c>
      <c r="U747" s="5" t="str">
        <f>IF(A747="","",IF(COUNTIF(Контрагенты,H747)=0,"Не задан",VLOOKUP(H747,СПРАВОЧНИКИ!$G$7:$H$66,2,FALSE)))</f>
        <v/>
      </c>
      <c r="V747" s="4" t="str">
        <f>IF(A747="",IF(COUNTA(B747:O747)&gt;0,"НЕТ ID",""),IF(OR(AND(OR(C747="Оплата клиента",C747="Возврат клиенту"),COUNTIFS(Docs[ID],J747,Docs[Тип долга],"ДЗ")&lt;&gt;1),AND(OR(C747="Оплата поставщику",C747="Возврат поставщика"),COUNTIFS(Docs[ID],J747,Docs[Тип долга],"КЗ",Docs[Вид],"&lt;&gt;Дивиденды")&lt;&gt;1),AND(C747="Дивиденды",COUNTIFS(Docs[ID],J747,Docs[Вид],"Дивиденды")&lt;&gt;1),AND(C747="Проценты",COUNTIFS(Docs[ID],J747,Docs[Вид],"Проценты")&lt;&gt;1),COUNTIF(Cash[ID],A747)&gt;1,NOT(ISNUMBER(B747)),B747&lt;НачалоУчета,YEAR(B747)&lt;&gt;Год,NOT(ISNUMBER(E747)),E747&lt;=0,N747&lt;0,COUNTIF(Типы,C747)&lt;&gt;1,COUNTIF(Категории,D747)&lt;&gt;1,COUNTIF(Счета,F747)&lt;&gt;1,COUNTIF(Проекты,I747)&lt;&gt;1,AND(H747&lt;&gt;"",COUNTIF(Контрагенты,H747)&lt;&gt;1),AND(C747="Перевод",OR(F747=G747,COUNTIF(Счета,G747)&lt;&gt;1)),AND(S747&lt;&gt;0,COUNTIF(Docs[ID],J747)&lt;&gt;1),AND(Форма="ООО",C747="Вывод ИП"),AND(Форма="ИП",C747="Дивиденды"),AND(L747&lt;&gt;"Проведён",L747&lt;&gt;"Черновик")),"ОШИБКА","ОК"))</f>
        <v/>
      </c>
      <c r="W747" s="25" t="str">
        <f>IF(A747="","",SUMIF(Accounts[Счёт],F747,Accounts[Начальный])+SUMIFS($Q$7:Q747,$F$7:F747,F747)+SUMIFS($E$7:E747,$G$7:G747,F747,$C$7:C747,"Перевод",$L$7:L747,"Проведён"))</f>
        <v/>
      </c>
    </row>
    <row r="748" spans="1:23" x14ac:dyDescent="0.25">
      <c r="A748" s="22"/>
      <c r="B748" s="23"/>
      <c r="C748" s="22"/>
      <c r="D748" s="22"/>
      <c r="E748" s="27"/>
      <c r="F748" s="22"/>
      <c r="G748" s="22"/>
      <c r="H748" s="22"/>
      <c r="I748" s="22"/>
      <c r="J748" s="22"/>
      <c r="K748" s="22"/>
      <c r="L748" s="22"/>
      <c r="M748" s="22"/>
      <c r="N748" s="27"/>
      <c r="O748" s="22"/>
      <c r="P748" s="5" t="str">
        <f>IF(A748="","",IF(COUNTIF(Типы,C748)=0,0,VLOOKUP(C748,СПРАВОЧНИКИ!$A$7:$E$22,2,FALSE)))</f>
        <v/>
      </c>
      <c r="Q748" s="25" t="str">
        <f t="shared" si="11"/>
        <v/>
      </c>
      <c r="R748" s="5" t="str">
        <f>IF(A748="","",IF(COUNTIF(Типы,C748)=0,"НЕИЗВЕСТНЫЙ ТИП",VLOOKUP(C748,СПРАВОЧНИКИ!$A$7:$E$22,3,FALSE)))</f>
        <v/>
      </c>
      <c r="S748" s="26" t="str">
        <f>IF(A748="","",IF(L748="Проведён",E748*IF(COUNTIF(Типы,C748)=0,0,VLOOKUP(C748,СПРАВОЧНИКИ!$A$7:$E$22,4,FALSE)),0))</f>
        <v/>
      </c>
      <c r="T748" s="26" t="str">
        <f>IF(A748="","",IF(L748="Проведён",E748*IF(COUNTIF(Типы,C748)=0,0,VLOOKUP(C748,СПРАВОЧНИКИ!$A$7:$E$22,5,FALSE)),0))</f>
        <v/>
      </c>
      <c r="U748" s="5" t="str">
        <f>IF(A748="","",IF(COUNTIF(Контрагенты,H748)=0,"Не задан",VLOOKUP(H748,СПРАВОЧНИКИ!$G$7:$H$66,2,FALSE)))</f>
        <v/>
      </c>
      <c r="V748" s="4" t="str">
        <f>IF(A748="",IF(COUNTA(B748:O748)&gt;0,"НЕТ ID",""),IF(OR(AND(OR(C748="Оплата клиента",C748="Возврат клиенту"),COUNTIFS(Docs[ID],J748,Docs[Тип долга],"ДЗ")&lt;&gt;1),AND(OR(C748="Оплата поставщику",C748="Возврат поставщика"),COUNTIFS(Docs[ID],J748,Docs[Тип долга],"КЗ",Docs[Вид],"&lt;&gt;Дивиденды")&lt;&gt;1),AND(C748="Дивиденды",COUNTIFS(Docs[ID],J748,Docs[Вид],"Дивиденды")&lt;&gt;1),AND(C748="Проценты",COUNTIFS(Docs[ID],J748,Docs[Вид],"Проценты")&lt;&gt;1),COUNTIF(Cash[ID],A748)&gt;1,NOT(ISNUMBER(B748)),B748&lt;НачалоУчета,YEAR(B748)&lt;&gt;Год,NOT(ISNUMBER(E748)),E748&lt;=0,N748&lt;0,COUNTIF(Типы,C748)&lt;&gt;1,COUNTIF(Категории,D748)&lt;&gt;1,COUNTIF(Счета,F748)&lt;&gt;1,COUNTIF(Проекты,I748)&lt;&gt;1,AND(H748&lt;&gt;"",COUNTIF(Контрагенты,H748)&lt;&gt;1),AND(C748="Перевод",OR(F748=G748,COUNTIF(Счета,G748)&lt;&gt;1)),AND(S748&lt;&gt;0,COUNTIF(Docs[ID],J748)&lt;&gt;1),AND(Форма="ООО",C748="Вывод ИП"),AND(Форма="ИП",C748="Дивиденды"),AND(L748&lt;&gt;"Проведён",L748&lt;&gt;"Черновик")),"ОШИБКА","ОК"))</f>
        <v/>
      </c>
      <c r="W748" s="25" t="str">
        <f>IF(A748="","",SUMIF(Accounts[Счёт],F748,Accounts[Начальный])+SUMIFS($Q$7:Q748,$F$7:F748,F748)+SUMIFS($E$7:E748,$G$7:G748,F748,$C$7:C748,"Перевод",$L$7:L748,"Проведён"))</f>
        <v/>
      </c>
    </row>
    <row r="749" spans="1:23" x14ac:dyDescent="0.25">
      <c r="A749" s="22"/>
      <c r="B749" s="23"/>
      <c r="C749" s="22"/>
      <c r="D749" s="22"/>
      <c r="E749" s="27"/>
      <c r="F749" s="22"/>
      <c r="G749" s="22"/>
      <c r="H749" s="22"/>
      <c r="I749" s="22"/>
      <c r="J749" s="22"/>
      <c r="K749" s="22"/>
      <c r="L749" s="22"/>
      <c r="M749" s="22"/>
      <c r="N749" s="27"/>
      <c r="O749" s="22"/>
      <c r="P749" s="5" t="str">
        <f>IF(A749="","",IF(COUNTIF(Типы,C749)=0,0,VLOOKUP(C749,СПРАВОЧНИКИ!$A$7:$E$22,2,FALSE)))</f>
        <v/>
      </c>
      <c r="Q749" s="25" t="str">
        <f t="shared" si="11"/>
        <v/>
      </c>
      <c r="R749" s="5" t="str">
        <f>IF(A749="","",IF(COUNTIF(Типы,C749)=0,"НЕИЗВЕСТНЫЙ ТИП",VLOOKUP(C749,СПРАВОЧНИКИ!$A$7:$E$22,3,FALSE)))</f>
        <v/>
      </c>
      <c r="S749" s="26" t="str">
        <f>IF(A749="","",IF(L749="Проведён",E749*IF(COUNTIF(Типы,C749)=0,0,VLOOKUP(C749,СПРАВОЧНИКИ!$A$7:$E$22,4,FALSE)),0))</f>
        <v/>
      </c>
      <c r="T749" s="26" t="str">
        <f>IF(A749="","",IF(L749="Проведён",E749*IF(COUNTIF(Типы,C749)=0,0,VLOOKUP(C749,СПРАВОЧНИКИ!$A$7:$E$22,5,FALSE)),0))</f>
        <v/>
      </c>
      <c r="U749" s="5" t="str">
        <f>IF(A749="","",IF(COUNTIF(Контрагенты,H749)=0,"Не задан",VLOOKUP(H749,СПРАВОЧНИКИ!$G$7:$H$66,2,FALSE)))</f>
        <v/>
      </c>
      <c r="V749" s="4" t="str">
        <f>IF(A749="",IF(COUNTA(B749:O749)&gt;0,"НЕТ ID",""),IF(OR(AND(OR(C749="Оплата клиента",C749="Возврат клиенту"),COUNTIFS(Docs[ID],J749,Docs[Тип долга],"ДЗ")&lt;&gt;1),AND(OR(C749="Оплата поставщику",C749="Возврат поставщика"),COUNTIFS(Docs[ID],J749,Docs[Тип долга],"КЗ",Docs[Вид],"&lt;&gt;Дивиденды")&lt;&gt;1),AND(C749="Дивиденды",COUNTIFS(Docs[ID],J749,Docs[Вид],"Дивиденды")&lt;&gt;1),AND(C749="Проценты",COUNTIFS(Docs[ID],J749,Docs[Вид],"Проценты")&lt;&gt;1),COUNTIF(Cash[ID],A749)&gt;1,NOT(ISNUMBER(B749)),B749&lt;НачалоУчета,YEAR(B749)&lt;&gt;Год,NOT(ISNUMBER(E749)),E749&lt;=0,N749&lt;0,COUNTIF(Типы,C749)&lt;&gt;1,COUNTIF(Категории,D749)&lt;&gt;1,COUNTIF(Счета,F749)&lt;&gt;1,COUNTIF(Проекты,I749)&lt;&gt;1,AND(H749&lt;&gt;"",COUNTIF(Контрагенты,H749)&lt;&gt;1),AND(C749="Перевод",OR(F749=G749,COUNTIF(Счета,G749)&lt;&gt;1)),AND(S749&lt;&gt;0,COUNTIF(Docs[ID],J749)&lt;&gt;1),AND(Форма="ООО",C749="Вывод ИП"),AND(Форма="ИП",C749="Дивиденды"),AND(L749&lt;&gt;"Проведён",L749&lt;&gt;"Черновик")),"ОШИБКА","ОК"))</f>
        <v/>
      </c>
      <c r="W749" s="25" t="str">
        <f>IF(A749="","",SUMIF(Accounts[Счёт],F749,Accounts[Начальный])+SUMIFS($Q$7:Q749,$F$7:F749,F749)+SUMIFS($E$7:E749,$G$7:G749,F749,$C$7:C749,"Перевод",$L$7:L749,"Проведён"))</f>
        <v/>
      </c>
    </row>
    <row r="750" spans="1:23" x14ac:dyDescent="0.25">
      <c r="A750" s="22"/>
      <c r="B750" s="23"/>
      <c r="C750" s="22"/>
      <c r="D750" s="22"/>
      <c r="E750" s="27"/>
      <c r="F750" s="22"/>
      <c r="G750" s="22"/>
      <c r="H750" s="22"/>
      <c r="I750" s="22"/>
      <c r="J750" s="22"/>
      <c r="K750" s="22"/>
      <c r="L750" s="22"/>
      <c r="M750" s="22"/>
      <c r="N750" s="27"/>
      <c r="O750" s="22"/>
      <c r="P750" s="5" t="str">
        <f>IF(A750="","",IF(COUNTIF(Типы,C750)=0,0,VLOOKUP(C750,СПРАВОЧНИКИ!$A$7:$E$22,2,FALSE)))</f>
        <v/>
      </c>
      <c r="Q750" s="25" t="str">
        <f t="shared" si="11"/>
        <v/>
      </c>
      <c r="R750" s="5" t="str">
        <f>IF(A750="","",IF(COUNTIF(Типы,C750)=0,"НЕИЗВЕСТНЫЙ ТИП",VLOOKUP(C750,СПРАВОЧНИКИ!$A$7:$E$22,3,FALSE)))</f>
        <v/>
      </c>
      <c r="S750" s="26" t="str">
        <f>IF(A750="","",IF(L750="Проведён",E750*IF(COUNTIF(Типы,C750)=0,0,VLOOKUP(C750,СПРАВОЧНИКИ!$A$7:$E$22,4,FALSE)),0))</f>
        <v/>
      </c>
      <c r="T750" s="26" t="str">
        <f>IF(A750="","",IF(L750="Проведён",E750*IF(COUNTIF(Типы,C750)=0,0,VLOOKUP(C750,СПРАВОЧНИКИ!$A$7:$E$22,5,FALSE)),0))</f>
        <v/>
      </c>
      <c r="U750" s="5" t="str">
        <f>IF(A750="","",IF(COUNTIF(Контрагенты,H750)=0,"Не задан",VLOOKUP(H750,СПРАВОЧНИКИ!$G$7:$H$66,2,FALSE)))</f>
        <v/>
      </c>
      <c r="V750" s="4" t="str">
        <f>IF(A750="",IF(COUNTA(B750:O750)&gt;0,"НЕТ ID",""),IF(OR(AND(OR(C750="Оплата клиента",C750="Возврат клиенту"),COUNTIFS(Docs[ID],J750,Docs[Тип долга],"ДЗ")&lt;&gt;1),AND(OR(C750="Оплата поставщику",C750="Возврат поставщика"),COUNTIFS(Docs[ID],J750,Docs[Тип долга],"КЗ",Docs[Вид],"&lt;&gt;Дивиденды")&lt;&gt;1),AND(C750="Дивиденды",COUNTIFS(Docs[ID],J750,Docs[Вид],"Дивиденды")&lt;&gt;1),AND(C750="Проценты",COUNTIFS(Docs[ID],J750,Docs[Вид],"Проценты")&lt;&gt;1),COUNTIF(Cash[ID],A750)&gt;1,NOT(ISNUMBER(B750)),B750&lt;НачалоУчета,YEAR(B750)&lt;&gt;Год,NOT(ISNUMBER(E750)),E750&lt;=0,N750&lt;0,COUNTIF(Типы,C750)&lt;&gt;1,COUNTIF(Категории,D750)&lt;&gt;1,COUNTIF(Счета,F750)&lt;&gt;1,COUNTIF(Проекты,I750)&lt;&gt;1,AND(H750&lt;&gt;"",COUNTIF(Контрагенты,H750)&lt;&gt;1),AND(C750="Перевод",OR(F750=G750,COUNTIF(Счета,G750)&lt;&gt;1)),AND(S750&lt;&gt;0,COUNTIF(Docs[ID],J750)&lt;&gt;1),AND(Форма="ООО",C750="Вывод ИП"),AND(Форма="ИП",C750="Дивиденды"),AND(L750&lt;&gt;"Проведён",L750&lt;&gt;"Черновик")),"ОШИБКА","ОК"))</f>
        <v/>
      </c>
      <c r="W750" s="25" t="str">
        <f>IF(A750="","",SUMIF(Accounts[Счёт],F750,Accounts[Начальный])+SUMIFS($Q$7:Q750,$F$7:F750,F750)+SUMIFS($E$7:E750,$G$7:G750,F750,$C$7:C750,"Перевод",$L$7:L750,"Проведён"))</f>
        <v/>
      </c>
    </row>
    <row r="751" spans="1:23" x14ac:dyDescent="0.25">
      <c r="A751" s="22"/>
      <c r="B751" s="23"/>
      <c r="C751" s="22"/>
      <c r="D751" s="22"/>
      <c r="E751" s="27"/>
      <c r="F751" s="22"/>
      <c r="G751" s="22"/>
      <c r="H751" s="22"/>
      <c r="I751" s="22"/>
      <c r="J751" s="22"/>
      <c r="K751" s="22"/>
      <c r="L751" s="22"/>
      <c r="M751" s="22"/>
      <c r="N751" s="27"/>
      <c r="O751" s="22"/>
      <c r="P751" s="5" t="str">
        <f>IF(A751="","",IF(COUNTIF(Типы,C751)=0,0,VLOOKUP(C751,СПРАВОЧНИКИ!$A$7:$E$22,2,FALSE)))</f>
        <v/>
      </c>
      <c r="Q751" s="25" t="str">
        <f t="shared" si="11"/>
        <v/>
      </c>
      <c r="R751" s="5" t="str">
        <f>IF(A751="","",IF(COUNTIF(Типы,C751)=0,"НЕИЗВЕСТНЫЙ ТИП",VLOOKUP(C751,СПРАВОЧНИКИ!$A$7:$E$22,3,FALSE)))</f>
        <v/>
      </c>
      <c r="S751" s="26" t="str">
        <f>IF(A751="","",IF(L751="Проведён",E751*IF(COUNTIF(Типы,C751)=0,0,VLOOKUP(C751,СПРАВОЧНИКИ!$A$7:$E$22,4,FALSE)),0))</f>
        <v/>
      </c>
      <c r="T751" s="26" t="str">
        <f>IF(A751="","",IF(L751="Проведён",E751*IF(COUNTIF(Типы,C751)=0,0,VLOOKUP(C751,СПРАВОЧНИКИ!$A$7:$E$22,5,FALSE)),0))</f>
        <v/>
      </c>
      <c r="U751" s="5" t="str">
        <f>IF(A751="","",IF(COUNTIF(Контрагенты,H751)=0,"Не задан",VLOOKUP(H751,СПРАВОЧНИКИ!$G$7:$H$66,2,FALSE)))</f>
        <v/>
      </c>
      <c r="V751" s="4" t="str">
        <f>IF(A751="",IF(COUNTA(B751:O751)&gt;0,"НЕТ ID",""),IF(OR(AND(OR(C751="Оплата клиента",C751="Возврат клиенту"),COUNTIFS(Docs[ID],J751,Docs[Тип долга],"ДЗ")&lt;&gt;1),AND(OR(C751="Оплата поставщику",C751="Возврат поставщика"),COUNTIFS(Docs[ID],J751,Docs[Тип долга],"КЗ",Docs[Вид],"&lt;&gt;Дивиденды")&lt;&gt;1),AND(C751="Дивиденды",COUNTIFS(Docs[ID],J751,Docs[Вид],"Дивиденды")&lt;&gt;1),AND(C751="Проценты",COUNTIFS(Docs[ID],J751,Docs[Вид],"Проценты")&lt;&gt;1),COUNTIF(Cash[ID],A751)&gt;1,NOT(ISNUMBER(B751)),B751&lt;НачалоУчета,YEAR(B751)&lt;&gt;Год,NOT(ISNUMBER(E751)),E751&lt;=0,N751&lt;0,COUNTIF(Типы,C751)&lt;&gt;1,COUNTIF(Категории,D751)&lt;&gt;1,COUNTIF(Счета,F751)&lt;&gt;1,COUNTIF(Проекты,I751)&lt;&gt;1,AND(H751&lt;&gt;"",COUNTIF(Контрагенты,H751)&lt;&gt;1),AND(C751="Перевод",OR(F751=G751,COUNTIF(Счета,G751)&lt;&gt;1)),AND(S751&lt;&gt;0,COUNTIF(Docs[ID],J751)&lt;&gt;1),AND(Форма="ООО",C751="Вывод ИП"),AND(Форма="ИП",C751="Дивиденды"),AND(L751&lt;&gt;"Проведён",L751&lt;&gt;"Черновик")),"ОШИБКА","ОК"))</f>
        <v/>
      </c>
      <c r="W751" s="25" t="str">
        <f>IF(A751="","",SUMIF(Accounts[Счёт],F751,Accounts[Начальный])+SUMIFS($Q$7:Q751,$F$7:F751,F751)+SUMIFS($E$7:E751,$G$7:G751,F751,$C$7:C751,"Перевод",$L$7:L751,"Проведён"))</f>
        <v/>
      </c>
    </row>
    <row r="752" spans="1:23" x14ac:dyDescent="0.25">
      <c r="A752" s="22"/>
      <c r="B752" s="23"/>
      <c r="C752" s="22"/>
      <c r="D752" s="22"/>
      <c r="E752" s="27"/>
      <c r="F752" s="22"/>
      <c r="G752" s="22"/>
      <c r="H752" s="22"/>
      <c r="I752" s="22"/>
      <c r="J752" s="22"/>
      <c r="K752" s="22"/>
      <c r="L752" s="22"/>
      <c r="M752" s="22"/>
      <c r="N752" s="27"/>
      <c r="O752" s="22"/>
      <c r="P752" s="5" t="str">
        <f>IF(A752="","",IF(COUNTIF(Типы,C752)=0,0,VLOOKUP(C752,СПРАВОЧНИКИ!$A$7:$E$22,2,FALSE)))</f>
        <v/>
      </c>
      <c r="Q752" s="25" t="str">
        <f t="shared" si="11"/>
        <v/>
      </c>
      <c r="R752" s="5" t="str">
        <f>IF(A752="","",IF(COUNTIF(Типы,C752)=0,"НЕИЗВЕСТНЫЙ ТИП",VLOOKUP(C752,СПРАВОЧНИКИ!$A$7:$E$22,3,FALSE)))</f>
        <v/>
      </c>
      <c r="S752" s="26" t="str">
        <f>IF(A752="","",IF(L752="Проведён",E752*IF(COUNTIF(Типы,C752)=0,0,VLOOKUP(C752,СПРАВОЧНИКИ!$A$7:$E$22,4,FALSE)),0))</f>
        <v/>
      </c>
      <c r="T752" s="26" t="str">
        <f>IF(A752="","",IF(L752="Проведён",E752*IF(COUNTIF(Типы,C752)=0,0,VLOOKUP(C752,СПРАВОЧНИКИ!$A$7:$E$22,5,FALSE)),0))</f>
        <v/>
      </c>
      <c r="U752" s="5" t="str">
        <f>IF(A752="","",IF(COUNTIF(Контрагенты,H752)=0,"Не задан",VLOOKUP(H752,СПРАВОЧНИКИ!$G$7:$H$66,2,FALSE)))</f>
        <v/>
      </c>
      <c r="V752" s="4" t="str">
        <f>IF(A752="",IF(COUNTA(B752:O752)&gt;0,"НЕТ ID",""),IF(OR(AND(OR(C752="Оплата клиента",C752="Возврат клиенту"),COUNTIFS(Docs[ID],J752,Docs[Тип долга],"ДЗ")&lt;&gt;1),AND(OR(C752="Оплата поставщику",C752="Возврат поставщика"),COUNTIFS(Docs[ID],J752,Docs[Тип долга],"КЗ",Docs[Вид],"&lt;&gt;Дивиденды")&lt;&gt;1),AND(C752="Дивиденды",COUNTIFS(Docs[ID],J752,Docs[Вид],"Дивиденды")&lt;&gt;1),AND(C752="Проценты",COUNTIFS(Docs[ID],J752,Docs[Вид],"Проценты")&lt;&gt;1),COUNTIF(Cash[ID],A752)&gt;1,NOT(ISNUMBER(B752)),B752&lt;НачалоУчета,YEAR(B752)&lt;&gt;Год,NOT(ISNUMBER(E752)),E752&lt;=0,N752&lt;0,COUNTIF(Типы,C752)&lt;&gt;1,COUNTIF(Категории,D752)&lt;&gt;1,COUNTIF(Счета,F752)&lt;&gt;1,COUNTIF(Проекты,I752)&lt;&gt;1,AND(H752&lt;&gt;"",COUNTIF(Контрагенты,H752)&lt;&gt;1),AND(C752="Перевод",OR(F752=G752,COUNTIF(Счета,G752)&lt;&gt;1)),AND(S752&lt;&gt;0,COUNTIF(Docs[ID],J752)&lt;&gt;1),AND(Форма="ООО",C752="Вывод ИП"),AND(Форма="ИП",C752="Дивиденды"),AND(L752&lt;&gt;"Проведён",L752&lt;&gt;"Черновик")),"ОШИБКА","ОК"))</f>
        <v/>
      </c>
      <c r="W752" s="25" t="str">
        <f>IF(A752="","",SUMIF(Accounts[Счёт],F752,Accounts[Начальный])+SUMIFS($Q$7:Q752,$F$7:F752,F752)+SUMIFS($E$7:E752,$G$7:G752,F752,$C$7:C752,"Перевод",$L$7:L752,"Проведён"))</f>
        <v/>
      </c>
    </row>
    <row r="753" spans="1:23" x14ac:dyDescent="0.25">
      <c r="A753" s="22"/>
      <c r="B753" s="23"/>
      <c r="C753" s="22"/>
      <c r="D753" s="22"/>
      <c r="E753" s="27"/>
      <c r="F753" s="22"/>
      <c r="G753" s="22"/>
      <c r="H753" s="22"/>
      <c r="I753" s="22"/>
      <c r="J753" s="22"/>
      <c r="K753" s="22"/>
      <c r="L753" s="22"/>
      <c r="M753" s="22"/>
      <c r="N753" s="27"/>
      <c r="O753" s="22"/>
      <c r="P753" s="5" t="str">
        <f>IF(A753="","",IF(COUNTIF(Типы,C753)=0,0,VLOOKUP(C753,СПРАВОЧНИКИ!$A$7:$E$22,2,FALSE)))</f>
        <v/>
      </c>
      <c r="Q753" s="25" t="str">
        <f t="shared" si="11"/>
        <v/>
      </c>
      <c r="R753" s="5" t="str">
        <f>IF(A753="","",IF(COUNTIF(Типы,C753)=0,"НЕИЗВЕСТНЫЙ ТИП",VLOOKUP(C753,СПРАВОЧНИКИ!$A$7:$E$22,3,FALSE)))</f>
        <v/>
      </c>
      <c r="S753" s="26" t="str">
        <f>IF(A753="","",IF(L753="Проведён",E753*IF(COUNTIF(Типы,C753)=0,0,VLOOKUP(C753,СПРАВОЧНИКИ!$A$7:$E$22,4,FALSE)),0))</f>
        <v/>
      </c>
      <c r="T753" s="26" t="str">
        <f>IF(A753="","",IF(L753="Проведён",E753*IF(COUNTIF(Типы,C753)=0,0,VLOOKUP(C753,СПРАВОЧНИКИ!$A$7:$E$22,5,FALSE)),0))</f>
        <v/>
      </c>
      <c r="U753" s="5" t="str">
        <f>IF(A753="","",IF(COUNTIF(Контрагенты,H753)=0,"Не задан",VLOOKUP(H753,СПРАВОЧНИКИ!$G$7:$H$66,2,FALSE)))</f>
        <v/>
      </c>
      <c r="V753" s="4" t="str">
        <f>IF(A753="",IF(COUNTA(B753:O753)&gt;0,"НЕТ ID",""),IF(OR(AND(OR(C753="Оплата клиента",C753="Возврат клиенту"),COUNTIFS(Docs[ID],J753,Docs[Тип долга],"ДЗ")&lt;&gt;1),AND(OR(C753="Оплата поставщику",C753="Возврат поставщика"),COUNTIFS(Docs[ID],J753,Docs[Тип долга],"КЗ",Docs[Вид],"&lt;&gt;Дивиденды")&lt;&gt;1),AND(C753="Дивиденды",COUNTIFS(Docs[ID],J753,Docs[Вид],"Дивиденды")&lt;&gt;1),AND(C753="Проценты",COUNTIFS(Docs[ID],J753,Docs[Вид],"Проценты")&lt;&gt;1),COUNTIF(Cash[ID],A753)&gt;1,NOT(ISNUMBER(B753)),B753&lt;НачалоУчета,YEAR(B753)&lt;&gt;Год,NOT(ISNUMBER(E753)),E753&lt;=0,N753&lt;0,COUNTIF(Типы,C753)&lt;&gt;1,COUNTIF(Категории,D753)&lt;&gt;1,COUNTIF(Счета,F753)&lt;&gt;1,COUNTIF(Проекты,I753)&lt;&gt;1,AND(H753&lt;&gt;"",COUNTIF(Контрагенты,H753)&lt;&gt;1),AND(C753="Перевод",OR(F753=G753,COUNTIF(Счета,G753)&lt;&gt;1)),AND(S753&lt;&gt;0,COUNTIF(Docs[ID],J753)&lt;&gt;1),AND(Форма="ООО",C753="Вывод ИП"),AND(Форма="ИП",C753="Дивиденды"),AND(L753&lt;&gt;"Проведён",L753&lt;&gt;"Черновик")),"ОШИБКА","ОК"))</f>
        <v/>
      </c>
      <c r="W753" s="25" t="str">
        <f>IF(A753="","",SUMIF(Accounts[Счёт],F753,Accounts[Начальный])+SUMIFS($Q$7:Q753,$F$7:F753,F753)+SUMIFS($E$7:E753,$G$7:G753,F753,$C$7:C753,"Перевод",$L$7:L753,"Проведён"))</f>
        <v/>
      </c>
    </row>
    <row r="754" spans="1:23" x14ac:dyDescent="0.25">
      <c r="A754" s="22"/>
      <c r="B754" s="23"/>
      <c r="C754" s="22"/>
      <c r="D754" s="22"/>
      <c r="E754" s="27"/>
      <c r="F754" s="22"/>
      <c r="G754" s="22"/>
      <c r="H754" s="22"/>
      <c r="I754" s="22"/>
      <c r="J754" s="22"/>
      <c r="K754" s="22"/>
      <c r="L754" s="22"/>
      <c r="M754" s="22"/>
      <c r="N754" s="27"/>
      <c r="O754" s="22"/>
      <c r="P754" s="5" t="str">
        <f>IF(A754="","",IF(COUNTIF(Типы,C754)=0,0,VLOOKUP(C754,СПРАВОЧНИКИ!$A$7:$E$22,2,FALSE)))</f>
        <v/>
      </c>
      <c r="Q754" s="25" t="str">
        <f t="shared" si="11"/>
        <v/>
      </c>
      <c r="R754" s="5" t="str">
        <f>IF(A754="","",IF(COUNTIF(Типы,C754)=0,"НЕИЗВЕСТНЫЙ ТИП",VLOOKUP(C754,СПРАВОЧНИКИ!$A$7:$E$22,3,FALSE)))</f>
        <v/>
      </c>
      <c r="S754" s="26" t="str">
        <f>IF(A754="","",IF(L754="Проведён",E754*IF(COUNTIF(Типы,C754)=0,0,VLOOKUP(C754,СПРАВОЧНИКИ!$A$7:$E$22,4,FALSE)),0))</f>
        <v/>
      </c>
      <c r="T754" s="26" t="str">
        <f>IF(A754="","",IF(L754="Проведён",E754*IF(COUNTIF(Типы,C754)=0,0,VLOOKUP(C754,СПРАВОЧНИКИ!$A$7:$E$22,5,FALSE)),0))</f>
        <v/>
      </c>
      <c r="U754" s="5" t="str">
        <f>IF(A754="","",IF(COUNTIF(Контрагенты,H754)=0,"Не задан",VLOOKUP(H754,СПРАВОЧНИКИ!$G$7:$H$66,2,FALSE)))</f>
        <v/>
      </c>
      <c r="V754" s="4" t="str">
        <f>IF(A754="",IF(COUNTA(B754:O754)&gt;0,"НЕТ ID",""),IF(OR(AND(OR(C754="Оплата клиента",C754="Возврат клиенту"),COUNTIFS(Docs[ID],J754,Docs[Тип долга],"ДЗ")&lt;&gt;1),AND(OR(C754="Оплата поставщику",C754="Возврат поставщика"),COUNTIFS(Docs[ID],J754,Docs[Тип долга],"КЗ",Docs[Вид],"&lt;&gt;Дивиденды")&lt;&gt;1),AND(C754="Дивиденды",COUNTIFS(Docs[ID],J754,Docs[Вид],"Дивиденды")&lt;&gt;1),AND(C754="Проценты",COUNTIFS(Docs[ID],J754,Docs[Вид],"Проценты")&lt;&gt;1),COUNTIF(Cash[ID],A754)&gt;1,NOT(ISNUMBER(B754)),B754&lt;НачалоУчета,YEAR(B754)&lt;&gt;Год,NOT(ISNUMBER(E754)),E754&lt;=0,N754&lt;0,COUNTIF(Типы,C754)&lt;&gt;1,COUNTIF(Категории,D754)&lt;&gt;1,COUNTIF(Счета,F754)&lt;&gt;1,COUNTIF(Проекты,I754)&lt;&gt;1,AND(H754&lt;&gt;"",COUNTIF(Контрагенты,H754)&lt;&gt;1),AND(C754="Перевод",OR(F754=G754,COUNTIF(Счета,G754)&lt;&gt;1)),AND(S754&lt;&gt;0,COUNTIF(Docs[ID],J754)&lt;&gt;1),AND(Форма="ООО",C754="Вывод ИП"),AND(Форма="ИП",C754="Дивиденды"),AND(L754&lt;&gt;"Проведён",L754&lt;&gt;"Черновик")),"ОШИБКА","ОК"))</f>
        <v/>
      </c>
      <c r="W754" s="25" t="str">
        <f>IF(A754="","",SUMIF(Accounts[Счёт],F754,Accounts[Начальный])+SUMIFS($Q$7:Q754,$F$7:F754,F754)+SUMIFS($E$7:E754,$G$7:G754,F754,$C$7:C754,"Перевод",$L$7:L754,"Проведён"))</f>
        <v/>
      </c>
    </row>
    <row r="755" spans="1:23" x14ac:dyDescent="0.25">
      <c r="A755" s="22"/>
      <c r="B755" s="23"/>
      <c r="C755" s="22"/>
      <c r="D755" s="22"/>
      <c r="E755" s="27"/>
      <c r="F755" s="22"/>
      <c r="G755" s="22"/>
      <c r="H755" s="22"/>
      <c r="I755" s="22"/>
      <c r="J755" s="22"/>
      <c r="K755" s="22"/>
      <c r="L755" s="22"/>
      <c r="M755" s="22"/>
      <c r="N755" s="27"/>
      <c r="O755" s="22"/>
      <c r="P755" s="5" t="str">
        <f>IF(A755="","",IF(COUNTIF(Типы,C755)=0,0,VLOOKUP(C755,СПРАВОЧНИКИ!$A$7:$E$22,2,FALSE)))</f>
        <v/>
      </c>
      <c r="Q755" s="25" t="str">
        <f t="shared" si="11"/>
        <v/>
      </c>
      <c r="R755" s="5" t="str">
        <f>IF(A755="","",IF(COUNTIF(Типы,C755)=0,"НЕИЗВЕСТНЫЙ ТИП",VLOOKUP(C755,СПРАВОЧНИКИ!$A$7:$E$22,3,FALSE)))</f>
        <v/>
      </c>
      <c r="S755" s="26" t="str">
        <f>IF(A755="","",IF(L755="Проведён",E755*IF(COUNTIF(Типы,C755)=0,0,VLOOKUP(C755,СПРАВОЧНИКИ!$A$7:$E$22,4,FALSE)),0))</f>
        <v/>
      </c>
      <c r="T755" s="26" t="str">
        <f>IF(A755="","",IF(L755="Проведён",E755*IF(COUNTIF(Типы,C755)=0,0,VLOOKUP(C755,СПРАВОЧНИКИ!$A$7:$E$22,5,FALSE)),0))</f>
        <v/>
      </c>
      <c r="U755" s="5" t="str">
        <f>IF(A755="","",IF(COUNTIF(Контрагенты,H755)=0,"Не задан",VLOOKUP(H755,СПРАВОЧНИКИ!$G$7:$H$66,2,FALSE)))</f>
        <v/>
      </c>
      <c r="V755" s="4" t="str">
        <f>IF(A755="",IF(COUNTA(B755:O755)&gt;0,"НЕТ ID",""),IF(OR(AND(OR(C755="Оплата клиента",C755="Возврат клиенту"),COUNTIFS(Docs[ID],J755,Docs[Тип долга],"ДЗ")&lt;&gt;1),AND(OR(C755="Оплата поставщику",C755="Возврат поставщика"),COUNTIFS(Docs[ID],J755,Docs[Тип долга],"КЗ",Docs[Вид],"&lt;&gt;Дивиденды")&lt;&gt;1),AND(C755="Дивиденды",COUNTIFS(Docs[ID],J755,Docs[Вид],"Дивиденды")&lt;&gt;1),AND(C755="Проценты",COUNTIFS(Docs[ID],J755,Docs[Вид],"Проценты")&lt;&gt;1),COUNTIF(Cash[ID],A755)&gt;1,NOT(ISNUMBER(B755)),B755&lt;НачалоУчета,YEAR(B755)&lt;&gt;Год,NOT(ISNUMBER(E755)),E755&lt;=0,N755&lt;0,COUNTIF(Типы,C755)&lt;&gt;1,COUNTIF(Категории,D755)&lt;&gt;1,COUNTIF(Счета,F755)&lt;&gt;1,COUNTIF(Проекты,I755)&lt;&gt;1,AND(H755&lt;&gt;"",COUNTIF(Контрагенты,H755)&lt;&gt;1),AND(C755="Перевод",OR(F755=G755,COUNTIF(Счета,G755)&lt;&gt;1)),AND(S755&lt;&gt;0,COUNTIF(Docs[ID],J755)&lt;&gt;1),AND(Форма="ООО",C755="Вывод ИП"),AND(Форма="ИП",C755="Дивиденды"),AND(L755&lt;&gt;"Проведён",L755&lt;&gt;"Черновик")),"ОШИБКА","ОК"))</f>
        <v/>
      </c>
      <c r="W755" s="25" t="str">
        <f>IF(A755="","",SUMIF(Accounts[Счёт],F755,Accounts[Начальный])+SUMIFS($Q$7:Q755,$F$7:F755,F755)+SUMIFS($E$7:E755,$G$7:G755,F755,$C$7:C755,"Перевод",$L$7:L755,"Проведён"))</f>
        <v/>
      </c>
    </row>
    <row r="756" spans="1:23" x14ac:dyDescent="0.25">
      <c r="A756" s="22"/>
      <c r="B756" s="23"/>
      <c r="C756" s="22"/>
      <c r="D756" s="22"/>
      <c r="E756" s="27"/>
      <c r="F756" s="22"/>
      <c r="G756" s="22"/>
      <c r="H756" s="22"/>
      <c r="I756" s="22"/>
      <c r="J756" s="22"/>
      <c r="K756" s="22"/>
      <c r="L756" s="22"/>
      <c r="M756" s="22"/>
      <c r="N756" s="27"/>
      <c r="O756" s="22"/>
      <c r="P756" s="5" t="str">
        <f>IF(A756="","",IF(COUNTIF(Типы,C756)=0,0,VLOOKUP(C756,СПРАВОЧНИКИ!$A$7:$E$22,2,FALSE)))</f>
        <v/>
      </c>
      <c r="Q756" s="25" t="str">
        <f t="shared" si="11"/>
        <v/>
      </c>
      <c r="R756" s="5" t="str">
        <f>IF(A756="","",IF(COUNTIF(Типы,C756)=0,"НЕИЗВЕСТНЫЙ ТИП",VLOOKUP(C756,СПРАВОЧНИКИ!$A$7:$E$22,3,FALSE)))</f>
        <v/>
      </c>
      <c r="S756" s="26" t="str">
        <f>IF(A756="","",IF(L756="Проведён",E756*IF(COUNTIF(Типы,C756)=0,0,VLOOKUP(C756,СПРАВОЧНИКИ!$A$7:$E$22,4,FALSE)),0))</f>
        <v/>
      </c>
      <c r="T756" s="26" t="str">
        <f>IF(A756="","",IF(L756="Проведён",E756*IF(COUNTIF(Типы,C756)=0,0,VLOOKUP(C756,СПРАВОЧНИКИ!$A$7:$E$22,5,FALSE)),0))</f>
        <v/>
      </c>
      <c r="U756" s="5" t="str">
        <f>IF(A756="","",IF(COUNTIF(Контрагенты,H756)=0,"Не задан",VLOOKUP(H756,СПРАВОЧНИКИ!$G$7:$H$66,2,FALSE)))</f>
        <v/>
      </c>
      <c r="V756" s="4" t="str">
        <f>IF(A756="",IF(COUNTA(B756:O756)&gt;0,"НЕТ ID",""),IF(OR(AND(OR(C756="Оплата клиента",C756="Возврат клиенту"),COUNTIFS(Docs[ID],J756,Docs[Тип долга],"ДЗ")&lt;&gt;1),AND(OR(C756="Оплата поставщику",C756="Возврат поставщика"),COUNTIFS(Docs[ID],J756,Docs[Тип долга],"КЗ",Docs[Вид],"&lt;&gt;Дивиденды")&lt;&gt;1),AND(C756="Дивиденды",COUNTIFS(Docs[ID],J756,Docs[Вид],"Дивиденды")&lt;&gt;1),AND(C756="Проценты",COUNTIFS(Docs[ID],J756,Docs[Вид],"Проценты")&lt;&gt;1),COUNTIF(Cash[ID],A756)&gt;1,NOT(ISNUMBER(B756)),B756&lt;НачалоУчета,YEAR(B756)&lt;&gt;Год,NOT(ISNUMBER(E756)),E756&lt;=0,N756&lt;0,COUNTIF(Типы,C756)&lt;&gt;1,COUNTIF(Категории,D756)&lt;&gt;1,COUNTIF(Счета,F756)&lt;&gt;1,COUNTIF(Проекты,I756)&lt;&gt;1,AND(H756&lt;&gt;"",COUNTIF(Контрагенты,H756)&lt;&gt;1),AND(C756="Перевод",OR(F756=G756,COUNTIF(Счета,G756)&lt;&gt;1)),AND(S756&lt;&gt;0,COUNTIF(Docs[ID],J756)&lt;&gt;1),AND(Форма="ООО",C756="Вывод ИП"),AND(Форма="ИП",C756="Дивиденды"),AND(L756&lt;&gt;"Проведён",L756&lt;&gt;"Черновик")),"ОШИБКА","ОК"))</f>
        <v/>
      </c>
      <c r="W756" s="25" t="str">
        <f>IF(A756="","",SUMIF(Accounts[Счёт],F756,Accounts[Начальный])+SUMIFS($Q$7:Q756,$F$7:F756,F756)+SUMIFS($E$7:E756,$G$7:G756,F756,$C$7:C756,"Перевод",$L$7:L756,"Проведён"))</f>
        <v/>
      </c>
    </row>
    <row r="757" spans="1:23" x14ac:dyDescent="0.25">
      <c r="A757" s="22"/>
      <c r="B757" s="23"/>
      <c r="C757" s="22"/>
      <c r="D757" s="22"/>
      <c r="E757" s="27"/>
      <c r="F757" s="22"/>
      <c r="G757" s="22"/>
      <c r="H757" s="22"/>
      <c r="I757" s="22"/>
      <c r="J757" s="22"/>
      <c r="K757" s="22"/>
      <c r="L757" s="22"/>
      <c r="M757" s="22"/>
      <c r="N757" s="27"/>
      <c r="O757" s="22"/>
      <c r="P757" s="5" t="str">
        <f>IF(A757="","",IF(COUNTIF(Типы,C757)=0,0,VLOOKUP(C757,СПРАВОЧНИКИ!$A$7:$E$22,2,FALSE)))</f>
        <v/>
      </c>
      <c r="Q757" s="25" t="str">
        <f t="shared" si="11"/>
        <v/>
      </c>
      <c r="R757" s="5" t="str">
        <f>IF(A757="","",IF(COUNTIF(Типы,C757)=0,"НЕИЗВЕСТНЫЙ ТИП",VLOOKUP(C757,СПРАВОЧНИКИ!$A$7:$E$22,3,FALSE)))</f>
        <v/>
      </c>
      <c r="S757" s="26" t="str">
        <f>IF(A757="","",IF(L757="Проведён",E757*IF(COUNTIF(Типы,C757)=0,0,VLOOKUP(C757,СПРАВОЧНИКИ!$A$7:$E$22,4,FALSE)),0))</f>
        <v/>
      </c>
      <c r="T757" s="26" t="str">
        <f>IF(A757="","",IF(L757="Проведён",E757*IF(COUNTIF(Типы,C757)=0,0,VLOOKUP(C757,СПРАВОЧНИКИ!$A$7:$E$22,5,FALSE)),0))</f>
        <v/>
      </c>
      <c r="U757" s="5" t="str">
        <f>IF(A757="","",IF(COUNTIF(Контрагенты,H757)=0,"Не задан",VLOOKUP(H757,СПРАВОЧНИКИ!$G$7:$H$66,2,FALSE)))</f>
        <v/>
      </c>
      <c r="V757" s="4" t="str">
        <f>IF(A757="",IF(COUNTA(B757:O757)&gt;0,"НЕТ ID",""),IF(OR(AND(OR(C757="Оплата клиента",C757="Возврат клиенту"),COUNTIFS(Docs[ID],J757,Docs[Тип долга],"ДЗ")&lt;&gt;1),AND(OR(C757="Оплата поставщику",C757="Возврат поставщика"),COUNTIFS(Docs[ID],J757,Docs[Тип долга],"КЗ",Docs[Вид],"&lt;&gt;Дивиденды")&lt;&gt;1),AND(C757="Дивиденды",COUNTIFS(Docs[ID],J757,Docs[Вид],"Дивиденды")&lt;&gt;1),AND(C757="Проценты",COUNTIFS(Docs[ID],J757,Docs[Вид],"Проценты")&lt;&gt;1),COUNTIF(Cash[ID],A757)&gt;1,NOT(ISNUMBER(B757)),B757&lt;НачалоУчета,YEAR(B757)&lt;&gt;Год,NOT(ISNUMBER(E757)),E757&lt;=0,N757&lt;0,COUNTIF(Типы,C757)&lt;&gt;1,COUNTIF(Категории,D757)&lt;&gt;1,COUNTIF(Счета,F757)&lt;&gt;1,COUNTIF(Проекты,I757)&lt;&gt;1,AND(H757&lt;&gt;"",COUNTIF(Контрагенты,H757)&lt;&gt;1),AND(C757="Перевод",OR(F757=G757,COUNTIF(Счета,G757)&lt;&gt;1)),AND(S757&lt;&gt;0,COUNTIF(Docs[ID],J757)&lt;&gt;1),AND(Форма="ООО",C757="Вывод ИП"),AND(Форма="ИП",C757="Дивиденды"),AND(L757&lt;&gt;"Проведён",L757&lt;&gt;"Черновик")),"ОШИБКА","ОК"))</f>
        <v/>
      </c>
      <c r="W757" s="25" t="str">
        <f>IF(A757="","",SUMIF(Accounts[Счёт],F757,Accounts[Начальный])+SUMIFS($Q$7:Q757,$F$7:F757,F757)+SUMIFS($E$7:E757,$G$7:G757,F757,$C$7:C757,"Перевод",$L$7:L757,"Проведён"))</f>
        <v/>
      </c>
    </row>
    <row r="758" spans="1:23" x14ac:dyDescent="0.25">
      <c r="A758" s="22"/>
      <c r="B758" s="23"/>
      <c r="C758" s="22"/>
      <c r="D758" s="22"/>
      <c r="E758" s="27"/>
      <c r="F758" s="22"/>
      <c r="G758" s="22"/>
      <c r="H758" s="22"/>
      <c r="I758" s="22"/>
      <c r="J758" s="22"/>
      <c r="K758" s="22"/>
      <c r="L758" s="22"/>
      <c r="M758" s="22"/>
      <c r="N758" s="27"/>
      <c r="O758" s="22"/>
      <c r="P758" s="5" t="str">
        <f>IF(A758="","",IF(COUNTIF(Типы,C758)=0,0,VLOOKUP(C758,СПРАВОЧНИКИ!$A$7:$E$22,2,FALSE)))</f>
        <v/>
      </c>
      <c r="Q758" s="25" t="str">
        <f t="shared" si="11"/>
        <v/>
      </c>
      <c r="R758" s="5" t="str">
        <f>IF(A758="","",IF(COUNTIF(Типы,C758)=0,"НЕИЗВЕСТНЫЙ ТИП",VLOOKUP(C758,СПРАВОЧНИКИ!$A$7:$E$22,3,FALSE)))</f>
        <v/>
      </c>
      <c r="S758" s="26" t="str">
        <f>IF(A758="","",IF(L758="Проведён",E758*IF(COUNTIF(Типы,C758)=0,0,VLOOKUP(C758,СПРАВОЧНИКИ!$A$7:$E$22,4,FALSE)),0))</f>
        <v/>
      </c>
      <c r="T758" s="26" t="str">
        <f>IF(A758="","",IF(L758="Проведён",E758*IF(COUNTIF(Типы,C758)=0,0,VLOOKUP(C758,СПРАВОЧНИКИ!$A$7:$E$22,5,FALSE)),0))</f>
        <v/>
      </c>
      <c r="U758" s="5" t="str">
        <f>IF(A758="","",IF(COUNTIF(Контрагенты,H758)=0,"Не задан",VLOOKUP(H758,СПРАВОЧНИКИ!$G$7:$H$66,2,FALSE)))</f>
        <v/>
      </c>
      <c r="V758" s="4" t="str">
        <f>IF(A758="",IF(COUNTA(B758:O758)&gt;0,"НЕТ ID",""),IF(OR(AND(OR(C758="Оплата клиента",C758="Возврат клиенту"),COUNTIFS(Docs[ID],J758,Docs[Тип долга],"ДЗ")&lt;&gt;1),AND(OR(C758="Оплата поставщику",C758="Возврат поставщика"),COUNTIFS(Docs[ID],J758,Docs[Тип долга],"КЗ",Docs[Вид],"&lt;&gt;Дивиденды")&lt;&gt;1),AND(C758="Дивиденды",COUNTIFS(Docs[ID],J758,Docs[Вид],"Дивиденды")&lt;&gt;1),AND(C758="Проценты",COUNTIFS(Docs[ID],J758,Docs[Вид],"Проценты")&lt;&gt;1),COUNTIF(Cash[ID],A758)&gt;1,NOT(ISNUMBER(B758)),B758&lt;НачалоУчета,YEAR(B758)&lt;&gt;Год,NOT(ISNUMBER(E758)),E758&lt;=0,N758&lt;0,COUNTIF(Типы,C758)&lt;&gt;1,COUNTIF(Категории,D758)&lt;&gt;1,COUNTIF(Счета,F758)&lt;&gt;1,COUNTIF(Проекты,I758)&lt;&gt;1,AND(H758&lt;&gt;"",COUNTIF(Контрагенты,H758)&lt;&gt;1),AND(C758="Перевод",OR(F758=G758,COUNTIF(Счета,G758)&lt;&gt;1)),AND(S758&lt;&gt;0,COUNTIF(Docs[ID],J758)&lt;&gt;1),AND(Форма="ООО",C758="Вывод ИП"),AND(Форма="ИП",C758="Дивиденды"),AND(L758&lt;&gt;"Проведён",L758&lt;&gt;"Черновик")),"ОШИБКА","ОК"))</f>
        <v/>
      </c>
      <c r="W758" s="25" t="str">
        <f>IF(A758="","",SUMIF(Accounts[Счёт],F758,Accounts[Начальный])+SUMIFS($Q$7:Q758,$F$7:F758,F758)+SUMIFS($E$7:E758,$G$7:G758,F758,$C$7:C758,"Перевод",$L$7:L758,"Проведён"))</f>
        <v/>
      </c>
    </row>
    <row r="759" spans="1:23" x14ac:dyDescent="0.25">
      <c r="A759" s="22"/>
      <c r="B759" s="23"/>
      <c r="C759" s="22"/>
      <c r="D759" s="22"/>
      <c r="E759" s="27"/>
      <c r="F759" s="22"/>
      <c r="G759" s="22"/>
      <c r="H759" s="22"/>
      <c r="I759" s="22"/>
      <c r="J759" s="22"/>
      <c r="K759" s="22"/>
      <c r="L759" s="22"/>
      <c r="M759" s="22"/>
      <c r="N759" s="27"/>
      <c r="O759" s="22"/>
      <c r="P759" s="5" t="str">
        <f>IF(A759="","",IF(COUNTIF(Типы,C759)=0,0,VLOOKUP(C759,СПРАВОЧНИКИ!$A$7:$E$22,2,FALSE)))</f>
        <v/>
      </c>
      <c r="Q759" s="25" t="str">
        <f t="shared" si="11"/>
        <v/>
      </c>
      <c r="R759" s="5" t="str">
        <f>IF(A759="","",IF(COUNTIF(Типы,C759)=0,"НЕИЗВЕСТНЫЙ ТИП",VLOOKUP(C759,СПРАВОЧНИКИ!$A$7:$E$22,3,FALSE)))</f>
        <v/>
      </c>
      <c r="S759" s="26" t="str">
        <f>IF(A759="","",IF(L759="Проведён",E759*IF(COUNTIF(Типы,C759)=0,0,VLOOKUP(C759,СПРАВОЧНИКИ!$A$7:$E$22,4,FALSE)),0))</f>
        <v/>
      </c>
      <c r="T759" s="26" t="str">
        <f>IF(A759="","",IF(L759="Проведён",E759*IF(COUNTIF(Типы,C759)=0,0,VLOOKUP(C759,СПРАВОЧНИКИ!$A$7:$E$22,5,FALSE)),0))</f>
        <v/>
      </c>
      <c r="U759" s="5" t="str">
        <f>IF(A759="","",IF(COUNTIF(Контрагенты,H759)=0,"Не задан",VLOOKUP(H759,СПРАВОЧНИКИ!$G$7:$H$66,2,FALSE)))</f>
        <v/>
      </c>
      <c r="V759" s="4" t="str">
        <f>IF(A759="",IF(COUNTA(B759:O759)&gt;0,"НЕТ ID",""),IF(OR(AND(OR(C759="Оплата клиента",C759="Возврат клиенту"),COUNTIFS(Docs[ID],J759,Docs[Тип долга],"ДЗ")&lt;&gt;1),AND(OR(C759="Оплата поставщику",C759="Возврат поставщика"),COUNTIFS(Docs[ID],J759,Docs[Тип долга],"КЗ",Docs[Вид],"&lt;&gt;Дивиденды")&lt;&gt;1),AND(C759="Дивиденды",COUNTIFS(Docs[ID],J759,Docs[Вид],"Дивиденды")&lt;&gt;1),AND(C759="Проценты",COUNTIFS(Docs[ID],J759,Docs[Вид],"Проценты")&lt;&gt;1),COUNTIF(Cash[ID],A759)&gt;1,NOT(ISNUMBER(B759)),B759&lt;НачалоУчета,YEAR(B759)&lt;&gt;Год,NOT(ISNUMBER(E759)),E759&lt;=0,N759&lt;0,COUNTIF(Типы,C759)&lt;&gt;1,COUNTIF(Категории,D759)&lt;&gt;1,COUNTIF(Счета,F759)&lt;&gt;1,COUNTIF(Проекты,I759)&lt;&gt;1,AND(H759&lt;&gt;"",COUNTIF(Контрагенты,H759)&lt;&gt;1),AND(C759="Перевод",OR(F759=G759,COUNTIF(Счета,G759)&lt;&gt;1)),AND(S759&lt;&gt;0,COUNTIF(Docs[ID],J759)&lt;&gt;1),AND(Форма="ООО",C759="Вывод ИП"),AND(Форма="ИП",C759="Дивиденды"),AND(L759&lt;&gt;"Проведён",L759&lt;&gt;"Черновик")),"ОШИБКА","ОК"))</f>
        <v/>
      </c>
      <c r="W759" s="25" t="str">
        <f>IF(A759="","",SUMIF(Accounts[Счёт],F759,Accounts[Начальный])+SUMIFS($Q$7:Q759,$F$7:F759,F759)+SUMIFS($E$7:E759,$G$7:G759,F759,$C$7:C759,"Перевод",$L$7:L759,"Проведён"))</f>
        <v/>
      </c>
    </row>
    <row r="760" spans="1:23" x14ac:dyDescent="0.25">
      <c r="A760" s="22"/>
      <c r="B760" s="23"/>
      <c r="C760" s="22"/>
      <c r="D760" s="22"/>
      <c r="E760" s="27"/>
      <c r="F760" s="22"/>
      <c r="G760" s="22"/>
      <c r="H760" s="22"/>
      <c r="I760" s="22"/>
      <c r="J760" s="22"/>
      <c r="K760" s="22"/>
      <c r="L760" s="22"/>
      <c r="M760" s="22"/>
      <c r="N760" s="27"/>
      <c r="O760" s="22"/>
      <c r="P760" s="5" t="str">
        <f>IF(A760="","",IF(COUNTIF(Типы,C760)=0,0,VLOOKUP(C760,СПРАВОЧНИКИ!$A$7:$E$22,2,FALSE)))</f>
        <v/>
      </c>
      <c r="Q760" s="25" t="str">
        <f t="shared" si="11"/>
        <v/>
      </c>
      <c r="R760" s="5" t="str">
        <f>IF(A760="","",IF(COUNTIF(Типы,C760)=0,"НЕИЗВЕСТНЫЙ ТИП",VLOOKUP(C760,СПРАВОЧНИКИ!$A$7:$E$22,3,FALSE)))</f>
        <v/>
      </c>
      <c r="S760" s="26" t="str">
        <f>IF(A760="","",IF(L760="Проведён",E760*IF(COUNTIF(Типы,C760)=0,0,VLOOKUP(C760,СПРАВОЧНИКИ!$A$7:$E$22,4,FALSE)),0))</f>
        <v/>
      </c>
      <c r="T760" s="26" t="str">
        <f>IF(A760="","",IF(L760="Проведён",E760*IF(COUNTIF(Типы,C760)=0,0,VLOOKUP(C760,СПРАВОЧНИКИ!$A$7:$E$22,5,FALSE)),0))</f>
        <v/>
      </c>
      <c r="U760" s="5" t="str">
        <f>IF(A760="","",IF(COUNTIF(Контрагенты,H760)=0,"Не задан",VLOOKUP(H760,СПРАВОЧНИКИ!$G$7:$H$66,2,FALSE)))</f>
        <v/>
      </c>
      <c r="V760" s="4" t="str">
        <f>IF(A760="",IF(COUNTA(B760:O760)&gt;0,"НЕТ ID",""),IF(OR(AND(OR(C760="Оплата клиента",C760="Возврат клиенту"),COUNTIFS(Docs[ID],J760,Docs[Тип долга],"ДЗ")&lt;&gt;1),AND(OR(C760="Оплата поставщику",C760="Возврат поставщика"),COUNTIFS(Docs[ID],J760,Docs[Тип долга],"КЗ",Docs[Вид],"&lt;&gt;Дивиденды")&lt;&gt;1),AND(C760="Дивиденды",COUNTIFS(Docs[ID],J760,Docs[Вид],"Дивиденды")&lt;&gt;1),AND(C760="Проценты",COUNTIFS(Docs[ID],J760,Docs[Вид],"Проценты")&lt;&gt;1),COUNTIF(Cash[ID],A760)&gt;1,NOT(ISNUMBER(B760)),B760&lt;НачалоУчета,YEAR(B760)&lt;&gt;Год,NOT(ISNUMBER(E760)),E760&lt;=0,N760&lt;0,COUNTIF(Типы,C760)&lt;&gt;1,COUNTIF(Категории,D760)&lt;&gt;1,COUNTIF(Счета,F760)&lt;&gt;1,COUNTIF(Проекты,I760)&lt;&gt;1,AND(H760&lt;&gt;"",COUNTIF(Контрагенты,H760)&lt;&gt;1),AND(C760="Перевод",OR(F760=G760,COUNTIF(Счета,G760)&lt;&gt;1)),AND(S760&lt;&gt;0,COUNTIF(Docs[ID],J760)&lt;&gt;1),AND(Форма="ООО",C760="Вывод ИП"),AND(Форма="ИП",C760="Дивиденды"),AND(L760&lt;&gt;"Проведён",L760&lt;&gt;"Черновик")),"ОШИБКА","ОК"))</f>
        <v/>
      </c>
      <c r="W760" s="25" t="str">
        <f>IF(A760="","",SUMIF(Accounts[Счёт],F760,Accounts[Начальный])+SUMIFS($Q$7:Q760,$F$7:F760,F760)+SUMIFS($E$7:E760,$G$7:G760,F760,$C$7:C760,"Перевод",$L$7:L760,"Проведён"))</f>
        <v/>
      </c>
    </row>
    <row r="761" spans="1:23" x14ac:dyDescent="0.25">
      <c r="A761" s="22"/>
      <c r="B761" s="23"/>
      <c r="C761" s="22"/>
      <c r="D761" s="22"/>
      <c r="E761" s="27"/>
      <c r="F761" s="22"/>
      <c r="G761" s="22"/>
      <c r="H761" s="22"/>
      <c r="I761" s="22"/>
      <c r="J761" s="22"/>
      <c r="K761" s="22"/>
      <c r="L761" s="22"/>
      <c r="M761" s="22"/>
      <c r="N761" s="27"/>
      <c r="O761" s="22"/>
      <c r="P761" s="5" t="str">
        <f>IF(A761="","",IF(COUNTIF(Типы,C761)=0,0,VLOOKUP(C761,СПРАВОЧНИКИ!$A$7:$E$22,2,FALSE)))</f>
        <v/>
      </c>
      <c r="Q761" s="25" t="str">
        <f t="shared" si="11"/>
        <v/>
      </c>
      <c r="R761" s="5" t="str">
        <f>IF(A761="","",IF(COUNTIF(Типы,C761)=0,"НЕИЗВЕСТНЫЙ ТИП",VLOOKUP(C761,СПРАВОЧНИКИ!$A$7:$E$22,3,FALSE)))</f>
        <v/>
      </c>
      <c r="S761" s="26" t="str">
        <f>IF(A761="","",IF(L761="Проведён",E761*IF(COUNTIF(Типы,C761)=0,0,VLOOKUP(C761,СПРАВОЧНИКИ!$A$7:$E$22,4,FALSE)),0))</f>
        <v/>
      </c>
      <c r="T761" s="26" t="str">
        <f>IF(A761="","",IF(L761="Проведён",E761*IF(COUNTIF(Типы,C761)=0,0,VLOOKUP(C761,СПРАВОЧНИКИ!$A$7:$E$22,5,FALSE)),0))</f>
        <v/>
      </c>
      <c r="U761" s="5" t="str">
        <f>IF(A761="","",IF(COUNTIF(Контрагенты,H761)=0,"Не задан",VLOOKUP(H761,СПРАВОЧНИКИ!$G$7:$H$66,2,FALSE)))</f>
        <v/>
      </c>
      <c r="V761" s="4" t="str">
        <f>IF(A761="",IF(COUNTA(B761:O761)&gt;0,"НЕТ ID",""),IF(OR(AND(OR(C761="Оплата клиента",C761="Возврат клиенту"),COUNTIFS(Docs[ID],J761,Docs[Тип долга],"ДЗ")&lt;&gt;1),AND(OR(C761="Оплата поставщику",C761="Возврат поставщика"),COUNTIFS(Docs[ID],J761,Docs[Тип долга],"КЗ",Docs[Вид],"&lt;&gt;Дивиденды")&lt;&gt;1),AND(C761="Дивиденды",COUNTIFS(Docs[ID],J761,Docs[Вид],"Дивиденды")&lt;&gt;1),AND(C761="Проценты",COUNTIFS(Docs[ID],J761,Docs[Вид],"Проценты")&lt;&gt;1),COUNTIF(Cash[ID],A761)&gt;1,NOT(ISNUMBER(B761)),B761&lt;НачалоУчета,YEAR(B761)&lt;&gt;Год,NOT(ISNUMBER(E761)),E761&lt;=0,N761&lt;0,COUNTIF(Типы,C761)&lt;&gt;1,COUNTIF(Категории,D761)&lt;&gt;1,COUNTIF(Счета,F761)&lt;&gt;1,COUNTIF(Проекты,I761)&lt;&gt;1,AND(H761&lt;&gt;"",COUNTIF(Контрагенты,H761)&lt;&gt;1),AND(C761="Перевод",OR(F761=G761,COUNTIF(Счета,G761)&lt;&gt;1)),AND(S761&lt;&gt;0,COUNTIF(Docs[ID],J761)&lt;&gt;1),AND(Форма="ООО",C761="Вывод ИП"),AND(Форма="ИП",C761="Дивиденды"),AND(L761&lt;&gt;"Проведён",L761&lt;&gt;"Черновик")),"ОШИБКА","ОК"))</f>
        <v/>
      </c>
      <c r="W761" s="25" t="str">
        <f>IF(A761="","",SUMIF(Accounts[Счёт],F761,Accounts[Начальный])+SUMIFS($Q$7:Q761,$F$7:F761,F761)+SUMIFS($E$7:E761,$G$7:G761,F761,$C$7:C761,"Перевод",$L$7:L761,"Проведён"))</f>
        <v/>
      </c>
    </row>
    <row r="762" spans="1:23" x14ac:dyDescent="0.25">
      <c r="A762" s="22"/>
      <c r="B762" s="23"/>
      <c r="C762" s="22"/>
      <c r="D762" s="22"/>
      <c r="E762" s="27"/>
      <c r="F762" s="22"/>
      <c r="G762" s="22"/>
      <c r="H762" s="22"/>
      <c r="I762" s="22"/>
      <c r="J762" s="22"/>
      <c r="K762" s="22"/>
      <c r="L762" s="22"/>
      <c r="M762" s="22"/>
      <c r="N762" s="27"/>
      <c r="O762" s="22"/>
      <c r="P762" s="5" t="str">
        <f>IF(A762="","",IF(COUNTIF(Типы,C762)=0,0,VLOOKUP(C762,СПРАВОЧНИКИ!$A$7:$E$22,2,FALSE)))</f>
        <v/>
      </c>
      <c r="Q762" s="25" t="str">
        <f t="shared" si="11"/>
        <v/>
      </c>
      <c r="R762" s="5" t="str">
        <f>IF(A762="","",IF(COUNTIF(Типы,C762)=0,"НЕИЗВЕСТНЫЙ ТИП",VLOOKUP(C762,СПРАВОЧНИКИ!$A$7:$E$22,3,FALSE)))</f>
        <v/>
      </c>
      <c r="S762" s="26" t="str">
        <f>IF(A762="","",IF(L762="Проведён",E762*IF(COUNTIF(Типы,C762)=0,0,VLOOKUP(C762,СПРАВОЧНИКИ!$A$7:$E$22,4,FALSE)),0))</f>
        <v/>
      </c>
      <c r="T762" s="26" t="str">
        <f>IF(A762="","",IF(L762="Проведён",E762*IF(COUNTIF(Типы,C762)=0,0,VLOOKUP(C762,СПРАВОЧНИКИ!$A$7:$E$22,5,FALSE)),0))</f>
        <v/>
      </c>
      <c r="U762" s="5" t="str">
        <f>IF(A762="","",IF(COUNTIF(Контрагенты,H762)=0,"Не задан",VLOOKUP(H762,СПРАВОЧНИКИ!$G$7:$H$66,2,FALSE)))</f>
        <v/>
      </c>
      <c r="V762" s="4" t="str">
        <f>IF(A762="",IF(COUNTA(B762:O762)&gt;0,"НЕТ ID",""),IF(OR(AND(OR(C762="Оплата клиента",C762="Возврат клиенту"),COUNTIFS(Docs[ID],J762,Docs[Тип долга],"ДЗ")&lt;&gt;1),AND(OR(C762="Оплата поставщику",C762="Возврат поставщика"),COUNTIFS(Docs[ID],J762,Docs[Тип долга],"КЗ",Docs[Вид],"&lt;&gt;Дивиденды")&lt;&gt;1),AND(C762="Дивиденды",COUNTIFS(Docs[ID],J762,Docs[Вид],"Дивиденды")&lt;&gt;1),AND(C762="Проценты",COUNTIFS(Docs[ID],J762,Docs[Вид],"Проценты")&lt;&gt;1),COUNTIF(Cash[ID],A762)&gt;1,NOT(ISNUMBER(B762)),B762&lt;НачалоУчета,YEAR(B762)&lt;&gt;Год,NOT(ISNUMBER(E762)),E762&lt;=0,N762&lt;0,COUNTIF(Типы,C762)&lt;&gt;1,COUNTIF(Категории,D762)&lt;&gt;1,COUNTIF(Счета,F762)&lt;&gt;1,COUNTIF(Проекты,I762)&lt;&gt;1,AND(H762&lt;&gt;"",COUNTIF(Контрагенты,H762)&lt;&gt;1),AND(C762="Перевод",OR(F762=G762,COUNTIF(Счета,G762)&lt;&gt;1)),AND(S762&lt;&gt;0,COUNTIF(Docs[ID],J762)&lt;&gt;1),AND(Форма="ООО",C762="Вывод ИП"),AND(Форма="ИП",C762="Дивиденды"),AND(L762&lt;&gt;"Проведён",L762&lt;&gt;"Черновик")),"ОШИБКА","ОК"))</f>
        <v/>
      </c>
      <c r="W762" s="25" t="str">
        <f>IF(A762="","",SUMIF(Accounts[Счёт],F762,Accounts[Начальный])+SUMIFS($Q$7:Q762,$F$7:F762,F762)+SUMIFS($E$7:E762,$G$7:G762,F762,$C$7:C762,"Перевод",$L$7:L762,"Проведён"))</f>
        <v/>
      </c>
    </row>
    <row r="763" spans="1:23" x14ac:dyDescent="0.25">
      <c r="A763" s="22"/>
      <c r="B763" s="23"/>
      <c r="C763" s="22"/>
      <c r="D763" s="22"/>
      <c r="E763" s="27"/>
      <c r="F763" s="22"/>
      <c r="G763" s="22"/>
      <c r="H763" s="22"/>
      <c r="I763" s="22"/>
      <c r="J763" s="22"/>
      <c r="K763" s="22"/>
      <c r="L763" s="22"/>
      <c r="M763" s="22"/>
      <c r="N763" s="27"/>
      <c r="O763" s="22"/>
      <c r="P763" s="5" t="str">
        <f>IF(A763="","",IF(COUNTIF(Типы,C763)=0,0,VLOOKUP(C763,СПРАВОЧНИКИ!$A$7:$E$22,2,FALSE)))</f>
        <v/>
      </c>
      <c r="Q763" s="25" t="str">
        <f t="shared" si="11"/>
        <v/>
      </c>
      <c r="R763" s="5" t="str">
        <f>IF(A763="","",IF(COUNTIF(Типы,C763)=0,"НЕИЗВЕСТНЫЙ ТИП",VLOOKUP(C763,СПРАВОЧНИКИ!$A$7:$E$22,3,FALSE)))</f>
        <v/>
      </c>
      <c r="S763" s="26" t="str">
        <f>IF(A763="","",IF(L763="Проведён",E763*IF(COUNTIF(Типы,C763)=0,0,VLOOKUP(C763,СПРАВОЧНИКИ!$A$7:$E$22,4,FALSE)),0))</f>
        <v/>
      </c>
      <c r="T763" s="26" t="str">
        <f>IF(A763="","",IF(L763="Проведён",E763*IF(COUNTIF(Типы,C763)=0,0,VLOOKUP(C763,СПРАВОЧНИКИ!$A$7:$E$22,5,FALSE)),0))</f>
        <v/>
      </c>
      <c r="U763" s="5" t="str">
        <f>IF(A763="","",IF(COUNTIF(Контрагенты,H763)=0,"Не задан",VLOOKUP(H763,СПРАВОЧНИКИ!$G$7:$H$66,2,FALSE)))</f>
        <v/>
      </c>
      <c r="V763" s="4" t="str">
        <f>IF(A763="",IF(COUNTA(B763:O763)&gt;0,"НЕТ ID",""),IF(OR(AND(OR(C763="Оплата клиента",C763="Возврат клиенту"),COUNTIFS(Docs[ID],J763,Docs[Тип долга],"ДЗ")&lt;&gt;1),AND(OR(C763="Оплата поставщику",C763="Возврат поставщика"),COUNTIFS(Docs[ID],J763,Docs[Тип долга],"КЗ",Docs[Вид],"&lt;&gt;Дивиденды")&lt;&gt;1),AND(C763="Дивиденды",COUNTIFS(Docs[ID],J763,Docs[Вид],"Дивиденды")&lt;&gt;1),AND(C763="Проценты",COUNTIFS(Docs[ID],J763,Docs[Вид],"Проценты")&lt;&gt;1),COUNTIF(Cash[ID],A763)&gt;1,NOT(ISNUMBER(B763)),B763&lt;НачалоУчета,YEAR(B763)&lt;&gt;Год,NOT(ISNUMBER(E763)),E763&lt;=0,N763&lt;0,COUNTIF(Типы,C763)&lt;&gt;1,COUNTIF(Категории,D763)&lt;&gt;1,COUNTIF(Счета,F763)&lt;&gt;1,COUNTIF(Проекты,I763)&lt;&gt;1,AND(H763&lt;&gt;"",COUNTIF(Контрагенты,H763)&lt;&gt;1),AND(C763="Перевод",OR(F763=G763,COUNTIF(Счета,G763)&lt;&gt;1)),AND(S763&lt;&gt;0,COUNTIF(Docs[ID],J763)&lt;&gt;1),AND(Форма="ООО",C763="Вывод ИП"),AND(Форма="ИП",C763="Дивиденды"),AND(L763&lt;&gt;"Проведён",L763&lt;&gt;"Черновик")),"ОШИБКА","ОК"))</f>
        <v/>
      </c>
      <c r="W763" s="25" t="str">
        <f>IF(A763="","",SUMIF(Accounts[Счёт],F763,Accounts[Начальный])+SUMIFS($Q$7:Q763,$F$7:F763,F763)+SUMIFS($E$7:E763,$G$7:G763,F763,$C$7:C763,"Перевод",$L$7:L763,"Проведён"))</f>
        <v/>
      </c>
    </row>
    <row r="764" spans="1:23" x14ac:dyDescent="0.25">
      <c r="A764" s="22"/>
      <c r="B764" s="23"/>
      <c r="C764" s="22"/>
      <c r="D764" s="22"/>
      <c r="E764" s="27"/>
      <c r="F764" s="22"/>
      <c r="G764" s="22"/>
      <c r="H764" s="22"/>
      <c r="I764" s="22"/>
      <c r="J764" s="22"/>
      <c r="K764" s="22"/>
      <c r="L764" s="22"/>
      <c r="M764" s="22"/>
      <c r="N764" s="27"/>
      <c r="O764" s="22"/>
      <c r="P764" s="5" t="str">
        <f>IF(A764="","",IF(COUNTIF(Типы,C764)=0,0,VLOOKUP(C764,СПРАВОЧНИКИ!$A$7:$E$22,2,FALSE)))</f>
        <v/>
      </c>
      <c r="Q764" s="25" t="str">
        <f t="shared" si="11"/>
        <v/>
      </c>
      <c r="R764" s="5" t="str">
        <f>IF(A764="","",IF(COUNTIF(Типы,C764)=0,"НЕИЗВЕСТНЫЙ ТИП",VLOOKUP(C764,СПРАВОЧНИКИ!$A$7:$E$22,3,FALSE)))</f>
        <v/>
      </c>
      <c r="S764" s="26" t="str">
        <f>IF(A764="","",IF(L764="Проведён",E764*IF(COUNTIF(Типы,C764)=0,0,VLOOKUP(C764,СПРАВОЧНИКИ!$A$7:$E$22,4,FALSE)),0))</f>
        <v/>
      </c>
      <c r="T764" s="26" t="str">
        <f>IF(A764="","",IF(L764="Проведён",E764*IF(COUNTIF(Типы,C764)=0,0,VLOOKUP(C764,СПРАВОЧНИКИ!$A$7:$E$22,5,FALSE)),0))</f>
        <v/>
      </c>
      <c r="U764" s="5" t="str">
        <f>IF(A764="","",IF(COUNTIF(Контрагенты,H764)=0,"Не задан",VLOOKUP(H764,СПРАВОЧНИКИ!$G$7:$H$66,2,FALSE)))</f>
        <v/>
      </c>
      <c r="V764" s="4" t="str">
        <f>IF(A764="",IF(COUNTA(B764:O764)&gt;0,"НЕТ ID",""),IF(OR(AND(OR(C764="Оплата клиента",C764="Возврат клиенту"),COUNTIFS(Docs[ID],J764,Docs[Тип долга],"ДЗ")&lt;&gt;1),AND(OR(C764="Оплата поставщику",C764="Возврат поставщика"),COUNTIFS(Docs[ID],J764,Docs[Тип долга],"КЗ",Docs[Вид],"&lt;&gt;Дивиденды")&lt;&gt;1),AND(C764="Дивиденды",COUNTIFS(Docs[ID],J764,Docs[Вид],"Дивиденды")&lt;&gt;1),AND(C764="Проценты",COUNTIFS(Docs[ID],J764,Docs[Вид],"Проценты")&lt;&gt;1),COUNTIF(Cash[ID],A764)&gt;1,NOT(ISNUMBER(B764)),B764&lt;НачалоУчета,YEAR(B764)&lt;&gt;Год,NOT(ISNUMBER(E764)),E764&lt;=0,N764&lt;0,COUNTIF(Типы,C764)&lt;&gt;1,COUNTIF(Категории,D764)&lt;&gt;1,COUNTIF(Счета,F764)&lt;&gt;1,COUNTIF(Проекты,I764)&lt;&gt;1,AND(H764&lt;&gt;"",COUNTIF(Контрагенты,H764)&lt;&gt;1),AND(C764="Перевод",OR(F764=G764,COUNTIF(Счета,G764)&lt;&gt;1)),AND(S764&lt;&gt;0,COUNTIF(Docs[ID],J764)&lt;&gt;1),AND(Форма="ООО",C764="Вывод ИП"),AND(Форма="ИП",C764="Дивиденды"),AND(L764&lt;&gt;"Проведён",L764&lt;&gt;"Черновик")),"ОШИБКА","ОК"))</f>
        <v/>
      </c>
      <c r="W764" s="25" t="str">
        <f>IF(A764="","",SUMIF(Accounts[Счёт],F764,Accounts[Начальный])+SUMIFS($Q$7:Q764,$F$7:F764,F764)+SUMIFS($E$7:E764,$G$7:G764,F764,$C$7:C764,"Перевод",$L$7:L764,"Проведён"))</f>
        <v/>
      </c>
    </row>
    <row r="765" spans="1:23" x14ac:dyDescent="0.25">
      <c r="A765" s="22"/>
      <c r="B765" s="23"/>
      <c r="C765" s="22"/>
      <c r="D765" s="22"/>
      <c r="E765" s="27"/>
      <c r="F765" s="22"/>
      <c r="G765" s="22"/>
      <c r="H765" s="22"/>
      <c r="I765" s="22"/>
      <c r="J765" s="22"/>
      <c r="K765" s="22"/>
      <c r="L765" s="22"/>
      <c r="M765" s="22"/>
      <c r="N765" s="27"/>
      <c r="O765" s="22"/>
      <c r="P765" s="5" t="str">
        <f>IF(A765="","",IF(COUNTIF(Типы,C765)=0,0,VLOOKUP(C765,СПРАВОЧНИКИ!$A$7:$E$22,2,FALSE)))</f>
        <v/>
      </c>
      <c r="Q765" s="25" t="str">
        <f t="shared" si="11"/>
        <v/>
      </c>
      <c r="R765" s="5" t="str">
        <f>IF(A765="","",IF(COUNTIF(Типы,C765)=0,"НЕИЗВЕСТНЫЙ ТИП",VLOOKUP(C765,СПРАВОЧНИКИ!$A$7:$E$22,3,FALSE)))</f>
        <v/>
      </c>
      <c r="S765" s="26" t="str">
        <f>IF(A765="","",IF(L765="Проведён",E765*IF(COUNTIF(Типы,C765)=0,0,VLOOKUP(C765,СПРАВОЧНИКИ!$A$7:$E$22,4,FALSE)),0))</f>
        <v/>
      </c>
      <c r="T765" s="26" t="str">
        <f>IF(A765="","",IF(L765="Проведён",E765*IF(COUNTIF(Типы,C765)=0,0,VLOOKUP(C765,СПРАВОЧНИКИ!$A$7:$E$22,5,FALSE)),0))</f>
        <v/>
      </c>
      <c r="U765" s="5" t="str">
        <f>IF(A765="","",IF(COUNTIF(Контрагенты,H765)=0,"Не задан",VLOOKUP(H765,СПРАВОЧНИКИ!$G$7:$H$66,2,FALSE)))</f>
        <v/>
      </c>
      <c r="V765" s="4" t="str">
        <f>IF(A765="",IF(COUNTA(B765:O765)&gt;0,"НЕТ ID",""),IF(OR(AND(OR(C765="Оплата клиента",C765="Возврат клиенту"),COUNTIFS(Docs[ID],J765,Docs[Тип долга],"ДЗ")&lt;&gt;1),AND(OR(C765="Оплата поставщику",C765="Возврат поставщика"),COUNTIFS(Docs[ID],J765,Docs[Тип долга],"КЗ",Docs[Вид],"&lt;&gt;Дивиденды")&lt;&gt;1),AND(C765="Дивиденды",COUNTIFS(Docs[ID],J765,Docs[Вид],"Дивиденды")&lt;&gt;1),AND(C765="Проценты",COUNTIFS(Docs[ID],J765,Docs[Вид],"Проценты")&lt;&gt;1),COUNTIF(Cash[ID],A765)&gt;1,NOT(ISNUMBER(B765)),B765&lt;НачалоУчета,YEAR(B765)&lt;&gt;Год,NOT(ISNUMBER(E765)),E765&lt;=0,N765&lt;0,COUNTIF(Типы,C765)&lt;&gt;1,COUNTIF(Категории,D765)&lt;&gt;1,COUNTIF(Счета,F765)&lt;&gt;1,COUNTIF(Проекты,I765)&lt;&gt;1,AND(H765&lt;&gt;"",COUNTIF(Контрагенты,H765)&lt;&gt;1),AND(C765="Перевод",OR(F765=G765,COUNTIF(Счета,G765)&lt;&gt;1)),AND(S765&lt;&gt;0,COUNTIF(Docs[ID],J765)&lt;&gt;1),AND(Форма="ООО",C765="Вывод ИП"),AND(Форма="ИП",C765="Дивиденды"),AND(L765&lt;&gt;"Проведён",L765&lt;&gt;"Черновик")),"ОШИБКА","ОК"))</f>
        <v/>
      </c>
      <c r="W765" s="25" t="str">
        <f>IF(A765="","",SUMIF(Accounts[Счёт],F765,Accounts[Начальный])+SUMIFS($Q$7:Q765,$F$7:F765,F765)+SUMIFS($E$7:E765,$G$7:G765,F765,$C$7:C765,"Перевод",$L$7:L765,"Проведён"))</f>
        <v/>
      </c>
    </row>
    <row r="766" spans="1:23" x14ac:dyDescent="0.25">
      <c r="A766" s="22"/>
      <c r="B766" s="23"/>
      <c r="C766" s="22"/>
      <c r="D766" s="22"/>
      <c r="E766" s="27"/>
      <c r="F766" s="22"/>
      <c r="G766" s="22"/>
      <c r="H766" s="22"/>
      <c r="I766" s="22"/>
      <c r="J766" s="22"/>
      <c r="K766" s="22"/>
      <c r="L766" s="22"/>
      <c r="M766" s="22"/>
      <c r="N766" s="27"/>
      <c r="O766" s="22"/>
      <c r="P766" s="5" t="str">
        <f>IF(A766="","",IF(COUNTIF(Типы,C766)=0,0,VLOOKUP(C766,СПРАВОЧНИКИ!$A$7:$E$22,2,FALSE)))</f>
        <v/>
      </c>
      <c r="Q766" s="25" t="str">
        <f t="shared" si="11"/>
        <v/>
      </c>
      <c r="R766" s="5" t="str">
        <f>IF(A766="","",IF(COUNTIF(Типы,C766)=0,"НЕИЗВЕСТНЫЙ ТИП",VLOOKUP(C766,СПРАВОЧНИКИ!$A$7:$E$22,3,FALSE)))</f>
        <v/>
      </c>
      <c r="S766" s="26" t="str">
        <f>IF(A766="","",IF(L766="Проведён",E766*IF(COUNTIF(Типы,C766)=0,0,VLOOKUP(C766,СПРАВОЧНИКИ!$A$7:$E$22,4,FALSE)),0))</f>
        <v/>
      </c>
      <c r="T766" s="26" t="str">
        <f>IF(A766="","",IF(L766="Проведён",E766*IF(COUNTIF(Типы,C766)=0,0,VLOOKUP(C766,СПРАВОЧНИКИ!$A$7:$E$22,5,FALSE)),0))</f>
        <v/>
      </c>
      <c r="U766" s="5" t="str">
        <f>IF(A766="","",IF(COUNTIF(Контрагенты,H766)=0,"Не задан",VLOOKUP(H766,СПРАВОЧНИКИ!$G$7:$H$66,2,FALSE)))</f>
        <v/>
      </c>
      <c r="V766" s="4" t="str">
        <f>IF(A766="",IF(COUNTA(B766:O766)&gt;0,"НЕТ ID",""),IF(OR(AND(OR(C766="Оплата клиента",C766="Возврат клиенту"),COUNTIFS(Docs[ID],J766,Docs[Тип долга],"ДЗ")&lt;&gt;1),AND(OR(C766="Оплата поставщику",C766="Возврат поставщика"),COUNTIFS(Docs[ID],J766,Docs[Тип долга],"КЗ",Docs[Вид],"&lt;&gt;Дивиденды")&lt;&gt;1),AND(C766="Дивиденды",COUNTIFS(Docs[ID],J766,Docs[Вид],"Дивиденды")&lt;&gt;1),AND(C766="Проценты",COUNTIFS(Docs[ID],J766,Docs[Вид],"Проценты")&lt;&gt;1),COUNTIF(Cash[ID],A766)&gt;1,NOT(ISNUMBER(B766)),B766&lt;НачалоУчета,YEAR(B766)&lt;&gt;Год,NOT(ISNUMBER(E766)),E766&lt;=0,N766&lt;0,COUNTIF(Типы,C766)&lt;&gt;1,COUNTIF(Категории,D766)&lt;&gt;1,COUNTIF(Счета,F766)&lt;&gt;1,COUNTIF(Проекты,I766)&lt;&gt;1,AND(H766&lt;&gt;"",COUNTIF(Контрагенты,H766)&lt;&gt;1),AND(C766="Перевод",OR(F766=G766,COUNTIF(Счета,G766)&lt;&gt;1)),AND(S766&lt;&gt;0,COUNTIF(Docs[ID],J766)&lt;&gt;1),AND(Форма="ООО",C766="Вывод ИП"),AND(Форма="ИП",C766="Дивиденды"),AND(L766&lt;&gt;"Проведён",L766&lt;&gt;"Черновик")),"ОШИБКА","ОК"))</f>
        <v/>
      </c>
      <c r="W766" s="25" t="str">
        <f>IF(A766="","",SUMIF(Accounts[Счёт],F766,Accounts[Начальный])+SUMIFS($Q$7:Q766,$F$7:F766,F766)+SUMIFS($E$7:E766,$G$7:G766,F766,$C$7:C766,"Перевод",$L$7:L766,"Проведён"))</f>
        <v/>
      </c>
    </row>
    <row r="767" spans="1:23" x14ac:dyDescent="0.25">
      <c r="A767" s="22"/>
      <c r="B767" s="23"/>
      <c r="C767" s="22"/>
      <c r="D767" s="22"/>
      <c r="E767" s="27"/>
      <c r="F767" s="22"/>
      <c r="G767" s="22"/>
      <c r="H767" s="22"/>
      <c r="I767" s="22"/>
      <c r="J767" s="22"/>
      <c r="K767" s="22"/>
      <c r="L767" s="22"/>
      <c r="M767" s="22"/>
      <c r="N767" s="27"/>
      <c r="O767" s="22"/>
      <c r="P767" s="5" t="str">
        <f>IF(A767="","",IF(COUNTIF(Типы,C767)=0,0,VLOOKUP(C767,СПРАВОЧНИКИ!$A$7:$E$22,2,FALSE)))</f>
        <v/>
      </c>
      <c r="Q767" s="25" t="str">
        <f t="shared" si="11"/>
        <v/>
      </c>
      <c r="R767" s="5" t="str">
        <f>IF(A767="","",IF(COUNTIF(Типы,C767)=0,"НЕИЗВЕСТНЫЙ ТИП",VLOOKUP(C767,СПРАВОЧНИКИ!$A$7:$E$22,3,FALSE)))</f>
        <v/>
      </c>
      <c r="S767" s="26" t="str">
        <f>IF(A767="","",IF(L767="Проведён",E767*IF(COUNTIF(Типы,C767)=0,0,VLOOKUP(C767,СПРАВОЧНИКИ!$A$7:$E$22,4,FALSE)),0))</f>
        <v/>
      </c>
      <c r="T767" s="26" t="str">
        <f>IF(A767="","",IF(L767="Проведён",E767*IF(COUNTIF(Типы,C767)=0,0,VLOOKUP(C767,СПРАВОЧНИКИ!$A$7:$E$22,5,FALSE)),0))</f>
        <v/>
      </c>
      <c r="U767" s="5" t="str">
        <f>IF(A767="","",IF(COUNTIF(Контрагенты,H767)=0,"Не задан",VLOOKUP(H767,СПРАВОЧНИКИ!$G$7:$H$66,2,FALSE)))</f>
        <v/>
      </c>
      <c r="V767" s="4" t="str">
        <f>IF(A767="",IF(COUNTA(B767:O767)&gt;0,"НЕТ ID",""),IF(OR(AND(OR(C767="Оплата клиента",C767="Возврат клиенту"),COUNTIFS(Docs[ID],J767,Docs[Тип долга],"ДЗ")&lt;&gt;1),AND(OR(C767="Оплата поставщику",C767="Возврат поставщика"),COUNTIFS(Docs[ID],J767,Docs[Тип долга],"КЗ",Docs[Вид],"&lt;&gt;Дивиденды")&lt;&gt;1),AND(C767="Дивиденды",COUNTIFS(Docs[ID],J767,Docs[Вид],"Дивиденды")&lt;&gt;1),AND(C767="Проценты",COUNTIFS(Docs[ID],J767,Docs[Вид],"Проценты")&lt;&gt;1),COUNTIF(Cash[ID],A767)&gt;1,NOT(ISNUMBER(B767)),B767&lt;НачалоУчета,YEAR(B767)&lt;&gt;Год,NOT(ISNUMBER(E767)),E767&lt;=0,N767&lt;0,COUNTIF(Типы,C767)&lt;&gt;1,COUNTIF(Категории,D767)&lt;&gt;1,COUNTIF(Счета,F767)&lt;&gt;1,COUNTIF(Проекты,I767)&lt;&gt;1,AND(H767&lt;&gt;"",COUNTIF(Контрагенты,H767)&lt;&gt;1),AND(C767="Перевод",OR(F767=G767,COUNTIF(Счета,G767)&lt;&gt;1)),AND(S767&lt;&gt;0,COUNTIF(Docs[ID],J767)&lt;&gt;1),AND(Форма="ООО",C767="Вывод ИП"),AND(Форма="ИП",C767="Дивиденды"),AND(L767&lt;&gt;"Проведён",L767&lt;&gt;"Черновик")),"ОШИБКА","ОК"))</f>
        <v/>
      </c>
      <c r="W767" s="25" t="str">
        <f>IF(A767="","",SUMIF(Accounts[Счёт],F767,Accounts[Начальный])+SUMIFS($Q$7:Q767,$F$7:F767,F767)+SUMIFS($E$7:E767,$G$7:G767,F767,$C$7:C767,"Перевод",$L$7:L767,"Проведён"))</f>
        <v/>
      </c>
    </row>
    <row r="768" spans="1:23" x14ac:dyDescent="0.25">
      <c r="A768" s="22"/>
      <c r="B768" s="23"/>
      <c r="C768" s="22"/>
      <c r="D768" s="22"/>
      <c r="E768" s="27"/>
      <c r="F768" s="22"/>
      <c r="G768" s="22"/>
      <c r="H768" s="22"/>
      <c r="I768" s="22"/>
      <c r="J768" s="22"/>
      <c r="K768" s="22"/>
      <c r="L768" s="22"/>
      <c r="M768" s="22"/>
      <c r="N768" s="27"/>
      <c r="O768" s="22"/>
      <c r="P768" s="5" t="str">
        <f>IF(A768="","",IF(COUNTIF(Типы,C768)=0,0,VLOOKUP(C768,СПРАВОЧНИКИ!$A$7:$E$22,2,FALSE)))</f>
        <v/>
      </c>
      <c r="Q768" s="25" t="str">
        <f t="shared" si="11"/>
        <v/>
      </c>
      <c r="R768" s="5" t="str">
        <f>IF(A768="","",IF(COUNTIF(Типы,C768)=0,"НЕИЗВЕСТНЫЙ ТИП",VLOOKUP(C768,СПРАВОЧНИКИ!$A$7:$E$22,3,FALSE)))</f>
        <v/>
      </c>
      <c r="S768" s="26" t="str">
        <f>IF(A768="","",IF(L768="Проведён",E768*IF(COUNTIF(Типы,C768)=0,0,VLOOKUP(C768,СПРАВОЧНИКИ!$A$7:$E$22,4,FALSE)),0))</f>
        <v/>
      </c>
      <c r="T768" s="26" t="str">
        <f>IF(A768="","",IF(L768="Проведён",E768*IF(COUNTIF(Типы,C768)=0,0,VLOOKUP(C768,СПРАВОЧНИКИ!$A$7:$E$22,5,FALSE)),0))</f>
        <v/>
      </c>
      <c r="U768" s="5" t="str">
        <f>IF(A768="","",IF(COUNTIF(Контрагенты,H768)=0,"Не задан",VLOOKUP(H768,СПРАВОЧНИКИ!$G$7:$H$66,2,FALSE)))</f>
        <v/>
      </c>
      <c r="V768" s="4" t="str">
        <f>IF(A768="",IF(COUNTA(B768:O768)&gt;0,"НЕТ ID",""),IF(OR(AND(OR(C768="Оплата клиента",C768="Возврат клиенту"),COUNTIFS(Docs[ID],J768,Docs[Тип долга],"ДЗ")&lt;&gt;1),AND(OR(C768="Оплата поставщику",C768="Возврат поставщика"),COUNTIFS(Docs[ID],J768,Docs[Тип долга],"КЗ",Docs[Вид],"&lt;&gt;Дивиденды")&lt;&gt;1),AND(C768="Дивиденды",COUNTIFS(Docs[ID],J768,Docs[Вид],"Дивиденды")&lt;&gt;1),AND(C768="Проценты",COUNTIFS(Docs[ID],J768,Docs[Вид],"Проценты")&lt;&gt;1),COUNTIF(Cash[ID],A768)&gt;1,NOT(ISNUMBER(B768)),B768&lt;НачалоУчета,YEAR(B768)&lt;&gt;Год,NOT(ISNUMBER(E768)),E768&lt;=0,N768&lt;0,COUNTIF(Типы,C768)&lt;&gt;1,COUNTIF(Категории,D768)&lt;&gt;1,COUNTIF(Счета,F768)&lt;&gt;1,COUNTIF(Проекты,I768)&lt;&gt;1,AND(H768&lt;&gt;"",COUNTIF(Контрагенты,H768)&lt;&gt;1),AND(C768="Перевод",OR(F768=G768,COUNTIF(Счета,G768)&lt;&gt;1)),AND(S768&lt;&gt;0,COUNTIF(Docs[ID],J768)&lt;&gt;1),AND(Форма="ООО",C768="Вывод ИП"),AND(Форма="ИП",C768="Дивиденды"),AND(L768&lt;&gt;"Проведён",L768&lt;&gt;"Черновик")),"ОШИБКА","ОК"))</f>
        <v/>
      </c>
      <c r="W768" s="25" t="str">
        <f>IF(A768="","",SUMIF(Accounts[Счёт],F768,Accounts[Начальный])+SUMIFS($Q$7:Q768,$F$7:F768,F768)+SUMIFS($E$7:E768,$G$7:G768,F768,$C$7:C768,"Перевод",$L$7:L768,"Проведён"))</f>
        <v/>
      </c>
    </row>
    <row r="769" spans="1:23" x14ac:dyDescent="0.25">
      <c r="A769" s="22"/>
      <c r="B769" s="23"/>
      <c r="C769" s="22"/>
      <c r="D769" s="22"/>
      <c r="E769" s="27"/>
      <c r="F769" s="22"/>
      <c r="G769" s="22"/>
      <c r="H769" s="22"/>
      <c r="I769" s="22"/>
      <c r="J769" s="22"/>
      <c r="K769" s="22"/>
      <c r="L769" s="22"/>
      <c r="M769" s="22"/>
      <c r="N769" s="27"/>
      <c r="O769" s="22"/>
      <c r="P769" s="5" t="str">
        <f>IF(A769="","",IF(COUNTIF(Типы,C769)=0,0,VLOOKUP(C769,СПРАВОЧНИКИ!$A$7:$E$22,2,FALSE)))</f>
        <v/>
      </c>
      <c r="Q769" s="25" t="str">
        <f t="shared" si="11"/>
        <v/>
      </c>
      <c r="R769" s="5" t="str">
        <f>IF(A769="","",IF(COUNTIF(Типы,C769)=0,"НЕИЗВЕСТНЫЙ ТИП",VLOOKUP(C769,СПРАВОЧНИКИ!$A$7:$E$22,3,FALSE)))</f>
        <v/>
      </c>
      <c r="S769" s="26" t="str">
        <f>IF(A769="","",IF(L769="Проведён",E769*IF(COUNTIF(Типы,C769)=0,0,VLOOKUP(C769,СПРАВОЧНИКИ!$A$7:$E$22,4,FALSE)),0))</f>
        <v/>
      </c>
      <c r="T769" s="26" t="str">
        <f>IF(A769="","",IF(L769="Проведён",E769*IF(COUNTIF(Типы,C769)=0,0,VLOOKUP(C769,СПРАВОЧНИКИ!$A$7:$E$22,5,FALSE)),0))</f>
        <v/>
      </c>
      <c r="U769" s="5" t="str">
        <f>IF(A769="","",IF(COUNTIF(Контрагенты,H769)=0,"Не задан",VLOOKUP(H769,СПРАВОЧНИКИ!$G$7:$H$66,2,FALSE)))</f>
        <v/>
      </c>
      <c r="V769" s="4" t="str">
        <f>IF(A769="",IF(COUNTA(B769:O769)&gt;0,"НЕТ ID",""),IF(OR(AND(OR(C769="Оплата клиента",C769="Возврат клиенту"),COUNTIFS(Docs[ID],J769,Docs[Тип долга],"ДЗ")&lt;&gt;1),AND(OR(C769="Оплата поставщику",C769="Возврат поставщика"),COUNTIFS(Docs[ID],J769,Docs[Тип долга],"КЗ",Docs[Вид],"&lt;&gt;Дивиденды")&lt;&gt;1),AND(C769="Дивиденды",COUNTIFS(Docs[ID],J769,Docs[Вид],"Дивиденды")&lt;&gt;1),AND(C769="Проценты",COUNTIFS(Docs[ID],J769,Docs[Вид],"Проценты")&lt;&gt;1),COUNTIF(Cash[ID],A769)&gt;1,NOT(ISNUMBER(B769)),B769&lt;НачалоУчета,YEAR(B769)&lt;&gt;Год,NOT(ISNUMBER(E769)),E769&lt;=0,N769&lt;0,COUNTIF(Типы,C769)&lt;&gt;1,COUNTIF(Категории,D769)&lt;&gt;1,COUNTIF(Счета,F769)&lt;&gt;1,COUNTIF(Проекты,I769)&lt;&gt;1,AND(H769&lt;&gt;"",COUNTIF(Контрагенты,H769)&lt;&gt;1),AND(C769="Перевод",OR(F769=G769,COUNTIF(Счета,G769)&lt;&gt;1)),AND(S769&lt;&gt;0,COUNTIF(Docs[ID],J769)&lt;&gt;1),AND(Форма="ООО",C769="Вывод ИП"),AND(Форма="ИП",C769="Дивиденды"),AND(L769&lt;&gt;"Проведён",L769&lt;&gt;"Черновик")),"ОШИБКА","ОК"))</f>
        <v/>
      </c>
      <c r="W769" s="25" t="str">
        <f>IF(A769="","",SUMIF(Accounts[Счёт],F769,Accounts[Начальный])+SUMIFS($Q$7:Q769,$F$7:F769,F769)+SUMIFS($E$7:E769,$G$7:G769,F769,$C$7:C769,"Перевод",$L$7:L769,"Проведён"))</f>
        <v/>
      </c>
    </row>
    <row r="770" spans="1:23" x14ac:dyDescent="0.25">
      <c r="A770" s="22"/>
      <c r="B770" s="23"/>
      <c r="C770" s="22"/>
      <c r="D770" s="22"/>
      <c r="E770" s="27"/>
      <c r="F770" s="22"/>
      <c r="G770" s="22"/>
      <c r="H770" s="22"/>
      <c r="I770" s="22"/>
      <c r="J770" s="22"/>
      <c r="K770" s="22"/>
      <c r="L770" s="22"/>
      <c r="M770" s="22"/>
      <c r="N770" s="27"/>
      <c r="O770" s="22"/>
      <c r="P770" s="5" t="str">
        <f>IF(A770="","",IF(COUNTIF(Типы,C770)=0,0,VLOOKUP(C770,СПРАВОЧНИКИ!$A$7:$E$22,2,FALSE)))</f>
        <v/>
      </c>
      <c r="Q770" s="25" t="str">
        <f t="shared" si="11"/>
        <v/>
      </c>
      <c r="R770" s="5" t="str">
        <f>IF(A770="","",IF(COUNTIF(Типы,C770)=0,"НЕИЗВЕСТНЫЙ ТИП",VLOOKUP(C770,СПРАВОЧНИКИ!$A$7:$E$22,3,FALSE)))</f>
        <v/>
      </c>
      <c r="S770" s="26" t="str">
        <f>IF(A770="","",IF(L770="Проведён",E770*IF(COUNTIF(Типы,C770)=0,0,VLOOKUP(C770,СПРАВОЧНИКИ!$A$7:$E$22,4,FALSE)),0))</f>
        <v/>
      </c>
      <c r="T770" s="26" t="str">
        <f>IF(A770="","",IF(L770="Проведён",E770*IF(COUNTIF(Типы,C770)=0,0,VLOOKUP(C770,СПРАВОЧНИКИ!$A$7:$E$22,5,FALSE)),0))</f>
        <v/>
      </c>
      <c r="U770" s="5" t="str">
        <f>IF(A770="","",IF(COUNTIF(Контрагенты,H770)=0,"Не задан",VLOOKUP(H770,СПРАВОЧНИКИ!$G$7:$H$66,2,FALSE)))</f>
        <v/>
      </c>
      <c r="V770" s="4" t="str">
        <f>IF(A770="",IF(COUNTA(B770:O770)&gt;0,"НЕТ ID",""),IF(OR(AND(OR(C770="Оплата клиента",C770="Возврат клиенту"),COUNTIFS(Docs[ID],J770,Docs[Тип долга],"ДЗ")&lt;&gt;1),AND(OR(C770="Оплата поставщику",C770="Возврат поставщика"),COUNTIFS(Docs[ID],J770,Docs[Тип долга],"КЗ",Docs[Вид],"&lt;&gt;Дивиденды")&lt;&gt;1),AND(C770="Дивиденды",COUNTIFS(Docs[ID],J770,Docs[Вид],"Дивиденды")&lt;&gt;1),AND(C770="Проценты",COUNTIFS(Docs[ID],J770,Docs[Вид],"Проценты")&lt;&gt;1),COUNTIF(Cash[ID],A770)&gt;1,NOT(ISNUMBER(B770)),B770&lt;НачалоУчета,YEAR(B770)&lt;&gt;Год,NOT(ISNUMBER(E770)),E770&lt;=0,N770&lt;0,COUNTIF(Типы,C770)&lt;&gt;1,COUNTIF(Категории,D770)&lt;&gt;1,COUNTIF(Счета,F770)&lt;&gt;1,COUNTIF(Проекты,I770)&lt;&gt;1,AND(H770&lt;&gt;"",COUNTIF(Контрагенты,H770)&lt;&gt;1),AND(C770="Перевод",OR(F770=G770,COUNTIF(Счета,G770)&lt;&gt;1)),AND(S770&lt;&gt;0,COUNTIF(Docs[ID],J770)&lt;&gt;1),AND(Форма="ООО",C770="Вывод ИП"),AND(Форма="ИП",C770="Дивиденды"),AND(L770&lt;&gt;"Проведён",L770&lt;&gt;"Черновик")),"ОШИБКА","ОК"))</f>
        <v/>
      </c>
      <c r="W770" s="25" t="str">
        <f>IF(A770="","",SUMIF(Accounts[Счёт],F770,Accounts[Начальный])+SUMIFS($Q$7:Q770,$F$7:F770,F770)+SUMIFS($E$7:E770,$G$7:G770,F770,$C$7:C770,"Перевод",$L$7:L770,"Проведён"))</f>
        <v/>
      </c>
    </row>
    <row r="771" spans="1:23" x14ac:dyDescent="0.25">
      <c r="A771" s="22"/>
      <c r="B771" s="23"/>
      <c r="C771" s="22"/>
      <c r="D771" s="22"/>
      <c r="E771" s="27"/>
      <c r="F771" s="22"/>
      <c r="G771" s="22"/>
      <c r="H771" s="22"/>
      <c r="I771" s="22"/>
      <c r="J771" s="22"/>
      <c r="K771" s="22"/>
      <c r="L771" s="22"/>
      <c r="M771" s="22"/>
      <c r="N771" s="27"/>
      <c r="O771" s="22"/>
      <c r="P771" s="5" t="str">
        <f>IF(A771="","",IF(COUNTIF(Типы,C771)=0,0,VLOOKUP(C771,СПРАВОЧНИКИ!$A$7:$E$22,2,FALSE)))</f>
        <v/>
      </c>
      <c r="Q771" s="25" t="str">
        <f t="shared" si="11"/>
        <v/>
      </c>
      <c r="R771" s="5" t="str">
        <f>IF(A771="","",IF(COUNTIF(Типы,C771)=0,"НЕИЗВЕСТНЫЙ ТИП",VLOOKUP(C771,СПРАВОЧНИКИ!$A$7:$E$22,3,FALSE)))</f>
        <v/>
      </c>
      <c r="S771" s="26" t="str">
        <f>IF(A771="","",IF(L771="Проведён",E771*IF(COUNTIF(Типы,C771)=0,0,VLOOKUP(C771,СПРАВОЧНИКИ!$A$7:$E$22,4,FALSE)),0))</f>
        <v/>
      </c>
      <c r="T771" s="26" t="str">
        <f>IF(A771="","",IF(L771="Проведён",E771*IF(COUNTIF(Типы,C771)=0,0,VLOOKUP(C771,СПРАВОЧНИКИ!$A$7:$E$22,5,FALSE)),0))</f>
        <v/>
      </c>
      <c r="U771" s="5" t="str">
        <f>IF(A771="","",IF(COUNTIF(Контрагенты,H771)=0,"Не задан",VLOOKUP(H771,СПРАВОЧНИКИ!$G$7:$H$66,2,FALSE)))</f>
        <v/>
      </c>
      <c r="V771" s="4" t="str">
        <f>IF(A771="",IF(COUNTA(B771:O771)&gt;0,"НЕТ ID",""),IF(OR(AND(OR(C771="Оплата клиента",C771="Возврат клиенту"),COUNTIFS(Docs[ID],J771,Docs[Тип долга],"ДЗ")&lt;&gt;1),AND(OR(C771="Оплата поставщику",C771="Возврат поставщика"),COUNTIFS(Docs[ID],J771,Docs[Тип долга],"КЗ",Docs[Вид],"&lt;&gt;Дивиденды")&lt;&gt;1),AND(C771="Дивиденды",COUNTIFS(Docs[ID],J771,Docs[Вид],"Дивиденды")&lt;&gt;1),AND(C771="Проценты",COUNTIFS(Docs[ID],J771,Docs[Вид],"Проценты")&lt;&gt;1),COUNTIF(Cash[ID],A771)&gt;1,NOT(ISNUMBER(B771)),B771&lt;НачалоУчета,YEAR(B771)&lt;&gt;Год,NOT(ISNUMBER(E771)),E771&lt;=0,N771&lt;0,COUNTIF(Типы,C771)&lt;&gt;1,COUNTIF(Категории,D771)&lt;&gt;1,COUNTIF(Счета,F771)&lt;&gt;1,COUNTIF(Проекты,I771)&lt;&gt;1,AND(H771&lt;&gt;"",COUNTIF(Контрагенты,H771)&lt;&gt;1),AND(C771="Перевод",OR(F771=G771,COUNTIF(Счета,G771)&lt;&gt;1)),AND(S771&lt;&gt;0,COUNTIF(Docs[ID],J771)&lt;&gt;1),AND(Форма="ООО",C771="Вывод ИП"),AND(Форма="ИП",C771="Дивиденды"),AND(L771&lt;&gt;"Проведён",L771&lt;&gt;"Черновик")),"ОШИБКА","ОК"))</f>
        <v/>
      </c>
      <c r="W771" s="25" t="str">
        <f>IF(A771="","",SUMIF(Accounts[Счёт],F771,Accounts[Начальный])+SUMIFS($Q$7:Q771,$F$7:F771,F771)+SUMIFS($E$7:E771,$G$7:G771,F771,$C$7:C771,"Перевод",$L$7:L771,"Проведён"))</f>
        <v/>
      </c>
    </row>
    <row r="772" spans="1:23" x14ac:dyDescent="0.25">
      <c r="A772" s="22"/>
      <c r="B772" s="23"/>
      <c r="C772" s="22"/>
      <c r="D772" s="22"/>
      <c r="E772" s="27"/>
      <c r="F772" s="22"/>
      <c r="G772" s="22"/>
      <c r="H772" s="22"/>
      <c r="I772" s="22"/>
      <c r="J772" s="22"/>
      <c r="K772" s="22"/>
      <c r="L772" s="22"/>
      <c r="M772" s="22"/>
      <c r="N772" s="27"/>
      <c r="O772" s="22"/>
      <c r="P772" s="5" t="str">
        <f>IF(A772="","",IF(COUNTIF(Типы,C772)=0,0,VLOOKUP(C772,СПРАВОЧНИКИ!$A$7:$E$22,2,FALSE)))</f>
        <v/>
      </c>
      <c r="Q772" s="25" t="str">
        <f t="shared" si="11"/>
        <v/>
      </c>
      <c r="R772" s="5" t="str">
        <f>IF(A772="","",IF(COUNTIF(Типы,C772)=0,"НЕИЗВЕСТНЫЙ ТИП",VLOOKUP(C772,СПРАВОЧНИКИ!$A$7:$E$22,3,FALSE)))</f>
        <v/>
      </c>
      <c r="S772" s="26" t="str">
        <f>IF(A772="","",IF(L772="Проведён",E772*IF(COUNTIF(Типы,C772)=0,0,VLOOKUP(C772,СПРАВОЧНИКИ!$A$7:$E$22,4,FALSE)),0))</f>
        <v/>
      </c>
      <c r="T772" s="26" t="str">
        <f>IF(A772="","",IF(L772="Проведён",E772*IF(COUNTIF(Типы,C772)=0,0,VLOOKUP(C772,СПРАВОЧНИКИ!$A$7:$E$22,5,FALSE)),0))</f>
        <v/>
      </c>
      <c r="U772" s="5" t="str">
        <f>IF(A772="","",IF(COUNTIF(Контрагенты,H772)=0,"Не задан",VLOOKUP(H772,СПРАВОЧНИКИ!$G$7:$H$66,2,FALSE)))</f>
        <v/>
      </c>
      <c r="V772" s="4" t="str">
        <f>IF(A772="",IF(COUNTA(B772:O772)&gt;0,"НЕТ ID",""),IF(OR(AND(OR(C772="Оплата клиента",C772="Возврат клиенту"),COUNTIFS(Docs[ID],J772,Docs[Тип долга],"ДЗ")&lt;&gt;1),AND(OR(C772="Оплата поставщику",C772="Возврат поставщика"),COUNTIFS(Docs[ID],J772,Docs[Тип долга],"КЗ",Docs[Вид],"&lt;&gt;Дивиденды")&lt;&gt;1),AND(C772="Дивиденды",COUNTIFS(Docs[ID],J772,Docs[Вид],"Дивиденды")&lt;&gt;1),AND(C772="Проценты",COUNTIFS(Docs[ID],J772,Docs[Вид],"Проценты")&lt;&gt;1),COUNTIF(Cash[ID],A772)&gt;1,NOT(ISNUMBER(B772)),B772&lt;НачалоУчета,YEAR(B772)&lt;&gt;Год,NOT(ISNUMBER(E772)),E772&lt;=0,N772&lt;0,COUNTIF(Типы,C772)&lt;&gt;1,COUNTIF(Категории,D772)&lt;&gt;1,COUNTIF(Счета,F772)&lt;&gt;1,COUNTIF(Проекты,I772)&lt;&gt;1,AND(H772&lt;&gt;"",COUNTIF(Контрагенты,H772)&lt;&gt;1),AND(C772="Перевод",OR(F772=G772,COUNTIF(Счета,G772)&lt;&gt;1)),AND(S772&lt;&gt;0,COUNTIF(Docs[ID],J772)&lt;&gt;1),AND(Форма="ООО",C772="Вывод ИП"),AND(Форма="ИП",C772="Дивиденды"),AND(L772&lt;&gt;"Проведён",L772&lt;&gt;"Черновик")),"ОШИБКА","ОК"))</f>
        <v/>
      </c>
      <c r="W772" s="25" t="str">
        <f>IF(A772="","",SUMIF(Accounts[Счёт],F772,Accounts[Начальный])+SUMIFS($Q$7:Q772,$F$7:F772,F772)+SUMIFS($E$7:E772,$G$7:G772,F772,$C$7:C772,"Перевод",$L$7:L772,"Проведён"))</f>
        <v/>
      </c>
    </row>
    <row r="773" spans="1:23" x14ac:dyDescent="0.25">
      <c r="A773" s="22"/>
      <c r="B773" s="23"/>
      <c r="C773" s="22"/>
      <c r="D773" s="22"/>
      <c r="E773" s="27"/>
      <c r="F773" s="22"/>
      <c r="G773" s="22"/>
      <c r="H773" s="22"/>
      <c r="I773" s="22"/>
      <c r="J773" s="22"/>
      <c r="K773" s="22"/>
      <c r="L773" s="22"/>
      <c r="M773" s="22"/>
      <c r="N773" s="27"/>
      <c r="O773" s="22"/>
      <c r="P773" s="5" t="str">
        <f>IF(A773="","",IF(COUNTIF(Типы,C773)=0,0,VLOOKUP(C773,СПРАВОЧНИКИ!$A$7:$E$22,2,FALSE)))</f>
        <v/>
      </c>
      <c r="Q773" s="25" t="str">
        <f t="shared" si="11"/>
        <v/>
      </c>
      <c r="R773" s="5" t="str">
        <f>IF(A773="","",IF(COUNTIF(Типы,C773)=0,"НЕИЗВЕСТНЫЙ ТИП",VLOOKUP(C773,СПРАВОЧНИКИ!$A$7:$E$22,3,FALSE)))</f>
        <v/>
      </c>
      <c r="S773" s="26" t="str">
        <f>IF(A773="","",IF(L773="Проведён",E773*IF(COUNTIF(Типы,C773)=0,0,VLOOKUP(C773,СПРАВОЧНИКИ!$A$7:$E$22,4,FALSE)),0))</f>
        <v/>
      </c>
      <c r="T773" s="26" t="str">
        <f>IF(A773="","",IF(L773="Проведён",E773*IF(COUNTIF(Типы,C773)=0,0,VLOOKUP(C773,СПРАВОЧНИКИ!$A$7:$E$22,5,FALSE)),0))</f>
        <v/>
      </c>
      <c r="U773" s="5" t="str">
        <f>IF(A773="","",IF(COUNTIF(Контрагенты,H773)=0,"Не задан",VLOOKUP(H773,СПРАВОЧНИКИ!$G$7:$H$66,2,FALSE)))</f>
        <v/>
      </c>
      <c r="V773" s="4" t="str">
        <f>IF(A773="",IF(COUNTA(B773:O773)&gt;0,"НЕТ ID",""),IF(OR(AND(OR(C773="Оплата клиента",C773="Возврат клиенту"),COUNTIFS(Docs[ID],J773,Docs[Тип долга],"ДЗ")&lt;&gt;1),AND(OR(C773="Оплата поставщику",C773="Возврат поставщика"),COUNTIFS(Docs[ID],J773,Docs[Тип долга],"КЗ",Docs[Вид],"&lt;&gt;Дивиденды")&lt;&gt;1),AND(C773="Дивиденды",COUNTIFS(Docs[ID],J773,Docs[Вид],"Дивиденды")&lt;&gt;1),AND(C773="Проценты",COUNTIFS(Docs[ID],J773,Docs[Вид],"Проценты")&lt;&gt;1),COUNTIF(Cash[ID],A773)&gt;1,NOT(ISNUMBER(B773)),B773&lt;НачалоУчета,YEAR(B773)&lt;&gt;Год,NOT(ISNUMBER(E773)),E773&lt;=0,N773&lt;0,COUNTIF(Типы,C773)&lt;&gt;1,COUNTIF(Категории,D773)&lt;&gt;1,COUNTIF(Счета,F773)&lt;&gt;1,COUNTIF(Проекты,I773)&lt;&gt;1,AND(H773&lt;&gt;"",COUNTIF(Контрагенты,H773)&lt;&gt;1),AND(C773="Перевод",OR(F773=G773,COUNTIF(Счета,G773)&lt;&gt;1)),AND(S773&lt;&gt;0,COUNTIF(Docs[ID],J773)&lt;&gt;1),AND(Форма="ООО",C773="Вывод ИП"),AND(Форма="ИП",C773="Дивиденды"),AND(L773&lt;&gt;"Проведён",L773&lt;&gt;"Черновик")),"ОШИБКА","ОК"))</f>
        <v/>
      </c>
      <c r="W773" s="25" t="str">
        <f>IF(A773="","",SUMIF(Accounts[Счёт],F773,Accounts[Начальный])+SUMIFS($Q$7:Q773,$F$7:F773,F773)+SUMIFS($E$7:E773,$G$7:G773,F773,$C$7:C773,"Перевод",$L$7:L773,"Проведён"))</f>
        <v/>
      </c>
    </row>
    <row r="774" spans="1:23" x14ac:dyDescent="0.25">
      <c r="A774" s="22"/>
      <c r="B774" s="23"/>
      <c r="C774" s="22"/>
      <c r="D774" s="22"/>
      <c r="E774" s="27"/>
      <c r="F774" s="22"/>
      <c r="G774" s="22"/>
      <c r="H774" s="22"/>
      <c r="I774" s="22"/>
      <c r="J774" s="22"/>
      <c r="K774" s="22"/>
      <c r="L774" s="22"/>
      <c r="M774" s="22"/>
      <c r="N774" s="27"/>
      <c r="O774" s="22"/>
      <c r="P774" s="5" t="str">
        <f>IF(A774="","",IF(COUNTIF(Типы,C774)=0,0,VLOOKUP(C774,СПРАВОЧНИКИ!$A$7:$E$22,2,FALSE)))</f>
        <v/>
      </c>
      <c r="Q774" s="25" t="str">
        <f t="shared" si="11"/>
        <v/>
      </c>
      <c r="R774" s="5" t="str">
        <f>IF(A774="","",IF(COUNTIF(Типы,C774)=0,"НЕИЗВЕСТНЫЙ ТИП",VLOOKUP(C774,СПРАВОЧНИКИ!$A$7:$E$22,3,FALSE)))</f>
        <v/>
      </c>
      <c r="S774" s="26" t="str">
        <f>IF(A774="","",IF(L774="Проведён",E774*IF(COUNTIF(Типы,C774)=0,0,VLOOKUP(C774,СПРАВОЧНИКИ!$A$7:$E$22,4,FALSE)),0))</f>
        <v/>
      </c>
      <c r="T774" s="26" t="str">
        <f>IF(A774="","",IF(L774="Проведён",E774*IF(COUNTIF(Типы,C774)=0,0,VLOOKUP(C774,СПРАВОЧНИКИ!$A$7:$E$22,5,FALSE)),0))</f>
        <v/>
      </c>
      <c r="U774" s="5" t="str">
        <f>IF(A774="","",IF(COUNTIF(Контрагенты,H774)=0,"Не задан",VLOOKUP(H774,СПРАВОЧНИКИ!$G$7:$H$66,2,FALSE)))</f>
        <v/>
      </c>
      <c r="V774" s="4" t="str">
        <f>IF(A774="",IF(COUNTA(B774:O774)&gt;0,"НЕТ ID",""),IF(OR(AND(OR(C774="Оплата клиента",C774="Возврат клиенту"),COUNTIFS(Docs[ID],J774,Docs[Тип долга],"ДЗ")&lt;&gt;1),AND(OR(C774="Оплата поставщику",C774="Возврат поставщика"),COUNTIFS(Docs[ID],J774,Docs[Тип долга],"КЗ",Docs[Вид],"&lt;&gt;Дивиденды")&lt;&gt;1),AND(C774="Дивиденды",COUNTIFS(Docs[ID],J774,Docs[Вид],"Дивиденды")&lt;&gt;1),AND(C774="Проценты",COUNTIFS(Docs[ID],J774,Docs[Вид],"Проценты")&lt;&gt;1),COUNTIF(Cash[ID],A774)&gt;1,NOT(ISNUMBER(B774)),B774&lt;НачалоУчета,YEAR(B774)&lt;&gt;Год,NOT(ISNUMBER(E774)),E774&lt;=0,N774&lt;0,COUNTIF(Типы,C774)&lt;&gt;1,COUNTIF(Категории,D774)&lt;&gt;1,COUNTIF(Счета,F774)&lt;&gt;1,COUNTIF(Проекты,I774)&lt;&gt;1,AND(H774&lt;&gt;"",COUNTIF(Контрагенты,H774)&lt;&gt;1),AND(C774="Перевод",OR(F774=G774,COUNTIF(Счета,G774)&lt;&gt;1)),AND(S774&lt;&gt;0,COUNTIF(Docs[ID],J774)&lt;&gt;1),AND(Форма="ООО",C774="Вывод ИП"),AND(Форма="ИП",C774="Дивиденды"),AND(L774&lt;&gt;"Проведён",L774&lt;&gt;"Черновик")),"ОШИБКА","ОК"))</f>
        <v/>
      </c>
      <c r="W774" s="25" t="str">
        <f>IF(A774="","",SUMIF(Accounts[Счёт],F774,Accounts[Начальный])+SUMIFS($Q$7:Q774,$F$7:F774,F774)+SUMIFS($E$7:E774,$G$7:G774,F774,$C$7:C774,"Перевод",$L$7:L774,"Проведён"))</f>
        <v/>
      </c>
    </row>
    <row r="775" spans="1:23" x14ac:dyDescent="0.25">
      <c r="A775" s="22"/>
      <c r="B775" s="23"/>
      <c r="C775" s="22"/>
      <c r="D775" s="22"/>
      <c r="E775" s="27"/>
      <c r="F775" s="22"/>
      <c r="G775" s="22"/>
      <c r="H775" s="22"/>
      <c r="I775" s="22"/>
      <c r="J775" s="22"/>
      <c r="K775" s="22"/>
      <c r="L775" s="22"/>
      <c r="M775" s="22"/>
      <c r="N775" s="27"/>
      <c r="O775" s="22"/>
      <c r="P775" s="5" t="str">
        <f>IF(A775="","",IF(COUNTIF(Типы,C775)=0,0,VLOOKUP(C775,СПРАВОЧНИКИ!$A$7:$E$22,2,FALSE)))</f>
        <v/>
      </c>
      <c r="Q775" s="25" t="str">
        <f t="shared" ref="Q775:Q838" si="12">IF(A775="","",IF(L775="Проведён",E775*P775,0))</f>
        <v/>
      </c>
      <c r="R775" s="5" t="str">
        <f>IF(A775="","",IF(COUNTIF(Типы,C775)=0,"НЕИЗВЕСТНЫЙ ТИП",VLOOKUP(C775,СПРАВОЧНИКИ!$A$7:$E$22,3,FALSE)))</f>
        <v/>
      </c>
      <c r="S775" s="26" t="str">
        <f>IF(A775="","",IF(L775="Проведён",E775*IF(COUNTIF(Типы,C775)=0,0,VLOOKUP(C775,СПРАВОЧНИКИ!$A$7:$E$22,4,FALSE)),0))</f>
        <v/>
      </c>
      <c r="T775" s="26" t="str">
        <f>IF(A775="","",IF(L775="Проведён",E775*IF(COUNTIF(Типы,C775)=0,0,VLOOKUP(C775,СПРАВОЧНИКИ!$A$7:$E$22,5,FALSE)),0))</f>
        <v/>
      </c>
      <c r="U775" s="5" t="str">
        <f>IF(A775="","",IF(COUNTIF(Контрагенты,H775)=0,"Не задан",VLOOKUP(H775,СПРАВОЧНИКИ!$G$7:$H$66,2,FALSE)))</f>
        <v/>
      </c>
      <c r="V775" s="4" t="str">
        <f>IF(A775="",IF(COUNTA(B775:O775)&gt;0,"НЕТ ID",""),IF(OR(AND(OR(C775="Оплата клиента",C775="Возврат клиенту"),COUNTIFS(Docs[ID],J775,Docs[Тип долга],"ДЗ")&lt;&gt;1),AND(OR(C775="Оплата поставщику",C775="Возврат поставщика"),COUNTIFS(Docs[ID],J775,Docs[Тип долга],"КЗ",Docs[Вид],"&lt;&gt;Дивиденды")&lt;&gt;1),AND(C775="Дивиденды",COUNTIFS(Docs[ID],J775,Docs[Вид],"Дивиденды")&lt;&gt;1),AND(C775="Проценты",COUNTIFS(Docs[ID],J775,Docs[Вид],"Проценты")&lt;&gt;1),COUNTIF(Cash[ID],A775)&gt;1,NOT(ISNUMBER(B775)),B775&lt;НачалоУчета,YEAR(B775)&lt;&gt;Год,NOT(ISNUMBER(E775)),E775&lt;=0,N775&lt;0,COUNTIF(Типы,C775)&lt;&gt;1,COUNTIF(Категории,D775)&lt;&gt;1,COUNTIF(Счета,F775)&lt;&gt;1,COUNTIF(Проекты,I775)&lt;&gt;1,AND(H775&lt;&gt;"",COUNTIF(Контрагенты,H775)&lt;&gt;1),AND(C775="Перевод",OR(F775=G775,COUNTIF(Счета,G775)&lt;&gt;1)),AND(S775&lt;&gt;0,COUNTIF(Docs[ID],J775)&lt;&gt;1),AND(Форма="ООО",C775="Вывод ИП"),AND(Форма="ИП",C775="Дивиденды"),AND(L775&lt;&gt;"Проведён",L775&lt;&gt;"Черновик")),"ОШИБКА","ОК"))</f>
        <v/>
      </c>
      <c r="W775" s="25" t="str">
        <f>IF(A775="","",SUMIF(Accounts[Счёт],F775,Accounts[Начальный])+SUMIFS($Q$7:Q775,$F$7:F775,F775)+SUMIFS($E$7:E775,$G$7:G775,F775,$C$7:C775,"Перевод",$L$7:L775,"Проведён"))</f>
        <v/>
      </c>
    </row>
    <row r="776" spans="1:23" x14ac:dyDescent="0.25">
      <c r="A776" s="22"/>
      <c r="B776" s="23"/>
      <c r="C776" s="22"/>
      <c r="D776" s="22"/>
      <c r="E776" s="27"/>
      <c r="F776" s="22"/>
      <c r="G776" s="22"/>
      <c r="H776" s="22"/>
      <c r="I776" s="22"/>
      <c r="J776" s="22"/>
      <c r="K776" s="22"/>
      <c r="L776" s="22"/>
      <c r="M776" s="22"/>
      <c r="N776" s="27"/>
      <c r="O776" s="22"/>
      <c r="P776" s="5" t="str">
        <f>IF(A776="","",IF(COUNTIF(Типы,C776)=0,0,VLOOKUP(C776,СПРАВОЧНИКИ!$A$7:$E$22,2,FALSE)))</f>
        <v/>
      </c>
      <c r="Q776" s="25" t="str">
        <f t="shared" si="12"/>
        <v/>
      </c>
      <c r="R776" s="5" t="str">
        <f>IF(A776="","",IF(COUNTIF(Типы,C776)=0,"НЕИЗВЕСТНЫЙ ТИП",VLOOKUP(C776,СПРАВОЧНИКИ!$A$7:$E$22,3,FALSE)))</f>
        <v/>
      </c>
      <c r="S776" s="26" t="str">
        <f>IF(A776="","",IF(L776="Проведён",E776*IF(COUNTIF(Типы,C776)=0,0,VLOOKUP(C776,СПРАВОЧНИКИ!$A$7:$E$22,4,FALSE)),0))</f>
        <v/>
      </c>
      <c r="T776" s="26" t="str">
        <f>IF(A776="","",IF(L776="Проведён",E776*IF(COUNTIF(Типы,C776)=0,0,VLOOKUP(C776,СПРАВОЧНИКИ!$A$7:$E$22,5,FALSE)),0))</f>
        <v/>
      </c>
      <c r="U776" s="5" t="str">
        <f>IF(A776="","",IF(COUNTIF(Контрагенты,H776)=0,"Не задан",VLOOKUP(H776,СПРАВОЧНИКИ!$G$7:$H$66,2,FALSE)))</f>
        <v/>
      </c>
      <c r="V776" s="4" t="str">
        <f>IF(A776="",IF(COUNTA(B776:O776)&gt;0,"НЕТ ID",""),IF(OR(AND(OR(C776="Оплата клиента",C776="Возврат клиенту"),COUNTIFS(Docs[ID],J776,Docs[Тип долга],"ДЗ")&lt;&gt;1),AND(OR(C776="Оплата поставщику",C776="Возврат поставщика"),COUNTIFS(Docs[ID],J776,Docs[Тип долга],"КЗ",Docs[Вид],"&lt;&gt;Дивиденды")&lt;&gt;1),AND(C776="Дивиденды",COUNTIFS(Docs[ID],J776,Docs[Вид],"Дивиденды")&lt;&gt;1),AND(C776="Проценты",COUNTIFS(Docs[ID],J776,Docs[Вид],"Проценты")&lt;&gt;1),COUNTIF(Cash[ID],A776)&gt;1,NOT(ISNUMBER(B776)),B776&lt;НачалоУчета,YEAR(B776)&lt;&gt;Год,NOT(ISNUMBER(E776)),E776&lt;=0,N776&lt;0,COUNTIF(Типы,C776)&lt;&gt;1,COUNTIF(Категории,D776)&lt;&gt;1,COUNTIF(Счета,F776)&lt;&gt;1,COUNTIF(Проекты,I776)&lt;&gt;1,AND(H776&lt;&gt;"",COUNTIF(Контрагенты,H776)&lt;&gt;1),AND(C776="Перевод",OR(F776=G776,COUNTIF(Счета,G776)&lt;&gt;1)),AND(S776&lt;&gt;0,COUNTIF(Docs[ID],J776)&lt;&gt;1),AND(Форма="ООО",C776="Вывод ИП"),AND(Форма="ИП",C776="Дивиденды"),AND(L776&lt;&gt;"Проведён",L776&lt;&gt;"Черновик")),"ОШИБКА","ОК"))</f>
        <v/>
      </c>
      <c r="W776" s="25" t="str">
        <f>IF(A776="","",SUMIF(Accounts[Счёт],F776,Accounts[Начальный])+SUMIFS($Q$7:Q776,$F$7:F776,F776)+SUMIFS($E$7:E776,$G$7:G776,F776,$C$7:C776,"Перевод",$L$7:L776,"Проведён"))</f>
        <v/>
      </c>
    </row>
    <row r="777" spans="1:23" x14ac:dyDescent="0.25">
      <c r="A777" s="22"/>
      <c r="B777" s="23"/>
      <c r="C777" s="22"/>
      <c r="D777" s="22"/>
      <c r="E777" s="27"/>
      <c r="F777" s="22"/>
      <c r="G777" s="22"/>
      <c r="H777" s="22"/>
      <c r="I777" s="22"/>
      <c r="J777" s="22"/>
      <c r="K777" s="22"/>
      <c r="L777" s="22"/>
      <c r="M777" s="22"/>
      <c r="N777" s="27"/>
      <c r="O777" s="22"/>
      <c r="P777" s="5" t="str">
        <f>IF(A777="","",IF(COUNTIF(Типы,C777)=0,0,VLOOKUP(C777,СПРАВОЧНИКИ!$A$7:$E$22,2,FALSE)))</f>
        <v/>
      </c>
      <c r="Q777" s="25" t="str">
        <f t="shared" si="12"/>
        <v/>
      </c>
      <c r="R777" s="5" t="str">
        <f>IF(A777="","",IF(COUNTIF(Типы,C777)=0,"НЕИЗВЕСТНЫЙ ТИП",VLOOKUP(C777,СПРАВОЧНИКИ!$A$7:$E$22,3,FALSE)))</f>
        <v/>
      </c>
      <c r="S777" s="26" t="str">
        <f>IF(A777="","",IF(L777="Проведён",E777*IF(COUNTIF(Типы,C777)=0,0,VLOOKUP(C777,СПРАВОЧНИКИ!$A$7:$E$22,4,FALSE)),0))</f>
        <v/>
      </c>
      <c r="T777" s="26" t="str">
        <f>IF(A777="","",IF(L777="Проведён",E777*IF(COUNTIF(Типы,C777)=0,0,VLOOKUP(C777,СПРАВОЧНИКИ!$A$7:$E$22,5,FALSE)),0))</f>
        <v/>
      </c>
      <c r="U777" s="5" t="str">
        <f>IF(A777="","",IF(COUNTIF(Контрагенты,H777)=0,"Не задан",VLOOKUP(H777,СПРАВОЧНИКИ!$G$7:$H$66,2,FALSE)))</f>
        <v/>
      </c>
      <c r="V777" s="4" t="str">
        <f>IF(A777="",IF(COUNTA(B777:O777)&gt;0,"НЕТ ID",""),IF(OR(AND(OR(C777="Оплата клиента",C777="Возврат клиенту"),COUNTIFS(Docs[ID],J777,Docs[Тип долга],"ДЗ")&lt;&gt;1),AND(OR(C777="Оплата поставщику",C777="Возврат поставщика"),COUNTIFS(Docs[ID],J777,Docs[Тип долга],"КЗ",Docs[Вид],"&lt;&gt;Дивиденды")&lt;&gt;1),AND(C777="Дивиденды",COUNTIFS(Docs[ID],J777,Docs[Вид],"Дивиденды")&lt;&gt;1),AND(C777="Проценты",COUNTIFS(Docs[ID],J777,Docs[Вид],"Проценты")&lt;&gt;1),COUNTIF(Cash[ID],A777)&gt;1,NOT(ISNUMBER(B777)),B777&lt;НачалоУчета,YEAR(B777)&lt;&gt;Год,NOT(ISNUMBER(E777)),E777&lt;=0,N777&lt;0,COUNTIF(Типы,C777)&lt;&gt;1,COUNTIF(Категории,D777)&lt;&gt;1,COUNTIF(Счета,F777)&lt;&gt;1,COUNTIF(Проекты,I777)&lt;&gt;1,AND(H777&lt;&gt;"",COUNTIF(Контрагенты,H777)&lt;&gt;1),AND(C777="Перевод",OR(F777=G777,COUNTIF(Счета,G777)&lt;&gt;1)),AND(S777&lt;&gt;0,COUNTIF(Docs[ID],J777)&lt;&gt;1),AND(Форма="ООО",C777="Вывод ИП"),AND(Форма="ИП",C777="Дивиденды"),AND(L777&lt;&gt;"Проведён",L777&lt;&gt;"Черновик")),"ОШИБКА","ОК"))</f>
        <v/>
      </c>
      <c r="W777" s="25" t="str">
        <f>IF(A777="","",SUMIF(Accounts[Счёт],F777,Accounts[Начальный])+SUMIFS($Q$7:Q777,$F$7:F777,F777)+SUMIFS($E$7:E777,$G$7:G777,F777,$C$7:C777,"Перевод",$L$7:L777,"Проведён"))</f>
        <v/>
      </c>
    </row>
    <row r="778" spans="1:23" x14ac:dyDescent="0.25">
      <c r="A778" s="22"/>
      <c r="B778" s="23"/>
      <c r="C778" s="22"/>
      <c r="D778" s="22"/>
      <c r="E778" s="27"/>
      <c r="F778" s="22"/>
      <c r="G778" s="22"/>
      <c r="H778" s="22"/>
      <c r="I778" s="22"/>
      <c r="J778" s="22"/>
      <c r="K778" s="22"/>
      <c r="L778" s="22"/>
      <c r="M778" s="22"/>
      <c r="N778" s="27"/>
      <c r="O778" s="22"/>
      <c r="P778" s="5" t="str">
        <f>IF(A778="","",IF(COUNTIF(Типы,C778)=0,0,VLOOKUP(C778,СПРАВОЧНИКИ!$A$7:$E$22,2,FALSE)))</f>
        <v/>
      </c>
      <c r="Q778" s="25" t="str">
        <f t="shared" si="12"/>
        <v/>
      </c>
      <c r="R778" s="5" t="str">
        <f>IF(A778="","",IF(COUNTIF(Типы,C778)=0,"НЕИЗВЕСТНЫЙ ТИП",VLOOKUP(C778,СПРАВОЧНИКИ!$A$7:$E$22,3,FALSE)))</f>
        <v/>
      </c>
      <c r="S778" s="26" t="str">
        <f>IF(A778="","",IF(L778="Проведён",E778*IF(COUNTIF(Типы,C778)=0,0,VLOOKUP(C778,СПРАВОЧНИКИ!$A$7:$E$22,4,FALSE)),0))</f>
        <v/>
      </c>
      <c r="T778" s="26" t="str">
        <f>IF(A778="","",IF(L778="Проведён",E778*IF(COUNTIF(Типы,C778)=0,0,VLOOKUP(C778,СПРАВОЧНИКИ!$A$7:$E$22,5,FALSE)),0))</f>
        <v/>
      </c>
      <c r="U778" s="5" t="str">
        <f>IF(A778="","",IF(COUNTIF(Контрагенты,H778)=0,"Не задан",VLOOKUP(H778,СПРАВОЧНИКИ!$G$7:$H$66,2,FALSE)))</f>
        <v/>
      </c>
      <c r="V778" s="4" t="str">
        <f>IF(A778="",IF(COUNTA(B778:O778)&gt;0,"НЕТ ID",""),IF(OR(AND(OR(C778="Оплата клиента",C778="Возврат клиенту"),COUNTIFS(Docs[ID],J778,Docs[Тип долга],"ДЗ")&lt;&gt;1),AND(OR(C778="Оплата поставщику",C778="Возврат поставщика"),COUNTIFS(Docs[ID],J778,Docs[Тип долга],"КЗ",Docs[Вид],"&lt;&gt;Дивиденды")&lt;&gt;1),AND(C778="Дивиденды",COUNTIFS(Docs[ID],J778,Docs[Вид],"Дивиденды")&lt;&gt;1),AND(C778="Проценты",COUNTIFS(Docs[ID],J778,Docs[Вид],"Проценты")&lt;&gt;1),COUNTIF(Cash[ID],A778)&gt;1,NOT(ISNUMBER(B778)),B778&lt;НачалоУчета,YEAR(B778)&lt;&gt;Год,NOT(ISNUMBER(E778)),E778&lt;=0,N778&lt;0,COUNTIF(Типы,C778)&lt;&gt;1,COUNTIF(Категории,D778)&lt;&gt;1,COUNTIF(Счета,F778)&lt;&gt;1,COUNTIF(Проекты,I778)&lt;&gt;1,AND(H778&lt;&gt;"",COUNTIF(Контрагенты,H778)&lt;&gt;1),AND(C778="Перевод",OR(F778=G778,COUNTIF(Счета,G778)&lt;&gt;1)),AND(S778&lt;&gt;0,COUNTIF(Docs[ID],J778)&lt;&gt;1),AND(Форма="ООО",C778="Вывод ИП"),AND(Форма="ИП",C778="Дивиденды"),AND(L778&lt;&gt;"Проведён",L778&lt;&gt;"Черновик")),"ОШИБКА","ОК"))</f>
        <v/>
      </c>
      <c r="W778" s="25" t="str">
        <f>IF(A778="","",SUMIF(Accounts[Счёт],F778,Accounts[Начальный])+SUMIFS($Q$7:Q778,$F$7:F778,F778)+SUMIFS($E$7:E778,$G$7:G778,F778,$C$7:C778,"Перевод",$L$7:L778,"Проведён"))</f>
        <v/>
      </c>
    </row>
    <row r="779" spans="1:23" x14ac:dyDescent="0.25">
      <c r="A779" s="22"/>
      <c r="B779" s="23"/>
      <c r="C779" s="22"/>
      <c r="D779" s="22"/>
      <c r="E779" s="27"/>
      <c r="F779" s="22"/>
      <c r="G779" s="22"/>
      <c r="H779" s="22"/>
      <c r="I779" s="22"/>
      <c r="J779" s="22"/>
      <c r="K779" s="22"/>
      <c r="L779" s="22"/>
      <c r="M779" s="22"/>
      <c r="N779" s="27"/>
      <c r="O779" s="22"/>
      <c r="P779" s="5" t="str">
        <f>IF(A779="","",IF(COUNTIF(Типы,C779)=0,0,VLOOKUP(C779,СПРАВОЧНИКИ!$A$7:$E$22,2,FALSE)))</f>
        <v/>
      </c>
      <c r="Q779" s="25" t="str">
        <f t="shared" si="12"/>
        <v/>
      </c>
      <c r="R779" s="5" t="str">
        <f>IF(A779="","",IF(COUNTIF(Типы,C779)=0,"НЕИЗВЕСТНЫЙ ТИП",VLOOKUP(C779,СПРАВОЧНИКИ!$A$7:$E$22,3,FALSE)))</f>
        <v/>
      </c>
      <c r="S779" s="26" t="str">
        <f>IF(A779="","",IF(L779="Проведён",E779*IF(COUNTIF(Типы,C779)=0,0,VLOOKUP(C779,СПРАВОЧНИКИ!$A$7:$E$22,4,FALSE)),0))</f>
        <v/>
      </c>
      <c r="T779" s="26" t="str">
        <f>IF(A779="","",IF(L779="Проведён",E779*IF(COUNTIF(Типы,C779)=0,0,VLOOKUP(C779,СПРАВОЧНИКИ!$A$7:$E$22,5,FALSE)),0))</f>
        <v/>
      </c>
      <c r="U779" s="5" t="str">
        <f>IF(A779="","",IF(COUNTIF(Контрагенты,H779)=0,"Не задан",VLOOKUP(H779,СПРАВОЧНИКИ!$G$7:$H$66,2,FALSE)))</f>
        <v/>
      </c>
      <c r="V779" s="4" t="str">
        <f>IF(A779="",IF(COUNTA(B779:O779)&gt;0,"НЕТ ID",""),IF(OR(AND(OR(C779="Оплата клиента",C779="Возврат клиенту"),COUNTIFS(Docs[ID],J779,Docs[Тип долга],"ДЗ")&lt;&gt;1),AND(OR(C779="Оплата поставщику",C779="Возврат поставщика"),COUNTIFS(Docs[ID],J779,Docs[Тип долга],"КЗ",Docs[Вид],"&lt;&gt;Дивиденды")&lt;&gt;1),AND(C779="Дивиденды",COUNTIFS(Docs[ID],J779,Docs[Вид],"Дивиденды")&lt;&gt;1),AND(C779="Проценты",COUNTIFS(Docs[ID],J779,Docs[Вид],"Проценты")&lt;&gt;1),COUNTIF(Cash[ID],A779)&gt;1,NOT(ISNUMBER(B779)),B779&lt;НачалоУчета,YEAR(B779)&lt;&gt;Год,NOT(ISNUMBER(E779)),E779&lt;=0,N779&lt;0,COUNTIF(Типы,C779)&lt;&gt;1,COUNTIF(Категории,D779)&lt;&gt;1,COUNTIF(Счета,F779)&lt;&gt;1,COUNTIF(Проекты,I779)&lt;&gt;1,AND(H779&lt;&gt;"",COUNTIF(Контрагенты,H779)&lt;&gt;1),AND(C779="Перевод",OR(F779=G779,COUNTIF(Счета,G779)&lt;&gt;1)),AND(S779&lt;&gt;0,COUNTIF(Docs[ID],J779)&lt;&gt;1),AND(Форма="ООО",C779="Вывод ИП"),AND(Форма="ИП",C779="Дивиденды"),AND(L779&lt;&gt;"Проведён",L779&lt;&gt;"Черновик")),"ОШИБКА","ОК"))</f>
        <v/>
      </c>
      <c r="W779" s="25" t="str">
        <f>IF(A779="","",SUMIF(Accounts[Счёт],F779,Accounts[Начальный])+SUMIFS($Q$7:Q779,$F$7:F779,F779)+SUMIFS($E$7:E779,$G$7:G779,F779,$C$7:C779,"Перевод",$L$7:L779,"Проведён"))</f>
        <v/>
      </c>
    </row>
    <row r="780" spans="1:23" x14ac:dyDescent="0.25">
      <c r="A780" s="22"/>
      <c r="B780" s="23"/>
      <c r="C780" s="22"/>
      <c r="D780" s="22"/>
      <c r="E780" s="27"/>
      <c r="F780" s="22"/>
      <c r="G780" s="22"/>
      <c r="H780" s="22"/>
      <c r="I780" s="22"/>
      <c r="J780" s="22"/>
      <c r="K780" s="22"/>
      <c r="L780" s="22"/>
      <c r="M780" s="22"/>
      <c r="N780" s="27"/>
      <c r="O780" s="22"/>
      <c r="P780" s="5" t="str">
        <f>IF(A780="","",IF(COUNTIF(Типы,C780)=0,0,VLOOKUP(C780,СПРАВОЧНИКИ!$A$7:$E$22,2,FALSE)))</f>
        <v/>
      </c>
      <c r="Q780" s="25" t="str">
        <f t="shared" si="12"/>
        <v/>
      </c>
      <c r="R780" s="5" t="str">
        <f>IF(A780="","",IF(COUNTIF(Типы,C780)=0,"НЕИЗВЕСТНЫЙ ТИП",VLOOKUP(C780,СПРАВОЧНИКИ!$A$7:$E$22,3,FALSE)))</f>
        <v/>
      </c>
      <c r="S780" s="26" t="str">
        <f>IF(A780="","",IF(L780="Проведён",E780*IF(COUNTIF(Типы,C780)=0,0,VLOOKUP(C780,СПРАВОЧНИКИ!$A$7:$E$22,4,FALSE)),0))</f>
        <v/>
      </c>
      <c r="T780" s="26" t="str">
        <f>IF(A780="","",IF(L780="Проведён",E780*IF(COUNTIF(Типы,C780)=0,0,VLOOKUP(C780,СПРАВОЧНИКИ!$A$7:$E$22,5,FALSE)),0))</f>
        <v/>
      </c>
      <c r="U780" s="5" t="str">
        <f>IF(A780="","",IF(COUNTIF(Контрагенты,H780)=0,"Не задан",VLOOKUP(H780,СПРАВОЧНИКИ!$G$7:$H$66,2,FALSE)))</f>
        <v/>
      </c>
      <c r="V780" s="4" t="str">
        <f>IF(A780="",IF(COUNTA(B780:O780)&gt;0,"НЕТ ID",""),IF(OR(AND(OR(C780="Оплата клиента",C780="Возврат клиенту"),COUNTIFS(Docs[ID],J780,Docs[Тип долга],"ДЗ")&lt;&gt;1),AND(OR(C780="Оплата поставщику",C780="Возврат поставщика"),COUNTIFS(Docs[ID],J780,Docs[Тип долга],"КЗ",Docs[Вид],"&lt;&gt;Дивиденды")&lt;&gt;1),AND(C780="Дивиденды",COUNTIFS(Docs[ID],J780,Docs[Вид],"Дивиденды")&lt;&gt;1),AND(C780="Проценты",COUNTIFS(Docs[ID],J780,Docs[Вид],"Проценты")&lt;&gt;1),COUNTIF(Cash[ID],A780)&gt;1,NOT(ISNUMBER(B780)),B780&lt;НачалоУчета,YEAR(B780)&lt;&gt;Год,NOT(ISNUMBER(E780)),E780&lt;=0,N780&lt;0,COUNTIF(Типы,C780)&lt;&gt;1,COUNTIF(Категории,D780)&lt;&gt;1,COUNTIF(Счета,F780)&lt;&gt;1,COUNTIF(Проекты,I780)&lt;&gt;1,AND(H780&lt;&gt;"",COUNTIF(Контрагенты,H780)&lt;&gt;1),AND(C780="Перевод",OR(F780=G780,COUNTIF(Счета,G780)&lt;&gt;1)),AND(S780&lt;&gt;0,COUNTIF(Docs[ID],J780)&lt;&gt;1),AND(Форма="ООО",C780="Вывод ИП"),AND(Форма="ИП",C780="Дивиденды"),AND(L780&lt;&gt;"Проведён",L780&lt;&gt;"Черновик")),"ОШИБКА","ОК"))</f>
        <v/>
      </c>
      <c r="W780" s="25" t="str">
        <f>IF(A780="","",SUMIF(Accounts[Счёт],F780,Accounts[Начальный])+SUMIFS($Q$7:Q780,$F$7:F780,F780)+SUMIFS($E$7:E780,$G$7:G780,F780,$C$7:C780,"Перевод",$L$7:L780,"Проведён"))</f>
        <v/>
      </c>
    </row>
    <row r="781" spans="1:23" x14ac:dyDescent="0.25">
      <c r="A781" s="22"/>
      <c r="B781" s="23"/>
      <c r="C781" s="22"/>
      <c r="D781" s="22"/>
      <c r="E781" s="27"/>
      <c r="F781" s="22"/>
      <c r="G781" s="22"/>
      <c r="H781" s="22"/>
      <c r="I781" s="22"/>
      <c r="J781" s="22"/>
      <c r="K781" s="22"/>
      <c r="L781" s="22"/>
      <c r="M781" s="22"/>
      <c r="N781" s="27"/>
      <c r="O781" s="22"/>
      <c r="P781" s="5" t="str">
        <f>IF(A781="","",IF(COUNTIF(Типы,C781)=0,0,VLOOKUP(C781,СПРАВОЧНИКИ!$A$7:$E$22,2,FALSE)))</f>
        <v/>
      </c>
      <c r="Q781" s="25" t="str">
        <f t="shared" si="12"/>
        <v/>
      </c>
      <c r="R781" s="5" t="str">
        <f>IF(A781="","",IF(COUNTIF(Типы,C781)=0,"НЕИЗВЕСТНЫЙ ТИП",VLOOKUP(C781,СПРАВОЧНИКИ!$A$7:$E$22,3,FALSE)))</f>
        <v/>
      </c>
      <c r="S781" s="26" t="str">
        <f>IF(A781="","",IF(L781="Проведён",E781*IF(COUNTIF(Типы,C781)=0,0,VLOOKUP(C781,СПРАВОЧНИКИ!$A$7:$E$22,4,FALSE)),0))</f>
        <v/>
      </c>
      <c r="T781" s="26" t="str">
        <f>IF(A781="","",IF(L781="Проведён",E781*IF(COUNTIF(Типы,C781)=0,0,VLOOKUP(C781,СПРАВОЧНИКИ!$A$7:$E$22,5,FALSE)),0))</f>
        <v/>
      </c>
      <c r="U781" s="5" t="str">
        <f>IF(A781="","",IF(COUNTIF(Контрагенты,H781)=0,"Не задан",VLOOKUP(H781,СПРАВОЧНИКИ!$G$7:$H$66,2,FALSE)))</f>
        <v/>
      </c>
      <c r="V781" s="4" t="str">
        <f>IF(A781="",IF(COUNTA(B781:O781)&gt;0,"НЕТ ID",""),IF(OR(AND(OR(C781="Оплата клиента",C781="Возврат клиенту"),COUNTIFS(Docs[ID],J781,Docs[Тип долга],"ДЗ")&lt;&gt;1),AND(OR(C781="Оплата поставщику",C781="Возврат поставщика"),COUNTIFS(Docs[ID],J781,Docs[Тип долга],"КЗ",Docs[Вид],"&lt;&gt;Дивиденды")&lt;&gt;1),AND(C781="Дивиденды",COUNTIFS(Docs[ID],J781,Docs[Вид],"Дивиденды")&lt;&gt;1),AND(C781="Проценты",COUNTIFS(Docs[ID],J781,Docs[Вид],"Проценты")&lt;&gt;1),COUNTIF(Cash[ID],A781)&gt;1,NOT(ISNUMBER(B781)),B781&lt;НачалоУчета,YEAR(B781)&lt;&gt;Год,NOT(ISNUMBER(E781)),E781&lt;=0,N781&lt;0,COUNTIF(Типы,C781)&lt;&gt;1,COUNTIF(Категории,D781)&lt;&gt;1,COUNTIF(Счета,F781)&lt;&gt;1,COUNTIF(Проекты,I781)&lt;&gt;1,AND(H781&lt;&gt;"",COUNTIF(Контрагенты,H781)&lt;&gt;1),AND(C781="Перевод",OR(F781=G781,COUNTIF(Счета,G781)&lt;&gt;1)),AND(S781&lt;&gt;0,COUNTIF(Docs[ID],J781)&lt;&gt;1),AND(Форма="ООО",C781="Вывод ИП"),AND(Форма="ИП",C781="Дивиденды"),AND(L781&lt;&gt;"Проведён",L781&lt;&gt;"Черновик")),"ОШИБКА","ОК"))</f>
        <v/>
      </c>
      <c r="W781" s="25" t="str">
        <f>IF(A781="","",SUMIF(Accounts[Счёт],F781,Accounts[Начальный])+SUMIFS($Q$7:Q781,$F$7:F781,F781)+SUMIFS($E$7:E781,$G$7:G781,F781,$C$7:C781,"Перевод",$L$7:L781,"Проведён"))</f>
        <v/>
      </c>
    </row>
    <row r="782" spans="1:23" x14ac:dyDescent="0.25">
      <c r="A782" s="22"/>
      <c r="B782" s="23"/>
      <c r="C782" s="22"/>
      <c r="D782" s="22"/>
      <c r="E782" s="27"/>
      <c r="F782" s="22"/>
      <c r="G782" s="22"/>
      <c r="H782" s="22"/>
      <c r="I782" s="22"/>
      <c r="J782" s="22"/>
      <c r="K782" s="22"/>
      <c r="L782" s="22"/>
      <c r="M782" s="22"/>
      <c r="N782" s="27"/>
      <c r="O782" s="22"/>
      <c r="P782" s="5" t="str">
        <f>IF(A782="","",IF(COUNTIF(Типы,C782)=0,0,VLOOKUP(C782,СПРАВОЧНИКИ!$A$7:$E$22,2,FALSE)))</f>
        <v/>
      </c>
      <c r="Q782" s="25" t="str">
        <f t="shared" si="12"/>
        <v/>
      </c>
      <c r="R782" s="5" t="str">
        <f>IF(A782="","",IF(COUNTIF(Типы,C782)=0,"НЕИЗВЕСТНЫЙ ТИП",VLOOKUP(C782,СПРАВОЧНИКИ!$A$7:$E$22,3,FALSE)))</f>
        <v/>
      </c>
      <c r="S782" s="26" t="str">
        <f>IF(A782="","",IF(L782="Проведён",E782*IF(COUNTIF(Типы,C782)=0,0,VLOOKUP(C782,СПРАВОЧНИКИ!$A$7:$E$22,4,FALSE)),0))</f>
        <v/>
      </c>
      <c r="T782" s="26" t="str">
        <f>IF(A782="","",IF(L782="Проведён",E782*IF(COUNTIF(Типы,C782)=0,0,VLOOKUP(C782,СПРАВОЧНИКИ!$A$7:$E$22,5,FALSE)),0))</f>
        <v/>
      </c>
      <c r="U782" s="5" t="str">
        <f>IF(A782="","",IF(COUNTIF(Контрагенты,H782)=0,"Не задан",VLOOKUP(H782,СПРАВОЧНИКИ!$G$7:$H$66,2,FALSE)))</f>
        <v/>
      </c>
      <c r="V782" s="4" t="str">
        <f>IF(A782="",IF(COUNTA(B782:O782)&gt;0,"НЕТ ID",""),IF(OR(AND(OR(C782="Оплата клиента",C782="Возврат клиенту"),COUNTIFS(Docs[ID],J782,Docs[Тип долга],"ДЗ")&lt;&gt;1),AND(OR(C782="Оплата поставщику",C782="Возврат поставщика"),COUNTIFS(Docs[ID],J782,Docs[Тип долга],"КЗ",Docs[Вид],"&lt;&gt;Дивиденды")&lt;&gt;1),AND(C782="Дивиденды",COUNTIFS(Docs[ID],J782,Docs[Вид],"Дивиденды")&lt;&gt;1),AND(C782="Проценты",COUNTIFS(Docs[ID],J782,Docs[Вид],"Проценты")&lt;&gt;1),COUNTIF(Cash[ID],A782)&gt;1,NOT(ISNUMBER(B782)),B782&lt;НачалоУчета,YEAR(B782)&lt;&gt;Год,NOT(ISNUMBER(E782)),E782&lt;=0,N782&lt;0,COUNTIF(Типы,C782)&lt;&gt;1,COUNTIF(Категории,D782)&lt;&gt;1,COUNTIF(Счета,F782)&lt;&gt;1,COUNTIF(Проекты,I782)&lt;&gt;1,AND(H782&lt;&gt;"",COUNTIF(Контрагенты,H782)&lt;&gt;1),AND(C782="Перевод",OR(F782=G782,COUNTIF(Счета,G782)&lt;&gt;1)),AND(S782&lt;&gt;0,COUNTIF(Docs[ID],J782)&lt;&gt;1),AND(Форма="ООО",C782="Вывод ИП"),AND(Форма="ИП",C782="Дивиденды"),AND(L782&lt;&gt;"Проведён",L782&lt;&gt;"Черновик")),"ОШИБКА","ОК"))</f>
        <v/>
      </c>
      <c r="W782" s="25" t="str">
        <f>IF(A782="","",SUMIF(Accounts[Счёт],F782,Accounts[Начальный])+SUMIFS($Q$7:Q782,$F$7:F782,F782)+SUMIFS($E$7:E782,$G$7:G782,F782,$C$7:C782,"Перевод",$L$7:L782,"Проведён"))</f>
        <v/>
      </c>
    </row>
    <row r="783" spans="1:23" x14ac:dyDescent="0.25">
      <c r="A783" s="22"/>
      <c r="B783" s="23"/>
      <c r="C783" s="22"/>
      <c r="D783" s="22"/>
      <c r="E783" s="27"/>
      <c r="F783" s="22"/>
      <c r="G783" s="22"/>
      <c r="H783" s="22"/>
      <c r="I783" s="22"/>
      <c r="J783" s="22"/>
      <c r="K783" s="22"/>
      <c r="L783" s="22"/>
      <c r="M783" s="22"/>
      <c r="N783" s="27"/>
      <c r="O783" s="22"/>
      <c r="P783" s="5" t="str">
        <f>IF(A783="","",IF(COUNTIF(Типы,C783)=0,0,VLOOKUP(C783,СПРАВОЧНИКИ!$A$7:$E$22,2,FALSE)))</f>
        <v/>
      </c>
      <c r="Q783" s="25" t="str">
        <f t="shared" si="12"/>
        <v/>
      </c>
      <c r="R783" s="5" t="str">
        <f>IF(A783="","",IF(COUNTIF(Типы,C783)=0,"НЕИЗВЕСТНЫЙ ТИП",VLOOKUP(C783,СПРАВОЧНИКИ!$A$7:$E$22,3,FALSE)))</f>
        <v/>
      </c>
      <c r="S783" s="26" t="str">
        <f>IF(A783="","",IF(L783="Проведён",E783*IF(COUNTIF(Типы,C783)=0,0,VLOOKUP(C783,СПРАВОЧНИКИ!$A$7:$E$22,4,FALSE)),0))</f>
        <v/>
      </c>
      <c r="T783" s="26" t="str">
        <f>IF(A783="","",IF(L783="Проведён",E783*IF(COUNTIF(Типы,C783)=0,0,VLOOKUP(C783,СПРАВОЧНИКИ!$A$7:$E$22,5,FALSE)),0))</f>
        <v/>
      </c>
      <c r="U783" s="5" t="str">
        <f>IF(A783="","",IF(COUNTIF(Контрагенты,H783)=0,"Не задан",VLOOKUP(H783,СПРАВОЧНИКИ!$G$7:$H$66,2,FALSE)))</f>
        <v/>
      </c>
      <c r="V783" s="4" t="str">
        <f>IF(A783="",IF(COUNTA(B783:O783)&gt;0,"НЕТ ID",""),IF(OR(AND(OR(C783="Оплата клиента",C783="Возврат клиенту"),COUNTIFS(Docs[ID],J783,Docs[Тип долга],"ДЗ")&lt;&gt;1),AND(OR(C783="Оплата поставщику",C783="Возврат поставщика"),COUNTIFS(Docs[ID],J783,Docs[Тип долга],"КЗ",Docs[Вид],"&lt;&gt;Дивиденды")&lt;&gt;1),AND(C783="Дивиденды",COUNTIFS(Docs[ID],J783,Docs[Вид],"Дивиденды")&lt;&gt;1),AND(C783="Проценты",COUNTIFS(Docs[ID],J783,Docs[Вид],"Проценты")&lt;&gt;1),COUNTIF(Cash[ID],A783)&gt;1,NOT(ISNUMBER(B783)),B783&lt;НачалоУчета,YEAR(B783)&lt;&gt;Год,NOT(ISNUMBER(E783)),E783&lt;=0,N783&lt;0,COUNTIF(Типы,C783)&lt;&gt;1,COUNTIF(Категории,D783)&lt;&gt;1,COUNTIF(Счета,F783)&lt;&gt;1,COUNTIF(Проекты,I783)&lt;&gt;1,AND(H783&lt;&gt;"",COUNTIF(Контрагенты,H783)&lt;&gt;1),AND(C783="Перевод",OR(F783=G783,COUNTIF(Счета,G783)&lt;&gt;1)),AND(S783&lt;&gt;0,COUNTIF(Docs[ID],J783)&lt;&gt;1),AND(Форма="ООО",C783="Вывод ИП"),AND(Форма="ИП",C783="Дивиденды"),AND(L783&lt;&gt;"Проведён",L783&lt;&gt;"Черновик")),"ОШИБКА","ОК"))</f>
        <v/>
      </c>
      <c r="W783" s="25" t="str">
        <f>IF(A783="","",SUMIF(Accounts[Счёт],F783,Accounts[Начальный])+SUMIFS($Q$7:Q783,$F$7:F783,F783)+SUMIFS($E$7:E783,$G$7:G783,F783,$C$7:C783,"Перевод",$L$7:L783,"Проведён"))</f>
        <v/>
      </c>
    </row>
    <row r="784" spans="1:23" x14ac:dyDescent="0.25">
      <c r="A784" s="22"/>
      <c r="B784" s="23"/>
      <c r="C784" s="22"/>
      <c r="D784" s="22"/>
      <c r="E784" s="27"/>
      <c r="F784" s="22"/>
      <c r="G784" s="22"/>
      <c r="H784" s="22"/>
      <c r="I784" s="22"/>
      <c r="J784" s="22"/>
      <c r="K784" s="22"/>
      <c r="L784" s="22"/>
      <c r="M784" s="22"/>
      <c r="N784" s="27"/>
      <c r="O784" s="22"/>
      <c r="P784" s="5" t="str">
        <f>IF(A784="","",IF(COUNTIF(Типы,C784)=0,0,VLOOKUP(C784,СПРАВОЧНИКИ!$A$7:$E$22,2,FALSE)))</f>
        <v/>
      </c>
      <c r="Q784" s="25" t="str">
        <f t="shared" si="12"/>
        <v/>
      </c>
      <c r="R784" s="5" t="str">
        <f>IF(A784="","",IF(COUNTIF(Типы,C784)=0,"НЕИЗВЕСТНЫЙ ТИП",VLOOKUP(C784,СПРАВОЧНИКИ!$A$7:$E$22,3,FALSE)))</f>
        <v/>
      </c>
      <c r="S784" s="26" t="str">
        <f>IF(A784="","",IF(L784="Проведён",E784*IF(COUNTIF(Типы,C784)=0,0,VLOOKUP(C784,СПРАВОЧНИКИ!$A$7:$E$22,4,FALSE)),0))</f>
        <v/>
      </c>
      <c r="T784" s="26" t="str">
        <f>IF(A784="","",IF(L784="Проведён",E784*IF(COUNTIF(Типы,C784)=0,0,VLOOKUP(C784,СПРАВОЧНИКИ!$A$7:$E$22,5,FALSE)),0))</f>
        <v/>
      </c>
      <c r="U784" s="5" t="str">
        <f>IF(A784="","",IF(COUNTIF(Контрагенты,H784)=0,"Не задан",VLOOKUP(H784,СПРАВОЧНИКИ!$G$7:$H$66,2,FALSE)))</f>
        <v/>
      </c>
      <c r="V784" s="4" t="str">
        <f>IF(A784="",IF(COUNTA(B784:O784)&gt;0,"НЕТ ID",""),IF(OR(AND(OR(C784="Оплата клиента",C784="Возврат клиенту"),COUNTIFS(Docs[ID],J784,Docs[Тип долга],"ДЗ")&lt;&gt;1),AND(OR(C784="Оплата поставщику",C784="Возврат поставщика"),COUNTIFS(Docs[ID],J784,Docs[Тип долга],"КЗ",Docs[Вид],"&lt;&gt;Дивиденды")&lt;&gt;1),AND(C784="Дивиденды",COUNTIFS(Docs[ID],J784,Docs[Вид],"Дивиденды")&lt;&gt;1),AND(C784="Проценты",COUNTIFS(Docs[ID],J784,Docs[Вид],"Проценты")&lt;&gt;1),COUNTIF(Cash[ID],A784)&gt;1,NOT(ISNUMBER(B784)),B784&lt;НачалоУчета,YEAR(B784)&lt;&gt;Год,NOT(ISNUMBER(E784)),E784&lt;=0,N784&lt;0,COUNTIF(Типы,C784)&lt;&gt;1,COUNTIF(Категории,D784)&lt;&gt;1,COUNTIF(Счета,F784)&lt;&gt;1,COUNTIF(Проекты,I784)&lt;&gt;1,AND(H784&lt;&gt;"",COUNTIF(Контрагенты,H784)&lt;&gt;1),AND(C784="Перевод",OR(F784=G784,COUNTIF(Счета,G784)&lt;&gt;1)),AND(S784&lt;&gt;0,COUNTIF(Docs[ID],J784)&lt;&gt;1),AND(Форма="ООО",C784="Вывод ИП"),AND(Форма="ИП",C784="Дивиденды"),AND(L784&lt;&gt;"Проведён",L784&lt;&gt;"Черновик")),"ОШИБКА","ОК"))</f>
        <v/>
      </c>
      <c r="W784" s="25" t="str">
        <f>IF(A784="","",SUMIF(Accounts[Счёт],F784,Accounts[Начальный])+SUMIFS($Q$7:Q784,$F$7:F784,F784)+SUMIFS($E$7:E784,$G$7:G784,F784,$C$7:C784,"Перевод",$L$7:L784,"Проведён"))</f>
        <v/>
      </c>
    </row>
    <row r="785" spans="1:23" x14ac:dyDescent="0.25">
      <c r="A785" s="22"/>
      <c r="B785" s="23"/>
      <c r="C785" s="22"/>
      <c r="D785" s="22"/>
      <c r="E785" s="27"/>
      <c r="F785" s="22"/>
      <c r="G785" s="22"/>
      <c r="H785" s="22"/>
      <c r="I785" s="22"/>
      <c r="J785" s="22"/>
      <c r="K785" s="22"/>
      <c r="L785" s="22"/>
      <c r="M785" s="22"/>
      <c r="N785" s="27"/>
      <c r="O785" s="22"/>
      <c r="P785" s="5" t="str">
        <f>IF(A785="","",IF(COUNTIF(Типы,C785)=0,0,VLOOKUP(C785,СПРАВОЧНИКИ!$A$7:$E$22,2,FALSE)))</f>
        <v/>
      </c>
      <c r="Q785" s="25" t="str">
        <f t="shared" si="12"/>
        <v/>
      </c>
      <c r="R785" s="5" t="str">
        <f>IF(A785="","",IF(COUNTIF(Типы,C785)=0,"НЕИЗВЕСТНЫЙ ТИП",VLOOKUP(C785,СПРАВОЧНИКИ!$A$7:$E$22,3,FALSE)))</f>
        <v/>
      </c>
      <c r="S785" s="26" t="str">
        <f>IF(A785="","",IF(L785="Проведён",E785*IF(COUNTIF(Типы,C785)=0,0,VLOOKUP(C785,СПРАВОЧНИКИ!$A$7:$E$22,4,FALSE)),0))</f>
        <v/>
      </c>
      <c r="T785" s="26" t="str">
        <f>IF(A785="","",IF(L785="Проведён",E785*IF(COUNTIF(Типы,C785)=0,0,VLOOKUP(C785,СПРАВОЧНИКИ!$A$7:$E$22,5,FALSE)),0))</f>
        <v/>
      </c>
      <c r="U785" s="5" t="str">
        <f>IF(A785="","",IF(COUNTIF(Контрагенты,H785)=0,"Не задан",VLOOKUP(H785,СПРАВОЧНИКИ!$G$7:$H$66,2,FALSE)))</f>
        <v/>
      </c>
      <c r="V785" s="4" t="str">
        <f>IF(A785="",IF(COUNTA(B785:O785)&gt;0,"НЕТ ID",""),IF(OR(AND(OR(C785="Оплата клиента",C785="Возврат клиенту"),COUNTIFS(Docs[ID],J785,Docs[Тип долга],"ДЗ")&lt;&gt;1),AND(OR(C785="Оплата поставщику",C785="Возврат поставщика"),COUNTIFS(Docs[ID],J785,Docs[Тип долга],"КЗ",Docs[Вид],"&lt;&gt;Дивиденды")&lt;&gt;1),AND(C785="Дивиденды",COUNTIFS(Docs[ID],J785,Docs[Вид],"Дивиденды")&lt;&gt;1),AND(C785="Проценты",COUNTIFS(Docs[ID],J785,Docs[Вид],"Проценты")&lt;&gt;1),COUNTIF(Cash[ID],A785)&gt;1,NOT(ISNUMBER(B785)),B785&lt;НачалоУчета,YEAR(B785)&lt;&gt;Год,NOT(ISNUMBER(E785)),E785&lt;=0,N785&lt;0,COUNTIF(Типы,C785)&lt;&gt;1,COUNTIF(Категории,D785)&lt;&gt;1,COUNTIF(Счета,F785)&lt;&gt;1,COUNTIF(Проекты,I785)&lt;&gt;1,AND(H785&lt;&gt;"",COUNTIF(Контрагенты,H785)&lt;&gt;1),AND(C785="Перевод",OR(F785=G785,COUNTIF(Счета,G785)&lt;&gt;1)),AND(S785&lt;&gt;0,COUNTIF(Docs[ID],J785)&lt;&gt;1),AND(Форма="ООО",C785="Вывод ИП"),AND(Форма="ИП",C785="Дивиденды"),AND(L785&lt;&gt;"Проведён",L785&lt;&gt;"Черновик")),"ОШИБКА","ОК"))</f>
        <v/>
      </c>
      <c r="W785" s="25" t="str">
        <f>IF(A785="","",SUMIF(Accounts[Счёт],F785,Accounts[Начальный])+SUMIFS($Q$7:Q785,$F$7:F785,F785)+SUMIFS($E$7:E785,$G$7:G785,F785,$C$7:C785,"Перевод",$L$7:L785,"Проведён"))</f>
        <v/>
      </c>
    </row>
    <row r="786" spans="1:23" x14ac:dyDescent="0.25">
      <c r="A786" s="22"/>
      <c r="B786" s="23"/>
      <c r="C786" s="22"/>
      <c r="D786" s="22"/>
      <c r="E786" s="27"/>
      <c r="F786" s="22"/>
      <c r="G786" s="22"/>
      <c r="H786" s="22"/>
      <c r="I786" s="22"/>
      <c r="J786" s="22"/>
      <c r="K786" s="22"/>
      <c r="L786" s="22"/>
      <c r="M786" s="22"/>
      <c r="N786" s="27"/>
      <c r="O786" s="22"/>
      <c r="P786" s="5" t="str">
        <f>IF(A786="","",IF(COUNTIF(Типы,C786)=0,0,VLOOKUP(C786,СПРАВОЧНИКИ!$A$7:$E$22,2,FALSE)))</f>
        <v/>
      </c>
      <c r="Q786" s="25" t="str">
        <f t="shared" si="12"/>
        <v/>
      </c>
      <c r="R786" s="5" t="str">
        <f>IF(A786="","",IF(COUNTIF(Типы,C786)=0,"НЕИЗВЕСТНЫЙ ТИП",VLOOKUP(C786,СПРАВОЧНИКИ!$A$7:$E$22,3,FALSE)))</f>
        <v/>
      </c>
      <c r="S786" s="26" t="str">
        <f>IF(A786="","",IF(L786="Проведён",E786*IF(COUNTIF(Типы,C786)=0,0,VLOOKUP(C786,СПРАВОЧНИКИ!$A$7:$E$22,4,FALSE)),0))</f>
        <v/>
      </c>
      <c r="T786" s="26" t="str">
        <f>IF(A786="","",IF(L786="Проведён",E786*IF(COUNTIF(Типы,C786)=0,0,VLOOKUP(C786,СПРАВОЧНИКИ!$A$7:$E$22,5,FALSE)),0))</f>
        <v/>
      </c>
      <c r="U786" s="5" t="str">
        <f>IF(A786="","",IF(COUNTIF(Контрагенты,H786)=0,"Не задан",VLOOKUP(H786,СПРАВОЧНИКИ!$G$7:$H$66,2,FALSE)))</f>
        <v/>
      </c>
      <c r="V786" s="4" t="str">
        <f>IF(A786="",IF(COUNTA(B786:O786)&gt;0,"НЕТ ID",""),IF(OR(AND(OR(C786="Оплата клиента",C786="Возврат клиенту"),COUNTIFS(Docs[ID],J786,Docs[Тип долга],"ДЗ")&lt;&gt;1),AND(OR(C786="Оплата поставщику",C786="Возврат поставщика"),COUNTIFS(Docs[ID],J786,Docs[Тип долга],"КЗ",Docs[Вид],"&lt;&gt;Дивиденды")&lt;&gt;1),AND(C786="Дивиденды",COUNTIFS(Docs[ID],J786,Docs[Вид],"Дивиденды")&lt;&gt;1),AND(C786="Проценты",COUNTIFS(Docs[ID],J786,Docs[Вид],"Проценты")&lt;&gt;1),COUNTIF(Cash[ID],A786)&gt;1,NOT(ISNUMBER(B786)),B786&lt;НачалоУчета,YEAR(B786)&lt;&gt;Год,NOT(ISNUMBER(E786)),E786&lt;=0,N786&lt;0,COUNTIF(Типы,C786)&lt;&gt;1,COUNTIF(Категории,D786)&lt;&gt;1,COUNTIF(Счета,F786)&lt;&gt;1,COUNTIF(Проекты,I786)&lt;&gt;1,AND(H786&lt;&gt;"",COUNTIF(Контрагенты,H786)&lt;&gt;1),AND(C786="Перевод",OR(F786=G786,COUNTIF(Счета,G786)&lt;&gt;1)),AND(S786&lt;&gt;0,COUNTIF(Docs[ID],J786)&lt;&gt;1),AND(Форма="ООО",C786="Вывод ИП"),AND(Форма="ИП",C786="Дивиденды"),AND(L786&lt;&gt;"Проведён",L786&lt;&gt;"Черновик")),"ОШИБКА","ОК"))</f>
        <v/>
      </c>
      <c r="W786" s="25" t="str">
        <f>IF(A786="","",SUMIF(Accounts[Счёт],F786,Accounts[Начальный])+SUMIFS($Q$7:Q786,$F$7:F786,F786)+SUMIFS($E$7:E786,$G$7:G786,F786,$C$7:C786,"Перевод",$L$7:L786,"Проведён"))</f>
        <v/>
      </c>
    </row>
    <row r="787" spans="1:23" x14ac:dyDescent="0.25">
      <c r="A787" s="22"/>
      <c r="B787" s="23"/>
      <c r="C787" s="22"/>
      <c r="D787" s="22"/>
      <c r="E787" s="27"/>
      <c r="F787" s="22"/>
      <c r="G787" s="22"/>
      <c r="H787" s="22"/>
      <c r="I787" s="22"/>
      <c r="J787" s="22"/>
      <c r="K787" s="22"/>
      <c r="L787" s="22"/>
      <c r="M787" s="22"/>
      <c r="N787" s="27"/>
      <c r="O787" s="22"/>
      <c r="P787" s="5" t="str">
        <f>IF(A787="","",IF(COUNTIF(Типы,C787)=0,0,VLOOKUP(C787,СПРАВОЧНИКИ!$A$7:$E$22,2,FALSE)))</f>
        <v/>
      </c>
      <c r="Q787" s="25" t="str">
        <f t="shared" si="12"/>
        <v/>
      </c>
      <c r="R787" s="5" t="str">
        <f>IF(A787="","",IF(COUNTIF(Типы,C787)=0,"НЕИЗВЕСТНЫЙ ТИП",VLOOKUP(C787,СПРАВОЧНИКИ!$A$7:$E$22,3,FALSE)))</f>
        <v/>
      </c>
      <c r="S787" s="26" t="str">
        <f>IF(A787="","",IF(L787="Проведён",E787*IF(COUNTIF(Типы,C787)=0,0,VLOOKUP(C787,СПРАВОЧНИКИ!$A$7:$E$22,4,FALSE)),0))</f>
        <v/>
      </c>
      <c r="T787" s="26" t="str">
        <f>IF(A787="","",IF(L787="Проведён",E787*IF(COUNTIF(Типы,C787)=0,0,VLOOKUP(C787,СПРАВОЧНИКИ!$A$7:$E$22,5,FALSE)),0))</f>
        <v/>
      </c>
      <c r="U787" s="5" t="str">
        <f>IF(A787="","",IF(COUNTIF(Контрагенты,H787)=0,"Не задан",VLOOKUP(H787,СПРАВОЧНИКИ!$G$7:$H$66,2,FALSE)))</f>
        <v/>
      </c>
      <c r="V787" s="4" t="str">
        <f>IF(A787="",IF(COUNTA(B787:O787)&gt;0,"НЕТ ID",""),IF(OR(AND(OR(C787="Оплата клиента",C787="Возврат клиенту"),COUNTIFS(Docs[ID],J787,Docs[Тип долга],"ДЗ")&lt;&gt;1),AND(OR(C787="Оплата поставщику",C787="Возврат поставщика"),COUNTIFS(Docs[ID],J787,Docs[Тип долга],"КЗ",Docs[Вид],"&lt;&gt;Дивиденды")&lt;&gt;1),AND(C787="Дивиденды",COUNTIFS(Docs[ID],J787,Docs[Вид],"Дивиденды")&lt;&gt;1),AND(C787="Проценты",COUNTIFS(Docs[ID],J787,Docs[Вид],"Проценты")&lt;&gt;1),COUNTIF(Cash[ID],A787)&gt;1,NOT(ISNUMBER(B787)),B787&lt;НачалоУчета,YEAR(B787)&lt;&gt;Год,NOT(ISNUMBER(E787)),E787&lt;=0,N787&lt;0,COUNTIF(Типы,C787)&lt;&gt;1,COUNTIF(Категории,D787)&lt;&gt;1,COUNTIF(Счета,F787)&lt;&gt;1,COUNTIF(Проекты,I787)&lt;&gt;1,AND(H787&lt;&gt;"",COUNTIF(Контрагенты,H787)&lt;&gt;1),AND(C787="Перевод",OR(F787=G787,COUNTIF(Счета,G787)&lt;&gt;1)),AND(S787&lt;&gt;0,COUNTIF(Docs[ID],J787)&lt;&gt;1),AND(Форма="ООО",C787="Вывод ИП"),AND(Форма="ИП",C787="Дивиденды"),AND(L787&lt;&gt;"Проведён",L787&lt;&gt;"Черновик")),"ОШИБКА","ОК"))</f>
        <v/>
      </c>
      <c r="W787" s="25" t="str">
        <f>IF(A787="","",SUMIF(Accounts[Счёт],F787,Accounts[Начальный])+SUMIFS($Q$7:Q787,$F$7:F787,F787)+SUMIFS($E$7:E787,$G$7:G787,F787,$C$7:C787,"Перевод",$L$7:L787,"Проведён"))</f>
        <v/>
      </c>
    </row>
    <row r="788" spans="1:23" x14ac:dyDescent="0.25">
      <c r="A788" s="22"/>
      <c r="B788" s="23"/>
      <c r="C788" s="22"/>
      <c r="D788" s="22"/>
      <c r="E788" s="27"/>
      <c r="F788" s="22"/>
      <c r="G788" s="22"/>
      <c r="H788" s="22"/>
      <c r="I788" s="22"/>
      <c r="J788" s="22"/>
      <c r="K788" s="22"/>
      <c r="L788" s="22"/>
      <c r="M788" s="22"/>
      <c r="N788" s="27"/>
      <c r="O788" s="22"/>
      <c r="P788" s="5" t="str">
        <f>IF(A788="","",IF(COUNTIF(Типы,C788)=0,0,VLOOKUP(C788,СПРАВОЧНИКИ!$A$7:$E$22,2,FALSE)))</f>
        <v/>
      </c>
      <c r="Q788" s="25" t="str">
        <f t="shared" si="12"/>
        <v/>
      </c>
      <c r="R788" s="5" t="str">
        <f>IF(A788="","",IF(COUNTIF(Типы,C788)=0,"НЕИЗВЕСТНЫЙ ТИП",VLOOKUP(C788,СПРАВОЧНИКИ!$A$7:$E$22,3,FALSE)))</f>
        <v/>
      </c>
      <c r="S788" s="26" t="str">
        <f>IF(A788="","",IF(L788="Проведён",E788*IF(COUNTIF(Типы,C788)=0,0,VLOOKUP(C788,СПРАВОЧНИКИ!$A$7:$E$22,4,FALSE)),0))</f>
        <v/>
      </c>
      <c r="T788" s="26" t="str">
        <f>IF(A788="","",IF(L788="Проведён",E788*IF(COUNTIF(Типы,C788)=0,0,VLOOKUP(C788,СПРАВОЧНИКИ!$A$7:$E$22,5,FALSE)),0))</f>
        <v/>
      </c>
      <c r="U788" s="5" t="str">
        <f>IF(A788="","",IF(COUNTIF(Контрагенты,H788)=0,"Не задан",VLOOKUP(H788,СПРАВОЧНИКИ!$G$7:$H$66,2,FALSE)))</f>
        <v/>
      </c>
      <c r="V788" s="4" t="str">
        <f>IF(A788="",IF(COUNTA(B788:O788)&gt;0,"НЕТ ID",""),IF(OR(AND(OR(C788="Оплата клиента",C788="Возврат клиенту"),COUNTIFS(Docs[ID],J788,Docs[Тип долга],"ДЗ")&lt;&gt;1),AND(OR(C788="Оплата поставщику",C788="Возврат поставщика"),COUNTIFS(Docs[ID],J788,Docs[Тип долга],"КЗ",Docs[Вид],"&lt;&gt;Дивиденды")&lt;&gt;1),AND(C788="Дивиденды",COUNTIFS(Docs[ID],J788,Docs[Вид],"Дивиденды")&lt;&gt;1),AND(C788="Проценты",COUNTIFS(Docs[ID],J788,Docs[Вид],"Проценты")&lt;&gt;1),COUNTIF(Cash[ID],A788)&gt;1,NOT(ISNUMBER(B788)),B788&lt;НачалоУчета,YEAR(B788)&lt;&gt;Год,NOT(ISNUMBER(E788)),E788&lt;=0,N788&lt;0,COUNTIF(Типы,C788)&lt;&gt;1,COUNTIF(Категории,D788)&lt;&gt;1,COUNTIF(Счета,F788)&lt;&gt;1,COUNTIF(Проекты,I788)&lt;&gt;1,AND(H788&lt;&gt;"",COUNTIF(Контрагенты,H788)&lt;&gt;1),AND(C788="Перевод",OR(F788=G788,COUNTIF(Счета,G788)&lt;&gt;1)),AND(S788&lt;&gt;0,COUNTIF(Docs[ID],J788)&lt;&gt;1),AND(Форма="ООО",C788="Вывод ИП"),AND(Форма="ИП",C788="Дивиденды"),AND(L788&lt;&gt;"Проведён",L788&lt;&gt;"Черновик")),"ОШИБКА","ОК"))</f>
        <v/>
      </c>
      <c r="W788" s="25" t="str">
        <f>IF(A788="","",SUMIF(Accounts[Счёт],F788,Accounts[Начальный])+SUMIFS($Q$7:Q788,$F$7:F788,F788)+SUMIFS($E$7:E788,$G$7:G788,F788,$C$7:C788,"Перевод",$L$7:L788,"Проведён"))</f>
        <v/>
      </c>
    </row>
    <row r="789" spans="1:23" x14ac:dyDescent="0.25">
      <c r="A789" s="22"/>
      <c r="B789" s="23"/>
      <c r="C789" s="22"/>
      <c r="D789" s="22"/>
      <c r="E789" s="27"/>
      <c r="F789" s="22"/>
      <c r="G789" s="22"/>
      <c r="H789" s="22"/>
      <c r="I789" s="22"/>
      <c r="J789" s="22"/>
      <c r="K789" s="22"/>
      <c r="L789" s="22"/>
      <c r="M789" s="22"/>
      <c r="N789" s="27"/>
      <c r="O789" s="22"/>
      <c r="P789" s="5" t="str">
        <f>IF(A789="","",IF(COUNTIF(Типы,C789)=0,0,VLOOKUP(C789,СПРАВОЧНИКИ!$A$7:$E$22,2,FALSE)))</f>
        <v/>
      </c>
      <c r="Q789" s="25" t="str">
        <f t="shared" si="12"/>
        <v/>
      </c>
      <c r="R789" s="5" t="str">
        <f>IF(A789="","",IF(COUNTIF(Типы,C789)=0,"НЕИЗВЕСТНЫЙ ТИП",VLOOKUP(C789,СПРАВОЧНИКИ!$A$7:$E$22,3,FALSE)))</f>
        <v/>
      </c>
      <c r="S789" s="26" t="str">
        <f>IF(A789="","",IF(L789="Проведён",E789*IF(COUNTIF(Типы,C789)=0,0,VLOOKUP(C789,СПРАВОЧНИКИ!$A$7:$E$22,4,FALSE)),0))</f>
        <v/>
      </c>
      <c r="T789" s="26" t="str">
        <f>IF(A789="","",IF(L789="Проведён",E789*IF(COUNTIF(Типы,C789)=0,0,VLOOKUP(C789,СПРАВОЧНИКИ!$A$7:$E$22,5,FALSE)),0))</f>
        <v/>
      </c>
      <c r="U789" s="5" t="str">
        <f>IF(A789="","",IF(COUNTIF(Контрагенты,H789)=0,"Не задан",VLOOKUP(H789,СПРАВОЧНИКИ!$G$7:$H$66,2,FALSE)))</f>
        <v/>
      </c>
      <c r="V789" s="4" t="str">
        <f>IF(A789="",IF(COUNTA(B789:O789)&gt;0,"НЕТ ID",""),IF(OR(AND(OR(C789="Оплата клиента",C789="Возврат клиенту"),COUNTIFS(Docs[ID],J789,Docs[Тип долга],"ДЗ")&lt;&gt;1),AND(OR(C789="Оплата поставщику",C789="Возврат поставщика"),COUNTIFS(Docs[ID],J789,Docs[Тип долга],"КЗ",Docs[Вид],"&lt;&gt;Дивиденды")&lt;&gt;1),AND(C789="Дивиденды",COUNTIFS(Docs[ID],J789,Docs[Вид],"Дивиденды")&lt;&gt;1),AND(C789="Проценты",COUNTIFS(Docs[ID],J789,Docs[Вид],"Проценты")&lt;&gt;1),COUNTIF(Cash[ID],A789)&gt;1,NOT(ISNUMBER(B789)),B789&lt;НачалоУчета,YEAR(B789)&lt;&gt;Год,NOT(ISNUMBER(E789)),E789&lt;=0,N789&lt;0,COUNTIF(Типы,C789)&lt;&gt;1,COUNTIF(Категории,D789)&lt;&gt;1,COUNTIF(Счета,F789)&lt;&gt;1,COUNTIF(Проекты,I789)&lt;&gt;1,AND(H789&lt;&gt;"",COUNTIF(Контрагенты,H789)&lt;&gt;1),AND(C789="Перевод",OR(F789=G789,COUNTIF(Счета,G789)&lt;&gt;1)),AND(S789&lt;&gt;0,COUNTIF(Docs[ID],J789)&lt;&gt;1),AND(Форма="ООО",C789="Вывод ИП"),AND(Форма="ИП",C789="Дивиденды"),AND(L789&lt;&gt;"Проведён",L789&lt;&gt;"Черновик")),"ОШИБКА","ОК"))</f>
        <v/>
      </c>
      <c r="W789" s="25" t="str">
        <f>IF(A789="","",SUMIF(Accounts[Счёт],F789,Accounts[Начальный])+SUMIFS($Q$7:Q789,$F$7:F789,F789)+SUMIFS($E$7:E789,$G$7:G789,F789,$C$7:C789,"Перевод",$L$7:L789,"Проведён"))</f>
        <v/>
      </c>
    </row>
    <row r="790" spans="1:23" x14ac:dyDescent="0.25">
      <c r="A790" s="22"/>
      <c r="B790" s="23"/>
      <c r="C790" s="22"/>
      <c r="D790" s="22"/>
      <c r="E790" s="27"/>
      <c r="F790" s="22"/>
      <c r="G790" s="22"/>
      <c r="H790" s="22"/>
      <c r="I790" s="22"/>
      <c r="J790" s="22"/>
      <c r="K790" s="22"/>
      <c r="L790" s="22"/>
      <c r="M790" s="22"/>
      <c r="N790" s="27"/>
      <c r="O790" s="22"/>
      <c r="P790" s="5" t="str">
        <f>IF(A790="","",IF(COUNTIF(Типы,C790)=0,0,VLOOKUP(C790,СПРАВОЧНИКИ!$A$7:$E$22,2,FALSE)))</f>
        <v/>
      </c>
      <c r="Q790" s="25" t="str">
        <f t="shared" si="12"/>
        <v/>
      </c>
      <c r="R790" s="5" t="str">
        <f>IF(A790="","",IF(COUNTIF(Типы,C790)=0,"НЕИЗВЕСТНЫЙ ТИП",VLOOKUP(C790,СПРАВОЧНИКИ!$A$7:$E$22,3,FALSE)))</f>
        <v/>
      </c>
      <c r="S790" s="26" t="str">
        <f>IF(A790="","",IF(L790="Проведён",E790*IF(COUNTIF(Типы,C790)=0,0,VLOOKUP(C790,СПРАВОЧНИКИ!$A$7:$E$22,4,FALSE)),0))</f>
        <v/>
      </c>
      <c r="T790" s="26" t="str">
        <f>IF(A790="","",IF(L790="Проведён",E790*IF(COUNTIF(Типы,C790)=0,0,VLOOKUP(C790,СПРАВОЧНИКИ!$A$7:$E$22,5,FALSE)),0))</f>
        <v/>
      </c>
      <c r="U790" s="5" t="str">
        <f>IF(A790="","",IF(COUNTIF(Контрагенты,H790)=0,"Не задан",VLOOKUP(H790,СПРАВОЧНИКИ!$G$7:$H$66,2,FALSE)))</f>
        <v/>
      </c>
      <c r="V790" s="4" t="str">
        <f>IF(A790="",IF(COUNTA(B790:O790)&gt;0,"НЕТ ID",""),IF(OR(AND(OR(C790="Оплата клиента",C790="Возврат клиенту"),COUNTIFS(Docs[ID],J790,Docs[Тип долга],"ДЗ")&lt;&gt;1),AND(OR(C790="Оплата поставщику",C790="Возврат поставщика"),COUNTIFS(Docs[ID],J790,Docs[Тип долга],"КЗ",Docs[Вид],"&lt;&gt;Дивиденды")&lt;&gt;1),AND(C790="Дивиденды",COUNTIFS(Docs[ID],J790,Docs[Вид],"Дивиденды")&lt;&gt;1),AND(C790="Проценты",COUNTIFS(Docs[ID],J790,Docs[Вид],"Проценты")&lt;&gt;1),COUNTIF(Cash[ID],A790)&gt;1,NOT(ISNUMBER(B790)),B790&lt;НачалоУчета,YEAR(B790)&lt;&gt;Год,NOT(ISNUMBER(E790)),E790&lt;=0,N790&lt;0,COUNTIF(Типы,C790)&lt;&gt;1,COUNTIF(Категории,D790)&lt;&gt;1,COUNTIF(Счета,F790)&lt;&gt;1,COUNTIF(Проекты,I790)&lt;&gt;1,AND(H790&lt;&gt;"",COUNTIF(Контрагенты,H790)&lt;&gt;1),AND(C790="Перевод",OR(F790=G790,COUNTIF(Счета,G790)&lt;&gt;1)),AND(S790&lt;&gt;0,COUNTIF(Docs[ID],J790)&lt;&gt;1),AND(Форма="ООО",C790="Вывод ИП"),AND(Форма="ИП",C790="Дивиденды"),AND(L790&lt;&gt;"Проведён",L790&lt;&gt;"Черновик")),"ОШИБКА","ОК"))</f>
        <v/>
      </c>
      <c r="W790" s="25" t="str">
        <f>IF(A790="","",SUMIF(Accounts[Счёт],F790,Accounts[Начальный])+SUMIFS($Q$7:Q790,$F$7:F790,F790)+SUMIFS($E$7:E790,$G$7:G790,F790,$C$7:C790,"Перевод",$L$7:L790,"Проведён"))</f>
        <v/>
      </c>
    </row>
    <row r="791" spans="1:23" x14ac:dyDescent="0.25">
      <c r="A791" s="22"/>
      <c r="B791" s="23"/>
      <c r="C791" s="22"/>
      <c r="D791" s="22"/>
      <c r="E791" s="27"/>
      <c r="F791" s="22"/>
      <c r="G791" s="22"/>
      <c r="H791" s="22"/>
      <c r="I791" s="22"/>
      <c r="J791" s="22"/>
      <c r="K791" s="22"/>
      <c r="L791" s="22"/>
      <c r="M791" s="22"/>
      <c r="N791" s="27"/>
      <c r="O791" s="22"/>
      <c r="P791" s="5" t="str">
        <f>IF(A791="","",IF(COUNTIF(Типы,C791)=0,0,VLOOKUP(C791,СПРАВОЧНИКИ!$A$7:$E$22,2,FALSE)))</f>
        <v/>
      </c>
      <c r="Q791" s="25" t="str">
        <f t="shared" si="12"/>
        <v/>
      </c>
      <c r="R791" s="5" t="str">
        <f>IF(A791="","",IF(COUNTIF(Типы,C791)=0,"НЕИЗВЕСТНЫЙ ТИП",VLOOKUP(C791,СПРАВОЧНИКИ!$A$7:$E$22,3,FALSE)))</f>
        <v/>
      </c>
      <c r="S791" s="26" t="str">
        <f>IF(A791="","",IF(L791="Проведён",E791*IF(COUNTIF(Типы,C791)=0,0,VLOOKUP(C791,СПРАВОЧНИКИ!$A$7:$E$22,4,FALSE)),0))</f>
        <v/>
      </c>
      <c r="T791" s="26" t="str">
        <f>IF(A791="","",IF(L791="Проведён",E791*IF(COUNTIF(Типы,C791)=0,0,VLOOKUP(C791,СПРАВОЧНИКИ!$A$7:$E$22,5,FALSE)),0))</f>
        <v/>
      </c>
      <c r="U791" s="5" t="str">
        <f>IF(A791="","",IF(COUNTIF(Контрагенты,H791)=0,"Не задан",VLOOKUP(H791,СПРАВОЧНИКИ!$G$7:$H$66,2,FALSE)))</f>
        <v/>
      </c>
      <c r="V791" s="4" t="str">
        <f>IF(A791="",IF(COUNTA(B791:O791)&gt;0,"НЕТ ID",""),IF(OR(AND(OR(C791="Оплата клиента",C791="Возврат клиенту"),COUNTIFS(Docs[ID],J791,Docs[Тип долга],"ДЗ")&lt;&gt;1),AND(OR(C791="Оплата поставщику",C791="Возврат поставщика"),COUNTIFS(Docs[ID],J791,Docs[Тип долга],"КЗ",Docs[Вид],"&lt;&gt;Дивиденды")&lt;&gt;1),AND(C791="Дивиденды",COUNTIFS(Docs[ID],J791,Docs[Вид],"Дивиденды")&lt;&gt;1),AND(C791="Проценты",COUNTIFS(Docs[ID],J791,Docs[Вид],"Проценты")&lt;&gt;1),COUNTIF(Cash[ID],A791)&gt;1,NOT(ISNUMBER(B791)),B791&lt;НачалоУчета,YEAR(B791)&lt;&gt;Год,NOT(ISNUMBER(E791)),E791&lt;=0,N791&lt;0,COUNTIF(Типы,C791)&lt;&gt;1,COUNTIF(Категории,D791)&lt;&gt;1,COUNTIF(Счета,F791)&lt;&gt;1,COUNTIF(Проекты,I791)&lt;&gt;1,AND(H791&lt;&gt;"",COUNTIF(Контрагенты,H791)&lt;&gt;1),AND(C791="Перевод",OR(F791=G791,COUNTIF(Счета,G791)&lt;&gt;1)),AND(S791&lt;&gt;0,COUNTIF(Docs[ID],J791)&lt;&gt;1),AND(Форма="ООО",C791="Вывод ИП"),AND(Форма="ИП",C791="Дивиденды"),AND(L791&lt;&gt;"Проведён",L791&lt;&gt;"Черновик")),"ОШИБКА","ОК"))</f>
        <v/>
      </c>
      <c r="W791" s="25" t="str">
        <f>IF(A791="","",SUMIF(Accounts[Счёт],F791,Accounts[Начальный])+SUMIFS($Q$7:Q791,$F$7:F791,F791)+SUMIFS($E$7:E791,$G$7:G791,F791,$C$7:C791,"Перевод",$L$7:L791,"Проведён"))</f>
        <v/>
      </c>
    </row>
    <row r="792" spans="1:23" x14ac:dyDescent="0.25">
      <c r="A792" s="22"/>
      <c r="B792" s="23"/>
      <c r="C792" s="22"/>
      <c r="D792" s="22"/>
      <c r="E792" s="27"/>
      <c r="F792" s="22"/>
      <c r="G792" s="22"/>
      <c r="H792" s="22"/>
      <c r="I792" s="22"/>
      <c r="J792" s="22"/>
      <c r="K792" s="22"/>
      <c r="L792" s="22"/>
      <c r="M792" s="22"/>
      <c r="N792" s="27"/>
      <c r="O792" s="22"/>
      <c r="P792" s="5" t="str">
        <f>IF(A792="","",IF(COUNTIF(Типы,C792)=0,0,VLOOKUP(C792,СПРАВОЧНИКИ!$A$7:$E$22,2,FALSE)))</f>
        <v/>
      </c>
      <c r="Q792" s="25" t="str">
        <f t="shared" si="12"/>
        <v/>
      </c>
      <c r="R792" s="5" t="str">
        <f>IF(A792="","",IF(COUNTIF(Типы,C792)=0,"НЕИЗВЕСТНЫЙ ТИП",VLOOKUP(C792,СПРАВОЧНИКИ!$A$7:$E$22,3,FALSE)))</f>
        <v/>
      </c>
      <c r="S792" s="26" t="str">
        <f>IF(A792="","",IF(L792="Проведён",E792*IF(COUNTIF(Типы,C792)=0,0,VLOOKUP(C792,СПРАВОЧНИКИ!$A$7:$E$22,4,FALSE)),0))</f>
        <v/>
      </c>
      <c r="T792" s="26" t="str">
        <f>IF(A792="","",IF(L792="Проведён",E792*IF(COUNTIF(Типы,C792)=0,0,VLOOKUP(C792,СПРАВОЧНИКИ!$A$7:$E$22,5,FALSE)),0))</f>
        <v/>
      </c>
      <c r="U792" s="5" t="str">
        <f>IF(A792="","",IF(COUNTIF(Контрагенты,H792)=0,"Не задан",VLOOKUP(H792,СПРАВОЧНИКИ!$G$7:$H$66,2,FALSE)))</f>
        <v/>
      </c>
      <c r="V792" s="4" t="str">
        <f>IF(A792="",IF(COUNTA(B792:O792)&gt;0,"НЕТ ID",""),IF(OR(AND(OR(C792="Оплата клиента",C792="Возврат клиенту"),COUNTIFS(Docs[ID],J792,Docs[Тип долга],"ДЗ")&lt;&gt;1),AND(OR(C792="Оплата поставщику",C792="Возврат поставщика"),COUNTIFS(Docs[ID],J792,Docs[Тип долга],"КЗ",Docs[Вид],"&lt;&gt;Дивиденды")&lt;&gt;1),AND(C792="Дивиденды",COUNTIFS(Docs[ID],J792,Docs[Вид],"Дивиденды")&lt;&gt;1),AND(C792="Проценты",COUNTIFS(Docs[ID],J792,Docs[Вид],"Проценты")&lt;&gt;1),COUNTIF(Cash[ID],A792)&gt;1,NOT(ISNUMBER(B792)),B792&lt;НачалоУчета,YEAR(B792)&lt;&gt;Год,NOT(ISNUMBER(E792)),E792&lt;=0,N792&lt;0,COUNTIF(Типы,C792)&lt;&gt;1,COUNTIF(Категории,D792)&lt;&gt;1,COUNTIF(Счета,F792)&lt;&gt;1,COUNTIF(Проекты,I792)&lt;&gt;1,AND(H792&lt;&gt;"",COUNTIF(Контрагенты,H792)&lt;&gt;1),AND(C792="Перевод",OR(F792=G792,COUNTIF(Счета,G792)&lt;&gt;1)),AND(S792&lt;&gt;0,COUNTIF(Docs[ID],J792)&lt;&gt;1),AND(Форма="ООО",C792="Вывод ИП"),AND(Форма="ИП",C792="Дивиденды"),AND(L792&lt;&gt;"Проведён",L792&lt;&gt;"Черновик")),"ОШИБКА","ОК"))</f>
        <v/>
      </c>
      <c r="W792" s="25" t="str">
        <f>IF(A792="","",SUMIF(Accounts[Счёт],F792,Accounts[Начальный])+SUMIFS($Q$7:Q792,$F$7:F792,F792)+SUMIFS($E$7:E792,$G$7:G792,F792,$C$7:C792,"Перевод",$L$7:L792,"Проведён"))</f>
        <v/>
      </c>
    </row>
    <row r="793" spans="1:23" x14ac:dyDescent="0.25">
      <c r="A793" s="22"/>
      <c r="B793" s="23"/>
      <c r="C793" s="22"/>
      <c r="D793" s="22"/>
      <c r="E793" s="27"/>
      <c r="F793" s="22"/>
      <c r="G793" s="22"/>
      <c r="H793" s="22"/>
      <c r="I793" s="22"/>
      <c r="J793" s="22"/>
      <c r="K793" s="22"/>
      <c r="L793" s="22"/>
      <c r="M793" s="22"/>
      <c r="N793" s="27"/>
      <c r="O793" s="22"/>
      <c r="P793" s="5" t="str">
        <f>IF(A793="","",IF(COUNTIF(Типы,C793)=0,0,VLOOKUP(C793,СПРАВОЧНИКИ!$A$7:$E$22,2,FALSE)))</f>
        <v/>
      </c>
      <c r="Q793" s="25" t="str">
        <f t="shared" si="12"/>
        <v/>
      </c>
      <c r="R793" s="5" t="str">
        <f>IF(A793="","",IF(COUNTIF(Типы,C793)=0,"НЕИЗВЕСТНЫЙ ТИП",VLOOKUP(C793,СПРАВОЧНИКИ!$A$7:$E$22,3,FALSE)))</f>
        <v/>
      </c>
      <c r="S793" s="26" t="str">
        <f>IF(A793="","",IF(L793="Проведён",E793*IF(COUNTIF(Типы,C793)=0,0,VLOOKUP(C793,СПРАВОЧНИКИ!$A$7:$E$22,4,FALSE)),0))</f>
        <v/>
      </c>
      <c r="T793" s="26" t="str">
        <f>IF(A793="","",IF(L793="Проведён",E793*IF(COUNTIF(Типы,C793)=0,0,VLOOKUP(C793,СПРАВОЧНИКИ!$A$7:$E$22,5,FALSE)),0))</f>
        <v/>
      </c>
      <c r="U793" s="5" t="str">
        <f>IF(A793="","",IF(COUNTIF(Контрагенты,H793)=0,"Не задан",VLOOKUP(H793,СПРАВОЧНИКИ!$G$7:$H$66,2,FALSE)))</f>
        <v/>
      </c>
      <c r="V793" s="4" t="str">
        <f>IF(A793="",IF(COUNTA(B793:O793)&gt;0,"НЕТ ID",""),IF(OR(AND(OR(C793="Оплата клиента",C793="Возврат клиенту"),COUNTIFS(Docs[ID],J793,Docs[Тип долга],"ДЗ")&lt;&gt;1),AND(OR(C793="Оплата поставщику",C793="Возврат поставщика"),COUNTIFS(Docs[ID],J793,Docs[Тип долга],"КЗ",Docs[Вид],"&lt;&gt;Дивиденды")&lt;&gt;1),AND(C793="Дивиденды",COUNTIFS(Docs[ID],J793,Docs[Вид],"Дивиденды")&lt;&gt;1),AND(C793="Проценты",COUNTIFS(Docs[ID],J793,Docs[Вид],"Проценты")&lt;&gt;1),COUNTIF(Cash[ID],A793)&gt;1,NOT(ISNUMBER(B793)),B793&lt;НачалоУчета,YEAR(B793)&lt;&gt;Год,NOT(ISNUMBER(E793)),E793&lt;=0,N793&lt;0,COUNTIF(Типы,C793)&lt;&gt;1,COUNTIF(Категории,D793)&lt;&gt;1,COUNTIF(Счета,F793)&lt;&gt;1,COUNTIF(Проекты,I793)&lt;&gt;1,AND(H793&lt;&gt;"",COUNTIF(Контрагенты,H793)&lt;&gt;1),AND(C793="Перевод",OR(F793=G793,COUNTIF(Счета,G793)&lt;&gt;1)),AND(S793&lt;&gt;0,COUNTIF(Docs[ID],J793)&lt;&gt;1),AND(Форма="ООО",C793="Вывод ИП"),AND(Форма="ИП",C793="Дивиденды"),AND(L793&lt;&gt;"Проведён",L793&lt;&gt;"Черновик")),"ОШИБКА","ОК"))</f>
        <v/>
      </c>
      <c r="W793" s="25" t="str">
        <f>IF(A793="","",SUMIF(Accounts[Счёт],F793,Accounts[Начальный])+SUMIFS($Q$7:Q793,$F$7:F793,F793)+SUMIFS($E$7:E793,$G$7:G793,F793,$C$7:C793,"Перевод",$L$7:L793,"Проведён"))</f>
        <v/>
      </c>
    </row>
    <row r="794" spans="1:23" x14ac:dyDescent="0.25">
      <c r="A794" s="22"/>
      <c r="B794" s="23"/>
      <c r="C794" s="22"/>
      <c r="D794" s="22"/>
      <c r="E794" s="27"/>
      <c r="F794" s="22"/>
      <c r="G794" s="22"/>
      <c r="H794" s="22"/>
      <c r="I794" s="22"/>
      <c r="J794" s="22"/>
      <c r="K794" s="22"/>
      <c r="L794" s="22"/>
      <c r="M794" s="22"/>
      <c r="N794" s="27"/>
      <c r="O794" s="22"/>
      <c r="P794" s="5" t="str">
        <f>IF(A794="","",IF(COUNTIF(Типы,C794)=0,0,VLOOKUP(C794,СПРАВОЧНИКИ!$A$7:$E$22,2,FALSE)))</f>
        <v/>
      </c>
      <c r="Q794" s="25" t="str">
        <f t="shared" si="12"/>
        <v/>
      </c>
      <c r="R794" s="5" t="str">
        <f>IF(A794="","",IF(COUNTIF(Типы,C794)=0,"НЕИЗВЕСТНЫЙ ТИП",VLOOKUP(C794,СПРАВОЧНИКИ!$A$7:$E$22,3,FALSE)))</f>
        <v/>
      </c>
      <c r="S794" s="26" t="str">
        <f>IF(A794="","",IF(L794="Проведён",E794*IF(COUNTIF(Типы,C794)=0,0,VLOOKUP(C794,СПРАВОЧНИКИ!$A$7:$E$22,4,FALSE)),0))</f>
        <v/>
      </c>
      <c r="T794" s="26" t="str">
        <f>IF(A794="","",IF(L794="Проведён",E794*IF(COUNTIF(Типы,C794)=0,0,VLOOKUP(C794,СПРАВОЧНИКИ!$A$7:$E$22,5,FALSE)),0))</f>
        <v/>
      </c>
      <c r="U794" s="5" t="str">
        <f>IF(A794="","",IF(COUNTIF(Контрагенты,H794)=0,"Не задан",VLOOKUP(H794,СПРАВОЧНИКИ!$G$7:$H$66,2,FALSE)))</f>
        <v/>
      </c>
      <c r="V794" s="4" t="str">
        <f>IF(A794="",IF(COUNTA(B794:O794)&gt;0,"НЕТ ID",""),IF(OR(AND(OR(C794="Оплата клиента",C794="Возврат клиенту"),COUNTIFS(Docs[ID],J794,Docs[Тип долга],"ДЗ")&lt;&gt;1),AND(OR(C794="Оплата поставщику",C794="Возврат поставщика"),COUNTIFS(Docs[ID],J794,Docs[Тип долга],"КЗ",Docs[Вид],"&lt;&gt;Дивиденды")&lt;&gt;1),AND(C794="Дивиденды",COUNTIFS(Docs[ID],J794,Docs[Вид],"Дивиденды")&lt;&gt;1),AND(C794="Проценты",COUNTIFS(Docs[ID],J794,Docs[Вид],"Проценты")&lt;&gt;1),COUNTIF(Cash[ID],A794)&gt;1,NOT(ISNUMBER(B794)),B794&lt;НачалоУчета,YEAR(B794)&lt;&gt;Год,NOT(ISNUMBER(E794)),E794&lt;=0,N794&lt;0,COUNTIF(Типы,C794)&lt;&gt;1,COUNTIF(Категории,D794)&lt;&gt;1,COUNTIF(Счета,F794)&lt;&gt;1,COUNTIF(Проекты,I794)&lt;&gt;1,AND(H794&lt;&gt;"",COUNTIF(Контрагенты,H794)&lt;&gt;1),AND(C794="Перевод",OR(F794=G794,COUNTIF(Счета,G794)&lt;&gt;1)),AND(S794&lt;&gt;0,COUNTIF(Docs[ID],J794)&lt;&gt;1),AND(Форма="ООО",C794="Вывод ИП"),AND(Форма="ИП",C794="Дивиденды"),AND(L794&lt;&gt;"Проведён",L794&lt;&gt;"Черновик")),"ОШИБКА","ОК"))</f>
        <v/>
      </c>
      <c r="W794" s="25" t="str">
        <f>IF(A794="","",SUMIF(Accounts[Счёт],F794,Accounts[Начальный])+SUMIFS($Q$7:Q794,$F$7:F794,F794)+SUMIFS($E$7:E794,$G$7:G794,F794,$C$7:C794,"Перевод",$L$7:L794,"Проведён"))</f>
        <v/>
      </c>
    </row>
    <row r="795" spans="1:23" x14ac:dyDescent="0.25">
      <c r="A795" s="22"/>
      <c r="B795" s="23"/>
      <c r="C795" s="22"/>
      <c r="D795" s="22"/>
      <c r="E795" s="27"/>
      <c r="F795" s="22"/>
      <c r="G795" s="22"/>
      <c r="H795" s="22"/>
      <c r="I795" s="22"/>
      <c r="J795" s="22"/>
      <c r="K795" s="22"/>
      <c r="L795" s="22"/>
      <c r="M795" s="22"/>
      <c r="N795" s="27"/>
      <c r="O795" s="22"/>
      <c r="P795" s="5" t="str">
        <f>IF(A795="","",IF(COUNTIF(Типы,C795)=0,0,VLOOKUP(C795,СПРАВОЧНИКИ!$A$7:$E$22,2,FALSE)))</f>
        <v/>
      </c>
      <c r="Q795" s="25" t="str">
        <f t="shared" si="12"/>
        <v/>
      </c>
      <c r="R795" s="5" t="str">
        <f>IF(A795="","",IF(COUNTIF(Типы,C795)=0,"НЕИЗВЕСТНЫЙ ТИП",VLOOKUP(C795,СПРАВОЧНИКИ!$A$7:$E$22,3,FALSE)))</f>
        <v/>
      </c>
      <c r="S795" s="26" t="str">
        <f>IF(A795="","",IF(L795="Проведён",E795*IF(COUNTIF(Типы,C795)=0,0,VLOOKUP(C795,СПРАВОЧНИКИ!$A$7:$E$22,4,FALSE)),0))</f>
        <v/>
      </c>
      <c r="T795" s="26" t="str">
        <f>IF(A795="","",IF(L795="Проведён",E795*IF(COUNTIF(Типы,C795)=0,0,VLOOKUP(C795,СПРАВОЧНИКИ!$A$7:$E$22,5,FALSE)),0))</f>
        <v/>
      </c>
      <c r="U795" s="5" t="str">
        <f>IF(A795="","",IF(COUNTIF(Контрагенты,H795)=0,"Не задан",VLOOKUP(H795,СПРАВОЧНИКИ!$G$7:$H$66,2,FALSE)))</f>
        <v/>
      </c>
      <c r="V795" s="4" t="str">
        <f>IF(A795="",IF(COUNTA(B795:O795)&gt;0,"НЕТ ID",""),IF(OR(AND(OR(C795="Оплата клиента",C795="Возврат клиенту"),COUNTIFS(Docs[ID],J795,Docs[Тип долга],"ДЗ")&lt;&gt;1),AND(OR(C795="Оплата поставщику",C795="Возврат поставщика"),COUNTIFS(Docs[ID],J795,Docs[Тип долга],"КЗ",Docs[Вид],"&lt;&gt;Дивиденды")&lt;&gt;1),AND(C795="Дивиденды",COUNTIFS(Docs[ID],J795,Docs[Вид],"Дивиденды")&lt;&gt;1),AND(C795="Проценты",COUNTIFS(Docs[ID],J795,Docs[Вид],"Проценты")&lt;&gt;1),COUNTIF(Cash[ID],A795)&gt;1,NOT(ISNUMBER(B795)),B795&lt;НачалоУчета,YEAR(B795)&lt;&gt;Год,NOT(ISNUMBER(E795)),E795&lt;=0,N795&lt;0,COUNTIF(Типы,C795)&lt;&gt;1,COUNTIF(Категории,D795)&lt;&gt;1,COUNTIF(Счета,F795)&lt;&gt;1,COUNTIF(Проекты,I795)&lt;&gt;1,AND(H795&lt;&gt;"",COUNTIF(Контрагенты,H795)&lt;&gt;1),AND(C795="Перевод",OR(F795=G795,COUNTIF(Счета,G795)&lt;&gt;1)),AND(S795&lt;&gt;0,COUNTIF(Docs[ID],J795)&lt;&gt;1),AND(Форма="ООО",C795="Вывод ИП"),AND(Форма="ИП",C795="Дивиденды"),AND(L795&lt;&gt;"Проведён",L795&lt;&gt;"Черновик")),"ОШИБКА","ОК"))</f>
        <v/>
      </c>
      <c r="W795" s="25" t="str">
        <f>IF(A795="","",SUMIF(Accounts[Счёт],F795,Accounts[Начальный])+SUMIFS($Q$7:Q795,$F$7:F795,F795)+SUMIFS($E$7:E795,$G$7:G795,F795,$C$7:C795,"Перевод",$L$7:L795,"Проведён"))</f>
        <v/>
      </c>
    </row>
    <row r="796" spans="1:23" x14ac:dyDescent="0.25">
      <c r="A796" s="22"/>
      <c r="B796" s="23"/>
      <c r="C796" s="22"/>
      <c r="D796" s="22"/>
      <c r="E796" s="27"/>
      <c r="F796" s="22"/>
      <c r="G796" s="22"/>
      <c r="H796" s="22"/>
      <c r="I796" s="22"/>
      <c r="J796" s="22"/>
      <c r="K796" s="22"/>
      <c r="L796" s="22"/>
      <c r="M796" s="22"/>
      <c r="N796" s="27"/>
      <c r="O796" s="22"/>
      <c r="P796" s="5" t="str">
        <f>IF(A796="","",IF(COUNTIF(Типы,C796)=0,0,VLOOKUP(C796,СПРАВОЧНИКИ!$A$7:$E$22,2,FALSE)))</f>
        <v/>
      </c>
      <c r="Q796" s="25" t="str">
        <f t="shared" si="12"/>
        <v/>
      </c>
      <c r="R796" s="5" t="str">
        <f>IF(A796="","",IF(COUNTIF(Типы,C796)=0,"НЕИЗВЕСТНЫЙ ТИП",VLOOKUP(C796,СПРАВОЧНИКИ!$A$7:$E$22,3,FALSE)))</f>
        <v/>
      </c>
      <c r="S796" s="26" t="str">
        <f>IF(A796="","",IF(L796="Проведён",E796*IF(COUNTIF(Типы,C796)=0,0,VLOOKUP(C796,СПРАВОЧНИКИ!$A$7:$E$22,4,FALSE)),0))</f>
        <v/>
      </c>
      <c r="T796" s="26" t="str">
        <f>IF(A796="","",IF(L796="Проведён",E796*IF(COUNTIF(Типы,C796)=0,0,VLOOKUP(C796,СПРАВОЧНИКИ!$A$7:$E$22,5,FALSE)),0))</f>
        <v/>
      </c>
      <c r="U796" s="5" t="str">
        <f>IF(A796="","",IF(COUNTIF(Контрагенты,H796)=0,"Не задан",VLOOKUP(H796,СПРАВОЧНИКИ!$G$7:$H$66,2,FALSE)))</f>
        <v/>
      </c>
      <c r="V796" s="4" t="str">
        <f>IF(A796="",IF(COUNTA(B796:O796)&gt;0,"НЕТ ID",""),IF(OR(AND(OR(C796="Оплата клиента",C796="Возврат клиенту"),COUNTIFS(Docs[ID],J796,Docs[Тип долга],"ДЗ")&lt;&gt;1),AND(OR(C796="Оплата поставщику",C796="Возврат поставщика"),COUNTIFS(Docs[ID],J796,Docs[Тип долга],"КЗ",Docs[Вид],"&lt;&gt;Дивиденды")&lt;&gt;1),AND(C796="Дивиденды",COUNTIFS(Docs[ID],J796,Docs[Вид],"Дивиденды")&lt;&gt;1),AND(C796="Проценты",COUNTIFS(Docs[ID],J796,Docs[Вид],"Проценты")&lt;&gt;1),COUNTIF(Cash[ID],A796)&gt;1,NOT(ISNUMBER(B796)),B796&lt;НачалоУчета,YEAR(B796)&lt;&gt;Год,NOT(ISNUMBER(E796)),E796&lt;=0,N796&lt;0,COUNTIF(Типы,C796)&lt;&gt;1,COUNTIF(Категории,D796)&lt;&gt;1,COUNTIF(Счета,F796)&lt;&gt;1,COUNTIF(Проекты,I796)&lt;&gt;1,AND(H796&lt;&gt;"",COUNTIF(Контрагенты,H796)&lt;&gt;1),AND(C796="Перевод",OR(F796=G796,COUNTIF(Счета,G796)&lt;&gt;1)),AND(S796&lt;&gt;0,COUNTIF(Docs[ID],J796)&lt;&gt;1),AND(Форма="ООО",C796="Вывод ИП"),AND(Форма="ИП",C796="Дивиденды"),AND(L796&lt;&gt;"Проведён",L796&lt;&gt;"Черновик")),"ОШИБКА","ОК"))</f>
        <v/>
      </c>
      <c r="W796" s="25" t="str">
        <f>IF(A796="","",SUMIF(Accounts[Счёт],F796,Accounts[Начальный])+SUMIFS($Q$7:Q796,$F$7:F796,F796)+SUMIFS($E$7:E796,$G$7:G796,F796,$C$7:C796,"Перевод",$L$7:L796,"Проведён"))</f>
        <v/>
      </c>
    </row>
    <row r="797" spans="1:23" x14ac:dyDescent="0.25">
      <c r="A797" s="22"/>
      <c r="B797" s="23"/>
      <c r="C797" s="22"/>
      <c r="D797" s="22"/>
      <c r="E797" s="27"/>
      <c r="F797" s="22"/>
      <c r="G797" s="22"/>
      <c r="H797" s="22"/>
      <c r="I797" s="22"/>
      <c r="J797" s="22"/>
      <c r="K797" s="22"/>
      <c r="L797" s="22"/>
      <c r="M797" s="22"/>
      <c r="N797" s="27"/>
      <c r="O797" s="22"/>
      <c r="P797" s="5" t="str">
        <f>IF(A797="","",IF(COUNTIF(Типы,C797)=0,0,VLOOKUP(C797,СПРАВОЧНИКИ!$A$7:$E$22,2,FALSE)))</f>
        <v/>
      </c>
      <c r="Q797" s="25" t="str">
        <f t="shared" si="12"/>
        <v/>
      </c>
      <c r="R797" s="5" t="str">
        <f>IF(A797="","",IF(COUNTIF(Типы,C797)=0,"НЕИЗВЕСТНЫЙ ТИП",VLOOKUP(C797,СПРАВОЧНИКИ!$A$7:$E$22,3,FALSE)))</f>
        <v/>
      </c>
      <c r="S797" s="26" t="str">
        <f>IF(A797="","",IF(L797="Проведён",E797*IF(COUNTIF(Типы,C797)=0,0,VLOOKUP(C797,СПРАВОЧНИКИ!$A$7:$E$22,4,FALSE)),0))</f>
        <v/>
      </c>
      <c r="T797" s="26" t="str">
        <f>IF(A797="","",IF(L797="Проведён",E797*IF(COUNTIF(Типы,C797)=0,0,VLOOKUP(C797,СПРАВОЧНИКИ!$A$7:$E$22,5,FALSE)),0))</f>
        <v/>
      </c>
      <c r="U797" s="5" t="str">
        <f>IF(A797="","",IF(COUNTIF(Контрагенты,H797)=0,"Не задан",VLOOKUP(H797,СПРАВОЧНИКИ!$G$7:$H$66,2,FALSE)))</f>
        <v/>
      </c>
      <c r="V797" s="4" t="str">
        <f>IF(A797="",IF(COUNTA(B797:O797)&gt;0,"НЕТ ID",""),IF(OR(AND(OR(C797="Оплата клиента",C797="Возврат клиенту"),COUNTIFS(Docs[ID],J797,Docs[Тип долга],"ДЗ")&lt;&gt;1),AND(OR(C797="Оплата поставщику",C797="Возврат поставщика"),COUNTIFS(Docs[ID],J797,Docs[Тип долга],"КЗ",Docs[Вид],"&lt;&gt;Дивиденды")&lt;&gt;1),AND(C797="Дивиденды",COUNTIFS(Docs[ID],J797,Docs[Вид],"Дивиденды")&lt;&gt;1),AND(C797="Проценты",COUNTIFS(Docs[ID],J797,Docs[Вид],"Проценты")&lt;&gt;1),COUNTIF(Cash[ID],A797)&gt;1,NOT(ISNUMBER(B797)),B797&lt;НачалоУчета,YEAR(B797)&lt;&gt;Год,NOT(ISNUMBER(E797)),E797&lt;=0,N797&lt;0,COUNTIF(Типы,C797)&lt;&gt;1,COUNTIF(Категории,D797)&lt;&gt;1,COUNTIF(Счета,F797)&lt;&gt;1,COUNTIF(Проекты,I797)&lt;&gt;1,AND(H797&lt;&gt;"",COUNTIF(Контрагенты,H797)&lt;&gt;1),AND(C797="Перевод",OR(F797=G797,COUNTIF(Счета,G797)&lt;&gt;1)),AND(S797&lt;&gt;0,COUNTIF(Docs[ID],J797)&lt;&gt;1),AND(Форма="ООО",C797="Вывод ИП"),AND(Форма="ИП",C797="Дивиденды"),AND(L797&lt;&gt;"Проведён",L797&lt;&gt;"Черновик")),"ОШИБКА","ОК"))</f>
        <v/>
      </c>
      <c r="W797" s="25" t="str">
        <f>IF(A797="","",SUMIF(Accounts[Счёт],F797,Accounts[Начальный])+SUMIFS($Q$7:Q797,$F$7:F797,F797)+SUMIFS($E$7:E797,$G$7:G797,F797,$C$7:C797,"Перевод",$L$7:L797,"Проведён"))</f>
        <v/>
      </c>
    </row>
    <row r="798" spans="1:23" x14ac:dyDescent="0.25">
      <c r="A798" s="22"/>
      <c r="B798" s="23"/>
      <c r="C798" s="22"/>
      <c r="D798" s="22"/>
      <c r="E798" s="27"/>
      <c r="F798" s="22"/>
      <c r="G798" s="22"/>
      <c r="H798" s="22"/>
      <c r="I798" s="22"/>
      <c r="J798" s="22"/>
      <c r="K798" s="22"/>
      <c r="L798" s="22"/>
      <c r="M798" s="22"/>
      <c r="N798" s="27"/>
      <c r="O798" s="22"/>
      <c r="P798" s="5" t="str">
        <f>IF(A798="","",IF(COUNTIF(Типы,C798)=0,0,VLOOKUP(C798,СПРАВОЧНИКИ!$A$7:$E$22,2,FALSE)))</f>
        <v/>
      </c>
      <c r="Q798" s="25" t="str">
        <f t="shared" si="12"/>
        <v/>
      </c>
      <c r="R798" s="5" t="str">
        <f>IF(A798="","",IF(COUNTIF(Типы,C798)=0,"НЕИЗВЕСТНЫЙ ТИП",VLOOKUP(C798,СПРАВОЧНИКИ!$A$7:$E$22,3,FALSE)))</f>
        <v/>
      </c>
      <c r="S798" s="26" t="str">
        <f>IF(A798="","",IF(L798="Проведён",E798*IF(COUNTIF(Типы,C798)=0,0,VLOOKUP(C798,СПРАВОЧНИКИ!$A$7:$E$22,4,FALSE)),0))</f>
        <v/>
      </c>
      <c r="T798" s="26" t="str">
        <f>IF(A798="","",IF(L798="Проведён",E798*IF(COUNTIF(Типы,C798)=0,0,VLOOKUP(C798,СПРАВОЧНИКИ!$A$7:$E$22,5,FALSE)),0))</f>
        <v/>
      </c>
      <c r="U798" s="5" t="str">
        <f>IF(A798="","",IF(COUNTIF(Контрагенты,H798)=0,"Не задан",VLOOKUP(H798,СПРАВОЧНИКИ!$G$7:$H$66,2,FALSE)))</f>
        <v/>
      </c>
      <c r="V798" s="4" t="str">
        <f>IF(A798="",IF(COUNTA(B798:O798)&gt;0,"НЕТ ID",""),IF(OR(AND(OR(C798="Оплата клиента",C798="Возврат клиенту"),COUNTIFS(Docs[ID],J798,Docs[Тип долга],"ДЗ")&lt;&gt;1),AND(OR(C798="Оплата поставщику",C798="Возврат поставщика"),COUNTIFS(Docs[ID],J798,Docs[Тип долга],"КЗ",Docs[Вид],"&lt;&gt;Дивиденды")&lt;&gt;1),AND(C798="Дивиденды",COUNTIFS(Docs[ID],J798,Docs[Вид],"Дивиденды")&lt;&gt;1),AND(C798="Проценты",COUNTIFS(Docs[ID],J798,Docs[Вид],"Проценты")&lt;&gt;1),COUNTIF(Cash[ID],A798)&gt;1,NOT(ISNUMBER(B798)),B798&lt;НачалоУчета,YEAR(B798)&lt;&gt;Год,NOT(ISNUMBER(E798)),E798&lt;=0,N798&lt;0,COUNTIF(Типы,C798)&lt;&gt;1,COUNTIF(Категории,D798)&lt;&gt;1,COUNTIF(Счета,F798)&lt;&gt;1,COUNTIF(Проекты,I798)&lt;&gt;1,AND(H798&lt;&gt;"",COUNTIF(Контрагенты,H798)&lt;&gt;1),AND(C798="Перевод",OR(F798=G798,COUNTIF(Счета,G798)&lt;&gt;1)),AND(S798&lt;&gt;0,COUNTIF(Docs[ID],J798)&lt;&gt;1),AND(Форма="ООО",C798="Вывод ИП"),AND(Форма="ИП",C798="Дивиденды"),AND(L798&lt;&gt;"Проведён",L798&lt;&gt;"Черновик")),"ОШИБКА","ОК"))</f>
        <v/>
      </c>
      <c r="W798" s="25" t="str">
        <f>IF(A798="","",SUMIF(Accounts[Счёт],F798,Accounts[Начальный])+SUMIFS($Q$7:Q798,$F$7:F798,F798)+SUMIFS($E$7:E798,$G$7:G798,F798,$C$7:C798,"Перевод",$L$7:L798,"Проведён"))</f>
        <v/>
      </c>
    </row>
    <row r="799" spans="1:23" x14ac:dyDescent="0.25">
      <c r="A799" s="22"/>
      <c r="B799" s="23"/>
      <c r="C799" s="22"/>
      <c r="D799" s="22"/>
      <c r="E799" s="27"/>
      <c r="F799" s="22"/>
      <c r="G799" s="22"/>
      <c r="H799" s="22"/>
      <c r="I799" s="22"/>
      <c r="J799" s="22"/>
      <c r="K799" s="22"/>
      <c r="L799" s="22"/>
      <c r="M799" s="22"/>
      <c r="N799" s="27"/>
      <c r="O799" s="22"/>
      <c r="P799" s="5" t="str">
        <f>IF(A799="","",IF(COUNTIF(Типы,C799)=0,0,VLOOKUP(C799,СПРАВОЧНИКИ!$A$7:$E$22,2,FALSE)))</f>
        <v/>
      </c>
      <c r="Q799" s="25" t="str">
        <f t="shared" si="12"/>
        <v/>
      </c>
      <c r="R799" s="5" t="str">
        <f>IF(A799="","",IF(COUNTIF(Типы,C799)=0,"НЕИЗВЕСТНЫЙ ТИП",VLOOKUP(C799,СПРАВОЧНИКИ!$A$7:$E$22,3,FALSE)))</f>
        <v/>
      </c>
      <c r="S799" s="26" t="str">
        <f>IF(A799="","",IF(L799="Проведён",E799*IF(COUNTIF(Типы,C799)=0,0,VLOOKUP(C799,СПРАВОЧНИКИ!$A$7:$E$22,4,FALSE)),0))</f>
        <v/>
      </c>
      <c r="T799" s="26" t="str">
        <f>IF(A799="","",IF(L799="Проведён",E799*IF(COUNTIF(Типы,C799)=0,0,VLOOKUP(C799,СПРАВОЧНИКИ!$A$7:$E$22,5,FALSE)),0))</f>
        <v/>
      </c>
      <c r="U799" s="5" t="str">
        <f>IF(A799="","",IF(COUNTIF(Контрагенты,H799)=0,"Не задан",VLOOKUP(H799,СПРАВОЧНИКИ!$G$7:$H$66,2,FALSE)))</f>
        <v/>
      </c>
      <c r="V799" s="4" t="str">
        <f>IF(A799="",IF(COUNTA(B799:O799)&gt;0,"НЕТ ID",""),IF(OR(AND(OR(C799="Оплата клиента",C799="Возврат клиенту"),COUNTIFS(Docs[ID],J799,Docs[Тип долга],"ДЗ")&lt;&gt;1),AND(OR(C799="Оплата поставщику",C799="Возврат поставщика"),COUNTIFS(Docs[ID],J799,Docs[Тип долга],"КЗ",Docs[Вид],"&lt;&gt;Дивиденды")&lt;&gt;1),AND(C799="Дивиденды",COUNTIFS(Docs[ID],J799,Docs[Вид],"Дивиденды")&lt;&gt;1),AND(C799="Проценты",COUNTIFS(Docs[ID],J799,Docs[Вид],"Проценты")&lt;&gt;1),COUNTIF(Cash[ID],A799)&gt;1,NOT(ISNUMBER(B799)),B799&lt;НачалоУчета,YEAR(B799)&lt;&gt;Год,NOT(ISNUMBER(E799)),E799&lt;=0,N799&lt;0,COUNTIF(Типы,C799)&lt;&gt;1,COUNTIF(Категории,D799)&lt;&gt;1,COUNTIF(Счета,F799)&lt;&gt;1,COUNTIF(Проекты,I799)&lt;&gt;1,AND(H799&lt;&gt;"",COUNTIF(Контрагенты,H799)&lt;&gt;1),AND(C799="Перевод",OR(F799=G799,COUNTIF(Счета,G799)&lt;&gt;1)),AND(S799&lt;&gt;0,COUNTIF(Docs[ID],J799)&lt;&gt;1),AND(Форма="ООО",C799="Вывод ИП"),AND(Форма="ИП",C799="Дивиденды"),AND(L799&lt;&gt;"Проведён",L799&lt;&gt;"Черновик")),"ОШИБКА","ОК"))</f>
        <v/>
      </c>
      <c r="W799" s="25" t="str">
        <f>IF(A799="","",SUMIF(Accounts[Счёт],F799,Accounts[Начальный])+SUMIFS($Q$7:Q799,$F$7:F799,F799)+SUMIFS($E$7:E799,$G$7:G799,F799,$C$7:C799,"Перевод",$L$7:L799,"Проведён"))</f>
        <v/>
      </c>
    </row>
    <row r="800" spans="1:23" x14ac:dyDescent="0.25">
      <c r="A800" s="22"/>
      <c r="B800" s="23"/>
      <c r="C800" s="22"/>
      <c r="D800" s="22"/>
      <c r="E800" s="27"/>
      <c r="F800" s="22"/>
      <c r="G800" s="22"/>
      <c r="H800" s="22"/>
      <c r="I800" s="22"/>
      <c r="J800" s="22"/>
      <c r="K800" s="22"/>
      <c r="L800" s="22"/>
      <c r="M800" s="22"/>
      <c r="N800" s="27"/>
      <c r="O800" s="22"/>
      <c r="P800" s="5" t="str">
        <f>IF(A800="","",IF(COUNTIF(Типы,C800)=0,0,VLOOKUP(C800,СПРАВОЧНИКИ!$A$7:$E$22,2,FALSE)))</f>
        <v/>
      </c>
      <c r="Q800" s="25" t="str">
        <f t="shared" si="12"/>
        <v/>
      </c>
      <c r="R800" s="5" t="str">
        <f>IF(A800="","",IF(COUNTIF(Типы,C800)=0,"НЕИЗВЕСТНЫЙ ТИП",VLOOKUP(C800,СПРАВОЧНИКИ!$A$7:$E$22,3,FALSE)))</f>
        <v/>
      </c>
      <c r="S800" s="26" t="str">
        <f>IF(A800="","",IF(L800="Проведён",E800*IF(COUNTIF(Типы,C800)=0,0,VLOOKUP(C800,СПРАВОЧНИКИ!$A$7:$E$22,4,FALSE)),0))</f>
        <v/>
      </c>
      <c r="T800" s="26" t="str">
        <f>IF(A800="","",IF(L800="Проведён",E800*IF(COUNTIF(Типы,C800)=0,0,VLOOKUP(C800,СПРАВОЧНИКИ!$A$7:$E$22,5,FALSE)),0))</f>
        <v/>
      </c>
      <c r="U800" s="5" t="str">
        <f>IF(A800="","",IF(COUNTIF(Контрагенты,H800)=0,"Не задан",VLOOKUP(H800,СПРАВОЧНИКИ!$G$7:$H$66,2,FALSE)))</f>
        <v/>
      </c>
      <c r="V800" s="4" t="str">
        <f>IF(A800="",IF(COUNTA(B800:O800)&gt;0,"НЕТ ID",""),IF(OR(AND(OR(C800="Оплата клиента",C800="Возврат клиенту"),COUNTIFS(Docs[ID],J800,Docs[Тип долга],"ДЗ")&lt;&gt;1),AND(OR(C800="Оплата поставщику",C800="Возврат поставщика"),COUNTIFS(Docs[ID],J800,Docs[Тип долга],"КЗ",Docs[Вид],"&lt;&gt;Дивиденды")&lt;&gt;1),AND(C800="Дивиденды",COUNTIFS(Docs[ID],J800,Docs[Вид],"Дивиденды")&lt;&gt;1),AND(C800="Проценты",COUNTIFS(Docs[ID],J800,Docs[Вид],"Проценты")&lt;&gt;1),COUNTIF(Cash[ID],A800)&gt;1,NOT(ISNUMBER(B800)),B800&lt;НачалоУчета,YEAR(B800)&lt;&gt;Год,NOT(ISNUMBER(E800)),E800&lt;=0,N800&lt;0,COUNTIF(Типы,C800)&lt;&gt;1,COUNTIF(Категории,D800)&lt;&gt;1,COUNTIF(Счета,F800)&lt;&gt;1,COUNTIF(Проекты,I800)&lt;&gt;1,AND(H800&lt;&gt;"",COUNTIF(Контрагенты,H800)&lt;&gt;1),AND(C800="Перевод",OR(F800=G800,COUNTIF(Счета,G800)&lt;&gt;1)),AND(S800&lt;&gt;0,COUNTIF(Docs[ID],J800)&lt;&gt;1),AND(Форма="ООО",C800="Вывод ИП"),AND(Форма="ИП",C800="Дивиденды"),AND(L800&lt;&gt;"Проведён",L800&lt;&gt;"Черновик")),"ОШИБКА","ОК"))</f>
        <v/>
      </c>
      <c r="W800" s="25" t="str">
        <f>IF(A800="","",SUMIF(Accounts[Счёт],F800,Accounts[Начальный])+SUMIFS($Q$7:Q800,$F$7:F800,F800)+SUMIFS($E$7:E800,$G$7:G800,F800,$C$7:C800,"Перевод",$L$7:L800,"Проведён"))</f>
        <v/>
      </c>
    </row>
    <row r="801" spans="1:23" x14ac:dyDescent="0.25">
      <c r="A801" s="22"/>
      <c r="B801" s="23"/>
      <c r="C801" s="22"/>
      <c r="D801" s="22"/>
      <c r="E801" s="27"/>
      <c r="F801" s="22"/>
      <c r="G801" s="22"/>
      <c r="H801" s="22"/>
      <c r="I801" s="22"/>
      <c r="J801" s="22"/>
      <c r="K801" s="22"/>
      <c r="L801" s="22"/>
      <c r="M801" s="22"/>
      <c r="N801" s="27"/>
      <c r="O801" s="22"/>
      <c r="P801" s="5" t="str">
        <f>IF(A801="","",IF(COUNTIF(Типы,C801)=0,0,VLOOKUP(C801,СПРАВОЧНИКИ!$A$7:$E$22,2,FALSE)))</f>
        <v/>
      </c>
      <c r="Q801" s="25" t="str">
        <f t="shared" si="12"/>
        <v/>
      </c>
      <c r="R801" s="5" t="str">
        <f>IF(A801="","",IF(COUNTIF(Типы,C801)=0,"НЕИЗВЕСТНЫЙ ТИП",VLOOKUP(C801,СПРАВОЧНИКИ!$A$7:$E$22,3,FALSE)))</f>
        <v/>
      </c>
      <c r="S801" s="26" t="str">
        <f>IF(A801="","",IF(L801="Проведён",E801*IF(COUNTIF(Типы,C801)=0,0,VLOOKUP(C801,СПРАВОЧНИКИ!$A$7:$E$22,4,FALSE)),0))</f>
        <v/>
      </c>
      <c r="T801" s="26" t="str">
        <f>IF(A801="","",IF(L801="Проведён",E801*IF(COUNTIF(Типы,C801)=0,0,VLOOKUP(C801,СПРАВОЧНИКИ!$A$7:$E$22,5,FALSE)),0))</f>
        <v/>
      </c>
      <c r="U801" s="5" t="str">
        <f>IF(A801="","",IF(COUNTIF(Контрагенты,H801)=0,"Не задан",VLOOKUP(H801,СПРАВОЧНИКИ!$G$7:$H$66,2,FALSE)))</f>
        <v/>
      </c>
      <c r="V801" s="4" t="str">
        <f>IF(A801="",IF(COUNTA(B801:O801)&gt;0,"НЕТ ID",""),IF(OR(AND(OR(C801="Оплата клиента",C801="Возврат клиенту"),COUNTIFS(Docs[ID],J801,Docs[Тип долга],"ДЗ")&lt;&gt;1),AND(OR(C801="Оплата поставщику",C801="Возврат поставщика"),COUNTIFS(Docs[ID],J801,Docs[Тип долга],"КЗ",Docs[Вид],"&lt;&gt;Дивиденды")&lt;&gt;1),AND(C801="Дивиденды",COUNTIFS(Docs[ID],J801,Docs[Вид],"Дивиденды")&lt;&gt;1),AND(C801="Проценты",COUNTIFS(Docs[ID],J801,Docs[Вид],"Проценты")&lt;&gt;1),COUNTIF(Cash[ID],A801)&gt;1,NOT(ISNUMBER(B801)),B801&lt;НачалоУчета,YEAR(B801)&lt;&gt;Год,NOT(ISNUMBER(E801)),E801&lt;=0,N801&lt;0,COUNTIF(Типы,C801)&lt;&gt;1,COUNTIF(Категории,D801)&lt;&gt;1,COUNTIF(Счета,F801)&lt;&gt;1,COUNTIF(Проекты,I801)&lt;&gt;1,AND(H801&lt;&gt;"",COUNTIF(Контрагенты,H801)&lt;&gt;1),AND(C801="Перевод",OR(F801=G801,COUNTIF(Счета,G801)&lt;&gt;1)),AND(S801&lt;&gt;0,COUNTIF(Docs[ID],J801)&lt;&gt;1),AND(Форма="ООО",C801="Вывод ИП"),AND(Форма="ИП",C801="Дивиденды"),AND(L801&lt;&gt;"Проведён",L801&lt;&gt;"Черновик")),"ОШИБКА","ОК"))</f>
        <v/>
      </c>
      <c r="W801" s="25" t="str">
        <f>IF(A801="","",SUMIF(Accounts[Счёт],F801,Accounts[Начальный])+SUMIFS($Q$7:Q801,$F$7:F801,F801)+SUMIFS($E$7:E801,$G$7:G801,F801,$C$7:C801,"Перевод",$L$7:L801,"Проведён"))</f>
        <v/>
      </c>
    </row>
    <row r="802" spans="1:23" x14ac:dyDescent="0.25">
      <c r="A802" s="22"/>
      <c r="B802" s="23"/>
      <c r="C802" s="22"/>
      <c r="D802" s="22"/>
      <c r="E802" s="27"/>
      <c r="F802" s="22"/>
      <c r="G802" s="22"/>
      <c r="H802" s="22"/>
      <c r="I802" s="22"/>
      <c r="J802" s="22"/>
      <c r="K802" s="22"/>
      <c r="L802" s="22"/>
      <c r="M802" s="22"/>
      <c r="N802" s="27"/>
      <c r="O802" s="22"/>
      <c r="P802" s="5" t="str">
        <f>IF(A802="","",IF(COUNTIF(Типы,C802)=0,0,VLOOKUP(C802,СПРАВОЧНИКИ!$A$7:$E$22,2,FALSE)))</f>
        <v/>
      </c>
      <c r="Q802" s="25" t="str">
        <f t="shared" si="12"/>
        <v/>
      </c>
      <c r="R802" s="5" t="str">
        <f>IF(A802="","",IF(COUNTIF(Типы,C802)=0,"НЕИЗВЕСТНЫЙ ТИП",VLOOKUP(C802,СПРАВОЧНИКИ!$A$7:$E$22,3,FALSE)))</f>
        <v/>
      </c>
      <c r="S802" s="26" t="str">
        <f>IF(A802="","",IF(L802="Проведён",E802*IF(COUNTIF(Типы,C802)=0,0,VLOOKUP(C802,СПРАВОЧНИКИ!$A$7:$E$22,4,FALSE)),0))</f>
        <v/>
      </c>
      <c r="T802" s="26" t="str">
        <f>IF(A802="","",IF(L802="Проведён",E802*IF(COUNTIF(Типы,C802)=0,0,VLOOKUP(C802,СПРАВОЧНИКИ!$A$7:$E$22,5,FALSE)),0))</f>
        <v/>
      </c>
      <c r="U802" s="5" t="str">
        <f>IF(A802="","",IF(COUNTIF(Контрагенты,H802)=0,"Не задан",VLOOKUP(H802,СПРАВОЧНИКИ!$G$7:$H$66,2,FALSE)))</f>
        <v/>
      </c>
      <c r="V802" s="4" t="str">
        <f>IF(A802="",IF(COUNTA(B802:O802)&gt;0,"НЕТ ID",""),IF(OR(AND(OR(C802="Оплата клиента",C802="Возврат клиенту"),COUNTIFS(Docs[ID],J802,Docs[Тип долга],"ДЗ")&lt;&gt;1),AND(OR(C802="Оплата поставщику",C802="Возврат поставщика"),COUNTIFS(Docs[ID],J802,Docs[Тип долга],"КЗ",Docs[Вид],"&lt;&gt;Дивиденды")&lt;&gt;1),AND(C802="Дивиденды",COUNTIFS(Docs[ID],J802,Docs[Вид],"Дивиденды")&lt;&gt;1),AND(C802="Проценты",COUNTIFS(Docs[ID],J802,Docs[Вид],"Проценты")&lt;&gt;1),COUNTIF(Cash[ID],A802)&gt;1,NOT(ISNUMBER(B802)),B802&lt;НачалоУчета,YEAR(B802)&lt;&gt;Год,NOT(ISNUMBER(E802)),E802&lt;=0,N802&lt;0,COUNTIF(Типы,C802)&lt;&gt;1,COUNTIF(Категории,D802)&lt;&gt;1,COUNTIF(Счета,F802)&lt;&gt;1,COUNTIF(Проекты,I802)&lt;&gt;1,AND(H802&lt;&gt;"",COUNTIF(Контрагенты,H802)&lt;&gt;1),AND(C802="Перевод",OR(F802=G802,COUNTIF(Счета,G802)&lt;&gt;1)),AND(S802&lt;&gt;0,COUNTIF(Docs[ID],J802)&lt;&gt;1),AND(Форма="ООО",C802="Вывод ИП"),AND(Форма="ИП",C802="Дивиденды"),AND(L802&lt;&gt;"Проведён",L802&lt;&gt;"Черновик")),"ОШИБКА","ОК"))</f>
        <v/>
      </c>
      <c r="W802" s="25" t="str">
        <f>IF(A802="","",SUMIF(Accounts[Счёт],F802,Accounts[Начальный])+SUMIFS($Q$7:Q802,$F$7:F802,F802)+SUMIFS($E$7:E802,$G$7:G802,F802,$C$7:C802,"Перевод",$L$7:L802,"Проведён"))</f>
        <v/>
      </c>
    </row>
    <row r="803" spans="1:23" x14ac:dyDescent="0.25">
      <c r="A803" s="22"/>
      <c r="B803" s="23"/>
      <c r="C803" s="22"/>
      <c r="D803" s="22"/>
      <c r="E803" s="27"/>
      <c r="F803" s="22"/>
      <c r="G803" s="22"/>
      <c r="H803" s="22"/>
      <c r="I803" s="22"/>
      <c r="J803" s="22"/>
      <c r="K803" s="22"/>
      <c r="L803" s="22"/>
      <c r="M803" s="22"/>
      <c r="N803" s="27"/>
      <c r="O803" s="22"/>
      <c r="P803" s="5" t="str">
        <f>IF(A803="","",IF(COUNTIF(Типы,C803)=0,0,VLOOKUP(C803,СПРАВОЧНИКИ!$A$7:$E$22,2,FALSE)))</f>
        <v/>
      </c>
      <c r="Q803" s="25" t="str">
        <f t="shared" si="12"/>
        <v/>
      </c>
      <c r="R803" s="5" t="str">
        <f>IF(A803="","",IF(COUNTIF(Типы,C803)=0,"НЕИЗВЕСТНЫЙ ТИП",VLOOKUP(C803,СПРАВОЧНИКИ!$A$7:$E$22,3,FALSE)))</f>
        <v/>
      </c>
      <c r="S803" s="26" t="str">
        <f>IF(A803="","",IF(L803="Проведён",E803*IF(COUNTIF(Типы,C803)=0,0,VLOOKUP(C803,СПРАВОЧНИКИ!$A$7:$E$22,4,FALSE)),0))</f>
        <v/>
      </c>
      <c r="T803" s="26" t="str">
        <f>IF(A803="","",IF(L803="Проведён",E803*IF(COUNTIF(Типы,C803)=0,0,VLOOKUP(C803,СПРАВОЧНИКИ!$A$7:$E$22,5,FALSE)),0))</f>
        <v/>
      </c>
      <c r="U803" s="5" t="str">
        <f>IF(A803="","",IF(COUNTIF(Контрагенты,H803)=0,"Не задан",VLOOKUP(H803,СПРАВОЧНИКИ!$G$7:$H$66,2,FALSE)))</f>
        <v/>
      </c>
      <c r="V803" s="4" t="str">
        <f>IF(A803="",IF(COUNTA(B803:O803)&gt;0,"НЕТ ID",""),IF(OR(AND(OR(C803="Оплата клиента",C803="Возврат клиенту"),COUNTIFS(Docs[ID],J803,Docs[Тип долга],"ДЗ")&lt;&gt;1),AND(OR(C803="Оплата поставщику",C803="Возврат поставщика"),COUNTIFS(Docs[ID],J803,Docs[Тип долга],"КЗ",Docs[Вид],"&lt;&gt;Дивиденды")&lt;&gt;1),AND(C803="Дивиденды",COUNTIFS(Docs[ID],J803,Docs[Вид],"Дивиденды")&lt;&gt;1),AND(C803="Проценты",COUNTIFS(Docs[ID],J803,Docs[Вид],"Проценты")&lt;&gt;1),COUNTIF(Cash[ID],A803)&gt;1,NOT(ISNUMBER(B803)),B803&lt;НачалоУчета,YEAR(B803)&lt;&gt;Год,NOT(ISNUMBER(E803)),E803&lt;=0,N803&lt;0,COUNTIF(Типы,C803)&lt;&gt;1,COUNTIF(Категории,D803)&lt;&gt;1,COUNTIF(Счета,F803)&lt;&gt;1,COUNTIF(Проекты,I803)&lt;&gt;1,AND(H803&lt;&gt;"",COUNTIF(Контрагенты,H803)&lt;&gt;1),AND(C803="Перевод",OR(F803=G803,COUNTIF(Счета,G803)&lt;&gt;1)),AND(S803&lt;&gt;0,COUNTIF(Docs[ID],J803)&lt;&gt;1),AND(Форма="ООО",C803="Вывод ИП"),AND(Форма="ИП",C803="Дивиденды"),AND(L803&lt;&gt;"Проведён",L803&lt;&gt;"Черновик")),"ОШИБКА","ОК"))</f>
        <v/>
      </c>
      <c r="W803" s="25" t="str">
        <f>IF(A803="","",SUMIF(Accounts[Счёт],F803,Accounts[Начальный])+SUMIFS($Q$7:Q803,$F$7:F803,F803)+SUMIFS($E$7:E803,$G$7:G803,F803,$C$7:C803,"Перевод",$L$7:L803,"Проведён"))</f>
        <v/>
      </c>
    </row>
    <row r="804" spans="1:23" x14ac:dyDescent="0.25">
      <c r="A804" s="22"/>
      <c r="B804" s="23"/>
      <c r="C804" s="22"/>
      <c r="D804" s="22"/>
      <c r="E804" s="27"/>
      <c r="F804" s="22"/>
      <c r="G804" s="22"/>
      <c r="H804" s="22"/>
      <c r="I804" s="22"/>
      <c r="J804" s="22"/>
      <c r="K804" s="22"/>
      <c r="L804" s="22"/>
      <c r="M804" s="22"/>
      <c r="N804" s="27"/>
      <c r="O804" s="22"/>
      <c r="P804" s="5" t="str">
        <f>IF(A804="","",IF(COUNTIF(Типы,C804)=0,0,VLOOKUP(C804,СПРАВОЧНИКИ!$A$7:$E$22,2,FALSE)))</f>
        <v/>
      </c>
      <c r="Q804" s="25" t="str">
        <f t="shared" si="12"/>
        <v/>
      </c>
      <c r="R804" s="5" t="str">
        <f>IF(A804="","",IF(COUNTIF(Типы,C804)=0,"НЕИЗВЕСТНЫЙ ТИП",VLOOKUP(C804,СПРАВОЧНИКИ!$A$7:$E$22,3,FALSE)))</f>
        <v/>
      </c>
      <c r="S804" s="26" t="str">
        <f>IF(A804="","",IF(L804="Проведён",E804*IF(COUNTIF(Типы,C804)=0,0,VLOOKUP(C804,СПРАВОЧНИКИ!$A$7:$E$22,4,FALSE)),0))</f>
        <v/>
      </c>
      <c r="T804" s="26" t="str">
        <f>IF(A804="","",IF(L804="Проведён",E804*IF(COUNTIF(Типы,C804)=0,0,VLOOKUP(C804,СПРАВОЧНИКИ!$A$7:$E$22,5,FALSE)),0))</f>
        <v/>
      </c>
      <c r="U804" s="5" t="str">
        <f>IF(A804="","",IF(COUNTIF(Контрагенты,H804)=0,"Не задан",VLOOKUP(H804,СПРАВОЧНИКИ!$G$7:$H$66,2,FALSE)))</f>
        <v/>
      </c>
      <c r="V804" s="4" t="str">
        <f>IF(A804="",IF(COUNTA(B804:O804)&gt;0,"НЕТ ID",""),IF(OR(AND(OR(C804="Оплата клиента",C804="Возврат клиенту"),COUNTIFS(Docs[ID],J804,Docs[Тип долга],"ДЗ")&lt;&gt;1),AND(OR(C804="Оплата поставщику",C804="Возврат поставщика"),COUNTIFS(Docs[ID],J804,Docs[Тип долга],"КЗ",Docs[Вид],"&lt;&gt;Дивиденды")&lt;&gt;1),AND(C804="Дивиденды",COUNTIFS(Docs[ID],J804,Docs[Вид],"Дивиденды")&lt;&gt;1),AND(C804="Проценты",COUNTIFS(Docs[ID],J804,Docs[Вид],"Проценты")&lt;&gt;1),COUNTIF(Cash[ID],A804)&gt;1,NOT(ISNUMBER(B804)),B804&lt;НачалоУчета,YEAR(B804)&lt;&gt;Год,NOT(ISNUMBER(E804)),E804&lt;=0,N804&lt;0,COUNTIF(Типы,C804)&lt;&gt;1,COUNTIF(Категории,D804)&lt;&gt;1,COUNTIF(Счета,F804)&lt;&gt;1,COUNTIF(Проекты,I804)&lt;&gt;1,AND(H804&lt;&gt;"",COUNTIF(Контрагенты,H804)&lt;&gt;1),AND(C804="Перевод",OR(F804=G804,COUNTIF(Счета,G804)&lt;&gt;1)),AND(S804&lt;&gt;0,COUNTIF(Docs[ID],J804)&lt;&gt;1),AND(Форма="ООО",C804="Вывод ИП"),AND(Форма="ИП",C804="Дивиденды"),AND(L804&lt;&gt;"Проведён",L804&lt;&gt;"Черновик")),"ОШИБКА","ОК"))</f>
        <v/>
      </c>
      <c r="W804" s="25" t="str">
        <f>IF(A804="","",SUMIF(Accounts[Счёт],F804,Accounts[Начальный])+SUMIFS($Q$7:Q804,$F$7:F804,F804)+SUMIFS($E$7:E804,$G$7:G804,F804,$C$7:C804,"Перевод",$L$7:L804,"Проведён"))</f>
        <v/>
      </c>
    </row>
    <row r="805" spans="1:23" x14ac:dyDescent="0.25">
      <c r="A805" s="22"/>
      <c r="B805" s="23"/>
      <c r="C805" s="22"/>
      <c r="D805" s="22"/>
      <c r="E805" s="27"/>
      <c r="F805" s="22"/>
      <c r="G805" s="22"/>
      <c r="H805" s="22"/>
      <c r="I805" s="22"/>
      <c r="J805" s="22"/>
      <c r="K805" s="22"/>
      <c r="L805" s="22"/>
      <c r="M805" s="22"/>
      <c r="N805" s="27"/>
      <c r="O805" s="22"/>
      <c r="P805" s="5" t="str">
        <f>IF(A805="","",IF(COUNTIF(Типы,C805)=0,0,VLOOKUP(C805,СПРАВОЧНИКИ!$A$7:$E$22,2,FALSE)))</f>
        <v/>
      </c>
      <c r="Q805" s="25" t="str">
        <f t="shared" si="12"/>
        <v/>
      </c>
      <c r="R805" s="5" t="str">
        <f>IF(A805="","",IF(COUNTIF(Типы,C805)=0,"НЕИЗВЕСТНЫЙ ТИП",VLOOKUP(C805,СПРАВОЧНИКИ!$A$7:$E$22,3,FALSE)))</f>
        <v/>
      </c>
      <c r="S805" s="26" t="str">
        <f>IF(A805="","",IF(L805="Проведён",E805*IF(COUNTIF(Типы,C805)=0,0,VLOOKUP(C805,СПРАВОЧНИКИ!$A$7:$E$22,4,FALSE)),0))</f>
        <v/>
      </c>
      <c r="T805" s="26" t="str">
        <f>IF(A805="","",IF(L805="Проведён",E805*IF(COUNTIF(Типы,C805)=0,0,VLOOKUP(C805,СПРАВОЧНИКИ!$A$7:$E$22,5,FALSE)),0))</f>
        <v/>
      </c>
      <c r="U805" s="5" t="str">
        <f>IF(A805="","",IF(COUNTIF(Контрагенты,H805)=0,"Не задан",VLOOKUP(H805,СПРАВОЧНИКИ!$G$7:$H$66,2,FALSE)))</f>
        <v/>
      </c>
      <c r="V805" s="4" t="str">
        <f>IF(A805="",IF(COUNTA(B805:O805)&gt;0,"НЕТ ID",""),IF(OR(AND(OR(C805="Оплата клиента",C805="Возврат клиенту"),COUNTIFS(Docs[ID],J805,Docs[Тип долга],"ДЗ")&lt;&gt;1),AND(OR(C805="Оплата поставщику",C805="Возврат поставщика"),COUNTIFS(Docs[ID],J805,Docs[Тип долга],"КЗ",Docs[Вид],"&lt;&gt;Дивиденды")&lt;&gt;1),AND(C805="Дивиденды",COUNTIFS(Docs[ID],J805,Docs[Вид],"Дивиденды")&lt;&gt;1),AND(C805="Проценты",COUNTIFS(Docs[ID],J805,Docs[Вид],"Проценты")&lt;&gt;1),COUNTIF(Cash[ID],A805)&gt;1,NOT(ISNUMBER(B805)),B805&lt;НачалоУчета,YEAR(B805)&lt;&gt;Год,NOT(ISNUMBER(E805)),E805&lt;=0,N805&lt;0,COUNTIF(Типы,C805)&lt;&gt;1,COUNTIF(Категории,D805)&lt;&gt;1,COUNTIF(Счета,F805)&lt;&gt;1,COUNTIF(Проекты,I805)&lt;&gt;1,AND(H805&lt;&gt;"",COUNTIF(Контрагенты,H805)&lt;&gt;1),AND(C805="Перевод",OR(F805=G805,COUNTIF(Счета,G805)&lt;&gt;1)),AND(S805&lt;&gt;0,COUNTIF(Docs[ID],J805)&lt;&gt;1),AND(Форма="ООО",C805="Вывод ИП"),AND(Форма="ИП",C805="Дивиденды"),AND(L805&lt;&gt;"Проведён",L805&lt;&gt;"Черновик")),"ОШИБКА","ОК"))</f>
        <v/>
      </c>
      <c r="W805" s="25" t="str">
        <f>IF(A805="","",SUMIF(Accounts[Счёт],F805,Accounts[Начальный])+SUMIFS($Q$7:Q805,$F$7:F805,F805)+SUMIFS($E$7:E805,$G$7:G805,F805,$C$7:C805,"Перевод",$L$7:L805,"Проведён"))</f>
        <v/>
      </c>
    </row>
    <row r="806" spans="1:23" x14ac:dyDescent="0.25">
      <c r="A806" s="22"/>
      <c r="B806" s="23"/>
      <c r="C806" s="22"/>
      <c r="D806" s="22"/>
      <c r="E806" s="27"/>
      <c r="F806" s="22"/>
      <c r="G806" s="22"/>
      <c r="H806" s="22"/>
      <c r="I806" s="22"/>
      <c r="J806" s="22"/>
      <c r="K806" s="22"/>
      <c r="L806" s="22"/>
      <c r="M806" s="22"/>
      <c r="N806" s="27"/>
      <c r="O806" s="22"/>
      <c r="P806" s="5" t="str">
        <f>IF(A806="","",IF(COUNTIF(Типы,C806)=0,0,VLOOKUP(C806,СПРАВОЧНИКИ!$A$7:$E$22,2,FALSE)))</f>
        <v/>
      </c>
      <c r="Q806" s="25" t="str">
        <f t="shared" si="12"/>
        <v/>
      </c>
      <c r="R806" s="5" t="str">
        <f>IF(A806="","",IF(COUNTIF(Типы,C806)=0,"НЕИЗВЕСТНЫЙ ТИП",VLOOKUP(C806,СПРАВОЧНИКИ!$A$7:$E$22,3,FALSE)))</f>
        <v/>
      </c>
      <c r="S806" s="26" t="str">
        <f>IF(A806="","",IF(L806="Проведён",E806*IF(COUNTIF(Типы,C806)=0,0,VLOOKUP(C806,СПРАВОЧНИКИ!$A$7:$E$22,4,FALSE)),0))</f>
        <v/>
      </c>
      <c r="T806" s="26" t="str">
        <f>IF(A806="","",IF(L806="Проведён",E806*IF(COUNTIF(Типы,C806)=0,0,VLOOKUP(C806,СПРАВОЧНИКИ!$A$7:$E$22,5,FALSE)),0))</f>
        <v/>
      </c>
      <c r="U806" s="5" t="str">
        <f>IF(A806="","",IF(COUNTIF(Контрагенты,H806)=0,"Не задан",VLOOKUP(H806,СПРАВОЧНИКИ!$G$7:$H$66,2,FALSE)))</f>
        <v/>
      </c>
      <c r="V806" s="4" t="str">
        <f>IF(A806="",IF(COUNTA(B806:O806)&gt;0,"НЕТ ID",""),IF(OR(AND(OR(C806="Оплата клиента",C806="Возврат клиенту"),COUNTIFS(Docs[ID],J806,Docs[Тип долга],"ДЗ")&lt;&gt;1),AND(OR(C806="Оплата поставщику",C806="Возврат поставщика"),COUNTIFS(Docs[ID],J806,Docs[Тип долга],"КЗ",Docs[Вид],"&lt;&gt;Дивиденды")&lt;&gt;1),AND(C806="Дивиденды",COUNTIFS(Docs[ID],J806,Docs[Вид],"Дивиденды")&lt;&gt;1),AND(C806="Проценты",COUNTIFS(Docs[ID],J806,Docs[Вид],"Проценты")&lt;&gt;1),COUNTIF(Cash[ID],A806)&gt;1,NOT(ISNUMBER(B806)),B806&lt;НачалоУчета,YEAR(B806)&lt;&gt;Год,NOT(ISNUMBER(E806)),E806&lt;=0,N806&lt;0,COUNTIF(Типы,C806)&lt;&gt;1,COUNTIF(Категории,D806)&lt;&gt;1,COUNTIF(Счета,F806)&lt;&gt;1,COUNTIF(Проекты,I806)&lt;&gt;1,AND(H806&lt;&gt;"",COUNTIF(Контрагенты,H806)&lt;&gt;1),AND(C806="Перевод",OR(F806=G806,COUNTIF(Счета,G806)&lt;&gt;1)),AND(S806&lt;&gt;0,COUNTIF(Docs[ID],J806)&lt;&gt;1),AND(Форма="ООО",C806="Вывод ИП"),AND(Форма="ИП",C806="Дивиденды"),AND(L806&lt;&gt;"Проведён",L806&lt;&gt;"Черновик")),"ОШИБКА","ОК"))</f>
        <v/>
      </c>
      <c r="W806" s="25" t="str">
        <f>IF(A806="","",SUMIF(Accounts[Счёт],F806,Accounts[Начальный])+SUMIFS($Q$7:Q806,$F$7:F806,F806)+SUMIFS($E$7:E806,$G$7:G806,F806,$C$7:C806,"Перевод",$L$7:L806,"Проведён"))</f>
        <v/>
      </c>
    </row>
    <row r="807" spans="1:23" x14ac:dyDescent="0.25">
      <c r="A807" s="22"/>
      <c r="B807" s="23"/>
      <c r="C807" s="22"/>
      <c r="D807" s="22"/>
      <c r="E807" s="27"/>
      <c r="F807" s="22"/>
      <c r="G807" s="22"/>
      <c r="H807" s="22"/>
      <c r="I807" s="22"/>
      <c r="J807" s="22"/>
      <c r="K807" s="22"/>
      <c r="L807" s="22"/>
      <c r="M807" s="22"/>
      <c r="N807" s="27"/>
      <c r="O807" s="22"/>
      <c r="P807" s="5" t="str">
        <f>IF(A807="","",IF(COUNTIF(Типы,C807)=0,0,VLOOKUP(C807,СПРАВОЧНИКИ!$A$7:$E$22,2,FALSE)))</f>
        <v/>
      </c>
      <c r="Q807" s="25" t="str">
        <f t="shared" si="12"/>
        <v/>
      </c>
      <c r="R807" s="5" t="str">
        <f>IF(A807="","",IF(COUNTIF(Типы,C807)=0,"НЕИЗВЕСТНЫЙ ТИП",VLOOKUP(C807,СПРАВОЧНИКИ!$A$7:$E$22,3,FALSE)))</f>
        <v/>
      </c>
      <c r="S807" s="26" t="str">
        <f>IF(A807="","",IF(L807="Проведён",E807*IF(COUNTIF(Типы,C807)=0,0,VLOOKUP(C807,СПРАВОЧНИКИ!$A$7:$E$22,4,FALSE)),0))</f>
        <v/>
      </c>
      <c r="T807" s="26" t="str">
        <f>IF(A807="","",IF(L807="Проведён",E807*IF(COUNTIF(Типы,C807)=0,0,VLOOKUP(C807,СПРАВОЧНИКИ!$A$7:$E$22,5,FALSE)),0))</f>
        <v/>
      </c>
      <c r="U807" s="5" t="str">
        <f>IF(A807="","",IF(COUNTIF(Контрагенты,H807)=0,"Не задан",VLOOKUP(H807,СПРАВОЧНИКИ!$G$7:$H$66,2,FALSE)))</f>
        <v/>
      </c>
      <c r="V807" s="4" t="str">
        <f>IF(A807="",IF(COUNTA(B807:O807)&gt;0,"НЕТ ID",""),IF(OR(AND(OR(C807="Оплата клиента",C807="Возврат клиенту"),COUNTIFS(Docs[ID],J807,Docs[Тип долга],"ДЗ")&lt;&gt;1),AND(OR(C807="Оплата поставщику",C807="Возврат поставщика"),COUNTIFS(Docs[ID],J807,Docs[Тип долга],"КЗ",Docs[Вид],"&lt;&gt;Дивиденды")&lt;&gt;1),AND(C807="Дивиденды",COUNTIFS(Docs[ID],J807,Docs[Вид],"Дивиденды")&lt;&gt;1),AND(C807="Проценты",COUNTIFS(Docs[ID],J807,Docs[Вид],"Проценты")&lt;&gt;1),COUNTIF(Cash[ID],A807)&gt;1,NOT(ISNUMBER(B807)),B807&lt;НачалоУчета,YEAR(B807)&lt;&gt;Год,NOT(ISNUMBER(E807)),E807&lt;=0,N807&lt;0,COUNTIF(Типы,C807)&lt;&gt;1,COUNTIF(Категории,D807)&lt;&gt;1,COUNTIF(Счета,F807)&lt;&gt;1,COUNTIF(Проекты,I807)&lt;&gt;1,AND(H807&lt;&gt;"",COUNTIF(Контрагенты,H807)&lt;&gt;1),AND(C807="Перевод",OR(F807=G807,COUNTIF(Счета,G807)&lt;&gt;1)),AND(S807&lt;&gt;0,COUNTIF(Docs[ID],J807)&lt;&gt;1),AND(Форма="ООО",C807="Вывод ИП"),AND(Форма="ИП",C807="Дивиденды"),AND(L807&lt;&gt;"Проведён",L807&lt;&gt;"Черновик")),"ОШИБКА","ОК"))</f>
        <v/>
      </c>
      <c r="W807" s="25" t="str">
        <f>IF(A807="","",SUMIF(Accounts[Счёт],F807,Accounts[Начальный])+SUMIFS($Q$7:Q807,$F$7:F807,F807)+SUMIFS($E$7:E807,$G$7:G807,F807,$C$7:C807,"Перевод",$L$7:L807,"Проведён"))</f>
        <v/>
      </c>
    </row>
    <row r="808" spans="1:23" x14ac:dyDescent="0.25">
      <c r="A808" s="22"/>
      <c r="B808" s="23"/>
      <c r="C808" s="22"/>
      <c r="D808" s="22"/>
      <c r="E808" s="27"/>
      <c r="F808" s="22"/>
      <c r="G808" s="22"/>
      <c r="H808" s="22"/>
      <c r="I808" s="22"/>
      <c r="J808" s="22"/>
      <c r="K808" s="22"/>
      <c r="L808" s="22"/>
      <c r="M808" s="22"/>
      <c r="N808" s="27"/>
      <c r="O808" s="22"/>
      <c r="P808" s="5" t="str">
        <f>IF(A808="","",IF(COUNTIF(Типы,C808)=0,0,VLOOKUP(C808,СПРАВОЧНИКИ!$A$7:$E$22,2,FALSE)))</f>
        <v/>
      </c>
      <c r="Q808" s="25" t="str">
        <f t="shared" si="12"/>
        <v/>
      </c>
      <c r="R808" s="5" t="str">
        <f>IF(A808="","",IF(COUNTIF(Типы,C808)=0,"НЕИЗВЕСТНЫЙ ТИП",VLOOKUP(C808,СПРАВОЧНИКИ!$A$7:$E$22,3,FALSE)))</f>
        <v/>
      </c>
      <c r="S808" s="26" t="str">
        <f>IF(A808="","",IF(L808="Проведён",E808*IF(COUNTIF(Типы,C808)=0,0,VLOOKUP(C808,СПРАВОЧНИКИ!$A$7:$E$22,4,FALSE)),0))</f>
        <v/>
      </c>
      <c r="T808" s="26" t="str">
        <f>IF(A808="","",IF(L808="Проведён",E808*IF(COUNTIF(Типы,C808)=0,0,VLOOKUP(C808,СПРАВОЧНИКИ!$A$7:$E$22,5,FALSE)),0))</f>
        <v/>
      </c>
      <c r="U808" s="5" t="str">
        <f>IF(A808="","",IF(COUNTIF(Контрагенты,H808)=0,"Не задан",VLOOKUP(H808,СПРАВОЧНИКИ!$G$7:$H$66,2,FALSE)))</f>
        <v/>
      </c>
      <c r="V808" s="4" t="str">
        <f>IF(A808="",IF(COUNTA(B808:O808)&gt;0,"НЕТ ID",""),IF(OR(AND(OR(C808="Оплата клиента",C808="Возврат клиенту"),COUNTIFS(Docs[ID],J808,Docs[Тип долга],"ДЗ")&lt;&gt;1),AND(OR(C808="Оплата поставщику",C808="Возврат поставщика"),COUNTIFS(Docs[ID],J808,Docs[Тип долга],"КЗ",Docs[Вид],"&lt;&gt;Дивиденды")&lt;&gt;1),AND(C808="Дивиденды",COUNTIFS(Docs[ID],J808,Docs[Вид],"Дивиденды")&lt;&gt;1),AND(C808="Проценты",COUNTIFS(Docs[ID],J808,Docs[Вид],"Проценты")&lt;&gt;1),COUNTIF(Cash[ID],A808)&gt;1,NOT(ISNUMBER(B808)),B808&lt;НачалоУчета,YEAR(B808)&lt;&gt;Год,NOT(ISNUMBER(E808)),E808&lt;=0,N808&lt;0,COUNTIF(Типы,C808)&lt;&gt;1,COUNTIF(Категории,D808)&lt;&gt;1,COUNTIF(Счета,F808)&lt;&gt;1,COUNTIF(Проекты,I808)&lt;&gt;1,AND(H808&lt;&gt;"",COUNTIF(Контрагенты,H808)&lt;&gt;1),AND(C808="Перевод",OR(F808=G808,COUNTIF(Счета,G808)&lt;&gt;1)),AND(S808&lt;&gt;0,COUNTIF(Docs[ID],J808)&lt;&gt;1),AND(Форма="ООО",C808="Вывод ИП"),AND(Форма="ИП",C808="Дивиденды"),AND(L808&lt;&gt;"Проведён",L808&lt;&gt;"Черновик")),"ОШИБКА","ОК"))</f>
        <v/>
      </c>
      <c r="W808" s="25" t="str">
        <f>IF(A808="","",SUMIF(Accounts[Счёт],F808,Accounts[Начальный])+SUMIFS($Q$7:Q808,$F$7:F808,F808)+SUMIFS($E$7:E808,$G$7:G808,F808,$C$7:C808,"Перевод",$L$7:L808,"Проведён"))</f>
        <v/>
      </c>
    </row>
    <row r="809" spans="1:23" x14ac:dyDescent="0.25">
      <c r="A809" s="22"/>
      <c r="B809" s="23"/>
      <c r="C809" s="22"/>
      <c r="D809" s="22"/>
      <c r="E809" s="27"/>
      <c r="F809" s="22"/>
      <c r="G809" s="22"/>
      <c r="H809" s="22"/>
      <c r="I809" s="22"/>
      <c r="J809" s="22"/>
      <c r="K809" s="22"/>
      <c r="L809" s="22"/>
      <c r="M809" s="22"/>
      <c r="N809" s="27"/>
      <c r="O809" s="22"/>
      <c r="P809" s="5" t="str">
        <f>IF(A809="","",IF(COUNTIF(Типы,C809)=0,0,VLOOKUP(C809,СПРАВОЧНИКИ!$A$7:$E$22,2,FALSE)))</f>
        <v/>
      </c>
      <c r="Q809" s="25" t="str">
        <f t="shared" si="12"/>
        <v/>
      </c>
      <c r="R809" s="5" t="str">
        <f>IF(A809="","",IF(COUNTIF(Типы,C809)=0,"НЕИЗВЕСТНЫЙ ТИП",VLOOKUP(C809,СПРАВОЧНИКИ!$A$7:$E$22,3,FALSE)))</f>
        <v/>
      </c>
      <c r="S809" s="26" t="str">
        <f>IF(A809="","",IF(L809="Проведён",E809*IF(COUNTIF(Типы,C809)=0,0,VLOOKUP(C809,СПРАВОЧНИКИ!$A$7:$E$22,4,FALSE)),0))</f>
        <v/>
      </c>
      <c r="T809" s="26" t="str">
        <f>IF(A809="","",IF(L809="Проведён",E809*IF(COUNTIF(Типы,C809)=0,0,VLOOKUP(C809,СПРАВОЧНИКИ!$A$7:$E$22,5,FALSE)),0))</f>
        <v/>
      </c>
      <c r="U809" s="5" t="str">
        <f>IF(A809="","",IF(COUNTIF(Контрагенты,H809)=0,"Не задан",VLOOKUP(H809,СПРАВОЧНИКИ!$G$7:$H$66,2,FALSE)))</f>
        <v/>
      </c>
      <c r="V809" s="4" t="str">
        <f>IF(A809="",IF(COUNTA(B809:O809)&gt;0,"НЕТ ID",""),IF(OR(AND(OR(C809="Оплата клиента",C809="Возврат клиенту"),COUNTIFS(Docs[ID],J809,Docs[Тип долга],"ДЗ")&lt;&gt;1),AND(OR(C809="Оплата поставщику",C809="Возврат поставщика"),COUNTIFS(Docs[ID],J809,Docs[Тип долга],"КЗ",Docs[Вид],"&lt;&gt;Дивиденды")&lt;&gt;1),AND(C809="Дивиденды",COUNTIFS(Docs[ID],J809,Docs[Вид],"Дивиденды")&lt;&gt;1),AND(C809="Проценты",COUNTIFS(Docs[ID],J809,Docs[Вид],"Проценты")&lt;&gt;1),COUNTIF(Cash[ID],A809)&gt;1,NOT(ISNUMBER(B809)),B809&lt;НачалоУчета,YEAR(B809)&lt;&gt;Год,NOT(ISNUMBER(E809)),E809&lt;=0,N809&lt;0,COUNTIF(Типы,C809)&lt;&gt;1,COUNTIF(Категории,D809)&lt;&gt;1,COUNTIF(Счета,F809)&lt;&gt;1,COUNTIF(Проекты,I809)&lt;&gt;1,AND(H809&lt;&gt;"",COUNTIF(Контрагенты,H809)&lt;&gt;1),AND(C809="Перевод",OR(F809=G809,COUNTIF(Счета,G809)&lt;&gt;1)),AND(S809&lt;&gt;0,COUNTIF(Docs[ID],J809)&lt;&gt;1),AND(Форма="ООО",C809="Вывод ИП"),AND(Форма="ИП",C809="Дивиденды"),AND(L809&lt;&gt;"Проведён",L809&lt;&gt;"Черновик")),"ОШИБКА","ОК"))</f>
        <v/>
      </c>
      <c r="W809" s="25" t="str">
        <f>IF(A809="","",SUMIF(Accounts[Счёт],F809,Accounts[Начальный])+SUMIFS($Q$7:Q809,$F$7:F809,F809)+SUMIFS($E$7:E809,$G$7:G809,F809,$C$7:C809,"Перевод",$L$7:L809,"Проведён"))</f>
        <v/>
      </c>
    </row>
    <row r="810" spans="1:23" x14ac:dyDescent="0.25">
      <c r="A810" s="22"/>
      <c r="B810" s="23"/>
      <c r="C810" s="22"/>
      <c r="D810" s="22"/>
      <c r="E810" s="27"/>
      <c r="F810" s="22"/>
      <c r="G810" s="22"/>
      <c r="H810" s="22"/>
      <c r="I810" s="22"/>
      <c r="J810" s="22"/>
      <c r="K810" s="22"/>
      <c r="L810" s="22"/>
      <c r="M810" s="22"/>
      <c r="N810" s="27"/>
      <c r="O810" s="22"/>
      <c r="P810" s="5" t="str">
        <f>IF(A810="","",IF(COUNTIF(Типы,C810)=0,0,VLOOKUP(C810,СПРАВОЧНИКИ!$A$7:$E$22,2,FALSE)))</f>
        <v/>
      </c>
      <c r="Q810" s="25" t="str">
        <f t="shared" si="12"/>
        <v/>
      </c>
      <c r="R810" s="5" t="str">
        <f>IF(A810="","",IF(COUNTIF(Типы,C810)=0,"НЕИЗВЕСТНЫЙ ТИП",VLOOKUP(C810,СПРАВОЧНИКИ!$A$7:$E$22,3,FALSE)))</f>
        <v/>
      </c>
      <c r="S810" s="26" t="str">
        <f>IF(A810="","",IF(L810="Проведён",E810*IF(COUNTIF(Типы,C810)=0,0,VLOOKUP(C810,СПРАВОЧНИКИ!$A$7:$E$22,4,FALSE)),0))</f>
        <v/>
      </c>
      <c r="T810" s="26" t="str">
        <f>IF(A810="","",IF(L810="Проведён",E810*IF(COUNTIF(Типы,C810)=0,0,VLOOKUP(C810,СПРАВОЧНИКИ!$A$7:$E$22,5,FALSE)),0))</f>
        <v/>
      </c>
      <c r="U810" s="5" t="str">
        <f>IF(A810="","",IF(COUNTIF(Контрагенты,H810)=0,"Не задан",VLOOKUP(H810,СПРАВОЧНИКИ!$G$7:$H$66,2,FALSE)))</f>
        <v/>
      </c>
      <c r="V810" s="4" t="str">
        <f>IF(A810="",IF(COUNTA(B810:O810)&gt;0,"НЕТ ID",""),IF(OR(AND(OR(C810="Оплата клиента",C810="Возврат клиенту"),COUNTIFS(Docs[ID],J810,Docs[Тип долга],"ДЗ")&lt;&gt;1),AND(OR(C810="Оплата поставщику",C810="Возврат поставщика"),COUNTIFS(Docs[ID],J810,Docs[Тип долга],"КЗ",Docs[Вид],"&lt;&gt;Дивиденды")&lt;&gt;1),AND(C810="Дивиденды",COUNTIFS(Docs[ID],J810,Docs[Вид],"Дивиденды")&lt;&gt;1),AND(C810="Проценты",COUNTIFS(Docs[ID],J810,Docs[Вид],"Проценты")&lt;&gt;1),COUNTIF(Cash[ID],A810)&gt;1,NOT(ISNUMBER(B810)),B810&lt;НачалоУчета,YEAR(B810)&lt;&gt;Год,NOT(ISNUMBER(E810)),E810&lt;=0,N810&lt;0,COUNTIF(Типы,C810)&lt;&gt;1,COUNTIF(Категории,D810)&lt;&gt;1,COUNTIF(Счета,F810)&lt;&gt;1,COUNTIF(Проекты,I810)&lt;&gt;1,AND(H810&lt;&gt;"",COUNTIF(Контрагенты,H810)&lt;&gt;1),AND(C810="Перевод",OR(F810=G810,COUNTIF(Счета,G810)&lt;&gt;1)),AND(S810&lt;&gt;0,COUNTIF(Docs[ID],J810)&lt;&gt;1),AND(Форма="ООО",C810="Вывод ИП"),AND(Форма="ИП",C810="Дивиденды"),AND(L810&lt;&gt;"Проведён",L810&lt;&gt;"Черновик")),"ОШИБКА","ОК"))</f>
        <v/>
      </c>
      <c r="W810" s="25" t="str">
        <f>IF(A810="","",SUMIF(Accounts[Счёт],F810,Accounts[Начальный])+SUMIFS($Q$7:Q810,$F$7:F810,F810)+SUMIFS($E$7:E810,$G$7:G810,F810,$C$7:C810,"Перевод",$L$7:L810,"Проведён"))</f>
        <v/>
      </c>
    </row>
    <row r="811" spans="1:23" x14ac:dyDescent="0.25">
      <c r="A811" s="22"/>
      <c r="B811" s="23"/>
      <c r="C811" s="22"/>
      <c r="D811" s="22"/>
      <c r="E811" s="27"/>
      <c r="F811" s="22"/>
      <c r="G811" s="22"/>
      <c r="H811" s="22"/>
      <c r="I811" s="22"/>
      <c r="J811" s="22"/>
      <c r="K811" s="22"/>
      <c r="L811" s="22"/>
      <c r="M811" s="22"/>
      <c r="N811" s="27"/>
      <c r="O811" s="22"/>
      <c r="P811" s="5" t="str">
        <f>IF(A811="","",IF(COUNTIF(Типы,C811)=0,0,VLOOKUP(C811,СПРАВОЧНИКИ!$A$7:$E$22,2,FALSE)))</f>
        <v/>
      </c>
      <c r="Q811" s="25" t="str">
        <f t="shared" si="12"/>
        <v/>
      </c>
      <c r="R811" s="5" t="str">
        <f>IF(A811="","",IF(COUNTIF(Типы,C811)=0,"НЕИЗВЕСТНЫЙ ТИП",VLOOKUP(C811,СПРАВОЧНИКИ!$A$7:$E$22,3,FALSE)))</f>
        <v/>
      </c>
      <c r="S811" s="26" t="str">
        <f>IF(A811="","",IF(L811="Проведён",E811*IF(COUNTIF(Типы,C811)=0,0,VLOOKUP(C811,СПРАВОЧНИКИ!$A$7:$E$22,4,FALSE)),0))</f>
        <v/>
      </c>
      <c r="T811" s="26" t="str">
        <f>IF(A811="","",IF(L811="Проведён",E811*IF(COUNTIF(Типы,C811)=0,0,VLOOKUP(C811,СПРАВОЧНИКИ!$A$7:$E$22,5,FALSE)),0))</f>
        <v/>
      </c>
      <c r="U811" s="5" t="str">
        <f>IF(A811="","",IF(COUNTIF(Контрагенты,H811)=0,"Не задан",VLOOKUP(H811,СПРАВОЧНИКИ!$G$7:$H$66,2,FALSE)))</f>
        <v/>
      </c>
      <c r="V811" s="4" t="str">
        <f>IF(A811="",IF(COUNTA(B811:O811)&gt;0,"НЕТ ID",""),IF(OR(AND(OR(C811="Оплата клиента",C811="Возврат клиенту"),COUNTIFS(Docs[ID],J811,Docs[Тип долга],"ДЗ")&lt;&gt;1),AND(OR(C811="Оплата поставщику",C811="Возврат поставщика"),COUNTIFS(Docs[ID],J811,Docs[Тип долга],"КЗ",Docs[Вид],"&lt;&gt;Дивиденды")&lt;&gt;1),AND(C811="Дивиденды",COUNTIFS(Docs[ID],J811,Docs[Вид],"Дивиденды")&lt;&gt;1),AND(C811="Проценты",COUNTIFS(Docs[ID],J811,Docs[Вид],"Проценты")&lt;&gt;1),COUNTIF(Cash[ID],A811)&gt;1,NOT(ISNUMBER(B811)),B811&lt;НачалоУчета,YEAR(B811)&lt;&gt;Год,NOT(ISNUMBER(E811)),E811&lt;=0,N811&lt;0,COUNTIF(Типы,C811)&lt;&gt;1,COUNTIF(Категории,D811)&lt;&gt;1,COUNTIF(Счета,F811)&lt;&gt;1,COUNTIF(Проекты,I811)&lt;&gt;1,AND(H811&lt;&gt;"",COUNTIF(Контрагенты,H811)&lt;&gt;1),AND(C811="Перевод",OR(F811=G811,COUNTIF(Счета,G811)&lt;&gt;1)),AND(S811&lt;&gt;0,COUNTIF(Docs[ID],J811)&lt;&gt;1),AND(Форма="ООО",C811="Вывод ИП"),AND(Форма="ИП",C811="Дивиденды"),AND(L811&lt;&gt;"Проведён",L811&lt;&gt;"Черновик")),"ОШИБКА","ОК"))</f>
        <v/>
      </c>
      <c r="W811" s="25" t="str">
        <f>IF(A811="","",SUMIF(Accounts[Счёт],F811,Accounts[Начальный])+SUMIFS($Q$7:Q811,$F$7:F811,F811)+SUMIFS($E$7:E811,$G$7:G811,F811,$C$7:C811,"Перевод",$L$7:L811,"Проведён"))</f>
        <v/>
      </c>
    </row>
    <row r="812" spans="1:23" x14ac:dyDescent="0.25">
      <c r="A812" s="22"/>
      <c r="B812" s="23"/>
      <c r="C812" s="22"/>
      <c r="D812" s="22"/>
      <c r="E812" s="27"/>
      <c r="F812" s="22"/>
      <c r="G812" s="22"/>
      <c r="H812" s="22"/>
      <c r="I812" s="22"/>
      <c r="J812" s="22"/>
      <c r="K812" s="22"/>
      <c r="L812" s="22"/>
      <c r="M812" s="22"/>
      <c r="N812" s="27"/>
      <c r="O812" s="22"/>
      <c r="P812" s="5" t="str">
        <f>IF(A812="","",IF(COUNTIF(Типы,C812)=0,0,VLOOKUP(C812,СПРАВОЧНИКИ!$A$7:$E$22,2,FALSE)))</f>
        <v/>
      </c>
      <c r="Q812" s="25" t="str">
        <f t="shared" si="12"/>
        <v/>
      </c>
      <c r="R812" s="5" t="str">
        <f>IF(A812="","",IF(COUNTIF(Типы,C812)=0,"НЕИЗВЕСТНЫЙ ТИП",VLOOKUP(C812,СПРАВОЧНИКИ!$A$7:$E$22,3,FALSE)))</f>
        <v/>
      </c>
      <c r="S812" s="26" t="str">
        <f>IF(A812="","",IF(L812="Проведён",E812*IF(COUNTIF(Типы,C812)=0,0,VLOOKUP(C812,СПРАВОЧНИКИ!$A$7:$E$22,4,FALSE)),0))</f>
        <v/>
      </c>
      <c r="T812" s="26" t="str">
        <f>IF(A812="","",IF(L812="Проведён",E812*IF(COUNTIF(Типы,C812)=0,0,VLOOKUP(C812,СПРАВОЧНИКИ!$A$7:$E$22,5,FALSE)),0))</f>
        <v/>
      </c>
      <c r="U812" s="5" t="str">
        <f>IF(A812="","",IF(COUNTIF(Контрагенты,H812)=0,"Не задан",VLOOKUP(H812,СПРАВОЧНИКИ!$G$7:$H$66,2,FALSE)))</f>
        <v/>
      </c>
      <c r="V812" s="4" t="str">
        <f>IF(A812="",IF(COUNTA(B812:O812)&gt;0,"НЕТ ID",""),IF(OR(AND(OR(C812="Оплата клиента",C812="Возврат клиенту"),COUNTIFS(Docs[ID],J812,Docs[Тип долга],"ДЗ")&lt;&gt;1),AND(OR(C812="Оплата поставщику",C812="Возврат поставщика"),COUNTIFS(Docs[ID],J812,Docs[Тип долга],"КЗ",Docs[Вид],"&lt;&gt;Дивиденды")&lt;&gt;1),AND(C812="Дивиденды",COUNTIFS(Docs[ID],J812,Docs[Вид],"Дивиденды")&lt;&gt;1),AND(C812="Проценты",COUNTIFS(Docs[ID],J812,Docs[Вид],"Проценты")&lt;&gt;1),COUNTIF(Cash[ID],A812)&gt;1,NOT(ISNUMBER(B812)),B812&lt;НачалоУчета,YEAR(B812)&lt;&gt;Год,NOT(ISNUMBER(E812)),E812&lt;=0,N812&lt;0,COUNTIF(Типы,C812)&lt;&gt;1,COUNTIF(Категории,D812)&lt;&gt;1,COUNTIF(Счета,F812)&lt;&gt;1,COUNTIF(Проекты,I812)&lt;&gt;1,AND(H812&lt;&gt;"",COUNTIF(Контрагенты,H812)&lt;&gt;1),AND(C812="Перевод",OR(F812=G812,COUNTIF(Счета,G812)&lt;&gt;1)),AND(S812&lt;&gt;0,COUNTIF(Docs[ID],J812)&lt;&gt;1),AND(Форма="ООО",C812="Вывод ИП"),AND(Форма="ИП",C812="Дивиденды"),AND(L812&lt;&gt;"Проведён",L812&lt;&gt;"Черновик")),"ОШИБКА","ОК"))</f>
        <v/>
      </c>
      <c r="W812" s="25" t="str">
        <f>IF(A812="","",SUMIF(Accounts[Счёт],F812,Accounts[Начальный])+SUMIFS($Q$7:Q812,$F$7:F812,F812)+SUMIFS($E$7:E812,$G$7:G812,F812,$C$7:C812,"Перевод",$L$7:L812,"Проведён"))</f>
        <v/>
      </c>
    </row>
    <row r="813" spans="1:23" x14ac:dyDescent="0.25">
      <c r="A813" s="22"/>
      <c r="B813" s="23"/>
      <c r="C813" s="22"/>
      <c r="D813" s="22"/>
      <c r="E813" s="27"/>
      <c r="F813" s="22"/>
      <c r="G813" s="22"/>
      <c r="H813" s="22"/>
      <c r="I813" s="22"/>
      <c r="J813" s="22"/>
      <c r="K813" s="22"/>
      <c r="L813" s="22"/>
      <c r="M813" s="22"/>
      <c r="N813" s="27"/>
      <c r="O813" s="22"/>
      <c r="P813" s="5" t="str">
        <f>IF(A813="","",IF(COUNTIF(Типы,C813)=0,0,VLOOKUP(C813,СПРАВОЧНИКИ!$A$7:$E$22,2,FALSE)))</f>
        <v/>
      </c>
      <c r="Q813" s="25" t="str">
        <f t="shared" si="12"/>
        <v/>
      </c>
      <c r="R813" s="5" t="str">
        <f>IF(A813="","",IF(COUNTIF(Типы,C813)=0,"НЕИЗВЕСТНЫЙ ТИП",VLOOKUP(C813,СПРАВОЧНИКИ!$A$7:$E$22,3,FALSE)))</f>
        <v/>
      </c>
      <c r="S813" s="26" t="str">
        <f>IF(A813="","",IF(L813="Проведён",E813*IF(COUNTIF(Типы,C813)=0,0,VLOOKUP(C813,СПРАВОЧНИКИ!$A$7:$E$22,4,FALSE)),0))</f>
        <v/>
      </c>
      <c r="T813" s="26" t="str">
        <f>IF(A813="","",IF(L813="Проведён",E813*IF(COUNTIF(Типы,C813)=0,0,VLOOKUP(C813,СПРАВОЧНИКИ!$A$7:$E$22,5,FALSE)),0))</f>
        <v/>
      </c>
      <c r="U813" s="5" t="str">
        <f>IF(A813="","",IF(COUNTIF(Контрагенты,H813)=0,"Не задан",VLOOKUP(H813,СПРАВОЧНИКИ!$G$7:$H$66,2,FALSE)))</f>
        <v/>
      </c>
      <c r="V813" s="4" t="str">
        <f>IF(A813="",IF(COUNTA(B813:O813)&gt;0,"НЕТ ID",""),IF(OR(AND(OR(C813="Оплата клиента",C813="Возврат клиенту"),COUNTIFS(Docs[ID],J813,Docs[Тип долга],"ДЗ")&lt;&gt;1),AND(OR(C813="Оплата поставщику",C813="Возврат поставщика"),COUNTIFS(Docs[ID],J813,Docs[Тип долга],"КЗ",Docs[Вид],"&lt;&gt;Дивиденды")&lt;&gt;1),AND(C813="Дивиденды",COUNTIFS(Docs[ID],J813,Docs[Вид],"Дивиденды")&lt;&gt;1),AND(C813="Проценты",COUNTIFS(Docs[ID],J813,Docs[Вид],"Проценты")&lt;&gt;1),COUNTIF(Cash[ID],A813)&gt;1,NOT(ISNUMBER(B813)),B813&lt;НачалоУчета,YEAR(B813)&lt;&gt;Год,NOT(ISNUMBER(E813)),E813&lt;=0,N813&lt;0,COUNTIF(Типы,C813)&lt;&gt;1,COUNTIF(Категории,D813)&lt;&gt;1,COUNTIF(Счета,F813)&lt;&gt;1,COUNTIF(Проекты,I813)&lt;&gt;1,AND(H813&lt;&gt;"",COUNTIF(Контрагенты,H813)&lt;&gt;1),AND(C813="Перевод",OR(F813=G813,COUNTIF(Счета,G813)&lt;&gt;1)),AND(S813&lt;&gt;0,COUNTIF(Docs[ID],J813)&lt;&gt;1),AND(Форма="ООО",C813="Вывод ИП"),AND(Форма="ИП",C813="Дивиденды"),AND(L813&lt;&gt;"Проведён",L813&lt;&gt;"Черновик")),"ОШИБКА","ОК"))</f>
        <v/>
      </c>
      <c r="W813" s="25" t="str">
        <f>IF(A813="","",SUMIF(Accounts[Счёт],F813,Accounts[Начальный])+SUMIFS($Q$7:Q813,$F$7:F813,F813)+SUMIFS($E$7:E813,$G$7:G813,F813,$C$7:C813,"Перевод",$L$7:L813,"Проведён"))</f>
        <v/>
      </c>
    </row>
    <row r="814" spans="1:23" x14ac:dyDescent="0.25">
      <c r="A814" s="22"/>
      <c r="B814" s="23"/>
      <c r="C814" s="22"/>
      <c r="D814" s="22"/>
      <c r="E814" s="27"/>
      <c r="F814" s="22"/>
      <c r="G814" s="22"/>
      <c r="H814" s="22"/>
      <c r="I814" s="22"/>
      <c r="J814" s="22"/>
      <c r="K814" s="22"/>
      <c r="L814" s="22"/>
      <c r="M814" s="22"/>
      <c r="N814" s="27"/>
      <c r="O814" s="22"/>
      <c r="P814" s="5" t="str">
        <f>IF(A814="","",IF(COUNTIF(Типы,C814)=0,0,VLOOKUP(C814,СПРАВОЧНИКИ!$A$7:$E$22,2,FALSE)))</f>
        <v/>
      </c>
      <c r="Q814" s="25" t="str">
        <f t="shared" si="12"/>
        <v/>
      </c>
      <c r="R814" s="5" t="str">
        <f>IF(A814="","",IF(COUNTIF(Типы,C814)=0,"НЕИЗВЕСТНЫЙ ТИП",VLOOKUP(C814,СПРАВОЧНИКИ!$A$7:$E$22,3,FALSE)))</f>
        <v/>
      </c>
      <c r="S814" s="26" t="str">
        <f>IF(A814="","",IF(L814="Проведён",E814*IF(COUNTIF(Типы,C814)=0,0,VLOOKUP(C814,СПРАВОЧНИКИ!$A$7:$E$22,4,FALSE)),0))</f>
        <v/>
      </c>
      <c r="T814" s="26" t="str">
        <f>IF(A814="","",IF(L814="Проведён",E814*IF(COUNTIF(Типы,C814)=0,0,VLOOKUP(C814,СПРАВОЧНИКИ!$A$7:$E$22,5,FALSE)),0))</f>
        <v/>
      </c>
      <c r="U814" s="5" t="str">
        <f>IF(A814="","",IF(COUNTIF(Контрагенты,H814)=0,"Не задан",VLOOKUP(H814,СПРАВОЧНИКИ!$G$7:$H$66,2,FALSE)))</f>
        <v/>
      </c>
      <c r="V814" s="4" t="str">
        <f>IF(A814="",IF(COUNTA(B814:O814)&gt;0,"НЕТ ID",""),IF(OR(AND(OR(C814="Оплата клиента",C814="Возврат клиенту"),COUNTIFS(Docs[ID],J814,Docs[Тип долга],"ДЗ")&lt;&gt;1),AND(OR(C814="Оплата поставщику",C814="Возврат поставщика"),COUNTIFS(Docs[ID],J814,Docs[Тип долга],"КЗ",Docs[Вид],"&lt;&gt;Дивиденды")&lt;&gt;1),AND(C814="Дивиденды",COUNTIFS(Docs[ID],J814,Docs[Вид],"Дивиденды")&lt;&gt;1),AND(C814="Проценты",COUNTIFS(Docs[ID],J814,Docs[Вид],"Проценты")&lt;&gt;1),COUNTIF(Cash[ID],A814)&gt;1,NOT(ISNUMBER(B814)),B814&lt;НачалоУчета,YEAR(B814)&lt;&gt;Год,NOT(ISNUMBER(E814)),E814&lt;=0,N814&lt;0,COUNTIF(Типы,C814)&lt;&gt;1,COUNTIF(Категории,D814)&lt;&gt;1,COUNTIF(Счета,F814)&lt;&gt;1,COUNTIF(Проекты,I814)&lt;&gt;1,AND(H814&lt;&gt;"",COUNTIF(Контрагенты,H814)&lt;&gt;1),AND(C814="Перевод",OR(F814=G814,COUNTIF(Счета,G814)&lt;&gt;1)),AND(S814&lt;&gt;0,COUNTIF(Docs[ID],J814)&lt;&gt;1),AND(Форма="ООО",C814="Вывод ИП"),AND(Форма="ИП",C814="Дивиденды"),AND(L814&lt;&gt;"Проведён",L814&lt;&gt;"Черновик")),"ОШИБКА","ОК"))</f>
        <v/>
      </c>
      <c r="W814" s="25" t="str">
        <f>IF(A814="","",SUMIF(Accounts[Счёт],F814,Accounts[Начальный])+SUMIFS($Q$7:Q814,$F$7:F814,F814)+SUMIFS($E$7:E814,$G$7:G814,F814,$C$7:C814,"Перевод",$L$7:L814,"Проведён"))</f>
        <v/>
      </c>
    </row>
    <row r="815" spans="1:23" x14ac:dyDescent="0.25">
      <c r="A815" s="22"/>
      <c r="B815" s="23"/>
      <c r="C815" s="22"/>
      <c r="D815" s="22"/>
      <c r="E815" s="27"/>
      <c r="F815" s="22"/>
      <c r="G815" s="22"/>
      <c r="H815" s="22"/>
      <c r="I815" s="22"/>
      <c r="J815" s="22"/>
      <c r="K815" s="22"/>
      <c r="L815" s="22"/>
      <c r="M815" s="22"/>
      <c r="N815" s="27"/>
      <c r="O815" s="22"/>
      <c r="P815" s="5" t="str">
        <f>IF(A815="","",IF(COUNTIF(Типы,C815)=0,0,VLOOKUP(C815,СПРАВОЧНИКИ!$A$7:$E$22,2,FALSE)))</f>
        <v/>
      </c>
      <c r="Q815" s="25" t="str">
        <f t="shared" si="12"/>
        <v/>
      </c>
      <c r="R815" s="5" t="str">
        <f>IF(A815="","",IF(COUNTIF(Типы,C815)=0,"НЕИЗВЕСТНЫЙ ТИП",VLOOKUP(C815,СПРАВОЧНИКИ!$A$7:$E$22,3,FALSE)))</f>
        <v/>
      </c>
      <c r="S815" s="26" t="str">
        <f>IF(A815="","",IF(L815="Проведён",E815*IF(COUNTIF(Типы,C815)=0,0,VLOOKUP(C815,СПРАВОЧНИКИ!$A$7:$E$22,4,FALSE)),0))</f>
        <v/>
      </c>
      <c r="T815" s="26" t="str">
        <f>IF(A815="","",IF(L815="Проведён",E815*IF(COUNTIF(Типы,C815)=0,0,VLOOKUP(C815,СПРАВОЧНИКИ!$A$7:$E$22,5,FALSE)),0))</f>
        <v/>
      </c>
      <c r="U815" s="5" t="str">
        <f>IF(A815="","",IF(COUNTIF(Контрагенты,H815)=0,"Не задан",VLOOKUP(H815,СПРАВОЧНИКИ!$G$7:$H$66,2,FALSE)))</f>
        <v/>
      </c>
      <c r="V815" s="4" t="str">
        <f>IF(A815="",IF(COUNTA(B815:O815)&gt;0,"НЕТ ID",""),IF(OR(AND(OR(C815="Оплата клиента",C815="Возврат клиенту"),COUNTIFS(Docs[ID],J815,Docs[Тип долга],"ДЗ")&lt;&gt;1),AND(OR(C815="Оплата поставщику",C815="Возврат поставщика"),COUNTIFS(Docs[ID],J815,Docs[Тип долга],"КЗ",Docs[Вид],"&lt;&gt;Дивиденды")&lt;&gt;1),AND(C815="Дивиденды",COUNTIFS(Docs[ID],J815,Docs[Вид],"Дивиденды")&lt;&gt;1),AND(C815="Проценты",COUNTIFS(Docs[ID],J815,Docs[Вид],"Проценты")&lt;&gt;1),COUNTIF(Cash[ID],A815)&gt;1,NOT(ISNUMBER(B815)),B815&lt;НачалоУчета,YEAR(B815)&lt;&gt;Год,NOT(ISNUMBER(E815)),E815&lt;=0,N815&lt;0,COUNTIF(Типы,C815)&lt;&gt;1,COUNTIF(Категории,D815)&lt;&gt;1,COUNTIF(Счета,F815)&lt;&gt;1,COUNTIF(Проекты,I815)&lt;&gt;1,AND(H815&lt;&gt;"",COUNTIF(Контрагенты,H815)&lt;&gt;1),AND(C815="Перевод",OR(F815=G815,COUNTIF(Счета,G815)&lt;&gt;1)),AND(S815&lt;&gt;0,COUNTIF(Docs[ID],J815)&lt;&gt;1),AND(Форма="ООО",C815="Вывод ИП"),AND(Форма="ИП",C815="Дивиденды"),AND(L815&lt;&gt;"Проведён",L815&lt;&gt;"Черновик")),"ОШИБКА","ОК"))</f>
        <v/>
      </c>
      <c r="W815" s="25" t="str">
        <f>IF(A815="","",SUMIF(Accounts[Счёт],F815,Accounts[Начальный])+SUMIFS($Q$7:Q815,$F$7:F815,F815)+SUMIFS($E$7:E815,$G$7:G815,F815,$C$7:C815,"Перевод",$L$7:L815,"Проведён"))</f>
        <v/>
      </c>
    </row>
    <row r="816" spans="1:23" x14ac:dyDescent="0.25">
      <c r="A816" s="22"/>
      <c r="B816" s="23"/>
      <c r="C816" s="22"/>
      <c r="D816" s="22"/>
      <c r="E816" s="27"/>
      <c r="F816" s="22"/>
      <c r="G816" s="22"/>
      <c r="H816" s="22"/>
      <c r="I816" s="22"/>
      <c r="J816" s="22"/>
      <c r="K816" s="22"/>
      <c r="L816" s="22"/>
      <c r="M816" s="22"/>
      <c r="N816" s="27"/>
      <c r="O816" s="22"/>
      <c r="P816" s="5" t="str">
        <f>IF(A816="","",IF(COUNTIF(Типы,C816)=0,0,VLOOKUP(C816,СПРАВОЧНИКИ!$A$7:$E$22,2,FALSE)))</f>
        <v/>
      </c>
      <c r="Q816" s="25" t="str">
        <f t="shared" si="12"/>
        <v/>
      </c>
      <c r="R816" s="5" t="str">
        <f>IF(A816="","",IF(COUNTIF(Типы,C816)=0,"НЕИЗВЕСТНЫЙ ТИП",VLOOKUP(C816,СПРАВОЧНИКИ!$A$7:$E$22,3,FALSE)))</f>
        <v/>
      </c>
      <c r="S816" s="26" t="str">
        <f>IF(A816="","",IF(L816="Проведён",E816*IF(COUNTIF(Типы,C816)=0,0,VLOOKUP(C816,СПРАВОЧНИКИ!$A$7:$E$22,4,FALSE)),0))</f>
        <v/>
      </c>
      <c r="T816" s="26" t="str">
        <f>IF(A816="","",IF(L816="Проведён",E816*IF(COUNTIF(Типы,C816)=0,0,VLOOKUP(C816,СПРАВОЧНИКИ!$A$7:$E$22,5,FALSE)),0))</f>
        <v/>
      </c>
      <c r="U816" s="5" t="str">
        <f>IF(A816="","",IF(COUNTIF(Контрагенты,H816)=0,"Не задан",VLOOKUP(H816,СПРАВОЧНИКИ!$G$7:$H$66,2,FALSE)))</f>
        <v/>
      </c>
      <c r="V816" s="4" t="str">
        <f>IF(A816="",IF(COUNTA(B816:O816)&gt;0,"НЕТ ID",""),IF(OR(AND(OR(C816="Оплата клиента",C816="Возврат клиенту"),COUNTIFS(Docs[ID],J816,Docs[Тип долга],"ДЗ")&lt;&gt;1),AND(OR(C816="Оплата поставщику",C816="Возврат поставщика"),COUNTIFS(Docs[ID],J816,Docs[Тип долга],"КЗ",Docs[Вид],"&lt;&gt;Дивиденды")&lt;&gt;1),AND(C816="Дивиденды",COUNTIFS(Docs[ID],J816,Docs[Вид],"Дивиденды")&lt;&gt;1),AND(C816="Проценты",COUNTIFS(Docs[ID],J816,Docs[Вид],"Проценты")&lt;&gt;1),COUNTIF(Cash[ID],A816)&gt;1,NOT(ISNUMBER(B816)),B816&lt;НачалоУчета,YEAR(B816)&lt;&gt;Год,NOT(ISNUMBER(E816)),E816&lt;=0,N816&lt;0,COUNTIF(Типы,C816)&lt;&gt;1,COUNTIF(Категории,D816)&lt;&gt;1,COUNTIF(Счета,F816)&lt;&gt;1,COUNTIF(Проекты,I816)&lt;&gt;1,AND(H816&lt;&gt;"",COUNTIF(Контрагенты,H816)&lt;&gt;1),AND(C816="Перевод",OR(F816=G816,COUNTIF(Счета,G816)&lt;&gt;1)),AND(S816&lt;&gt;0,COUNTIF(Docs[ID],J816)&lt;&gt;1),AND(Форма="ООО",C816="Вывод ИП"),AND(Форма="ИП",C816="Дивиденды"),AND(L816&lt;&gt;"Проведён",L816&lt;&gt;"Черновик")),"ОШИБКА","ОК"))</f>
        <v/>
      </c>
      <c r="W816" s="25" t="str">
        <f>IF(A816="","",SUMIF(Accounts[Счёт],F816,Accounts[Начальный])+SUMIFS($Q$7:Q816,$F$7:F816,F816)+SUMIFS($E$7:E816,$G$7:G816,F816,$C$7:C816,"Перевод",$L$7:L816,"Проведён"))</f>
        <v/>
      </c>
    </row>
    <row r="817" spans="1:23" x14ac:dyDescent="0.25">
      <c r="A817" s="22"/>
      <c r="B817" s="23"/>
      <c r="C817" s="22"/>
      <c r="D817" s="22"/>
      <c r="E817" s="27"/>
      <c r="F817" s="22"/>
      <c r="G817" s="22"/>
      <c r="H817" s="22"/>
      <c r="I817" s="22"/>
      <c r="J817" s="22"/>
      <c r="K817" s="22"/>
      <c r="L817" s="22"/>
      <c r="M817" s="22"/>
      <c r="N817" s="27"/>
      <c r="O817" s="22"/>
      <c r="P817" s="5" t="str">
        <f>IF(A817="","",IF(COUNTIF(Типы,C817)=0,0,VLOOKUP(C817,СПРАВОЧНИКИ!$A$7:$E$22,2,FALSE)))</f>
        <v/>
      </c>
      <c r="Q817" s="25" t="str">
        <f t="shared" si="12"/>
        <v/>
      </c>
      <c r="R817" s="5" t="str">
        <f>IF(A817="","",IF(COUNTIF(Типы,C817)=0,"НЕИЗВЕСТНЫЙ ТИП",VLOOKUP(C817,СПРАВОЧНИКИ!$A$7:$E$22,3,FALSE)))</f>
        <v/>
      </c>
      <c r="S817" s="26" t="str">
        <f>IF(A817="","",IF(L817="Проведён",E817*IF(COUNTIF(Типы,C817)=0,0,VLOOKUP(C817,СПРАВОЧНИКИ!$A$7:$E$22,4,FALSE)),0))</f>
        <v/>
      </c>
      <c r="T817" s="26" t="str">
        <f>IF(A817="","",IF(L817="Проведён",E817*IF(COUNTIF(Типы,C817)=0,0,VLOOKUP(C817,СПРАВОЧНИКИ!$A$7:$E$22,5,FALSE)),0))</f>
        <v/>
      </c>
      <c r="U817" s="5" t="str">
        <f>IF(A817="","",IF(COUNTIF(Контрагенты,H817)=0,"Не задан",VLOOKUP(H817,СПРАВОЧНИКИ!$G$7:$H$66,2,FALSE)))</f>
        <v/>
      </c>
      <c r="V817" s="4" t="str">
        <f>IF(A817="",IF(COUNTA(B817:O817)&gt;0,"НЕТ ID",""),IF(OR(AND(OR(C817="Оплата клиента",C817="Возврат клиенту"),COUNTIFS(Docs[ID],J817,Docs[Тип долга],"ДЗ")&lt;&gt;1),AND(OR(C817="Оплата поставщику",C817="Возврат поставщика"),COUNTIFS(Docs[ID],J817,Docs[Тип долга],"КЗ",Docs[Вид],"&lt;&gt;Дивиденды")&lt;&gt;1),AND(C817="Дивиденды",COUNTIFS(Docs[ID],J817,Docs[Вид],"Дивиденды")&lt;&gt;1),AND(C817="Проценты",COUNTIFS(Docs[ID],J817,Docs[Вид],"Проценты")&lt;&gt;1),COUNTIF(Cash[ID],A817)&gt;1,NOT(ISNUMBER(B817)),B817&lt;НачалоУчета,YEAR(B817)&lt;&gt;Год,NOT(ISNUMBER(E817)),E817&lt;=0,N817&lt;0,COUNTIF(Типы,C817)&lt;&gt;1,COUNTIF(Категории,D817)&lt;&gt;1,COUNTIF(Счета,F817)&lt;&gt;1,COUNTIF(Проекты,I817)&lt;&gt;1,AND(H817&lt;&gt;"",COUNTIF(Контрагенты,H817)&lt;&gt;1),AND(C817="Перевод",OR(F817=G817,COUNTIF(Счета,G817)&lt;&gt;1)),AND(S817&lt;&gt;0,COUNTIF(Docs[ID],J817)&lt;&gt;1),AND(Форма="ООО",C817="Вывод ИП"),AND(Форма="ИП",C817="Дивиденды"),AND(L817&lt;&gt;"Проведён",L817&lt;&gt;"Черновик")),"ОШИБКА","ОК"))</f>
        <v/>
      </c>
      <c r="W817" s="25" t="str">
        <f>IF(A817="","",SUMIF(Accounts[Счёт],F817,Accounts[Начальный])+SUMIFS($Q$7:Q817,$F$7:F817,F817)+SUMIFS($E$7:E817,$G$7:G817,F817,$C$7:C817,"Перевод",$L$7:L817,"Проведён"))</f>
        <v/>
      </c>
    </row>
    <row r="818" spans="1:23" x14ac:dyDescent="0.25">
      <c r="A818" s="22"/>
      <c r="B818" s="23"/>
      <c r="C818" s="22"/>
      <c r="D818" s="22"/>
      <c r="E818" s="27"/>
      <c r="F818" s="22"/>
      <c r="G818" s="22"/>
      <c r="H818" s="22"/>
      <c r="I818" s="22"/>
      <c r="J818" s="22"/>
      <c r="K818" s="22"/>
      <c r="L818" s="22"/>
      <c r="M818" s="22"/>
      <c r="N818" s="27"/>
      <c r="O818" s="22"/>
      <c r="P818" s="5" t="str">
        <f>IF(A818="","",IF(COUNTIF(Типы,C818)=0,0,VLOOKUP(C818,СПРАВОЧНИКИ!$A$7:$E$22,2,FALSE)))</f>
        <v/>
      </c>
      <c r="Q818" s="25" t="str">
        <f t="shared" si="12"/>
        <v/>
      </c>
      <c r="R818" s="5" t="str">
        <f>IF(A818="","",IF(COUNTIF(Типы,C818)=0,"НЕИЗВЕСТНЫЙ ТИП",VLOOKUP(C818,СПРАВОЧНИКИ!$A$7:$E$22,3,FALSE)))</f>
        <v/>
      </c>
      <c r="S818" s="26" t="str">
        <f>IF(A818="","",IF(L818="Проведён",E818*IF(COUNTIF(Типы,C818)=0,0,VLOOKUP(C818,СПРАВОЧНИКИ!$A$7:$E$22,4,FALSE)),0))</f>
        <v/>
      </c>
      <c r="T818" s="26" t="str">
        <f>IF(A818="","",IF(L818="Проведён",E818*IF(COUNTIF(Типы,C818)=0,0,VLOOKUP(C818,СПРАВОЧНИКИ!$A$7:$E$22,5,FALSE)),0))</f>
        <v/>
      </c>
      <c r="U818" s="5" t="str">
        <f>IF(A818="","",IF(COUNTIF(Контрагенты,H818)=0,"Не задан",VLOOKUP(H818,СПРАВОЧНИКИ!$G$7:$H$66,2,FALSE)))</f>
        <v/>
      </c>
      <c r="V818" s="4" t="str">
        <f>IF(A818="",IF(COUNTA(B818:O818)&gt;0,"НЕТ ID",""),IF(OR(AND(OR(C818="Оплата клиента",C818="Возврат клиенту"),COUNTIFS(Docs[ID],J818,Docs[Тип долга],"ДЗ")&lt;&gt;1),AND(OR(C818="Оплата поставщику",C818="Возврат поставщика"),COUNTIFS(Docs[ID],J818,Docs[Тип долга],"КЗ",Docs[Вид],"&lt;&gt;Дивиденды")&lt;&gt;1),AND(C818="Дивиденды",COUNTIFS(Docs[ID],J818,Docs[Вид],"Дивиденды")&lt;&gt;1),AND(C818="Проценты",COUNTIFS(Docs[ID],J818,Docs[Вид],"Проценты")&lt;&gt;1),COUNTIF(Cash[ID],A818)&gt;1,NOT(ISNUMBER(B818)),B818&lt;НачалоУчета,YEAR(B818)&lt;&gt;Год,NOT(ISNUMBER(E818)),E818&lt;=0,N818&lt;0,COUNTIF(Типы,C818)&lt;&gt;1,COUNTIF(Категории,D818)&lt;&gt;1,COUNTIF(Счета,F818)&lt;&gt;1,COUNTIF(Проекты,I818)&lt;&gt;1,AND(H818&lt;&gt;"",COUNTIF(Контрагенты,H818)&lt;&gt;1),AND(C818="Перевод",OR(F818=G818,COUNTIF(Счета,G818)&lt;&gt;1)),AND(S818&lt;&gt;0,COUNTIF(Docs[ID],J818)&lt;&gt;1),AND(Форма="ООО",C818="Вывод ИП"),AND(Форма="ИП",C818="Дивиденды"),AND(L818&lt;&gt;"Проведён",L818&lt;&gt;"Черновик")),"ОШИБКА","ОК"))</f>
        <v/>
      </c>
      <c r="W818" s="25" t="str">
        <f>IF(A818="","",SUMIF(Accounts[Счёт],F818,Accounts[Начальный])+SUMIFS($Q$7:Q818,$F$7:F818,F818)+SUMIFS($E$7:E818,$G$7:G818,F818,$C$7:C818,"Перевод",$L$7:L818,"Проведён"))</f>
        <v/>
      </c>
    </row>
    <row r="819" spans="1:23" x14ac:dyDescent="0.25">
      <c r="A819" s="22"/>
      <c r="B819" s="23"/>
      <c r="C819" s="22"/>
      <c r="D819" s="22"/>
      <c r="E819" s="27"/>
      <c r="F819" s="22"/>
      <c r="G819" s="22"/>
      <c r="H819" s="22"/>
      <c r="I819" s="22"/>
      <c r="J819" s="22"/>
      <c r="K819" s="22"/>
      <c r="L819" s="22"/>
      <c r="M819" s="22"/>
      <c r="N819" s="27"/>
      <c r="O819" s="22"/>
      <c r="P819" s="5" t="str">
        <f>IF(A819="","",IF(COUNTIF(Типы,C819)=0,0,VLOOKUP(C819,СПРАВОЧНИКИ!$A$7:$E$22,2,FALSE)))</f>
        <v/>
      </c>
      <c r="Q819" s="25" t="str">
        <f t="shared" si="12"/>
        <v/>
      </c>
      <c r="R819" s="5" t="str">
        <f>IF(A819="","",IF(COUNTIF(Типы,C819)=0,"НЕИЗВЕСТНЫЙ ТИП",VLOOKUP(C819,СПРАВОЧНИКИ!$A$7:$E$22,3,FALSE)))</f>
        <v/>
      </c>
      <c r="S819" s="26" t="str">
        <f>IF(A819="","",IF(L819="Проведён",E819*IF(COUNTIF(Типы,C819)=0,0,VLOOKUP(C819,СПРАВОЧНИКИ!$A$7:$E$22,4,FALSE)),0))</f>
        <v/>
      </c>
      <c r="T819" s="26" t="str">
        <f>IF(A819="","",IF(L819="Проведён",E819*IF(COUNTIF(Типы,C819)=0,0,VLOOKUP(C819,СПРАВОЧНИКИ!$A$7:$E$22,5,FALSE)),0))</f>
        <v/>
      </c>
      <c r="U819" s="5" t="str">
        <f>IF(A819="","",IF(COUNTIF(Контрагенты,H819)=0,"Не задан",VLOOKUP(H819,СПРАВОЧНИКИ!$G$7:$H$66,2,FALSE)))</f>
        <v/>
      </c>
      <c r="V819" s="4" t="str">
        <f>IF(A819="",IF(COUNTA(B819:O819)&gt;0,"НЕТ ID",""),IF(OR(AND(OR(C819="Оплата клиента",C819="Возврат клиенту"),COUNTIFS(Docs[ID],J819,Docs[Тип долга],"ДЗ")&lt;&gt;1),AND(OR(C819="Оплата поставщику",C819="Возврат поставщика"),COUNTIFS(Docs[ID],J819,Docs[Тип долга],"КЗ",Docs[Вид],"&lt;&gt;Дивиденды")&lt;&gt;1),AND(C819="Дивиденды",COUNTIFS(Docs[ID],J819,Docs[Вид],"Дивиденды")&lt;&gt;1),AND(C819="Проценты",COUNTIFS(Docs[ID],J819,Docs[Вид],"Проценты")&lt;&gt;1),COUNTIF(Cash[ID],A819)&gt;1,NOT(ISNUMBER(B819)),B819&lt;НачалоУчета,YEAR(B819)&lt;&gt;Год,NOT(ISNUMBER(E819)),E819&lt;=0,N819&lt;0,COUNTIF(Типы,C819)&lt;&gt;1,COUNTIF(Категории,D819)&lt;&gt;1,COUNTIF(Счета,F819)&lt;&gt;1,COUNTIF(Проекты,I819)&lt;&gt;1,AND(H819&lt;&gt;"",COUNTIF(Контрагенты,H819)&lt;&gt;1),AND(C819="Перевод",OR(F819=G819,COUNTIF(Счета,G819)&lt;&gt;1)),AND(S819&lt;&gt;0,COUNTIF(Docs[ID],J819)&lt;&gt;1),AND(Форма="ООО",C819="Вывод ИП"),AND(Форма="ИП",C819="Дивиденды"),AND(L819&lt;&gt;"Проведён",L819&lt;&gt;"Черновик")),"ОШИБКА","ОК"))</f>
        <v/>
      </c>
      <c r="W819" s="25" t="str">
        <f>IF(A819="","",SUMIF(Accounts[Счёт],F819,Accounts[Начальный])+SUMIFS($Q$7:Q819,$F$7:F819,F819)+SUMIFS($E$7:E819,$G$7:G819,F819,$C$7:C819,"Перевод",$L$7:L819,"Проведён"))</f>
        <v/>
      </c>
    </row>
    <row r="820" spans="1:23" x14ac:dyDescent="0.25">
      <c r="A820" s="22"/>
      <c r="B820" s="23"/>
      <c r="C820" s="22"/>
      <c r="D820" s="22"/>
      <c r="E820" s="27"/>
      <c r="F820" s="22"/>
      <c r="G820" s="22"/>
      <c r="H820" s="22"/>
      <c r="I820" s="22"/>
      <c r="J820" s="22"/>
      <c r="K820" s="22"/>
      <c r="L820" s="22"/>
      <c r="M820" s="22"/>
      <c r="N820" s="27"/>
      <c r="O820" s="22"/>
      <c r="P820" s="5" t="str">
        <f>IF(A820="","",IF(COUNTIF(Типы,C820)=0,0,VLOOKUP(C820,СПРАВОЧНИКИ!$A$7:$E$22,2,FALSE)))</f>
        <v/>
      </c>
      <c r="Q820" s="25" t="str">
        <f t="shared" si="12"/>
        <v/>
      </c>
      <c r="R820" s="5" t="str">
        <f>IF(A820="","",IF(COUNTIF(Типы,C820)=0,"НЕИЗВЕСТНЫЙ ТИП",VLOOKUP(C820,СПРАВОЧНИКИ!$A$7:$E$22,3,FALSE)))</f>
        <v/>
      </c>
      <c r="S820" s="26" t="str">
        <f>IF(A820="","",IF(L820="Проведён",E820*IF(COUNTIF(Типы,C820)=0,0,VLOOKUP(C820,СПРАВОЧНИКИ!$A$7:$E$22,4,FALSE)),0))</f>
        <v/>
      </c>
      <c r="T820" s="26" t="str">
        <f>IF(A820="","",IF(L820="Проведён",E820*IF(COUNTIF(Типы,C820)=0,0,VLOOKUP(C820,СПРАВОЧНИКИ!$A$7:$E$22,5,FALSE)),0))</f>
        <v/>
      </c>
      <c r="U820" s="5" t="str">
        <f>IF(A820="","",IF(COUNTIF(Контрагенты,H820)=0,"Не задан",VLOOKUP(H820,СПРАВОЧНИКИ!$G$7:$H$66,2,FALSE)))</f>
        <v/>
      </c>
      <c r="V820" s="4" t="str">
        <f>IF(A820="",IF(COUNTA(B820:O820)&gt;0,"НЕТ ID",""),IF(OR(AND(OR(C820="Оплата клиента",C820="Возврат клиенту"),COUNTIFS(Docs[ID],J820,Docs[Тип долга],"ДЗ")&lt;&gt;1),AND(OR(C820="Оплата поставщику",C820="Возврат поставщика"),COUNTIFS(Docs[ID],J820,Docs[Тип долга],"КЗ",Docs[Вид],"&lt;&gt;Дивиденды")&lt;&gt;1),AND(C820="Дивиденды",COUNTIFS(Docs[ID],J820,Docs[Вид],"Дивиденды")&lt;&gt;1),AND(C820="Проценты",COUNTIFS(Docs[ID],J820,Docs[Вид],"Проценты")&lt;&gt;1),COUNTIF(Cash[ID],A820)&gt;1,NOT(ISNUMBER(B820)),B820&lt;НачалоУчета,YEAR(B820)&lt;&gt;Год,NOT(ISNUMBER(E820)),E820&lt;=0,N820&lt;0,COUNTIF(Типы,C820)&lt;&gt;1,COUNTIF(Категории,D820)&lt;&gt;1,COUNTIF(Счета,F820)&lt;&gt;1,COUNTIF(Проекты,I820)&lt;&gt;1,AND(H820&lt;&gt;"",COUNTIF(Контрагенты,H820)&lt;&gt;1),AND(C820="Перевод",OR(F820=G820,COUNTIF(Счета,G820)&lt;&gt;1)),AND(S820&lt;&gt;0,COUNTIF(Docs[ID],J820)&lt;&gt;1),AND(Форма="ООО",C820="Вывод ИП"),AND(Форма="ИП",C820="Дивиденды"),AND(L820&lt;&gt;"Проведён",L820&lt;&gt;"Черновик")),"ОШИБКА","ОК"))</f>
        <v/>
      </c>
      <c r="W820" s="25" t="str">
        <f>IF(A820="","",SUMIF(Accounts[Счёт],F820,Accounts[Начальный])+SUMIFS($Q$7:Q820,$F$7:F820,F820)+SUMIFS($E$7:E820,$G$7:G820,F820,$C$7:C820,"Перевод",$L$7:L820,"Проведён"))</f>
        <v/>
      </c>
    </row>
    <row r="821" spans="1:23" x14ac:dyDescent="0.25">
      <c r="A821" s="22"/>
      <c r="B821" s="23"/>
      <c r="C821" s="22"/>
      <c r="D821" s="22"/>
      <c r="E821" s="27"/>
      <c r="F821" s="22"/>
      <c r="G821" s="22"/>
      <c r="H821" s="22"/>
      <c r="I821" s="22"/>
      <c r="J821" s="22"/>
      <c r="K821" s="22"/>
      <c r="L821" s="22"/>
      <c r="M821" s="22"/>
      <c r="N821" s="27"/>
      <c r="O821" s="22"/>
      <c r="P821" s="5" t="str">
        <f>IF(A821="","",IF(COUNTIF(Типы,C821)=0,0,VLOOKUP(C821,СПРАВОЧНИКИ!$A$7:$E$22,2,FALSE)))</f>
        <v/>
      </c>
      <c r="Q821" s="25" t="str">
        <f t="shared" si="12"/>
        <v/>
      </c>
      <c r="R821" s="5" t="str">
        <f>IF(A821="","",IF(COUNTIF(Типы,C821)=0,"НЕИЗВЕСТНЫЙ ТИП",VLOOKUP(C821,СПРАВОЧНИКИ!$A$7:$E$22,3,FALSE)))</f>
        <v/>
      </c>
      <c r="S821" s="26" t="str">
        <f>IF(A821="","",IF(L821="Проведён",E821*IF(COUNTIF(Типы,C821)=0,0,VLOOKUP(C821,СПРАВОЧНИКИ!$A$7:$E$22,4,FALSE)),0))</f>
        <v/>
      </c>
      <c r="T821" s="26" t="str">
        <f>IF(A821="","",IF(L821="Проведён",E821*IF(COUNTIF(Типы,C821)=0,0,VLOOKUP(C821,СПРАВОЧНИКИ!$A$7:$E$22,5,FALSE)),0))</f>
        <v/>
      </c>
      <c r="U821" s="5" t="str">
        <f>IF(A821="","",IF(COUNTIF(Контрагенты,H821)=0,"Не задан",VLOOKUP(H821,СПРАВОЧНИКИ!$G$7:$H$66,2,FALSE)))</f>
        <v/>
      </c>
      <c r="V821" s="4" t="str">
        <f>IF(A821="",IF(COUNTA(B821:O821)&gt;0,"НЕТ ID",""),IF(OR(AND(OR(C821="Оплата клиента",C821="Возврат клиенту"),COUNTIFS(Docs[ID],J821,Docs[Тип долга],"ДЗ")&lt;&gt;1),AND(OR(C821="Оплата поставщику",C821="Возврат поставщика"),COUNTIFS(Docs[ID],J821,Docs[Тип долга],"КЗ",Docs[Вид],"&lt;&gt;Дивиденды")&lt;&gt;1),AND(C821="Дивиденды",COUNTIFS(Docs[ID],J821,Docs[Вид],"Дивиденды")&lt;&gt;1),AND(C821="Проценты",COUNTIFS(Docs[ID],J821,Docs[Вид],"Проценты")&lt;&gt;1),COUNTIF(Cash[ID],A821)&gt;1,NOT(ISNUMBER(B821)),B821&lt;НачалоУчета,YEAR(B821)&lt;&gt;Год,NOT(ISNUMBER(E821)),E821&lt;=0,N821&lt;0,COUNTIF(Типы,C821)&lt;&gt;1,COUNTIF(Категории,D821)&lt;&gt;1,COUNTIF(Счета,F821)&lt;&gt;1,COUNTIF(Проекты,I821)&lt;&gt;1,AND(H821&lt;&gt;"",COUNTIF(Контрагенты,H821)&lt;&gt;1),AND(C821="Перевод",OR(F821=G821,COUNTIF(Счета,G821)&lt;&gt;1)),AND(S821&lt;&gt;0,COUNTIF(Docs[ID],J821)&lt;&gt;1),AND(Форма="ООО",C821="Вывод ИП"),AND(Форма="ИП",C821="Дивиденды"),AND(L821&lt;&gt;"Проведён",L821&lt;&gt;"Черновик")),"ОШИБКА","ОК"))</f>
        <v/>
      </c>
      <c r="W821" s="25" t="str">
        <f>IF(A821="","",SUMIF(Accounts[Счёт],F821,Accounts[Начальный])+SUMIFS($Q$7:Q821,$F$7:F821,F821)+SUMIFS($E$7:E821,$G$7:G821,F821,$C$7:C821,"Перевод",$L$7:L821,"Проведён"))</f>
        <v/>
      </c>
    </row>
    <row r="822" spans="1:23" x14ac:dyDescent="0.25">
      <c r="A822" s="22"/>
      <c r="B822" s="23"/>
      <c r="C822" s="22"/>
      <c r="D822" s="22"/>
      <c r="E822" s="27"/>
      <c r="F822" s="22"/>
      <c r="G822" s="22"/>
      <c r="H822" s="22"/>
      <c r="I822" s="22"/>
      <c r="J822" s="22"/>
      <c r="K822" s="22"/>
      <c r="L822" s="22"/>
      <c r="M822" s="22"/>
      <c r="N822" s="27"/>
      <c r="O822" s="22"/>
      <c r="P822" s="5" t="str">
        <f>IF(A822="","",IF(COUNTIF(Типы,C822)=0,0,VLOOKUP(C822,СПРАВОЧНИКИ!$A$7:$E$22,2,FALSE)))</f>
        <v/>
      </c>
      <c r="Q822" s="25" t="str">
        <f t="shared" si="12"/>
        <v/>
      </c>
      <c r="R822" s="5" t="str">
        <f>IF(A822="","",IF(COUNTIF(Типы,C822)=0,"НЕИЗВЕСТНЫЙ ТИП",VLOOKUP(C822,СПРАВОЧНИКИ!$A$7:$E$22,3,FALSE)))</f>
        <v/>
      </c>
      <c r="S822" s="26" t="str">
        <f>IF(A822="","",IF(L822="Проведён",E822*IF(COUNTIF(Типы,C822)=0,0,VLOOKUP(C822,СПРАВОЧНИКИ!$A$7:$E$22,4,FALSE)),0))</f>
        <v/>
      </c>
      <c r="T822" s="26" t="str">
        <f>IF(A822="","",IF(L822="Проведён",E822*IF(COUNTIF(Типы,C822)=0,0,VLOOKUP(C822,СПРАВОЧНИКИ!$A$7:$E$22,5,FALSE)),0))</f>
        <v/>
      </c>
      <c r="U822" s="5" t="str">
        <f>IF(A822="","",IF(COUNTIF(Контрагенты,H822)=0,"Не задан",VLOOKUP(H822,СПРАВОЧНИКИ!$G$7:$H$66,2,FALSE)))</f>
        <v/>
      </c>
      <c r="V822" s="4" t="str">
        <f>IF(A822="",IF(COUNTA(B822:O822)&gt;0,"НЕТ ID",""),IF(OR(AND(OR(C822="Оплата клиента",C822="Возврат клиенту"),COUNTIFS(Docs[ID],J822,Docs[Тип долга],"ДЗ")&lt;&gt;1),AND(OR(C822="Оплата поставщику",C822="Возврат поставщика"),COUNTIFS(Docs[ID],J822,Docs[Тип долга],"КЗ",Docs[Вид],"&lt;&gt;Дивиденды")&lt;&gt;1),AND(C822="Дивиденды",COUNTIFS(Docs[ID],J822,Docs[Вид],"Дивиденды")&lt;&gt;1),AND(C822="Проценты",COUNTIFS(Docs[ID],J822,Docs[Вид],"Проценты")&lt;&gt;1),COUNTIF(Cash[ID],A822)&gt;1,NOT(ISNUMBER(B822)),B822&lt;НачалоУчета,YEAR(B822)&lt;&gt;Год,NOT(ISNUMBER(E822)),E822&lt;=0,N822&lt;0,COUNTIF(Типы,C822)&lt;&gt;1,COUNTIF(Категории,D822)&lt;&gt;1,COUNTIF(Счета,F822)&lt;&gt;1,COUNTIF(Проекты,I822)&lt;&gt;1,AND(H822&lt;&gt;"",COUNTIF(Контрагенты,H822)&lt;&gt;1),AND(C822="Перевод",OR(F822=G822,COUNTIF(Счета,G822)&lt;&gt;1)),AND(S822&lt;&gt;0,COUNTIF(Docs[ID],J822)&lt;&gt;1),AND(Форма="ООО",C822="Вывод ИП"),AND(Форма="ИП",C822="Дивиденды"),AND(L822&lt;&gt;"Проведён",L822&lt;&gt;"Черновик")),"ОШИБКА","ОК"))</f>
        <v/>
      </c>
      <c r="W822" s="25" t="str">
        <f>IF(A822="","",SUMIF(Accounts[Счёт],F822,Accounts[Начальный])+SUMIFS($Q$7:Q822,$F$7:F822,F822)+SUMIFS($E$7:E822,$G$7:G822,F822,$C$7:C822,"Перевод",$L$7:L822,"Проведён"))</f>
        <v/>
      </c>
    </row>
    <row r="823" spans="1:23" x14ac:dyDescent="0.25">
      <c r="A823" s="22"/>
      <c r="B823" s="23"/>
      <c r="C823" s="22"/>
      <c r="D823" s="22"/>
      <c r="E823" s="27"/>
      <c r="F823" s="22"/>
      <c r="G823" s="22"/>
      <c r="H823" s="22"/>
      <c r="I823" s="22"/>
      <c r="J823" s="22"/>
      <c r="K823" s="22"/>
      <c r="L823" s="22"/>
      <c r="M823" s="22"/>
      <c r="N823" s="27"/>
      <c r="O823" s="22"/>
      <c r="P823" s="5" t="str">
        <f>IF(A823="","",IF(COUNTIF(Типы,C823)=0,0,VLOOKUP(C823,СПРАВОЧНИКИ!$A$7:$E$22,2,FALSE)))</f>
        <v/>
      </c>
      <c r="Q823" s="25" t="str">
        <f t="shared" si="12"/>
        <v/>
      </c>
      <c r="R823" s="5" t="str">
        <f>IF(A823="","",IF(COUNTIF(Типы,C823)=0,"НЕИЗВЕСТНЫЙ ТИП",VLOOKUP(C823,СПРАВОЧНИКИ!$A$7:$E$22,3,FALSE)))</f>
        <v/>
      </c>
      <c r="S823" s="26" t="str">
        <f>IF(A823="","",IF(L823="Проведён",E823*IF(COUNTIF(Типы,C823)=0,0,VLOOKUP(C823,СПРАВОЧНИКИ!$A$7:$E$22,4,FALSE)),0))</f>
        <v/>
      </c>
      <c r="T823" s="26" t="str">
        <f>IF(A823="","",IF(L823="Проведён",E823*IF(COUNTIF(Типы,C823)=0,0,VLOOKUP(C823,СПРАВОЧНИКИ!$A$7:$E$22,5,FALSE)),0))</f>
        <v/>
      </c>
      <c r="U823" s="5" t="str">
        <f>IF(A823="","",IF(COUNTIF(Контрагенты,H823)=0,"Не задан",VLOOKUP(H823,СПРАВОЧНИКИ!$G$7:$H$66,2,FALSE)))</f>
        <v/>
      </c>
      <c r="V823" s="4" t="str">
        <f>IF(A823="",IF(COUNTA(B823:O823)&gt;0,"НЕТ ID",""),IF(OR(AND(OR(C823="Оплата клиента",C823="Возврат клиенту"),COUNTIFS(Docs[ID],J823,Docs[Тип долга],"ДЗ")&lt;&gt;1),AND(OR(C823="Оплата поставщику",C823="Возврат поставщика"),COUNTIFS(Docs[ID],J823,Docs[Тип долга],"КЗ",Docs[Вид],"&lt;&gt;Дивиденды")&lt;&gt;1),AND(C823="Дивиденды",COUNTIFS(Docs[ID],J823,Docs[Вид],"Дивиденды")&lt;&gt;1),AND(C823="Проценты",COUNTIFS(Docs[ID],J823,Docs[Вид],"Проценты")&lt;&gt;1),COUNTIF(Cash[ID],A823)&gt;1,NOT(ISNUMBER(B823)),B823&lt;НачалоУчета,YEAR(B823)&lt;&gt;Год,NOT(ISNUMBER(E823)),E823&lt;=0,N823&lt;0,COUNTIF(Типы,C823)&lt;&gt;1,COUNTIF(Категории,D823)&lt;&gt;1,COUNTIF(Счета,F823)&lt;&gt;1,COUNTIF(Проекты,I823)&lt;&gt;1,AND(H823&lt;&gt;"",COUNTIF(Контрагенты,H823)&lt;&gt;1),AND(C823="Перевод",OR(F823=G823,COUNTIF(Счета,G823)&lt;&gt;1)),AND(S823&lt;&gt;0,COUNTIF(Docs[ID],J823)&lt;&gt;1),AND(Форма="ООО",C823="Вывод ИП"),AND(Форма="ИП",C823="Дивиденды"),AND(L823&lt;&gt;"Проведён",L823&lt;&gt;"Черновик")),"ОШИБКА","ОК"))</f>
        <v/>
      </c>
      <c r="W823" s="25" t="str">
        <f>IF(A823="","",SUMIF(Accounts[Счёт],F823,Accounts[Начальный])+SUMIFS($Q$7:Q823,$F$7:F823,F823)+SUMIFS($E$7:E823,$G$7:G823,F823,$C$7:C823,"Перевод",$L$7:L823,"Проведён"))</f>
        <v/>
      </c>
    </row>
    <row r="824" spans="1:23" x14ac:dyDescent="0.25">
      <c r="A824" s="22"/>
      <c r="B824" s="23"/>
      <c r="C824" s="22"/>
      <c r="D824" s="22"/>
      <c r="E824" s="27"/>
      <c r="F824" s="22"/>
      <c r="G824" s="22"/>
      <c r="H824" s="22"/>
      <c r="I824" s="22"/>
      <c r="J824" s="22"/>
      <c r="K824" s="22"/>
      <c r="L824" s="22"/>
      <c r="M824" s="22"/>
      <c r="N824" s="27"/>
      <c r="O824" s="22"/>
      <c r="P824" s="5" t="str">
        <f>IF(A824="","",IF(COUNTIF(Типы,C824)=0,0,VLOOKUP(C824,СПРАВОЧНИКИ!$A$7:$E$22,2,FALSE)))</f>
        <v/>
      </c>
      <c r="Q824" s="25" t="str">
        <f t="shared" si="12"/>
        <v/>
      </c>
      <c r="R824" s="5" t="str">
        <f>IF(A824="","",IF(COUNTIF(Типы,C824)=0,"НЕИЗВЕСТНЫЙ ТИП",VLOOKUP(C824,СПРАВОЧНИКИ!$A$7:$E$22,3,FALSE)))</f>
        <v/>
      </c>
      <c r="S824" s="26" t="str">
        <f>IF(A824="","",IF(L824="Проведён",E824*IF(COUNTIF(Типы,C824)=0,0,VLOOKUP(C824,СПРАВОЧНИКИ!$A$7:$E$22,4,FALSE)),0))</f>
        <v/>
      </c>
      <c r="T824" s="26" t="str">
        <f>IF(A824="","",IF(L824="Проведён",E824*IF(COUNTIF(Типы,C824)=0,0,VLOOKUP(C824,СПРАВОЧНИКИ!$A$7:$E$22,5,FALSE)),0))</f>
        <v/>
      </c>
      <c r="U824" s="5" t="str">
        <f>IF(A824="","",IF(COUNTIF(Контрагенты,H824)=0,"Не задан",VLOOKUP(H824,СПРАВОЧНИКИ!$G$7:$H$66,2,FALSE)))</f>
        <v/>
      </c>
      <c r="V824" s="4" t="str">
        <f>IF(A824="",IF(COUNTA(B824:O824)&gt;0,"НЕТ ID",""),IF(OR(AND(OR(C824="Оплата клиента",C824="Возврат клиенту"),COUNTIFS(Docs[ID],J824,Docs[Тип долга],"ДЗ")&lt;&gt;1),AND(OR(C824="Оплата поставщику",C824="Возврат поставщика"),COUNTIFS(Docs[ID],J824,Docs[Тип долга],"КЗ",Docs[Вид],"&lt;&gt;Дивиденды")&lt;&gt;1),AND(C824="Дивиденды",COUNTIFS(Docs[ID],J824,Docs[Вид],"Дивиденды")&lt;&gt;1),AND(C824="Проценты",COUNTIFS(Docs[ID],J824,Docs[Вид],"Проценты")&lt;&gt;1),COUNTIF(Cash[ID],A824)&gt;1,NOT(ISNUMBER(B824)),B824&lt;НачалоУчета,YEAR(B824)&lt;&gt;Год,NOT(ISNUMBER(E824)),E824&lt;=0,N824&lt;0,COUNTIF(Типы,C824)&lt;&gt;1,COUNTIF(Категории,D824)&lt;&gt;1,COUNTIF(Счета,F824)&lt;&gt;1,COUNTIF(Проекты,I824)&lt;&gt;1,AND(H824&lt;&gt;"",COUNTIF(Контрагенты,H824)&lt;&gt;1),AND(C824="Перевод",OR(F824=G824,COUNTIF(Счета,G824)&lt;&gt;1)),AND(S824&lt;&gt;0,COUNTIF(Docs[ID],J824)&lt;&gt;1),AND(Форма="ООО",C824="Вывод ИП"),AND(Форма="ИП",C824="Дивиденды"),AND(L824&lt;&gt;"Проведён",L824&lt;&gt;"Черновик")),"ОШИБКА","ОК"))</f>
        <v/>
      </c>
      <c r="W824" s="25" t="str">
        <f>IF(A824="","",SUMIF(Accounts[Счёт],F824,Accounts[Начальный])+SUMIFS($Q$7:Q824,$F$7:F824,F824)+SUMIFS($E$7:E824,$G$7:G824,F824,$C$7:C824,"Перевод",$L$7:L824,"Проведён"))</f>
        <v/>
      </c>
    </row>
    <row r="825" spans="1:23" x14ac:dyDescent="0.25">
      <c r="A825" s="22"/>
      <c r="B825" s="23"/>
      <c r="C825" s="22"/>
      <c r="D825" s="22"/>
      <c r="E825" s="27"/>
      <c r="F825" s="22"/>
      <c r="G825" s="22"/>
      <c r="H825" s="22"/>
      <c r="I825" s="22"/>
      <c r="J825" s="22"/>
      <c r="K825" s="22"/>
      <c r="L825" s="22"/>
      <c r="M825" s="22"/>
      <c r="N825" s="27"/>
      <c r="O825" s="22"/>
      <c r="P825" s="5" t="str">
        <f>IF(A825="","",IF(COUNTIF(Типы,C825)=0,0,VLOOKUP(C825,СПРАВОЧНИКИ!$A$7:$E$22,2,FALSE)))</f>
        <v/>
      </c>
      <c r="Q825" s="25" t="str">
        <f t="shared" si="12"/>
        <v/>
      </c>
      <c r="R825" s="5" t="str">
        <f>IF(A825="","",IF(COUNTIF(Типы,C825)=0,"НЕИЗВЕСТНЫЙ ТИП",VLOOKUP(C825,СПРАВОЧНИКИ!$A$7:$E$22,3,FALSE)))</f>
        <v/>
      </c>
      <c r="S825" s="26" t="str">
        <f>IF(A825="","",IF(L825="Проведён",E825*IF(COUNTIF(Типы,C825)=0,0,VLOOKUP(C825,СПРАВОЧНИКИ!$A$7:$E$22,4,FALSE)),0))</f>
        <v/>
      </c>
      <c r="T825" s="26" t="str">
        <f>IF(A825="","",IF(L825="Проведён",E825*IF(COUNTIF(Типы,C825)=0,0,VLOOKUP(C825,СПРАВОЧНИКИ!$A$7:$E$22,5,FALSE)),0))</f>
        <v/>
      </c>
      <c r="U825" s="5" t="str">
        <f>IF(A825="","",IF(COUNTIF(Контрагенты,H825)=0,"Не задан",VLOOKUP(H825,СПРАВОЧНИКИ!$G$7:$H$66,2,FALSE)))</f>
        <v/>
      </c>
      <c r="V825" s="4" t="str">
        <f>IF(A825="",IF(COUNTA(B825:O825)&gt;0,"НЕТ ID",""),IF(OR(AND(OR(C825="Оплата клиента",C825="Возврат клиенту"),COUNTIFS(Docs[ID],J825,Docs[Тип долга],"ДЗ")&lt;&gt;1),AND(OR(C825="Оплата поставщику",C825="Возврат поставщика"),COUNTIFS(Docs[ID],J825,Docs[Тип долга],"КЗ",Docs[Вид],"&lt;&gt;Дивиденды")&lt;&gt;1),AND(C825="Дивиденды",COUNTIFS(Docs[ID],J825,Docs[Вид],"Дивиденды")&lt;&gt;1),AND(C825="Проценты",COUNTIFS(Docs[ID],J825,Docs[Вид],"Проценты")&lt;&gt;1),COUNTIF(Cash[ID],A825)&gt;1,NOT(ISNUMBER(B825)),B825&lt;НачалоУчета,YEAR(B825)&lt;&gt;Год,NOT(ISNUMBER(E825)),E825&lt;=0,N825&lt;0,COUNTIF(Типы,C825)&lt;&gt;1,COUNTIF(Категории,D825)&lt;&gt;1,COUNTIF(Счета,F825)&lt;&gt;1,COUNTIF(Проекты,I825)&lt;&gt;1,AND(H825&lt;&gt;"",COUNTIF(Контрагенты,H825)&lt;&gt;1),AND(C825="Перевод",OR(F825=G825,COUNTIF(Счета,G825)&lt;&gt;1)),AND(S825&lt;&gt;0,COUNTIF(Docs[ID],J825)&lt;&gt;1),AND(Форма="ООО",C825="Вывод ИП"),AND(Форма="ИП",C825="Дивиденды"),AND(L825&lt;&gt;"Проведён",L825&lt;&gt;"Черновик")),"ОШИБКА","ОК"))</f>
        <v/>
      </c>
      <c r="W825" s="25" t="str">
        <f>IF(A825="","",SUMIF(Accounts[Счёт],F825,Accounts[Начальный])+SUMIFS($Q$7:Q825,$F$7:F825,F825)+SUMIFS($E$7:E825,$G$7:G825,F825,$C$7:C825,"Перевод",$L$7:L825,"Проведён"))</f>
        <v/>
      </c>
    </row>
    <row r="826" spans="1:23" x14ac:dyDescent="0.25">
      <c r="A826" s="22"/>
      <c r="B826" s="23"/>
      <c r="C826" s="22"/>
      <c r="D826" s="22"/>
      <c r="E826" s="27"/>
      <c r="F826" s="22"/>
      <c r="G826" s="22"/>
      <c r="H826" s="22"/>
      <c r="I826" s="22"/>
      <c r="J826" s="22"/>
      <c r="K826" s="22"/>
      <c r="L826" s="22"/>
      <c r="M826" s="22"/>
      <c r="N826" s="27"/>
      <c r="O826" s="22"/>
      <c r="P826" s="5" t="str">
        <f>IF(A826="","",IF(COUNTIF(Типы,C826)=0,0,VLOOKUP(C826,СПРАВОЧНИКИ!$A$7:$E$22,2,FALSE)))</f>
        <v/>
      </c>
      <c r="Q826" s="25" t="str">
        <f t="shared" si="12"/>
        <v/>
      </c>
      <c r="R826" s="5" t="str">
        <f>IF(A826="","",IF(COUNTIF(Типы,C826)=0,"НЕИЗВЕСТНЫЙ ТИП",VLOOKUP(C826,СПРАВОЧНИКИ!$A$7:$E$22,3,FALSE)))</f>
        <v/>
      </c>
      <c r="S826" s="26" t="str">
        <f>IF(A826="","",IF(L826="Проведён",E826*IF(COUNTIF(Типы,C826)=0,0,VLOOKUP(C826,СПРАВОЧНИКИ!$A$7:$E$22,4,FALSE)),0))</f>
        <v/>
      </c>
      <c r="T826" s="26" t="str">
        <f>IF(A826="","",IF(L826="Проведён",E826*IF(COUNTIF(Типы,C826)=0,0,VLOOKUP(C826,СПРАВОЧНИКИ!$A$7:$E$22,5,FALSE)),0))</f>
        <v/>
      </c>
      <c r="U826" s="5" t="str">
        <f>IF(A826="","",IF(COUNTIF(Контрагенты,H826)=0,"Не задан",VLOOKUP(H826,СПРАВОЧНИКИ!$G$7:$H$66,2,FALSE)))</f>
        <v/>
      </c>
      <c r="V826" s="4" t="str">
        <f>IF(A826="",IF(COUNTA(B826:O826)&gt;0,"НЕТ ID",""),IF(OR(AND(OR(C826="Оплата клиента",C826="Возврат клиенту"),COUNTIFS(Docs[ID],J826,Docs[Тип долга],"ДЗ")&lt;&gt;1),AND(OR(C826="Оплата поставщику",C826="Возврат поставщика"),COUNTIFS(Docs[ID],J826,Docs[Тип долга],"КЗ",Docs[Вид],"&lt;&gt;Дивиденды")&lt;&gt;1),AND(C826="Дивиденды",COUNTIFS(Docs[ID],J826,Docs[Вид],"Дивиденды")&lt;&gt;1),AND(C826="Проценты",COUNTIFS(Docs[ID],J826,Docs[Вид],"Проценты")&lt;&gt;1),COUNTIF(Cash[ID],A826)&gt;1,NOT(ISNUMBER(B826)),B826&lt;НачалоУчета,YEAR(B826)&lt;&gt;Год,NOT(ISNUMBER(E826)),E826&lt;=0,N826&lt;0,COUNTIF(Типы,C826)&lt;&gt;1,COUNTIF(Категории,D826)&lt;&gt;1,COUNTIF(Счета,F826)&lt;&gt;1,COUNTIF(Проекты,I826)&lt;&gt;1,AND(H826&lt;&gt;"",COUNTIF(Контрагенты,H826)&lt;&gt;1),AND(C826="Перевод",OR(F826=G826,COUNTIF(Счета,G826)&lt;&gt;1)),AND(S826&lt;&gt;0,COUNTIF(Docs[ID],J826)&lt;&gt;1),AND(Форма="ООО",C826="Вывод ИП"),AND(Форма="ИП",C826="Дивиденды"),AND(L826&lt;&gt;"Проведён",L826&lt;&gt;"Черновик")),"ОШИБКА","ОК"))</f>
        <v/>
      </c>
      <c r="W826" s="25" t="str">
        <f>IF(A826="","",SUMIF(Accounts[Счёт],F826,Accounts[Начальный])+SUMIFS($Q$7:Q826,$F$7:F826,F826)+SUMIFS($E$7:E826,$G$7:G826,F826,$C$7:C826,"Перевод",$L$7:L826,"Проведён"))</f>
        <v/>
      </c>
    </row>
    <row r="827" spans="1:23" x14ac:dyDescent="0.25">
      <c r="A827" s="22"/>
      <c r="B827" s="23"/>
      <c r="C827" s="22"/>
      <c r="D827" s="22"/>
      <c r="E827" s="27"/>
      <c r="F827" s="22"/>
      <c r="G827" s="22"/>
      <c r="H827" s="22"/>
      <c r="I827" s="22"/>
      <c r="J827" s="22"/>
      <c r="K827" s="22"/>
      <c r="L827" s="22"/>
      <c r="M827" s="22"/>
      <c r="N827" s="27"/>
      <c r="O827" s="22"/>
      <c r="P827" s="5" t="str">
        <f>IF(A827="","",IF(COUNTIF(Типы,C827)=0,0,VLOOKUP(C827,СПРАВОЧНИКИ!$A$7:$E$22,2,FALSE)))</f>
        <v/>
      </c>
      <c r="Q827" s="25" t="str">
        <f t="shared" si="12"/>
        <v/>
      </c>
      <c r="R827" s="5" t="str">
        <f>IF(A827="","",IF(COUNTIF(Типы,C827)=0,"НЕИЗВЕСТНЫЙ ТИП",VLOOKUP(C827,СПРАВОЧНИКИ!$A$7:$E$22,3,FALSE)))</f>
        <v/>
      </c>
      <c r="S827" s="26" t="str">
        <f>IF(A827="","",IF(L827="Проведён",E827*IF(COUNTIF(Типы,C827)=0,0,VLOOKUP(C827,СПРАВОЧНИКИ!$A$7:$E$22,4,FALSE)),0))</f>
        <v/>
      </c>
      <c r="T827" s="26" t="str">
        <f>IF(A827="","",IF(L827="Проведён",E827*IF(COUNTIF(Типы,C827)=0,0,VLOOKUP(C827,СПРАВОЧНИКИ!$A$7:$E$22,5,FALSE)),0))</f>
        <v/>
      </c>
      <c r="U827" s="5" t="str">
        <f>IF(A827="","",IF(COUNTIF(Контрагенты,H827)=0,"Не задан",VLOOKUP(H827,СПРАВОЧНИКИ!$G$7:$H$66,2,FALSE)))</f>
        <v/>
      </c>
      <c r="V827" s="4" t="str">
        <f>IF(A827="",IF(COUNTA(B827:O827)&gt;0,"НЕТ ID",""),IF(OR(AND(OR(C827="Оплата клиента",C827="Возврат клиенту"),COUNTIFS(Docs[ID],J827,Docs[Тип долга],"ДЗ")&lt;&gt;1),AND(OR(C827="Оплата поставщику",C827="Возврат поставщика"),COUNTIFS(Docs[ID],J827,Docs[Тип долга],"КЗ",Docs[Вид],"&lt;&gt;Дивиденды")&lt;&gt;1),AND(C827="Дивиденды",COUNTIFS(Docs[ID],J827,Docs[Вид],"Дивиденды")&lt;&gt;1),AND(C827="Проценты",COUNTIFS(Docs[ID],J827,Docs[Вид],"Проценты")&lt;&gt;1),COUNTIF(Cash[ID],A827)&gt;1,NOT(ISNUMBER(B827)),B827&lt;НачалоУчета,YEAR(B827)&lt;&gt;Год,NOT(ISNUMBER(E827)),E827&lt;=0,N827&lt;0,COUNTIF(Типы,C827)&lt;&gt;1,COUNTIF(Категории,D827)&lt;&gt;1,COUNTIF(Счета,F827)&lt;&gt;1,COUNTIF(Проекты,I827)&lt;&gt;1,AND(H827&lt;&gt;"",COUNTIF(Контрагенты,H827)&lt;&gt;1),AND(C827="Перевод",OR(F827=G827,COUNTIF(Счета,G827)&lt;&gt;1)),AND(S827&lt;&gt;0,COUNTIF(Docs[ID],J827)&lt;&gt;1),AND(Форма="ООО",C827="Вывод ИП"),AND(Форма="ИП",C827="Дивиденды"),AND(L827&lt;&gt;"Проведён",L827&lt;&gt;"Черновик")),"ОШИБКА","ОК"))</f>
        <v/>
      </c>
      <c r="W827" s="25" t="str">
        <f>IF(A827="","",SUMIF(Accounts[Счёт],F827,Accounts[Начальный])+SUMIFS($Q$7:Q827,$F$7:F827,F827)+SUMIFS($E$7:E827,$G$7:G827,F827,$C$7:C827,"Перевод",$L$7:L827,"Проведён"))</f>
        <v/>
      </c>
    </row>
    <row r="828" spans="1:23" x14ac:dyDescent="0.25">
      <c r="A828" s="22"/>
      <c r="B828" s="23"/>
      <c r="C828" s="22"/>
      <c r="D828" s="22"/>
      <c r="E828" s="27"/>
      <c r="F828" s="22"/>
      <c r="G828" s="22"/>
      <c r="H828" s="22"/>
      <c r="I828" s="22"/>
      <c r="J828" s="22"/>
      <c r="K828" s="22"/>
      <c r="L828" s="22"/>
      <c r="M828" s="22"/>
      <c r="N828" s="27"/>
      <c r="O828" s="22"/>
      <c r="P828" s="5" t="str">
        <f>IF(A828="","",IF(COUNTIF(Типы,C828)=0,0,VLOOKUP(C828,СПРАВОЧНИКИ!$A$7:$E$22,2,FALSE)))</f>
        <v/>
      </c>
      <c r="Q828" s="25" t="str">
        <f t="shared" si="12"/>
        <v/>
      </c>
      <c r="R828" s="5" t="str">
        <f>IF(A828="","",IF(COUNTIF(Типы,C828)=0,"НЕИЗВЕСТНЫЙ ТИП",VLOOKUP(C828,СПРАВОЧНИКИ!$A$7:$E$22,3,FALSE)))</f>
        <v/>
      </c>
      <c r="S828" s="26" t="str">
        <f>IF(A828="","",IF(L828="Проведён",E828*IF(COUNTIF(Типы,C828)=0,0,VLOOKUP(C828,СПРАВОЧНИКИ!$A$7:$E$22,4,FALSE)),0))</f>
        <v/>
      </c>
      <c r="T828" s="26" t="str">
        <f>IF(A828="","",IF(L828="Проведён",E828*IF(COUNTIF(Типы,C828)=0,0,VLOOKUP(C828,СПРАВОЧНИКИ!$A$7:$E$22,5,FALSE)),0))</f>
        <v/>
      </c>
      <c r="U828" s="5" t="str">
        <f>IF(A828="","",IF(COUNTIF(Контрагенты,H828)=0,"Не задан",VLOOKUP(H828,СПРАВОЧНИКИ!$G$7:$H$66,2,FALSE)))</f>
        <v/>
      </c>
      <c r="V828" s="4" t="str">
        <f>IF(A828="",IF(COUNTA(B828:O828)&gt;0,"НЕТ ID",""),IF(OR(AND(OR(C828="Оплата клиента",C828="Возврат клиенту"),COUNTIFS(Docs[ID],J828,Docs[Тип долга],"ДЗ")&lt;&gt;1),AND(OR(C828="Оплата поставщику",C828="Возврат поставщика"),COUNTIFS(Docs[ID],J828,Docs[Тип долга],"КЗ",Docs[Вид],"&lt;&gt;Дивиденды")&lt;&gt;1),AND(C828="Дивиденды",COUNTIFS(Docs[ID],J828,Docs[Вид],"Дивиденды")&lt;&gt;1),AND(C828="Проценты",COUNTIFS(Docs[ID],J828,Docs[Вид],"Проценты")&lt;&gt;1),COUNTIF(Cash[ID],A828)&gt;1,NOT(ISNUMBER(B828)),B828&lt;НачалоУчета,YEAR(B828)&lt;&gt;Год,NOT(ISNUMBER(E828)),E828&lt;=0,N828&lt;0,COUNTIF(Типы,C828)&lt;&gt;1,COUNTIF(Категории,D828)&lt;&gt;1,COUNTIF(Счета,F828)&lt;&gt;1,COUNTIF(Проекты,I828)&lt;&gt;1,AND(H828&lt;&gt;"",COUNTIF(Контрагенты,H828)&lt;&gt;1),AND(C828="Перевод",OR(F828=G828,COUNTIF(Счета,G828)&lt;&gt;1)),AND(S828&lt;&gt;0,COUNTIF(Docs[ID],J828)&lt;&gt;1),AND(Форма="ООО",C828="Вывод ИП"),AND(Форма="ИП",C828="Дивиденды"),AND(L828&lt;&gt;"Проведён",L828&lt;&gt;"Черновик")),"ОШИБКА","ОК"))</f>
        <v/>
      </c>
      <c r="W828" s="25" t="str">
        <f>IF(A828="","",SUMIF(Accounts[Счёт],F828,Accounts[Начальный])+SUMIFS($Q$7:Q828,$F$7:F828,F828)+SUMIFS($E$7:E828,$G$7:G828,F828,$C$7:C828,"Перевод",$L$7:L828,"Проведён"))</f>
        <v/>
      </c>
    </row>
    <row r="829" spans="1:23" x14ac:dyDescent="0.25">
      <c r="A829" s="22"/>
      <c r="B829" s="23"/>
      <c r="C829" s="22"/>
      <c r="D829" s="22"/>
      <c r="E829" s="27"/>
      <c r="F829" s="22"/>
      <c r="G829" s="22"/>
      <c r="H829" s="22"/>
      <c r="I829" s="22"/>
      <c r="J829" s="22"/>
      <c r="K829" s="22"/>
      <c r="L829" s="22"/>
      <c r="M829" s="22"/>
      <c r="N829" s="27"/>
      <c r="O829" s="22"/>
      <c r="P829" s="5" t="str">
        <f>IF(A829="","",IF(COUNTIF(Типы,C829)=0,0,VLOOKUP(C829,СПРАВОЧНИКИ!$A$7:$E$22,2,FALSE)))</f>
        <v/>
      </c>
      <c r="Q829" s="25" t="str">
        <f t="shared" si="12"/>
        <v/>
      </c>
      <c r="R829" s="5" t="str">
        <f>IF(A829="","",IF(COUNTIF(Типы,C829)=0,"НЕИЗВЕСТНЫЙ ТИП",VLOOKUP(C829,СПРАВОЧНИКИ!$A$7:$E$22,3,FALSE)))</f>
        <v/>
      </c>
      <c r="S829" s="26" t="str">
        <f>IF(A829="","",IF(L829="Проведён",E829*IF(COUNTIF(Типы,C829)=0,0,VLOOKUP(C829,СПРАВОЧНИКИ!$A$7:$E$22,4,FALSE)),0))</f>
        <v/>
      </c>
      <c r="T829" s="26" t="str">
        <f>IF(A829="","",IF(L829="Проведён",E829*IF(COUNTIF(Типы,C829)=0,0,VLOOKUP(C829,СПРАВОЧНИКИ!$A$7:$E$22,5,FALSE)),0))</f>
        <v/>
      </c>
      <c r="U829" s="5" t="str">
        <f>IF(A829="","",IF(COUNTIF(Контрагенты,H829)=0,"Не задан",VLOOKUP(H829,СПРАВОЧНИКИ!$G$7:$H$66,2,FALSE)))</f>
        <v/>
      </c>
      <c r="V829" s="4" t="str">
        <f>IF(A829="",IF(COUNTA(B829:O829)&gt;0,"НЕТ ID",""),IF(OR(AND(OR(C829="Оплата клиента",C829="Возврат клиенту"),COUNTIFS(Docs[ID],J829,Docs[Тип долга],"ДЗ")&lt;&gt;1),AND(OR(C829="Оплата поставщику",C829="Возврат поставщика"),COUNTIFS(Docs[ID],J829,Docs[Тип долга],"КЗ",Docs[Вид],"&lt;&gt;Дивиденды")&lt;&gt;1),AND(C829="Дивиденды",COUNTIFS(Docs[ID],J829,Docs[Вид],"Дивиденды")&lt;&gt;1),AND(C829="Проценты",COUNTIFS(Docs[ID],J829,Docs[Вид],"Проценты")&lt;&gt;1),COUNTIF(Cash[ID],A829)&gt;1,NOT(ISNUMBER(B829)),B829&lt;НачалоУчета,YEAR(B829)&lt;&gt;Год,NOT(ISNUMBER(E829)),E829&lt;=0,N829&lt;0,COUNTIF(Типы,C829)&lt;&gt;1,COUNTIF(Категории,D829)&lt;&gt;1,COUNTIF(Счета,F829)&lt;&gt;1,COUNTIF(Проекты,I829)&lt;&gt;1,AND(H829&lt;&gt;"",COUNTIF(Контрагенты,H829)&lt;&gt;1),AND(C829="Перевод",OR(F829=G829,COUNTIF(Счета,G829)&lt;&gt;1)),AND(S829&lt;&gt;0,COUNTIF(Docs[ID],J829)&lt;&gt;1),AND(Форма="ООО",C829="Вывод ИП"),AND(Форма="ИП",C829="Дивиденды"),AND(L829&lt;&gt;"Проведён",L829&lt;&gt;"Черновик")),"ОШИБКА","ОК"))</f>
        <v/>
      </c>
      <c r="W829" s="25" t="str">
        <f>IF(A829="","",SUMIF(Accounts[Счёт],F829,Accounts[Начальный])+SUMIFS($Q$7:Q829,$F$7:F829,F829)+SUMIFS($E$7:E829,$G$7:G829,F829,$C$7:C829,"Перевод",$L$7:L829,"Проведён"))</f>
        <v/>
      </c>
    </row>
    <row r="830" spans="1:23" x14ac:dyDescent="0.25">
      <c r="A830" s="22"/>
      <c r="B830" s="23"/>
      <c r="C830" s="22"/>
      <c r="D830" s="22"/>
      <c r="E830" s="27"/>
      <c r="F830" s="22"/>
      <c r="G830" s="22"/>
      <c r="H830" s="22"/>
      <c r="I830" s="22"/>
      <c r="J830" s="22"/>
      <c r="K830" s="22"/>
      <c r="L830" s="22"/>
      <c r="M830" s="22"/>
      <c r="N830" s="27"/>
      <c r="O830" s="22"/>
      <c r="P830" s="5" t="str">
        <f>IF(A830="","",IF(COUNTIF(Типы,C830)=0,0,VLOOKUP(C830,СПРАВОЧНИКИ!$A$7:$E$22,2,FALSE)))</f>
        <v/>
      </c>
      <c r="Q830" s="25" t="str">
        <f t="shared" si="12"/>
        <v/>
      </c>
      <c r="R830" s="5" t="str">
        <f>IF(A830="","",IF(COUNTIF(Типы,C830)=0,"НЕИЗВЕСТНЫЙ ТИП",VLOOKUP(C830,СПРАВОЧНИКИ!$A$7:$E$22,3,FALSE)))</f>
        <v/>
      </c>
      <c r="S830" s="26" t="str">
        <f>IF(A830="","",IF(L830="Проведён",E830*IF(COUNTIF(Типы,C830)=0,0,VLOOKUP(C830,СПРАВОЧНИКИ!$A$7:$E$22,4,FALSE)),0))</f>
        <v/>
      </c>
      <c r="T830" s="26" t="str">
        <f>IF(A830="","",IF(L830="Проведён",E830*IF(COUNTIF(Типы,C830)=0,0,VLOOKUP(C830,СПРАВОЧНИКИ!$A$7:$E$22,5,FALSE)),0))</f>
        <v/>
      </c>
      <c r="U830" s="5" t="str">
        <f>IF(A830="","",IF(COUNTIF(Контрагенты,H830)=0,"Не задан",VLOOKUP(H830,СПРАВОЧНИКИ!$G$7:$H$66,2,FALSE)))</f>
        <v/>
      </c>
      <c r="V830" s="4" t="str">
        <f>IF(A830="",IF(COUNTA(B830:O830)&gt;0,"НЕТ ID",""),IF(OR(AND(OR(C830="Оплата клиента",C830="Возврат клиенту"),COUNTIFS(Docs[ID],J830,Docs[Тип долга],"ДЗ")&lt;&gt;1),AND(OR(C830="Оплата поставщику",C830="Возврат поставщика"),COUNTIFS(Docs[ID],J830,Docs[Тип долга],"КЗ",Docs[Вид],"&lt;&gt;Дивиденды")&lt;&gt;1),AND(C830="Дивиденды",COUNTIFS(Docs[ID],J830,Docs[Вид],"Дивиденды")&lt;&gt;1),AND(C830="Проценты",COUNTIFS(Docs[ID],J830,Docs[Вид],"Проценты")&lt;&gt;1),COUNTIF(Cash[ID],A830)&gt;1,NOT(ISNUMBER(B830)),B830&lt;НачалоУчета,YEAR(B830)&lt;&gt;Год,NOT(ISNUMBER(E830)),E830&lt;=0,N830&lt;0,COUNTIF(Типы,C830)&lt;&gt;1,COUNTIF(Категории,D830)&lt;&gt;1,COUNTIF(Счета,F830)&lt;&gt;1,COUNTIF(Проекты,I830)&lt;&gt;1,AND(H830&lt;&gt;"",COUNTIF(Контрагенты,H830)&lt;&gt;1),AND(C830="Перевод",OR(F830=G830,COUNTIF(Счета,G830)&lt;&gt;1)),AND(S830&lt;&gt;0,COUNTIF(Docs[ID],J830)&lt;&gt;1),AND(Форма="ООО",C830="Вывод ИП"),AND(Форма="ИП",C830="Дивиденды"),AND(L830&lt;&gt;"Проведён",L830&lt;&gt;"Черновик")),"ОШИБКА","ОК"))</f>
        <v/>
      </c>
      <c r="W830" s="25" t="str">
        <f>IF(A830="","",SUMIF(Accounts[Счёт],F830,Accounts[Начальный])+SUMIFS($Q$7:Q830,$F$7:F830,F830)+SUMIFS($E$7:E830,$G$7:G830,F830,$C$7:C830,"Перевод",$L$7:L830,"Проведён"))</f>
        <v/>
      </c>
    </row>
    <row r="831" spans="1:23" x14ac:dyDescent="0.25">
      <c r="A831" s="22"/>
      <c r="B831" s="23"/>
      <c r="C831" s="22"/>
      <c r="D831" s="22"/>
      <c r="E831" s="27"/>
      <c r="F831" s="22"/>
      <c r="G831" s="22"/>
      <c r="H831" s="22"/>
      <c r="I831" s="22"/>
      <c r="J831" s="22"/>
      <c r="K831" s="22"/>
      <c r="L831" s="22"/>
      <c r="M831" s="22"/>
      <c r="N831" s="27"/>
      <c r="O831" s="22"/>
      <c r="P831" s="5" t="str">
        <f>IF(A831="","",IF(COUNTIF(Типы,C831)=0,0,VLOOKUP(C831,СПРАВОЧНИКИ!$A$7:$E$22,2,FALSE)))</f>
        <v/>
      </c>
      <c r="Q831" s="25" t="str">
        <f t="shared" si="12"/>
        <v/>
      </c>
      <c r="R831" s="5" t="str">
        <f>IF(A831="","",IF(COUNTIF(Типы,C831)=0,"НЕИЗВЕСТНЫЙ ТИП",VLOOKUP(C831,СПРАВОЧНИКИ!$A$7:$E$22,3,FALSE)))</f>
        <v/>
      </c>
      <c r="S831" s="26" t="str">
        <f>IF(A831="","",IF(L831="Проведён",E831*IF(COUNTIF(Типы,C831)=0,0,VLOOKUP(C831,СПРАВОЧНИКИ!$A$7:$E$22,4,FALSE)),0))</f>
        <v/>
      </c>
      <c r="T831" s="26" t="str">
        <f>IF(A831="","",IF(L831="Проведён",E831*IF(COUNTIF(Типы,C831)=0,0,VLOOKUP(C831,СПРАВОЧНИКИ!$A$7:$E$22,5,FALSE)),0))</f>
        <v/>
      </c>
      <c r="U831" s="5" t="str">
        <f>IF(A831="","",IF(COUNTIF(Контрагенты,H831)=0,"Не задан",VLOOKUP(H831,СПРАВОЧНИКИ!$G$7:$H$66,2,FALSE)))</f>
        <v/>
      </c>
      <c r="V831" s="4" t="str">
        <f>IF(A831="",IF(COUNTA(B831:O831)&gt;0,"НЕТ ID",""),IF(OR(AND(OR(C831="Оплата клиента",C831="Возврат клиенту"),COUNTIFS(Docs[ID],J831,Docs[Тип долга],"ДЗ")&lt;&gt;1),AND(OR(C831="Оплата поставщику",C831="Возврат поставщика"),COUNTIFS(Docs[ID],J831,Docs[Тип долга],"КЗ",Docs[Вид],"&lt;&gt;Дивиденды")&lt;&gt;1),AND(C831="Дивиденды",COUNTIFS(Docs[ID],J831,Docs[Вид],"Дивиденды")&lt;&gt;1),AND(C831="Проценты",COUNTIFS(Docs[ID],J831,Docs[Вид],"Проценты")&lt;&gt;1),COUNTIF(Cash[ID],A831)&gt;1,NOT(ISNUMBER(B831)),B831&lt;НачалоУчета,YEAR(B831)&lt;&gt;Год,NOT(ISNUMBER(E831)),E831&lt;=0,N831&lt;0,COUNTIF(Типы,C831)&lt;&gt;1,COUNTIF(Категории,D831)&lt;&gt;1,COUNTIF(Счета,F831)&lt;&gt;1,COUNTIF(Проекты,I831)&lt;&gt;1,AND(H831&lt;&gt;"",COUNTIF(Контрагенты,H831)&lt;&gt;1),AND(C831="Перевод",OR(F831=G831,COUNTIF(Счета,G831)&lt;&gt;1)),AND(S831&lt;&gt;0,COUNTIF(Docs[ID],J831)&lt;&gt;1),AND(Форма="ООО",C831="Вывод ИП"),AND(Форма="ИП",C831="Дивиденды"),AND(L831&lt;&gt;"Проведён",L831&lt;&gt;"Черновик")),"ОШИБКА","ОК"))</f>
        <v/>
      </c>
      <c r="W831" s="25" t="str">
        <f>IF(A831="","",SUMIF(Accounts[Счёт],F831,Accounts[Начальный])+SUMIFS($Q$7:Q831,$F$7:F831,F831)+SUMIFS($E$7:E831,$G$7:G831,F831,$C$7:C831,"Перевод",$L$7:L831,"Проведён"))</f>
        <v/>
      </c>
    </row>
    <row r="832" spans="1:23" x14ac:dyDescent="0.25">
      <c r="A832" s="22"/>
      <c r="B832" s="23"/>
      <c r="C832" s="22"/>
      <c r="D832" s="22"/>
      <c r="E832" s="27"/>
      <c r="F832" s="22"/>
      <c r="G832" s="22"/>
      <c r="H832" s="22"/>
      <c r="I832" s="22"/>
      <c r="J832" s="22"/>
      <c r="K832" s="22"/>
      <c r="L832" s="22"/>
      <c r="M832" s="22"/>
      <c r="N832" s="27"/>
      <c r="O832" s="22"/>
      <c r="P832" s="5" t="str">
        <f>IF(A832="","",IF(COUNTIF(Типы,C832)=0,0,VLOOKUP(C832,СПРАВОЧНИКИ!$A$7:$E$22,2,FALSE)))</f>
        <v/>
      </c>
      <c r="Q832" s="25" t="str">
        <f t="shared" si="12"/>
        <v/>
      </c>
      <c r="R832" s="5" t="str">
        <f>IF(A832="","",IF(COUNTIF(Типы,C832)=0,"НЕИЗВЕСТНЫЙ ТИП",VLOOKUP(C832,СПРАВОЧНИКИ!$A$7:$E$22,3,FALSE)))</f>
        <v/>
      </c>
      <c r="S832" s="26" t="str">
        <f>IF(A832="","",IF(L832="Проведён",E832*IF(COUNTIF(Типы,C832)=0,0,VLOOKUP(C832,СПРАВОЧНИКИ!$A$7:$E$22,4,FALSE)),0))</f>
        <v/>
      </c>
      <c r="T832" s="26" t="str">
        <f>IF(A832="","",IF(L832="Проведён",E832*IF(COUNTIF(Типы,C832)=0,0,VLOOKUP(C832,СПРАВОЧНИКИ!$A$7:$E$22,5,FALSE)),0))</f>
        <v/>
      </c>
      <c r="U832" s="5" t="str">
        <f>IF(A832="","",IF(COUNTIF(Контрагенты,H832)=0,"Не задан",VLOOKUP(H832,СПРАВОЧНИКИ!$G$7:$H$66,2,FALSE)))</f>
        <v/>
      </c>
      <c r="V832" s="4" t="str">
        <f>IF(A832="",IF(COUNTA(B832:O832)&gt;0,"НЕТ ID",""),IF(OR(AND(OR(C832="Оплата клиента",C832="Возврат клиенту"),COUNTIFS(Docs[ID],J832,Docs[Тип долга],"ДЗ")&lt;&gt;1),AND(OR(C832="Оплата поставщику",C832="Возврат поставщика"),COUNTIFS(Docs[ID],J832,Docs[Тип долга],"КЗ",Docs[Вид],"&lt;&gt;Дивиденды")&lt;&gt;1),AND(C832="Дивиденды",COUNTIFS(Docs[ID],J832,Docs[Вид],"Дивиденды")&lt;&gt;1),AND(C832="Проценты",COUNTIFS(Docs[ID],J832,Docs[Вид],"Проценты")&lt;&gt;1),COUNTIF(Cash[ID],A832)&gt;1,NOT(ISNUMBER(B832)),B832&lt;НачалоУчета,YEAR(B832)&lt;&gt;Год,NOT(ISNUMBER(E832)),E832&lt;=0,N832&lt;0,COUNTIF(Типы,C832)&lt;&gt;1,COUNTIF(Категории,D832)&lt;&gt;1,COUNTIF(Счета,F832)&lt;&gt;1,COUNTIF(Проекты,I832)&lt;&gt;1,AND(H832&lt;&gt;"",COUNTIF(Контрагенты,H832)&lt;&gt;1),AND(C832="Перевод",OR(F832=G832,COUNTIF(Счета,G832)&lt;&gt;1)),AND(S832&lt;&gt;0,COUNTIF(Docs[ID],J832)&lt;&gt;1),AND(Форма="ООО",C832="Вывод ИП"),AND(Форма="ИП",C832="Дивиденды"),AND(L832&lt;&gt;"Проведён",L832&lt;&gt;"Черновик")),"ОШИБКА","ОК"))</f>
        <v/>
      </c>
      <c r="W832" s="25" t="str">
        <f>IF(A832="","",SUMIF(Accounts[Счёт],F832,Accounts[Начальный])+SUMIFS($Q$7:Q832,$F$7:F832,F832)+SUMIFS($E$7:E832,$G$7:G832,F832,$C$7:C832,"Перевод",$L$7:L832,"Проведён"))</f>
        <v/>
      </c>
    </row>
    <row r="833" spans="1:23" x14ac:dyDescent="0.25">
      <c r="A833" s="22"/>
      <c r="B833" s="23"/>
      <c r="C833" s="22"/>
      <c r="D833" s="22"/>
      <c r="E833" s="27"/>
      <c r="F833" s="22"/>
      <c r="G833" s="22"/>
      <c r="H833" s="22"/>
      <c r="I833" s="22"/>
      <c r="J833" s="22"/>
      <c r="K833" s="22"/>
      <c r="L833" s="22"/>
      <c r="M833" s="22"/>
      <c r="N833" s="27"/>
      <c r="O833" s="22"/>
      <c r="P833" s="5" t="str">
        <f>IF(A833="","",IF(COUNTIF(Типы,C833)=0,0,VLOOKUP(C833,СПРАВОЧНИКИ!$A$7:$E$22,2,FALSE)))</f>
        <v/>
      </c>
      <c r="Q833" s="25" t="str">
        <f t="shared" si="12"/>
        <v/>
      </c>
      <c r="R833" s="5" t="str">
        <f>IF(A833="","",IF(COUNTIF(Типы,C833)=0,"НЕИЗВЕСТНЫЙ ТИП",VLOOKUP(C833,СПРАВОЧНИКИ!$A$7:$E$22,3,FALSE)))</f>
        <v/>
      </c>
      <c r="S833" s="26" t="str">
        <f>IF(A833="","",IF(L833="Проведён",E833*IF(COUNTIF(Типы,C833)=0,0,VLOOKUP(C833,СПРАВОЧНИКИ!$A$7:$E$22,4,FALSE)),0))</f>
        <v/>
      </c>
      <c r="T833" s="26" t="str">
        <f>IF(A833="","",IF(L833="Проведён",E833*IF(COUNTIF(Типы,C833)=0,0,VLOOKUP(C833,СПРАВОЧНИКИ!$A$7:$E$22,5,FALSE)),0))</f>
        <v/>
      </c>
      <c r="U833" s="5" t="str">
        <f>IF(A833="","",IF(COUNTIF(Контрагенты,H833)=0,"Не задан",VLOOKUP(H833,СПРАВОЧНИКИ!$G$7:$H$66,2,FALSE)))</f>
        <v/>
      </c>
      <c r="V833" s="4" t="str">
        <f>IF(A833="",IF(COUNTA(B833:O833)&gt;0,"НЕТ ID",""),IF(OR(AND(OR(C833="Оплата клиента",C833="Возврат клиенту"),COUNTIFS(Docs[ID],J833,Docs[Тип долга],"ДЗ")&lt;&gt;1),AND(OR(C833="Оплата поставщику",C833="Возврат поставщика"),COUNTIFS(Docs[ID],J833,Docs[Тип долга],"КЗ",Docs[Вид],"&lt;&gt;Дивиденды")&lt;&gt;1),AND(C833="Дивиденды",COUNTIFS(Docs[ID],J833,Docs[Вид],"Дивиденды")&lt;&gt;1),AND(C833="Проценты",COUNTIFS(Docs[ID],J833,Docs[Вид],"Проценты")&lt;&gt;1),COUNTIF(Cash[ID],A833)&gt;1,NOT(ISNUMBER(B833)),B833&lt;НачалоУчета,YEAR(B833)&lt;&gt;Год,NOT(ISNUMBER(E833)),E833&lt;=0,N833&lt;0,COUNTIF(Типы,C833)&lt;&gt;1,COUNTIF(Категории,D833)&lt;&gt;1,COUNTIF(Счета,F833)&lt;&gt;1,COUNTIF(Проекты,I833)&lt;&gt;1,AND(H833&lt;&gt;"",COUNTIF(Контрагенты,H833)&lt;&gt;1),AND(C833="Перевод",OR(F833=G833,COUNTIF(Счета,G833)&lt;&gt;1)),AND(S833&lt;&gt;0,COUNTIF(Docs[ID],J833)&lt;&gt;1),AND(Форма="ООО",C833="Вывод ИП"),AND(Форма="ИП",C833="Дивиденды"),AND(L833&lt;&gt;"Проведён",L833&lt;&gt;"Черновик")),"ОШИБКА","ОК"))</f>
        <v/>
      </c>
      <c r="W833" s="25" t="str">
        <f>IF(A833="","",SUMIF(Accounts[Счёт],F833,Accounts[Начальный])+SUMIFS($Q$7:Q833,$F$7:F833,F833)+SUMIFS($E$7:E833,$G$7:G833,F833,$C$7:C833,"Перевод",$L$7:L833,"Проведён"))</f>
        <v/>
      </c>
    </row>
    <row r="834" spans="1:23" x14ac:dyDescent="0.25">
      <c r="A834" s="22"/>
      <c r="B834" s="23"/>
      <c r="C834" s="22"/>
      <c r="D834" s="22"/>
      <c r="E834" s="27"/>
      <c r="F834" s="22"/>
      <c r="G834" s="22"/>
      <c r="H834" s="22"/>
      <c r="I834" s="22"/>
      <c r="J834" s="22"/>
      <c r="K834" s="22"/>
      <c r="L834" s="22"/>
      <c r="M834" s="22"/>
      <c r="N834" s="27"/>
      <c r="O834" s="22"/>
      <c r="P834" s="5" t="str">
        <f>IF(A834="","",IF(COUNTIF(Типы,C834)=0,0,VLOOKUP(C834,СПРАВОЧНИКИ!$A$7:$E$22,2,FALSE)))</f>
        <v/>
      </c>
      <c r="Q834" s="25" t="str">
        <f t="shared" si="12"/>
        <v/>
      </c>
      <c r="R834" s="5" t="str">
        <f>IF(A834="","",IF(COUNTIF(Типы,C834)=0,"НЕИЗВЕСТНЫЙ ТИП",VLOOKUP(C834,СПРАВОЧНИКИ!$A$7:$E$22,3,FALSE)))</f>
        <v/>
      </c>
      <c r="S834" s="26" t="str">
        <f>IF(A834="","",IF(L834="Проведён",E834*IF(COUNTIF(Типы,C834)=0,0,VLOOKUP(C834,СПРАВОЧНИКИ!$A$7:$E$22,4,FALSE)),0))</f>
        <v/>
      </c>
      <c r="T834" s="26" t="str">
        <f>IF(A834="","",IF(L834="Проведён",E834*IF(COUNTIF(Типы,C834)=0,0,VLOOKUP(C834,СПРАВОЧНИКИ!$A$7:$E$22,5,FALSE)),0))</f>
        <v/>
      </c>
      <c r="U834" s="5" t="str">
        <f>IF(A834="","",IF(COUNTIF(Контрагенты,H834)=0,"Не задан",VLOOKUP(H834,СПРАВОЧНИКИ!$G$7:$H$66,2,FALSE)))</f>
        <v/>
      </c>
      <c r="V834" s="4" t="str">
        <f>IF(A834="",IF(COUNTA(B834:O834)&gt;0,"НЕТ ID",""),IF(OR(AND(OR(C834="Оплата клиента",C834="Возврат клиенту"),COUNTIFS(Docs[ID],J834,Docs[Тип долга],"ДЗ")&lt;&gt;1),AND(OR(C834="Оплата поставщику",C834="Возврат поставщика"),COUNTIFS(Docs[ID],J834,Docs[Тип долга],"КЗ",Docs[Вид],"&lt;&gt;Дивиденды")&lt;&gt;1),AND(C834="Дивиденды",COUNTIFS(Docs[ID],J834,Docs[Вид],"Дивиденды")&lt;&gt;1),AND(C834="Проценты",COUNTIFS(Docs[ID],J834,Docs[Вид],"Проценты")&lt;&gt;1),COUNTIF(Cash[ID],A834)&gt;1,NOT(ISNUMBER(B834)),B834&lt;НачалоУчета,YEAR(B834)&lt;&gt;Год,NOT(ISNUMBER(E834)),E834&lt;=0,N834&lt;0,COUNTIF(Типы,C834)&lt;&gt;1,COUNTIF(Категории,D834)&lt;&gt;1,COUNTIF(Счета,F834)&lt;&gt;1,COUNTIF(Проекты,I834)&lt;&gt;1,AND(H834&lt;&gt;"",COUNTIF(Контрагенты,H834)&lt;&gt;1),AND(C834="Перевод",OR(F834=G834,COUNTIF(Счета,G834)&lt;&gt;1)),AND(S834&lt;&gt;0,COUNTIF(Docs[ID],J834)&lt;&gt;1),AND(Форма="ООО",C834="Вывод ИП"),AND(Форма="ИП",C834="Дивиденды"),AND(L834&lt;&gt;"Проведён",L834&lt;&gt;"Черновик")),"ОШИБКА","ОК"))</f>
        <v/>
      </c>
      <c r="W834" s="25" t="str">
        <f>IF(A834="","",SUMIF(Accounts[Счёт],F834,Accounts[Начальный])+SUMIFS($Q$7:Q834,$F$7:F834,F834)+SUMIFS($E$7:E834,$G$7:G834,F834,$C$7:C834,"Перевод",$L$7:L834,"Проведён"))</f>
        <v/>
      </c>
    </row>
    <row r="835" spans="1:23" x14ac:dyDescent="0.25">
      <c r="A835" s="22"/>
      <c r="B835" s="23"/>
      <c r="C835" s="22"/>
      <c r="D835" s="22"/>
      <c r="E835" s="27"/>
      <c r="F835" s="22"/>
      <c r="G835" s="22"/>
      <c r="H835" s="22"/>
      <c r="I835" s="22"/>
      <c r="J835" s="22"/>
      <c r="K835" s="22"/>
      <c r="L835" s="22"/>
      <c r="M835" s="22"/>
      <c r="N835" s="27"/>
      <c r="O835" s="22"/>
      <c r="P835" s="5" t="str">
        <f>IF(A835="","",IF(COUNTIF(Типы,C835)=0,0,VLOOKUP(C835,СПРАВОЧНИКИ!$A$7:$E$22,2,FALSE)))</f>
        <v/>
      </c>
      <c r="Q835" s="25" t="str">
        <f t="shared" si="12"/>
        <v/>
      </c>
      <c r="R835" s="5" t="str">
        <f>IF(A835="","",IF(COUNTIF(Типы,C835)=0,"НЕИЗВЕСТНЫЙ ТИП",VLOOKUP(C835,СПРАВОЧНИКИ!$A$7:$E$22,3,FALSE)))</f>
        <v/>
      </c>
      <c r="S835" s="26" t="str">
        <f>IF(A835="","",IF(L835="Проведён",E835*IF(COUNTIF(Типы,C835)=0,0,VLOOKUP(C835,СПРАВОЧНИКИ!$A$7:$E$22,4,FALSE)),0))</f>
        <v/>
      </c>
      <c r="T835" s="26" t="str">
        <f>IF(A835="","",IF(L835="Проведён",E835*IF(COUNTIF(Типы,C835)=0,0,VLOOKUP(C835,СПРАВОЧНИКИ!$A$7:$E$22,5,FALSE)),0))</f>
        <v/>
      </c>
      <c r="U835" s="5" t="str">
        <f>IF(A835="","",IF(COUNTIF(Контрагенты,H835)=0,"Не задан",VLOOKUP(H835,СПРАВОЧНИКИ!$G$7:$H$66,2,FALSE)))</f>
        <v/>
      </c>
      <c r="V835" s="4" t="str">
        <f>IF(A835="",IF(COUNTA(B835:O835)&gt;0,"НЕТ ID",""),IF(OR(AND(OR(C835="Оплата клиента",C835="Возврат клиенту"),COUNTIFS(Docs[ID],J835,Docs[Тип долга],"ДЗ")&lt;&gt;1),AND(OR(C835="Оплата поставщику",C835="Возврат поставщика"),COUNTIFS(Docs[ID],J835,Docs[Тип долга],"КЗ",Docs[Вид],"&lt;&gt;Дивиденды")&lt;&gt;1),AND(C835="Дивиденды",COUNTIFS(Docs[ID],J835,Docs[Вид],"Дивиденды")&lt;&gt;1),AND(C835="Проценты",COUNTIFS(Docs[ID],J835,Docs[Вид],"Проценты")&lt;&gt;1),COUNTIF(Cash[ID],A835)&gt;1,NOT(ISNUMBER(B835)),B835&lt;НачалоУчета,YEAR(B835)&lt;&gt;Год,NOT(ISNUMBER(E835)),E835&lt;=0,N835&lt;0,COUNTIF(Типы,C835)&lt;&gt;1,COUNTIF(Категории,D835)&lt;&gt;1,COUNTIF(Счета,F835)&lt;&gt;1,COUNTIF(Проекты,I835)&lt;&gt;1,AND(H835&lt;&gt;"",COUNTIF(Контрагенты,H835)&lt;&gt;1),AND(C835="Перевод",OR(F835=G835,COUNTIF(Счета,G835)&lt;&gt;1)),AND(S835&lt;&gt;0,COUNTIF(Docs[ID],J835)&lt;&gt;1),AND(Форма="ООО",C835="Вывод ИП"),AND(Форма="ИП",C835="Дивиденды"),AND(L835&lt;&gt;"Проведён",L835&lt;&gt;"Черновик")),"ОШИБКА","ОК"))</f>
        <v/>
      </c>
      <c r="W835" s="25" t="str">
        <f>IF(A835="","",SUMIF(Accounts[Счёт],F835,Accounts[Начальный])+SUMIFS($Q$7:Q835,$F$7:F835,F835)+SUMIFS($E$7:E835,$G$7:G835,F835,$C$7:C835,"Перевод",$L$7:L835,"Проведён"))</f>
        <v/>
      </c>
    </row>
    <row r="836" spans="1:23" x14ac:dyDescent="0.25">
      <c r="A836" s="22"/>
      <c r="B836" s="23"/>
      <c r="C836" s="22"/>
      <c r="D836" s="22"/>
      <c r="E836" s="27"/>
      <c r="F836" s="22"/>
      <c r="G836" s="22"/>
      <c r="H836" s="22"/>
      <c r="I836" s="22"/>
      <c r="J836" s="22"/>
      <c r="K836" s="22"/>
      <c r="L836" s="22"/>
      <c r="M836" s="22"/>
      <c r="N836" s="27"/>
      <c r="O836" s="22"/>
      <c r="P836" s="5" t="str">
        <f>IF(A836="","",IF(COUNTIF(Типы,C836)=0,0,VLOOKUP(C836,СПРАВОЧНИКИ!$A$7:$E$22,2,FALSE)))</f>
        <v/>
      </c>
      <c r="Q836" s="25" t="str">
        <f t="shared" si="12"/>
        <v/>
      </c>
      <c r="R836" s="5" t="str">
        <f>IF(A836="","",IF(COUNTIF(Типы,C836)=0,"НЕИЗВЕСТНЫЙ ТИП",VLOOKUP(C836,СПРАВОЧНИКИ!$A$7:$E$22,3,FALSE)))</f>
        <v/>
      </c>
      <c r="S836" s="26" t="str">
        <f>IF(A836="","",IF(L836="Проведён",E836*IF(COUNTIF(Типы,C836)=0,0,VLOOKUP(C836,СПРАВОЧНИКИ!$A$7:$E$22,4,FALSE)),0))</f>
        <v/>
      </c>
      <c r="T836" s="26" t="str">
        <f>IF(A836="","",IF(L836="Проведён",E836*IF(COUNTIF(Типы,C836)=0,0,VLOOKUP(C836,СПРАВОЧНИКИ!$A$7:$E$22,5,FALSE)),0))</f>
        <v/>
      </c>
      <c r="U836" s="5" t="str">
        <f>IF(A836="","",IF(COUNTIF(Контрагенты,H836)=0,"Не задан",VLOOKUP(H836,СПРАВОЧНИКИ!$G$7:$H$66,2,FALSE)))</f>
        <v/>
      </c>
      <c r="V836" s="4" t="str">
        <f>IF(A836="",IF(COUNTA(B836:O836)&gt;0,"НЕТ ID",""),IF(OR(AND(OR(C836="Оплата клиента",C836="Возврат клиенту"),COUNTIFS(Docs[ID],J836,Docs[Тип долга],"ДЗ")&lt;&gt;1),AND(OR(C836="Оплата поставщику",C836="Возврат поставщика"),COUNTIFS(Docs[ID],J836,Docs[Тип долга],"КЗ",Docs[Вид],"&lt;&gt;Дивиденды")&lt;&gt;1),AND(C836="Дивиденды",COUNTIFS(Docs[ID],J836,Docs[Вид],"Дивиденды")&lt;&gt;1),AND(C836="Проценты",COUNTIFS(Docs[ID],J836,Docs[Вид],"Проценты")&lt;&gt;1),COUNTIF(Cash[ID],A836)&gt;1,NOT(ISNUMBER(B836)),B836&lt;НачалоУчета,YEAR(B836)&lt;&gt;Год,NOT(ISNUMBER(E836)),E836&lt;=0,N836&lt;0,COUNTIF(Типы,C836)&lt;&gt;1,COUNTIF(Категории,D836)&lt;&gt;1,COUNTIF(Счета,F836)&lt;&gt;1,COUNTIF(Проекты,I836)&lt;&gt;1,AND(H836&lt;&gt;"",COUNTIF(Контрагенты,H836)&lt;&gt;1),AND(C836="Перевод",OR(F836=G836,COUNTIF(Счета,G836)&lt;&gt;1)),AND(S836&lt;&gt;0,COUNTIF(Docs[ID],J836)&lt;&gt;1),AND(Форма="ООО",C836="Вывод ИП"),AND(Форма="ИП",C836="Дивиденды"),AND(L836&lt;&gt;"Проведён",L836&lt;&gt;"Черновик")),"ОШИБКА","ОК"))</f>
        <v/>
      </c>
      <c r="W836" s="25" t="str">
        <f>IF(A836="","",SUMIF(Accounts[Счёт],F836,Accounts[Начальный])+SUMIFS($Q$7:Q836,$F$7:F836,F836)+SUMIFS($E$7:E836,$G$7:G836,F836,$C$7:C836,"Перевод",$L$7:L836,"Проведён"))</f>
        <v/>
      </c>
    </row>
    <row r="837" spans="1:23" x14ac:dyDescent="0.25">
      <c r="A837" s="22"/>
      <c r="B837" s="23"/>
      <c r="C837" s="22"/>
      <c r="D837" s="22"/>
      <c r="E837" s="27"/>
      <c r="F837" s="22"/>
      <c r="G837" s="22"/>
      <c r="H837" s="22"/>
      <c r="I837" s="22"/>
      <c r="J837" s="22"/>
      <c r="K837" s="22"/>
      <c r="L837" s="22"/>
      <c r="M837" s="22"/>
      <c r="N837" s="27"/>
      <c r="O837" s="22"/>
      <c r="P837" s="5" t="str">
        <f>IF(A837="","",IF(COUNTIF(Типы,C837)=0,0,VLOOKUP(C837,СПРАВОЧНИКИ!$A$7:$E$22,2,FALSE)))</f>
        <v/>
      </c>
      <c r="Q837" s="25" t="str">
        <f t="shared" si="12"/>
        <v/>
      </c>
      <c r="R837" s="5" t="str">
        <f>IF(A837="","",IF(COUNTIF(Типы,C837)=0,"НЕИЗВЕСТНЫЙ ТИП",VLOOKUP(C837,СПРАВОЧНИКИ!$A$7:$E$22,3,FALSE)))</f>
        <v/>
      </c>
      <c r="S837" s="26" t="str">
        <f>IF(A837="","",IF(L837="Проведён",E837*IF(COUNTIF(Типы,C837)=0,0,VLOOKUP(C837,СПРАВОЧНИКИ!$A$7:$E$22,4,FALSE)),0))</f>
        <v/>
      </c>
      <c r="T837" s="26" t="str">
        <f>IF(A837="","",IF(L837="Проведён",E837*IF(COUNTIF(Типы,C837)=0,0,VLOOKUP(C837,СПРАВОЧНИКИ!$A$7:$E$22,5,FALSE)),0))</f>
        <v/>
      </c>
      <c r="U837" s="5" t="str">
        <f>IF(A837="","",IF(COUNTIF(Контрагенты,H837)=0,"Не задан",VLOOKUP(H837,СПРАВОЧНИКИ!$G$7:$H$66,2,FALSE)))</f>
        <v/>
      </c>
      <c r="V837" s="4" t="str">
        <f>IF(A837="",IF(COUNTA(B837:O837)&gt;0,"НЕТ ID",""),IF(OR(AND(OR(C837="Оплата клиента",C837="Возврат клиенту"),COUNTIFS(Docs[ID],J837,Docs[Тип долга],"ДЗ")&lt;&gt;1),AND(OR(C837="Оплата поставщику",C837="Возврат поставщика"),COUNTIFS(Docs[ID],J837,Docs[Тип долга],"КЗ",Docs[Вид],"&lt;&gt;Дивиденды")&lt;&gt;1),AND(C837="Дивиденды",COUNTIFS(Docs[ID],J837,Docs[Вид],"Дивиденды")&lt;&gt;1),AND(C837="Проценты",COUNTIFS(Docs[ID],J837,Docs[Вид],"Проценты")&lt;&gt;1),COUNTIF(Cash[ID],A837)&gt;1,NOT(ISNUMBER(B837)),B837&lt;НачалоУчета,YEAR(B837)&lt;&gt;Год,NOT(ISNUMBER(E837)),E837&lt;=0,N837&lt;0,COUNTIF(Типы,C837)&lt;&gt;1,COUNTIF(Категории,D837)&lt;&gt;1,COUNTIF(Счета,F837)&lt;&gt;1,COUNTIF(Проекты,I837)&lt;&gt;1,AND(H837&lt;&gt;"",COUNTIF(Контрагенты,H837)&lt;&gt;1),AND(C837="Перевод",OR(F837=G837,COUNTIF(Счета,G837)&lt;&gt;1)),AND(S837&lt;&gt;0,COUNTIF(Docs[ID],J837)&lt;&gt;1),AND(Форма="ООО",C837="Вывод ИП"),AND(Форма="ИП",C837="Дивиденды"),AND(L837&lt;&gt;"Проведён",L837&lt;&gt;"Черновик")),"ОШИБКА","ОК"))</f>
        <v/>
      </c>
      <c r="W837" s="25" t="str">
        <f>IF(A837="","",SUMIF(Accounts[Счёт],F837,Accounts[Начальный])+SUMIFS($Q$7:Q837,$F$7:F837,F837)+SUMIFS($E$7:E837,$G$7:G837,F837,$C$7:C837,"Перевод",$L$7:L837,"Проведён"))</f>
        <v/>
      </c>
    </row>
    <row r="838" spans="1:23" x14ac:dyDescent="0.25">
      <c r="A838" s="22"/>
      <c r="B838" s="23"/>
      <c r="C838" s="22"/>
      <c r="D838" s="22"/>
      <c r="E838" s="27"/>
      <c r="F838" s="22"/>
      <c r="G838" s="22"/>
      <c r="H838" s="22"/>
      <c r="I838" s="22"/>
      <c r="J838" s="22"/>
      <c r="K838" s="22"/>
      <c r="L838" s="22"/>
      <c r="M838" s="22"/>
      <c r="N838" s="27"/>
      <c r="O838" s="22"/>
      <c r="P838" s="5" t="str">
        <f>IF(A838="","",IF(COUNTIF(Типы,C838)=0,0,VLOOKUP(C838,СПРАВОЧНИКИ!$A$7:$E$22,2,FALSE)))</f>
        <v/>
      </c>
      <c r="Q838" s="25" t="str">
        <f t="shared" si="12"/>
        <v/>
      </c>
      <c r="R838" s="5" t="str">
        <f>IF(A838="","",IF(COUNTIF(Типы,C838)=0,"НЕИЗВЕСТНЫЙ ТИП",VLOOKUP(C838,СПРАВОЧНИКИ!$A$7:$E$22,3,FALSE)))</f>
        <v/>
      </c>
      <c r="S838" s="26" t="str">
        <f>IF(A838="","",IF(L838="Проведён",E838*IF(COUNTIF(Типы,C838)=0,0,VLOOKUP(C838,СПРАВОЧНИКИ!$A$7:$E$22,4,FALSE)),0))</f>
        <v/>
      </c>
      <c r="T838" s="26" t="str">
        <f>IF(A838="","",IF(L838="Проведён",E838*IF(COUNTIF(Типы,C838)=0,0,VLOOKUP(C838,СПРАВОЧНИКИ!$A$7:$E$22,5,FALSE)),0))</f>
        <v/>
      </c>
      <c r="U838" s="5" t="str">
        <f>IF(A838="","",IF(COUNTIF(Контрагенты,H838)=0,"Не задан",VLOOKUP(H838,СПРАВОЧНИКИ!$G$7:$H$66,2,FALSE)))</f>
        <v/>
      </c>
      <c r="V838" s="4" t="str">
        <f>IF(A838="",IF(COUNTA(B838:O838)&gt;0,"НЕТ ID",""),IF(OR(AND(OR(C838="Оплата клиента",C838="Возврат клиенту"),COUNTIFS(Docs[ID],J838,Docs[Тип долга],"ДЗ")&lt;&gt;1),AND(OR(C838="Оплата поставщику",C838="Возврат поставщика"),COUNTIFS(Docs[ID],J838,Docs[Тип долга],"КЗ",Docs[Вид],"&lt;&gt;Дивиденды")&lt;&gt;1),AND(C838="Дивиденды",COUNTIFS(Docs[ID],J838,Docs[Вид],"Дивиденды")&lt;&gt;1),AND(C838="Проценты",COUNTIFS(Docs[ID],J838,Docs[Вид],"Проценты")&lt;&gt;1),COUNTIF(Cash[ID],A838)&gt;1,NOT(ISNUMBER(B838)),B838&lt;НачалоУчета,YEAR(B838)&lt;&gt;Год,NOT(ISNUMBER(E838)),E838&lt;=0,N838&lt;0,COUNTIF(Типы,C838)&lt;&gt;1,COUNTIF(Категории,D838)&lt;&gt;1,COUNTIF(Счета,F838)&lt;&gt;1,COUNTIF(Проекты,I838)&lt;&gt;1,AND(H838&lt;&gt;"",COUNTIF(Контрагенты,H838)&lt;&gt;1),AND(C838="Перевод",OR(F838=G838,COUNTIF(Счета,G838)&lt;&gt;1)),AND(S838&lt;&gt;0,COUNTIF(Docs[ID],J838)&lt;&gt;1),AND(Форма="ООО",C838="Вывод ИП"),AND(Форма="ИП",C838="Дивиденды"),AND(L838&lt;&gt;"Проведён",L838&lt;&gt;"Черновик")),"ОШИБКА","ОК"))</f>
        <v/>
      </c>
      <c r="W838" s="25" t="str">
        <f>IF(A838="","",SUMIF(Accounts[Счёт],F838,Accounts[Начальный])+SUMIFS($Q$7:Q838,$F$7:F838,F838)+SUMIFS($E$7:E838,$G$7:G838,F838,$C$7:C838,"Перевод",$L$7:L838,"Проведён"))</f>
        <v/>
      </c>
    </row>
    <row r="839" spans="1:23" x14ac:dyDescent="0.25">
      <c r="A839" s="22"/>
      <c r="B839" s="23"/>
      <c r="C839" s="22"/>
      <c r="D839" s="22"/>
      <c r="E839" s="27"/>
      <c r="F839" s="22"/>
      <c r="G839" s="22"/>
      <c r="H839" s="22"/>
      <c r="I839" s="22"/>
      <c r="J839" s="22"/>
      <c r="K839" s="22"/>
      <c r="L839" s="22"/>
      <c r="M839" s="22"/>
      <c r="N839" s="27"/>
      <c r="O839" s="22"/>
      <c r="P839" s="5" t="str">
        <f>IF(A839="","",IF(COUNTIF(Типы,C839)=0,0,VLOOKUP(C839,СПРАВОЧНИКИ!$A$7:$E$22,2,FALSE)))</f>
        <v/>
      </c>
      <c r="Q839" s="25" t="str">
        <f t="shared" ref="Q839:Q902" si="13">IF(A839="","",IF(L839="Проведён",E839*P839,0))</f>
        <v/>
      </c>
      <c r="R839" s="5" t="str">
        <f>IF(A839="","",IF(COUNTIF(Типы,C839)=0,"НЕИЗВЕСТНЫЙ ТИП",VLOOKUP(C839,СПРАВОЧНИКИ!$A$7:$E$22,3,FALSE)))</f>
        <v/>
      </c>
      <c r="S839" s="26" t="str">
        <f>IF(A839="","",IF(L839="Проведён",E839*IF(COUNTIF(Типы,C839)=0,0,VLOOKUP(C839,СПРАВОЧНИКИ!$A$7:$E$22,4,FALSE)),0))</f>
        <v/>
      </c>
      <c r="T839" s="26" t="str">
        <f>IF(A839="","",IF(L839="Проведён",E839*IF(COUNTIF(Типы,C839)=0,0,VLOOKUP(C839,СПРАВОЧНИКИ!$A$7:$E$22,5,FALSE)),0))</f>
        <v/>
      </c>
      <c r="U839" s="5" t="str">
        <f>IF(A839="","",IF(COUNTIF(Контрагенты,H839)=0,"Не задан",VLOOKUP(H839,СПРАВОЧНИКИ!$G$7:$H$66,2,FALSE)))</f>
        <v/>
      </c>
      <c r="V839" s="4" t="str">
        <f>IF(A839="",IF(COUNTA(B839:O839)&gt;0,"НЕТ ID",""),IF(OR(AND(OR(C839="Оплата клиента",C839="Возврат клиенту"),COUNTIFS(Docs[ID],J839,Docs[Тип долга],"ДЗ")&lt;&gt;1),AND(OR(C839="Оплата поставщику",C839="Возврат поставщика"),COUNTIFS(Docs[ID],J839,Docs[Тип долга],"КЗ",Docs[Вид],"&lt;&gt;Дивиденды")&lt;&gt;1),AND(C839="Дивиденды",COUNTIFS(Docs[ID],J839,Docs[Вид],"Дивиденды")&lt;&gt;1),AND(C839="Проценты",COUNTIFS(Docs[ID],J839,Docs[Вид],"Проценты")&lt;&gt;1),COUNTIF(Cash[ID],A839)&gt;1,NOT(ISNUMBER(B839)),B839&lt;НачалоУчета,YEAR(B839)&lt;&gt;Год,NOT(ISNUMBER(E839)),E839&lt;=0,N839&lt;0,COUNTIF(Типы,C839)&lt;&gt;1,COUNTIF(Категории,D839)&lt;&gt;1,COUNTIF(Счета,F839)&lt;&gt;1,COUNTIF(Проекты,I839)&lt;&gt;1,AND(H839&lt;&gt;"",COUNTIF(Контрагенты,H839)&lt;&gt;1),AND(C839="Перевод",OR(F839=G839,COUNTIF(Счета,G839)&lt;&gt;1)),AND(S839&lt;&gt;0,COUNTIF(Docs[ID],J839)&lt;&gt;1),AND(Форма="ООО",C839="Вывод ИП"),AND(Форма="ИП",C839="Дивиденды"),AND(L839&lt;&gt;"Проведён",L839&lt;&gt;"Черновик")),"ОШИБКА","ОК"))</f>
        <v/>
      </c>
      <c r="W839" s="25" t="str">
        <f>IF(A839="","",SUMIF(Accounts[Счёт],F839,Accounts[Начальный])+SUMIFS($Q$7:Q839,$F$7:F839,F839)+SUMIFS($E$7:E839,$G$7:G839,F839,$C$7:C839,"Перевод",$L$7:L839,"Проведён"))</f>
        <v/>
      </c>
    </row>
    <row r="840" spans="1:23" x14ac:dyDescent="0.25">
      <c r="A840" s="22"/>
      <c r="B840" s="23"/>
      <c r="C840" s="22"/>
      <c r="D840" s="22"/>
      <c r="E840" s="27"/>
      <c r="F840" s="22"/>
      <c r="G840" s="22"/>
      <c r="H840" s="22"/>
      <c r="I840" s="22"/>
      <c r="J840" s="22"/>
      <c r="K840" s="22"/>
      <c r="L840" s="22"/>
      <c r="M840" s="22"/>
      <c r="N840" s="27"/>
      <c r="O840" s="22"/>
      <c r="P840" s="5" t="str">
        <f>IF(A840="","",IF(COUNTIF(Типы,C840)=0,0,VLOOKUP(C840,СПРАВОЧНИКИ!$A$7:$E$22,2,FALSE)))</f>
        <v/>
      </c>
      <c r="Q840" s="25" t="str">
        <f t="shared" si="13"/>
        <v/>
      </c>
      <c r="R840" s="5" t="str">
        <f>IF(A840="","",IF(COUNTIF(Типы,C840)=0,"НЕИЗВЕСТНЫЙ ТИП",VLOOKUP(C840,СПРАВОЧНИКИ!$A$7:$E$22,3,FALSE)))</f>
        <v/>
      </c>
      <c r="S840" s="26" t="str">
        <f>IF(A840="","",IF(L840="Проведён",E840*IF(COUNTIF(Типы,C840)=0,0,VLOOKUP(C840,СПРАВОЧНИКИ!$A$7:$E$22,4,FALSE)),0))</f>
        <v/>
      </c>
      <c r="T840" s="26" t="str">
        <f>IF(A840="","",IF(L840="Проведён",E840*IF(COUNTIF(Типы,C840)=0,0,VLOOKUP(C840,СПРАВОЧНИКИ!$A$7:$E$22,5,FALSE)),0))</f>
        <v/>
      </c>
      <c r="U840" s="5" t="str">
        <f>IF(A840="","",IF(COUNTIF(Контрагенты,H840)=0,"Не задан",VLOOKUP(H840,СПРАВОЧНИКИ!$G$7:$H$66,2,FALSE)))</f>
        <v/>
      </c>
      <c r="V840" s="4" t="str">
        <f>IF(A840="",IF(COUNTA(B840:O840)&gt;0,"НЕТ ID",""),IF(OR(AND(OR(C840="Оплата клиента",C840="Возврат клиенту"),COUNTIFS(Docs[ID],J840,Docs[Тип долга],"ДЗ")&lt;&gt;1),AND(OR(C840="Оплата поставщику",C840="Возврат поставщика"),COUNTIFS(Docs[ID],J840,Docs[Тип долга],"КЗ",Docs[Вид],"&lt;&gt;Дивиденды")&lt;&gt;1),AND(C840="Дивиденды",COUNTIFS(Docs[ID],J840,Docs[Вид],"Дивиденды")&lt;&gt;1),AND(C840="Проценты",COUNTIFS(Docs[ID],J840,Docs[Вид],"Проценты")&lt;&gt;1),COUNTIF(Cash[ID],A840)&gt;1,NOT(ISNUMBER(B840)),B840&lt;НачалоУчета,YEAR(B840)&lt;&gt;Год,NOT(ISNUMBER(E840)),E840&lt;=0,N840&lt;0,COUNTIF(Типы,C840)&lt;&gt;1,COUNTIF(Категории,D840)&lt;&gt;1,COUNTIF(Счета,F840)&lt;&gt;1,COUNTIF(Проекты,I840)&lt;&gt;1,AND(H840&lt;&gt;"",COUNTIF(Контрагенты,H840)&lt;&gt;1),AND(C840="Перевод",OR(F840=G840,COUNTIF(Счета,G840)&lt;&gt;1)),AND(S840&lt;&gt;0,COUNTIF(Docs[ID],J840)&lt;&gt;1),AND(Форма="ООО",C840="Вывод ИП"),AND(Форма="ИП",C840="Дивиденды"),AND(L840&lt;&gt;"Проведён",L840&lt;&gt;"Черновик")),"ОШИБКА","ОК"))</f>
        <v/>
      </c>
      <c r="W840" s="25" t="str">
        <f>IF(A840="","",SUMIF(Accounts[Счёт],F840,Accounts[Начальный])+SUMIFS($Q$7:Q840,$F$7:F840,F840)+SUMIFS($E$7:E840,$G$7:G840,F840,$C$7:C840,"Перевод",$L$7:L840,"Проведён"))</f>
        <v/>
      </c>
    </row>
    <row r="841" spans="1:23" x14ac:dyDescent="0.25">
      <c r="A841" s="22"/>
      <c r="B841" s="23"/>
      <c r="C841" s="22"/>
      <c r="D841" s="22"/>
      <c r="E841" s="27"/>
      <c r="F841" s="22"/>
      <c r="G841" s="22"/>
      <c r="H841" s="22"/>
      <c r="I841" s="22"/>
      <c r="J841" s="22"/>
      <c r="K841" s="22"/>
      <c r="L841" s="22"/>
      <c r="M841" s="22"/>
      <c r="N841" s="27"/>
      <c r="O841" s="22"/>
      <c r="P841" s="5" t="str">
        <f>IF(A841="","",IF(COUNTIF(Типы,C841)=0,0,VLOOKUP(C841,СПРАВОЧНИКИ!$A$7:$E$22,2,FALSE)))</f>
        <v/>
      </c>
      <c r="Q841" s="25" t="str">
        <f t="shared" si="13"/>
        <v/>
      </c>
      <c r="R841" s="5" t="str">
        <f>IF(A841="","",IF(COUNTIF(Типы,C841)=0,"НЕИЗВЕСТНЫЙ ТИП",VLOOKUP(C841,СПРАВОЧНИКИ!$A$7:$E$22,3,FALSE)))</f>
        <v/>
      </c>
      <c r="S841" s="26" t="str">
        <f>IF(A841="","",IF(L841="Проведён",E841*IF(COUNTIF(Типы,C841)=0,0,VLOOKUP(C841,СПРАВОЧНИКИ!$A$7:$E$22,4,FALSE)),0))</f>
        <v/>
      </c>
      <c r="T841" s="26" t="str">
        <f>IF(A841="","",IF(L841="Проведён",E841*IF(COUNTIF(Типы,C841)=0,0,VLOOKUP(C841,СПРАВОЧНИКИ!$A$7:$E$22,5,FALSE)),0))</f>
        <v/>
      </c>
      <c r="U841" s="5" t="str">
        <f>IF(A841="","",IF(COUNTIF(Контрагенты,H841)=0,"Не задан",VLOOKUP(H841,СПРАВОЧНИКИ!$G$7:$H$66,2,FALSE)))</f>
        <v/>
      </c>
      <c r="V841" s="4" t="str">
        <f>IF(A841="",IF(COUNTA(B841:O841)&gt;0,"НЕТ ID",""),IF(OR(AND(OR(C841="Оплата клиента",C841="Возврат клиенту"),COUNTIFS(Docs[ID],J841,Docs[Тип долга],"ДЗ")&lt;&gt;1),AND(OR(C841="Оплата поставщику",C841="Возврат поставщика"),COUNTIFS(Docs[ID],J841,Docs[Тип долга],"КЗ",Docs[Вид],"&lt;&gt;Дивиденды")&lt;&gt;1),AND(C841="Дивиденды",COUNTIFS(Docs[ID],J841,Docs[Вид],"Дивиденды")&lt;&gt;1),AND(C841="Проценты",COUNTIFS(Docs[ID],J841,Docs[Вид],"Проценты")&lt;&gt;1),COUNTIF(Cash[ID],A841)&gt;1,NOT(ISNUMBER(B841)),B841&lt;НачалоУчета,YEAR(B841)&lt;&gt;Год,NOT(ISNUMBER(E841)),E841&lt;=0,N841&lt;0,COUNTIF(Типы,C841)&lt;&gt;1,COUNTIF(Категории,D841)&lt;&gt;1,COUNTIF(Счета,F841)&lt;&gt;1,COUNTIF(Проекты,I841)&lt;&gt;1,AND(H841&lt;&gt;"",COUNTIF(Контрагенты,H841)&lt;&gt;1),AND(C841="Перевод",OR(F841=G841,COUNTIF(Счета,G841)&lt;&gt;1)),AND(S841&lt;&gt;0,COUNTIF(Docs[ID],J841)&lt;&gt;1),AND(Форма="ООО",C841="Вывод ИП"),AND(Форма="ИП",C841="Дивиденды"),AND(L841&lt;&gt;"Проведён",L841&lt;&gt;"Черновик")),"ОШИБКА","ОК"))</f>
        <v/>
      </c>
      <c r="W841" s="25" t="str">
        <f>IF(A841="","",SUMIF(Accounts[Счёт],F841,Accounts[Начальный])+SUMIFS($Q$7:Q841,$F$7:F841,F841)+SUMIFS($E$7:E841,$G$7:G841,F841,$C$7:C841,"Перевод",$L$7:L841,"Проведён"))</f>
        <v/>
      </c>
    </row>
    <row r="842" spans="1:23" x14ac:dyDescent="0.25">
      <c r="A842" s="22"/>
      <c r="B842" s="23"/>
      <c r="C842" s="22"/>
      <c r="D842" s="22"/>
      <c r="E842" s="27"/>
      <c r="F842" s="22"/>
      <c r="G842" s="22"/>
      <c r="H842" s="22"/>
      <c r="I842" s="22"/>
      <c r="J842" s="22"/>
      <c r="K842" s="22"/>
      <c r="L842" s="22"/>
      <c r="M842" s="22"/>
      <c r="N842" s="27"/>
      <c r="O842" s="22"/>
      <c r="P842" s="5" t="str">
        <f>IF(A842="","",IF(COUNTIF(Типы,C842)=0,0,VLOOKUP(C842,СПРАВОЧНИКИ!$A$7:$E$22,2,FALSE)))</f>
        <v/>
      </c>
      <c r="Q842" s="25" t="str">
        <f t="shared" si="13"/>
        <v/>
      </c>
      <c r="R842" s="5" t="str">
        <f>IF(A842="","",IF(COUNTIF(Типы,C842)=0,"НЕИЗВЕСТНЫЙ ТИП",VLOOKUP(C842,СПРАВОЧНИКИ!$A$7:$E$22,3,FALSE)))</f>
        <v/>
      </c>
      <c r="S842" s="26" t="str">
        <f>IF(A842="","",IF(L842="Проведён",E842*IF(COUNTIF(Типы,C842)=0,0,VLOOKUP(C842,СПРАВОЧНИКИ!$A$7:$E$22,4,FALSE)),0))</f>
        <v/>
      </c>
      <c r="T842" s="26" t="str">
        <f>IF(A842="","",IF(L842="Проведён",E842*IF(COUNTIF(Типы,C842)=0,0,VLOOKUP(C842,СПРАВОЧНИКИ!$A$7:$E$22,5,FALSE)),0))</f>
        <v/>
      </c>
      <c r="U842" s="5" t="str">
        <f>IF(A842="","",IF(COUNTIF(Контрагенты,H842)=0,"Не задан",VLOOKUP(H842,СПРАВОЧНИКИ!$G$7:$H$66,2,FALSE)))</f>
        <v/>
      </c>
      <c r="V842" s="4" t="str">
        <f>IF(A842="",IF(COUNTA(B842:O842)&gt;0,"НЕТ ID",""),IF(OR(AND(OR(C842="Оплата клиента",C842="Возврат клиенту"),COUNTIFS(Docs[ID],J842,Docs[Тип долга],"ДЗ")&lt;&gt;1),AND(OR(C842="Оплата поставщику",C842="Возврат поставщика"),COUNTIFS(Docs[ID],J842,Docs[Тип долга],"КЗ",Docs[Вид],"&lt;&gt;Дивиденды")&lt;&gt;1),AND(C842="Дивиденды",COUNTIFS(Docs[ID],J842,Docs[Вид],"Дивиденды")&lt;&gt;1),AND(C842="Проценты",COUNTIFS(Docs[ID],J842,Docs[Вид],"Проценты")&lt;&gt;1),COUNTIF(Cash[ID],A842)&gt;1,NOT(ISNUMBER(B842)),B842&lt;НачалоУчета,YEAR(B842)&lt;&gt;Год,NOT(ISNUMBER(E842)),E842&lt;=0,N842&lt;0,COUNTIF(Типы,C842)&lt;&gt;1,COUNTIF(Категории,D842)&lt;&gt;1,COUNTIF(Счета,F842)&lt;&gt;1,COUNTIF(Проекты,I842)&lt;&gt;1,AND(H842&lt;&gt;"",COUNTIF(Контрагенты,H842)&lt;&gt;1),AND(C842="Перевод",OR(F842=G842,COUNTIF(Счета,G842)&lt;&gt;1)),AND(S842&lt;&gt;0,COUNTIF(Docs[ID],J842)&lt;&gt;1),AND(Форма="ООО",C842="Вывод ИП"),AND(Форма="ИП",C842="Дивиденды"),AND(L842&lt;&gt;"Проведён",L842&lt;&gt;"Черновик")),"ОШИБКА","ОК"))</f>
        <v/>
      </c>
      <c r="W842" s="25" t="str">
        <f>IF(A842="","",SUMIF(Accounts[Счёт],F842,Accounts[Начальный])+SUMIFS($Q$7:Q842,$F$7:F842,F842)+SUMIFS($E$7:E842,$G$7:G842,F842,$C$7:C842,"Перевод",$L$7:L842,"Проведён"))</f>
        <v/>
      </c>
    </row>
    <row r="843" spans="1:23" x14ac:dyDescent="0.25">
      <c r="A843" s="22"/>
      <c r="B843" s="23"/>
      <c r="C843" s="22"/>
      <c r="D843" s="22"/>
      <c r="E843" s="27"/>
      <c r="F843" s="22"/>
      <c r="G843" s="22"/>
      <c r="H843" s="22"/>
      <c r="I843" s="22"/>
      <c r="J843" s="22"/>
      <c r="K843" s="22"/>
      <c r="L843" s="22"/>
      <c r="M843" s="22"/>
      <c r="N843" s="27"/>
      <c r="O843" s="22"/>
      <c r="P843" s="5" t="str">
        <f>IF(A843="","",IF(COUNTIF(Типы,C843)=0,0,VLOOKUP(C843,СПРАВОЧНИКИ!$A$7:$E$22,2,FALSE)))</f>
        <v/>
      </c>
      <c r="Q843" s="25" t="str">
        <f t="shared" si="13"/>
        <v/>
      </c>
      <c r="R843" s="5" t="str">
        <f>IF(A843="","",IF(COUNTIF(Типы,C843)=0,"НЕИЗВЕСТНЫЙ ТИП",VLOOKUP(C843,СПРАВОЧНИКИ!$A$7:$E$22,3,FALSE)))</f>
        <v/>
      </c>
      <c r="S843" s="26" t="str">
        <f>IF(A843="","",IF(L843="Проведён",E843*IF(COUNTIF(Типы,C843)=0,0,VLOOKUP(C843,СПРАВОЧНИКИ!$A$7:$E$22,4,FALSE)),0))</f>
        <v/>
      </c>
      <c r="T843" s="26" t="str">
        <f>IF(A843="","",IF(L843="Проведён",E843*IF(COUNTIF(Типы,C843)=0,0,VLOOKUP(C843,СПРАВОЧНИКИ!$A$7:$E$22,5,FALSE)),0))</f>
        <v/>
      </c>
      <c r="U843" s="5" t="str">
        <f>IF(A843="","",IF(COUNTIF(Контрагенты,H843)=0,"Не задан",VLOOKUP(H843,СПРАВОЧНИКИ!$G$7:$H$66,2,FALSE)))</f>
        <v/>
      </c>
      <c r="V843" s="4" t="str">
        <f>IF(A843="",IF(COUNTA(B843:O843)&gt;0,"НЕТ ID",""),IF(OR(AND(OR(C843="Оплата клиента",C843="Возврат клиенту"),COUNTIFS(Docs[ID],J843,Docs[Тип долга],"ДЗ")&lt;&gt;1),AND(OR(C843="Оплата поставщику",C843="Возврат поставщика"),COUNTIFS(Docs[ID],J843,Docs[Тип долга],"КЗ",Docs[Вид],"&lt;&gt;Дивиденды")&lt;&gt;1),AND(C843="Дивиденды",COUNTIFS(Docs[ID],J843,Docs[Вид],"Дивиденды")&lt;&gt;1),AND(C843="Проценты",COUNTIFS(Docs[ID],J843,Docs[Вид],"Проценты")&lt;&gt;1),COUNTIF(Cash[ID],A843)&gt;1,NOT(ISNUMBER(B843)),B843&lt;НачалоУчета,YEAR(B843)&lt;&gt;Год,NOT(ISNUMBER(E843)),E843&lt;=0,N843&lt;0,COUNTIF(Типы,C843)&lt;&gt;1,COUNTIF(Категории,D843)&lt;&gt;1,COUNTIF(Счета,F843)&lt;&gt;1,COUNTIF(Проекты,I843)&lt;&gt;1,AND(H843&lt;&gt;"",COUNTIF(Контрагенты,H843)&lt;&gt;1),AND(C843="Перевод",OR(F843=G843,COUNTIF(Счета,G843)&lt;&gt;1)),AND(S843&lt;&gt;0,COUNTIF(Docs[ID],J843)&lt;&gt;1),AND(Форма="ООО",C843="Вывод ИП"),AND(Форма="ИП",C843="Дивиденды"),AND(L843&lt;&gt;"Проведён",L843&lt;&gt;"Черновик")),"ОШИБКА","ОК"))</f>
        <v/>
      </c>
      <c r="W843" s="25" t="str">
        <f>IF(A843="","",SUMIF(Accounts[Счёт],F843,Accounts[Начальный])+SUMIFS($Q$7:Q843,$F$7:F843,F843)+SUMIFS($E$7:E843,$G$7:G843,F843,$C$7:C843,"Перевод",$L$7:L843,"Проведён"))</f>
        <v/>
      </c>
    </row>
    <row r="844" spans="1:23" x14ac:dyDescent="0.25">
      <c r="A844" s="22"/>
      <c r="B844" s="23"/>
      <c r="C844" s="22"/>
      <c r="D844" s="22"/>
      <c r="E844" s="27"/>
      <c r="F844" s="22"/>
      <c r="G844" s="22"/>
      <c r="H844" s="22"/>
      <c r="I844" s="22"/>
      <c r="J844" s="22"/>
      <c r="K844" s="22"/>
      <c r="L844" s="22"/>
      <c r="M844" s="22"/>
      <c r="N844" s="27"/>
      <c r="O844" s="22"/>
      <c r="P844" s="5" t="str">
        <f>IF(A844="","",IF(COUNTIF(Типы,C844)=0,0,VLOOKUP(C844,СПРАВОЧНИКИ!$A$7:$E$22,2,FALSE)))</f>
        <v/>
      </c>
      <c r="Q844" s="25" t="str">
        <f t="shared" si="13"/>
        <v/>
      </c>
      <c r="R844" s="5" t="str">
        <f>IF(A844="","",IF(COUNTIF(Типы,C844)=0,"НЕИЗВЕСТНЫЙ ТИП",VLOOKUP(C844,СПРАВОЧНИКИ!$A$7:$E$22,3,FALSE)))</f>
        <v/>
      </c>
      <c r="S844" s="26" t="str">
        <f>IF(A844="","",IF(L844="Проведён",E844*IF(COUNTIF(Типы,C844)=0,0,VLOOKUP(C844,СПРАВОЧНИКИ!$A$7:$E$22,4,FALSE)),0))</f>
        <v/>
      </c>
      <c r="T844" s="26" t="str">
        <f>IF(A844="","",IF(L844="Проведён",E844*IF(COUNTIF(Типы,C844)=0,0,VLOOKUP(C844,СПРАВОЧНИКИ!$A$7:$E$22,5,FALSE)),0))</f>
        <v/>
      </c>
      <c r="U844" s="5" t="str">
        <f>IF(A844="","",IF(COUNTIF(Контрагенты,H844)=0,"Не задан",VLOOKUP(H844,СПРАВОЧНИКИ!$G$7:$H$66,2,FALSE)))</f>
        <v/>
      </c>
      <c r="V844" s="4" t="str">
        <f>IF(A844="",IF(COUNTA(B844:O844)&gt;0,"НЕТ ID",""),IF(OR(AND(OR(C844="Оплата клиента",C844="Возврат клиенту"),COUNTIFS(Docs[ID],J844,Docs[Тип долга],"ДЗ")&lt;&gt;1),AND(OR(C844="Оплата поставщику",C844="Возврат поставщика"),COUNTIFS(Docs[ID],J844,Docs[Тип долга],"КЗ",Docs[Вид],"&lt;&gt;Дивиденды")&lt;&gt;1),AND(C844="Дивиденды",COUNTIFS(Docs[ID],J844,Docs[Вид],"Дивиденды")&lt;&gt;1),AND(C844="Проценты",COUNTIFS(Docs[ID],J844,Docs[Вид],"Проценты")&lt;&gt;1),COUNTIF(Cash[ID],A844)&gt;1,NOT(ISNUMBER(B844)),B844&lt;НачалоУчета,YEAR(B844)&lt;&gt;Год,NOT(ISNUMBER(E844)),E844&lt;=0,N844&lt;0,COUNTIF(Типы,C844)&lt;&gt;1,COUNTIF(Категории,D844)&lt;&gt;1,COUNTIF(Счета,F844)&lt;&gt;1,COUNTIF(Проекты,I844)&lt;&gt;1,AND(H844&lt;&gt;"",COUNTIF(Контрагенты,H844)&lt;&gt;1),AND(C844="Перевод",OR(F844=G844,COUNTIF(Счета,G844)&lt;&gt;1)),AND(S844&lt;&gt;0,COUNTIF(Docs[ID],J844)&lt;&gt;1),AND(Форма="ООО",C844="Вывод ИП"),AND(Форма="ИП",C844="Дивиденды"),AND(L844&lt;&gt;"Проведён",L844&lt;&gt;"Черновик")),"ОШИБКА","ОК"))</f>
        <v/>
      </c>
      <c r="W844" s="25" t="str">
        <f>IF(A844="","",SUMIF(Accounts[Счёт],F844,Accounts[Начальный])+SUMIFS($Q$7:Q844,$F$7:F844,F844)+SUMIFS($E$7:E844,$G$7:G844,F844,$C$7:C844,"Перевод",$L$7:L844,"Проведён"))</f>
        <v/>
      </c>
    </row>
    <row r="845" spans="1:23" x14ac:dyDescent="0.25">
      <c r="A845" s="22"/>
      <c r="B845" s="23"/>
      <c r="C845" s="22"/>
      <c r="D845" s="22"/>
      <c r="E845" s="27"/>
      <c r="F845" s="22"/>
      <c r="G845" s="22"/>
      <c r="H845" s="22"/>
      <c r="I845" s="22"/>
      <c r="J845" s="22"/>
      <c r="K845" s="22"/>
      <c r="L845" s="22"/>
      <c r="M845" s="22"/>
      <c r="N845" s="27"/>
      <c r="O845" s="22"/>
      <c r="P845" s="5" t="str">
        <f>IF(A845="","",IF(COUNTIF(Типы,C845)=0,0,VLOOKUP(C845,СПРАВОЧНИКИ!$A$7:$E$22,2,FALSE)))</f>
        <v/>
      </c>
      <c r="Q845" s="25" t="str">
        <f t="shared" si="13"/>
        <v/>
      </c>
      <c r="R845" s="5" t="str">
        <f>IF(A845="","",IF(COUNTIF(Типы,C845)=0,"НЕИЗВЕСТНЫЙ ТИП",VLOOKUP(C845,СПРАВОЧНИКИ!$A$7:$E$22,3,FALSE)))</f>
        <v/>
      </c>
      <c r="S845" s="26" t="str">
        <f>IF(A845="","",IF(L845="Проведён",E845*IF(COUNTIF(Типы,C845)=0,0,VLOOKUP(C845,СПРАВОЧНИКИ!$A$7:$E$22,4,FALSE)),0))</f>
        <v/>
      </c>
      <c r="T845" s="26" t="str">
        <f>IF(A845="","",IF(L845="Проведён",E845*IF(COUNTIF(Типы,C845)=0,0,VLOOKUP(C845,СПРАВОЧНИКИ!$A$7:$E$22,5,FALSE)),0))</f>
        <v/>
      </c>
      <c r="U845" s="5" t="str">
        <f>IF(A845="","",IF(COUNTIF(Контрагенты,H845)=0,"Не задан",VLOOKUP(H845,СПРАВОЧНИКИ!$G$7:$H$66,2,FALSE)))</f>
        <v/>
      </c>
      <c r="V845" s="4" t="str">
        <f>IF(A845="",IF(COUNTA(B845:O845)&gt;0,"НЕТ ID",""),IF(OR(AND(OR(C845="Оплата клиента",C845="Возврат клиенту"),COUNTIFS(Docs[ID],J845,Docs[Тип долга],"ДЗ")&lt;&gt;1),AND(OR(C845="Оплата поставщику",C845="Возврат поставщика"),COUNTIFS(Docs[ID],J845,Docs[Тип долга],"КЗ",Docs[Вид],"&lt;&gt;Дивиденды")&lt;&gt;1),AND(C845="Дивиденды",COUNTIFS(Docs[ID],J845,Docs[Вид],"Дивиденды")&lt;&gt;1),AND(C845="Проценты",COUNTIFS(Docs[ID],J845,Docs[Вид],"Проценты")&lt;&gt;1),COUNTIF(Cash[ID],A845)&gt;1,NOT(ISNUMBER(B845)),B845&lt;НачалоУчета,YEAR(B845)&lt;&gt;Год,NOT(ISNUMBER(E845)),E845&lt;=0,N845&lt;0,COUNTIF(Типы,C845)&lt;&gt;1,COUNTIF(Категории,D845)&lt;&gt;1,COUNTIF(Счета,F845)&lt;&gt;1,COUNTIF(Проекты,I845)&lt;&gt;1,AND(H845&lt;&gt;"",COUNTIF(Контрагенты,H845)&lt;&gt;1),AND(C845="Перевод",OR(F845=G845,COUNTIF(Счета,G845)&lt;&gt;1)),AND(S845&lt;&gt;0,COUNTIF(Docs[ID],J845)&lt;&gt;1),AND(Форма="ООО",C845="Вывод ИП"),AND(Форма="ИП",C845="Дивиденды"),AND(L845&lt;&gt;"Проведён",L845&lt;&gt;"Черновик")),"ОШИБКА","ОК"))</f>
        <v/>
      </c>
      <c r="W845" s="25" t="str">
        <f>IF(A845="","",SUMIF(Accounts[Счёт],F845,Accounts[Начальный])+SUMIFS($Q$7:Q845,$F$7:F845,F845)+SUMIFS($E$7:E845,$G$7:G845,F845,$C$7:C845,"Перевод",$L$7:L845,"Проведён"))</f>
        <v/>
      </c>
    </row>
    <row r="846" spans="1:23" x14ac:dyDescent="0.25">
      <c r="A846" s="22"/>
      <c r="B846" s="23"/>
      <c r="C846" s="22"/>
      <c r="D846" s="22"/>
      <c r="E846" s="27"/>
      <c r="F846" s="22"/>
      <c r="G846" s="22"/>
      <c r="H846" s="22"/>
      <c r="I846" s="22"/>
      <c r="J846" s="22"/>
      <c r="K846" s="22"/>
      <c r="L846" s="22"/>
      <c r="M846" s="22"/>
      <c r="N846" s="27"/>
      <c r="O846" s="22"/>
      <c r="P846" s="5" t="str">
        <f>IF(A846="","",IF(COUNTIF(Типы,C846)=0,0,VLOOKUP(C846,СПРАВОЧНИКИ!$A$7:$E$22,2,FALSE)))</f>
        <v/>
      </c>
      <c r="Q846" s="25" t="str">
        <f t="shared" si="13"/>
        <v/>
      </c>
      <c r="R846" s="5" t="str">
        <f>IF(A846="","",IF(COUNTIF(Типы,C846)=0,"НЕИЗВЕСТНЫЙ ТИП",VLOOKUP(C846,СПРАВОЧНИКИ!$A$7:$E$22,3,FALSE)))</f>
        <v/>
      </c>
      <c r="S846" s="26" t="str">
        <f>IF(A846="","",IF(L846="Проведён",E846*IF(COUNTIF(Типы,C846)=0,0,VLOOKUP(C846,СПРАВОЧНИКИ!$A$7:$E$22,4,FALSE)),0))</f>
        <v/>
      </c>
      <c r="T846" s="26" t="str">
        <f>IF(A846="","",IF(L846="Проведён",E846*IF(COUNTIF(Типы,C846)=0,0,VLOOKUP(C846,СПРАВОЧНИКИ!$A$7:$E$22,5,FALSE)),0))</f>
        <v/>
      </c>
      <c r="U846" s="5" t="str">
        <f>IF(A846="","",IF(COUNTIF(Контрагенты,H846)=0,"Не задан",VLOOKUP(H846,СПРАВОЧНИКИ!$G$7:$H$66,2,FALSE)))</f>
        <v/>
      </c>
      <c r="V846" s="4" t="str">
        <f>IF(A846="",IF(COUNTA(B846:O846)&gt;0,"НЕТ ID",""),IF(OR(AND(OR(C846="Оплата клиента",C846="Возврат клиенту"),COUNTIFS(Docs[ID],J846,Docs[Тип долга],"ДЗ")&lt;&gt;1),AND(OR(C846="Оплата поставщику",C846="Возврат поставщика"),COUNTIFS(Docs[ID],J846,Docs[Тип долга],"КЗ",Docs[Вид],"&lt;&gt;Дивиденды")&lt;&gt;1),AND(C846="Дивиденды",COUNTIFS(Docs[ID],J846,Docs[Вид],"Дивиденды")&lt;&gt;1),AND(C846="Проценты",COUNTIFS(Docs[ID],J846,Docs[Вид],"Проценты")&lt;&gt;1),COUNTIF(Cash[ID],A846)&gt;1,NOT(ISNUMBER(B846)),B846&lt;НачалоУчета,YEAR(B846)&lt;&gt;Год,NOT(ISNUMBER(E846)),E846&lt;=0,N846&lt;0,COUNTIF(Типы,C846)&lt;&gt;1,COUNTIF(Категории,D846)&lt;&gt;1,COUNTIF(Счета,F846)&lt;&gt;1,COUNTIF(Проекты,I846)&lt;&gt;1,AND(H846&lt;&gt;"",COUNTIF(Контрагенты,H846)&lt;&gt;1),AND(C846="Перевод",OR(F846=G846,COUNTIF(Счета,G846)&lt;&gt;1)),AND(S846&lt;&gt;0,COUNTIF(Docs[ID],J846)&lt;&gt;1),AND(Форма="ООО",C846="Вывод ИП"),AND(Форма="ИП",C846="Дивиденды"),AND(L846&lt;&gt;"Проведён",L846&lt;&gt;"Черновик")),"ОШИБКА","ОК"))</f>
        <v/>
      </c>
      <c r="W846" s="25" t="str">
        <f>IF(A846="","",SUMIF(Accounts[Счёт],F846,Accounts[Начальный])+SUMIFS($Q$7:Q846,$F$7:F846,F846)+SUMIFS($E$7:E846,$G$7:G846,F846,$C$7:C846,"Перевод",$L$7:L846,"Проведён"))</f>
        <v/>
      </c>
    </row>
    <row r="847" spans="1:23" x14ac:dyDescent="0.25">
      <c r="A847" s="22"/>
      <c r="B847" s="23"/>
      <c r="C847" s="22"/>
      <c r="D847" s="22"/>
      <c r="E847" s="27"/>
      <c r="F847" s="22"/>
      <c r="G847" s="22"/>
      <c r="H847" s="22"/>
      <c r="I847" s="22"/>
      <c r="J847" s="22"/>
      <c r="K847" s="22"/>
      <c r="L847" s="22"/>
      <c r="M847" s="22"/>
      <c r="N847" s="27"/>
      <c r="O847" s="22"/>
      <c r="P847" s="5" t="str">
        <f>IF(A847="","",IF(COUNTIF(Типы,C847)=0,0,VLOOKUP(C847,СПРАВОЧНИКИ!$A$7:$E$22,2,FALSE)))</f>
        <v/>
      </c>
      <c r="Q847" s="25" t="str">
        <f t="shared" si="13"/>
        <v/>
      </c>
      <c r="R847" s="5" t="str">
        <f>IF(A847="","",IF(COUNTIF(Типы,C847)=0,"НЕИЗВЕСТНЫЙ ТИП",VLOOKUP(C847,СПРАВОЧНИКИ!$A$7:$E$22,3,FALSE)))</f>
        <v/>
      </c>
      <c r="S847" s="26" t="str">
        <f>IF(A847="","",IF(L847="Проведён",E847*IF(COUNTIF(Типы,C847)=0,0,VLOOKUP(C847,СПРАВОЧНИКИ!$A$7:$E$22,4,FALSE)),0))</f>
        <v/>
      </c>
      <c r="T847" s="26" t="str">
        <f>IF(A847="","",IF(L847="Проведён",E847*IF(COUNTIF(Типы,C847)=0,0,VLOOKUP(C847,СПРАВОЧНИКИ!$A$7:$E$22,5,FALSE)),0))</f>
        <v/>
      </c>
      <c r="U847" s="5" t="str">
        <f>IF(A847="","",IF(COUNTIF(Контрагенты,H847)=0,"Не задан",VLOOKUP(H847,СПРАВОЧНИКИ!$G$7:$H$66,2,FALSE)))</f>
        <v/>
      </c>
      <c r="V847" s="4" t="str">
        <f>IF(A847="",IF(COUNTA(B847:O847)&gt;0,"НЕТ ID",""),IF(OR(AND(OR(C847="Оплата клиента",C847="Возврат клиенту"),COUNTIFS(Docs[ID],J847,Docs[Тип долга],"ДЗ")&lt;&gt;1),AND(OR(C847="Оплата поставщику",C847="Возврат поставщика"),COUNTIFS(Docs[ID],J847,Docs[Тип долга],"КЗ",Docs[Вид],"&lt;&gt;Дивиденды")&lt;&gt;1),AND(C847="Дивиденды",COUNTIFS(Docs[ID],J847,Docs[Вид],"Дивиденды")&lt;&gt;1),AND(C847="Проценты",COUNTIFS(Docs[ID],J847,Docs[Вид],"Проценты")&lt;&gt;1),COUNTIF(Cash[ID],A847)&gt;1,NOT(ISNUMBER(B847)),B847&lt;НачалоУчета,YEAR(B847)&lt;&gt;Год,NOT(ISNUMBER(E847)),E847&lt;=0,N847&lt;0,COUNTIF(Типы,C847)&lt;&gt;1,COUNTIF(Категории,D847)&lt;&gt;1,COUNTIF(Счета,F847)&lt;&gt;1,COUNTIF(Проекты,I847)&lt;&gt;1,AND(H847&lt;&gt;"",COUNTIF(Контрагенты,H847)&lt;&gt;1),AND(C847="Перевод",OR(F847=G847,COUNTIF(Счета,G847)&lt;&gt;1)),AND(S847&lt;&gt;0,COUNTIF(Docs[ID],J847)&lt;&gt;1),AND(Форма="ООО",C847="Вывод ИП"),AND(Форма="ИП",C847="Дивиденды"),AND(L847&lt;&gt;"Проведён",L847&lt;&gt;"Черновик")),"ОШИБКА","ОК"))</f>
        <v/>
      </c>
      <c r="W847" s="25" t="str">
        <f>IF(A847="","",SUMIF(Accounts[Счёт],F847,Accounts[Начальный])+SUMIFS($Q$7:Q847,$F$7:F847,F847)+SUMIFS($E$7:E847,$G$7:G847,F847,$C$7:C847,"Перевод",$L$7:L847,"Проведён"))</f>
        <v/>
      </c>
    </row>
    <row r="848" spans="1:23" x14ac:dyDescent="0.25">
      <c r="A848" s="22"/>
      <c r="B848" s="23"/>
      <c r="C848" s="22"/>
      <c r="D848" s="22"/>
      <c r="E848" s="27"/>
      <c r="F848" s="22"/>
      <c r="G848" s="22"/>
      <c r="H848" s="22"/>
      <c r="I848" s="22"/>
      <c r="J848" s="22"/>
      <c r="K848" s="22"/>
      <c r="L848" s="22"/>
      <c r="M848" s="22"/>
      <c r="N848" s="27"/>
      <c r="O848" s="22"/>
      <c r="P848" s="5" t="str">
        <f>IF(A848="","",IF(COUNTIF(Типы,C848)=0,0,VLOOKUP(C848,СПРАВОЧНИКИ!$A$7:$E$22,2,FALSE)))</f>
        <v/>
      </c>
      <c r="Q848" s="25" t="str">
        <f t="shared" si="13"/>
        <v/>
      </c>
      <c r="R848" s="5" t="str">
        <f>IF(A848="","",IF(COUNTIF(Типы,C848)=0,"НЕИЗВЕСТНЫЙ ТИП",VLOOKUP(C848,СПРАВОЧНИКИ!$A$7:$E$22,3,FALSE)))</f>
        <v/>
      </c>
      <c r="S848" s="26" t="str">
        <f>IF(A848="","",IF(L848="Проведён",E848*IF(COUNTIF(Типы,C848)=0,0,VLOOKUP(C848,СПРАВОЧНИКИ!$A$7:$E$22,4,FALSE)),0))</f>
        <v/>
      </c>
      <c r="T848" s="26" t="str">
        <f>IF(A848="","",IF(L848="Проведён",E848*IF(COUNTIF(Типы,C848)=0,0,VLOOKUP(C848,СПРАВОЧНИКИ!$A$7:$E$22,5,FALSE)),0))</f>
        <v/>
      </c>
      <c r="U848" s="5" t="str">
        <f>IF(A848="","",IF(COUNTIF(Контрагенты,H848)=0,"Не задан",VLOOKUP(H848,СПРАВОЧНИКИ!$G$7:$H$66,2,FALSE)))</f>
        <v/>
      </c>
      <c r="V848" s="4" t="str">
        <f>IF(A848="",IF(COUNTA(B848:O848)&gt;0,"НЕТ ID",""),IF(OR(AND(OR(C848="Оплата клиента",C848="Возврат клиенту"),COUNTIFS(Docs[ID],J848,Docs[Тип долга],"ДЗ")&lt;&gt;1),AND(OR(C848="Оплата поставщику",C848="Возврат поставщика"),COUNTIFS(Docs[ID],J848,Docs[Тип долга],"КЗ",Docs[Вид],"&lt;&gt;Дивиденды")&lt;&gt;1),AND(C848="Дивиденды",COUNTIFS(Docs[ID],J848,Docs[Вид],"Дивиденды")&lt;&gt;1),AND(C848="Проценты",COUNTIFS(Docs[ID],J848,Docs[Вид],"Проценты")&lt;&gt;1),COUNTIF(Cash[ID],A848)&gt;1,NOT(ISNUMBER(B848)),B848&lt;НачалоУчета,YEAR(B848)&lt;&gt;Год,NOT(ISNUMBER(E848)),E848&lt;=0,N848&lt;0,COUNTIF(Типы,C848)&lt;&gt;1,COUNTIF(Категории,D848)&lt;&gt;1,COUNTIF(Счета,F848)&lt;&gt;1,COUNTIF(Проекты,I848)&lt;&gt;1,AND(H848&lt;&gt;"",COUNTIF(Контрагенты,H848)&lt;&gt;1),AND(C848="Перевод",OR(F848=G848,COUNTIF(Счета,G848)&lt;&gt;1)),AND(S848&lt;&gt;0,COUNTIF(Docs[ID],J848)&lt;&gt;1),AND(Форма="ООО",C848="Вывод ИП"),AND(Форма="ИП",C848="Дивиденды"),AND(L848&lt;&gt;"Проведён",L848&lt;&gt;"Черновик")),"ОШИБКА","ОК"))</f>
        <v/>
      </c>
      <c r="W848" s="25" t="str">
        <f>IF(A848="","",SUMIF(Accounts[Счёт],F848,Accounts[Начальный])+SUMIFS($Q$7:Q848,$F$7:F848,F848)+SUMIFS($E$7:E848,$G$7:G848,F848,$C$7:C848,"Перевод",$L$7:L848,"Проведён"))</f>
        <v/>
      </c>
    </row>
    <row r="849" spans="1:23" x14ac:dyDescent="0.25">
      <c r="A849" s="22"/>
      <c r="B849" s="23"/>
      <c r="C849" s="22"/>
      <c r="D849" s="22"/>
      <c r="E849" s="27"/>
      <c r="F849" s="22"/>
      <c r="G849" s="22"/>
      <c r="H849" s="22"/>
      <c r="I849" s="22"/>
      <c r="J849" s="22"/>
      <c r="K849" s="22"/>
      <c r="L849" s="22"/>
      <c r="M849" s="22"/>
      <c r="N849" s="27"/>
      <c r="O849" s="22"/>
      <c r="P849" s="5" t="str">
        <f>IF(A849="","",IF(COUNTIF(Типы,C849)=0,0,VLOOKUP(C849,СПРАВОЧНИКИ!$A$7:$E$22,2,FALSE)))</f>
        <v/>
      </c>
      <c r="Q849" s="25" t="str">
        <f t="shared" si="13"/>
        <v/>
      </c>
      <c r="R849" s="5" t="str">
        <f>IF(A849="","",IF(COUNTIF(Типы,C849)=0,"НЕИЗВЕСТНЫЙ ТИП",VLOOKUP(C849,СПРАВОЧНИКИ!$A$7:$E$22,3,FALSE)))</f>
        <v/>
      </c>
      <c r="S849" s="26" t="str">
        <f>IF(A849="","",IF(L849="Проведён",E849*IF(COUNTIF(Типы,C849)=0,0,VLOOKUP(C849,СПРАВОЧНИКИ!$A$7:$E$22,4,FALSE)),0))</f>
        <v/>
      </c>
      <c r="T849" s="26" t="str">
        <f>IF(A849="","",IF(L849="Проведён",E849*IF(COUNTIF(Типы,C849)=0,0,VLOOKUP(C849,СПРАВОЧНИКИ!$A$7:$E$22,5,FALSE)),0))</f>
        <v/>
      </c>
      <c r="U849" s="5" t="str">
        <f>IF(A849="","",IF(COUNTIF(Контрагенты,H849)=0,"Не задан",VLOOKUP(H849,СПРАВОЧНИКИ!$G$7:$H$66,2,FALSE)))</f>
        <v/>
      </c>
      <c r="V849" s="4" t="str">
        <f>IF(A849="",IF(COUNTA(B849:O849)&gt;0,"НЕТ ID",""),IF(OR(AND(OR(C849="Оплата клиента",C849="Возврат клиенту"),COUNTIFS(Docs[ID],J849,Docs[Тип долга],"ДЗ")&lt;&gt;1),AND(OR(C849="Оплата поставщику",C849="Возврат поставщика"),COUNTIFS(Docs[ID],J849,Docs[Тип долга],"КЗ",Docs[Вид],"&lt;&gt;Дивиденды")&lt;&gt;1),AND(C849="Дивиденды",COUNTIFS(Docs[ID],J849,Docs[Вид],"Дивиденды")&lt;&gt;1),AND(C849="Проценты",COUNTIFS(Docs[ID],J849,Docs[Вид],"Проценты")&lt;&gt;1),COUNTIF(Cash[ID],A849)&gt;1,NOT(ISNUMBER(B849)),B849&lt;НачалоУчета,YEAR(B849)&lt;&gt;Год,NOT(ISNUMBER(E849)),E849&lt;=0,N849&lt;0,COUNTIF(Типы,C849)&lt;&gt;1,COUNTIF(Категории,D849)&lt;&gt;1,COUNTIF(Счета,F849)&lt;&gt;1,COUNTIF(Проекты,I849)&lt;&gt;1,AND(H849&lt;&gt;"",COUNTIF(Контрагенты,H849)&lt;&gt;1),AND(C849="Перевод",OR(F849=G849,COUNTIF(Счета,G849)&lt;&gt;1)),AND(S849&lt;&gt;0,COUNTIF(Docs[ID],J849)&lt;&gt;1),AND(Форма="ООО",C849="Вывод ИП"),AND(Форма="ИП",C849="Дивиденды"),AND(L849&lt;&gt;"Проведён",L849&lt;&gt;"Черновик")),"ОШИБКА","ОК"))</f>
        <v/>
      </c>
      <c r="W849" s="25" t="str">
        <f>IF(A849="","",SUMIF(Accounts[Счёт],F849,Accounts[Начальный])+SUMIFS($Q$7:Q849,$F$7:F849,F849)+SUMIFS($E$7:E849,$G$7:G849,F849,$C$7:C849,"Перевод",$L$7:L849,"Проведён"))</f>
        <v/>
      </c>
    </row>
    <row r="850" spans="1:23" x14ac:dyDescent="0.25">
      <c r="A850" s="22"/>
      <c r="B850" s="23"/>
      <c r="C850" s="22"/>
      <c r="D850" s="22"/>
      <c r="E850" s="27"/>
      <c r="F850" s="22"/>
      <c r="G850" s="22"/>
      <c r="H850" s="22"/>
      <c r="I850" s="22"/>
      <c r="J850" s="22"/>
      <c r="K850" s="22"/>
      <c r="L850" s="22"/>
      <c r="M850" s="22"/>
      <c r="N850" s="27"/>
      <c r="O850" s="22"/>
      <c r="P850" s="5" t="str">
        <f>IF(A850="","",IF(COUNTIF(Типы,C850)=0,0,VLOOKUP(C850,СПРАВОЧНИКИ!$A$7:$E$22,2,FALSE)))</f>
        <v/>
      </c>
      <c r="Q850" s="25" t="str">
        <f t="shared" si="13"/>
        <v/>
      </c>
      <c r="R850" s="5" t="str">
        <f>IF(A850="","",IF(COUNTIF(Типы,C850)=0,"НЕИЗВЕСТНЫЙ ТИП",VLOOKUP(C850,СПРАВОЧНИКИ!$A$7:$E$22,3,FALSE)))</f>
        <v/>
      </c>
      <c r="S850" s="26" t="str">
        <f>IF(A850="","",IF(L850="Проведён",E850*IF(COUNTIF(Типы,C850)=0,0,VLOOKUP(C850,СПРАВОЧНИКИ!$A$7:$E$22,4,FALSE)),0))</f>
        <v/>
      </c>
      <c r="T850" s="26" t="str">
        <f>IF(A850="","",IF(L850="Проведён",E850*IF(COUNTIF(Типы,C850)=0,0,VLOOKUP(C850,СПРАВОЧНИКИ!$A$7:$E$22,5,FALSE)),0))</f>
        <v/>
      </c>
      <c r="U850" s="5" t="str">
        <f>IF(A850="","",IF(COUNTIF(Контрагенты,H850)=0,"Не задан",VLOOKUP(H850,СПРАВОЧНИКИ!$G$7:$H$66,2,FALSE)))</f>
        <v/>
      </c>
      <c r="V850" s="4" t="str">
        <f>IF(A850="",IF(COUNTA(B850:O850)&gt;0,"НЕТ ID",""),IF(OR(AND(OR(C850="Оплата клиента",C850="Возврат клиенту"),COUNTIFS(Docs[ID],J850,Docs[Тип долга],"ДЗ")&lt;&gt;1),AND(OR(C850="Оплата поставщику",C850="Возврат поставщика"),COUNTIFS(Docs[ID],J850,Docs[Тип долга],"КЗ",Docs[Вид],"&lt;&gt;Дивиденды")&lt;&gt;1),AND(C850="Дивиденды",COUNTIFS(Docs[ID],J850,Docs[Вид],"Дивиденды")&lt;&gt;1),AND(C850="Проценты",COUNTIFS(Docs[ID],J850,Docs[Вид],"Проценты")&lt;&gt;1),COUNTIF(Cash[ID],A850)&gt;1,NOT(ISNUMBER(B850)),B850&lt;НачалоУчета,YEAR(B850)&lt;&gt;Год,NOT(ISNUMBER(E850)),E850&lt;=0,N850&lt;0,COUNTIF(Типы,C850)&lt;&gt;1,COUNTIF(Категории,D850)&lt;&gt;1,COUNTIF(Счета,F850)&lt;&gt;1,COUNTIF(Проекты,I850)&lt;&gt;1,AND(H850&lt;&gt;"",COUNTIF(Контрагенты,H850)&lt;&gt;1),AND(C850="Перевод",OR(F850=G850,COUNTIF(Счета,G850)&lt;&gt;1)),AND(S850&lt;&gt;0,COUNTIF(Docs[ID],J850)&lt;&gt;1),AND(Форма="ООО",C850="Вывод ИП"),AND(Форма="ИП",C850="Дивиденды"),AND(L850&lt;&gt;"Проведён",L850&lt;&gt;"Черновик")),"ОШИБКА","ОК"))</f>
        <v/>
      </c>
      <c r="W850" s="25" t="str">
        <f>IF(A850="","",SUMIF(Accounts[Счёт],F850,Accounts[Начальный])+SUMIFS($Q$7:Q850,$F$7:F850,F850)+SUMIFS($E$7:E850,$G$7:G850,F850,$C$7:C850,"Перевод",$L$7:L850,"Проведён"))</f>
        <v/>
      </c>
    </row>
    <row r="851" spans="1:23" x14ac:dyDescent="0.25">
      <c r="A851" s="22"/>
      <c r="B851" s="23"/>
      <c r="C851" s="22"/>
      <c r="D851" s="22"/>
      <c r="E851" s="27"/>
      <c r="F851" s="22"/>
      <c r="G851" s="22"/>
      <c r="H851" s="22"/>
      <c r="I851" s="22"/>
      <c r="J851" s="22"/>
      <c r="K851" s="22"/>
      <c r="L851" s="22"/>
      <c r="M851" s="22"/>
      <c r="N851" s="27"/>
      <c r="O851" s="22"/>
      <c r="P851" s="5" t="str">
        <f>IF(A851="","",IF(COUNTIF(Типы,C851)=0,0,VLOOKUP(C851,СПРАВОЧНИКИ!$A$7:$E$22,2,FALSE)))</f>
        <v/>
      </c>
      <c r="Q851" s="25" t="str">
        <f t="shared" si="13"/>
        <v/>
      </c>
      <c r="R851" s="5" t="str">
        <f>IF(A851="","",IF(COUNTIF(Типы,C851)=0,"НЕИЗВЕСТНЫЙ ТИП",VLOOKUP(C851,СПРАВОЧНИКИ!$A$7:$E$22,3,FALSE)))</f>
        <v/>
      </c>
      <c r="S851" s="26" t="str">
        <f>IF(A851="","",IF(L851="Проведён",E851*IF(COUNTIF(Типы,C851)=0,0,VLOOKUP(C851,СПРАВОЧНИКИ!$A$7:$E$22,4,FALSE)),0))</f>
        <v/>
      </c>
      <c r="T851" s="26" t="str">
        <f>IF(A851="","",IF(L851="Проведён",E851*IF(COUNTIF(Типы,C851)=0,0,VLOOKUP(C851,СПРАВОЧНИКИ!$A$7:$E$22,5,FALSE)),0))</f>
        <v/>
      </c>
      <c r="U851" s="5" t="str">
        <f>IF(A851="","",IF(COUNTIF(Контрагенты,H851)=0,"Не задан",VLOOKUP(H851,СПРАВОЧНИКИ!$G$7:$H$66,2,FALSE)))</f>
        <v/>
      </c>
      <c r="V851" s="4" t="str">
        <f>IF(A851="",IF(COUNTA(B851:O851)&gt;0,"НЕТ ID",""),IF(OR(AND(OR(C851="Оплата клиента",C851="Возврат клиенту"),COUNTIFS(Docs[ID],J851,Docs[Тип долга],"ДЗ")&lt;&gt;1),AND(OR(C851="Оплата поставщику",C851="Возврат поставщика"),COUNTIFS(Docs[ID],J851,Docs[Тип долга],"КЗ",Docs[Вид],"&lt;&gt;Дивиденды")&lt;&gt;1),AND(C851="Дивиденды",COUNTIFS(Docs[ID],J851,Docs[Вид],"Дивиденды")&lt;&gt;1),AND(C851="Проценты",COUNTIFS(Docs[ID],J851,Docs[Вид],"Проценты")&lt;&gt;1),COUNTIF(Cash[ID],A851)&gt;1,NOT(ISNUMBER(B851)),B851&lt;НачалоУчета,YEAR(B851)&lt;&gt;Год,NOT(ISNUMBER(E851)),E851&lt;=0,N851&lt;0,COUNTIF(Типы,C851)&lt;&gt;1,COUNTIF(Категории,D851)&lt;&gt;1,COUNTIF(Счета,F851)&lt;&gt;1,COUNTIF(Проекты,I851)&lt;&gt;1,AND(H851&lt;&gt;"",COUNTIF(Контрагенты,H851)&lt;&gt;1),AND(C851="Перевод",OR(F851=G851,COUNTIF(Счета,G851)&lt;&gt;1)),AND(S851&lt;&gt;0,COUNTIF(Docs[ID],J851)&lt;&gt;1),AND(Форма="ООО",C851="Вывод ИП"),AND(Форма="ИП",C851="Дивиденды"),AND(L851&lt;&gt;"Проведён",L851&lt;&gt;"Черновик")),"ОШИБКА","ОК"))</f>
        <v/>
      </c>
      <c r="W851" s="25" t="str">
        <f>IF(A851="","",SUMIF(Accounts[Счёт],F851,Accounts[Начальный])+SUMIFS($Q$7:Q851,$F$7:F851,F851)+SUMIFS($E$7:E851,$G$7:G851,F851,$C$7:C851,"Перевод",$L$7:L851,"Проведён"))</f>
        <v/>
      </c>
    </row>
    <row r="852" spans="1:23" x14ac:dyDescent="0.25">
      <c r="A852" s="22"/>
      <c r="B852" s="23"/>
      <c r="C852" s="22"/>
      <c r="D852" s="22"/>
      <c r="E852" s="27"/>
      <c r="F852" s="22"/>
      <c r="G852" s="22"/>
      <c r="H852" s="22"/>
      <c r="I852" s="22"/>
      <c r="J852" s="22"/>
      <c r="K852" s="22"/>
      <c r="L852" s="22"/>
      <c r="M852" s="22"/>
      <c r="N852" s="27"/>
      <c r="O852" s="22"/>
      <c r="P852" s="5" t="str">
        <f>IF(A852="","",IF(COUNTIF(Типы,C852)=0,0,VLOOKUP(C852,СПРАВОЧНИКИ!$A$7:$E$22,2,FALSE)))</f>
        <v/>
      </c>
      <c r="Q852" s="25" t="str">
        <f t="shared" si="13"/>
        <v/>
      </c>
      <c r="R852" s="5" t="str">
        <f>IF(A852="","",IF(COUNTIF(Типы,C852)=0,"НЕИЗВЕСТНЫЙ ТИП",VLOOKUP(C852,СПРАВОЧНИКИ!$A$7:$E$22,3,FALSE)))</f>
        <v/>
      </c>
      <c r="S852" s="26" t="str">
        <f>IF(A852="","",IF(L852="Проведён",E852*IF(COUNTIF(Типы,C852)=0,0,VLOOKUP(C852,СПРАВОЧНИКИ!$A$7:$E$22,4,FALSE)),0))</f>
        <v/>
      </c>
      <c r="T852" s="26" t="str">
        <f>IF(A852="","",IF(L852="Проведён",E852*IF(COUNTIF(Типы,C852)=0,0,VLOOKUP(C852,СПРАВОЧНИКИ!$A$7:$E$22,5,FALSE)),0))</f>
        <v/>
      </c>
      <c r="U852" s="5" t="str">
        <f>IF(A852="","",IF(COUNTIF(Контрагенты,H852)=0,"Не задан",VLOOKUP(H852,СПРАВОЧНИКИ!$G$7:$H$66,2,FALSE)))</f>
        <v/>
      </c>
      <c r="V852" s="4" t="str">
        <f>IF(A852="",IF(COUNTA(B852:O852)&gt;0,"НЕТ ID",""),IF(OR(AND(OR(C852="Оплата клиента",C852="Возврат клиенту"),COUNTIFS(Docs[ID],J852,Docs[Тип долга],"ДЗ")&lt;&gt;1),AND(OR(C852="Оплата поставщику",C852="Возврат поставщика"),COUNTIFS(Docs[ID],J852,Docs[Тип долга],"КЗ",Docs[Вид],"&lt;&gt;Дивиденды")&lt;&gt;1),AND(C852="Дивиденды",COUNTIFS(Docs[ID],J852,Docs[Вид],"Дивиденды")&lt;&gt;1),AND(C852="Проценты",COUNTIFS(Docs[ID],J852,Docs[Вид],"Проценты")&lt;&gt;1),COUNTIF(Cash[ID],A852)&gt;1,NOT(ISNUMBER(B852)),B852&lt;НачалоУчета,YEAR(B852)&lt;&gt;Год,NOT(ISNUMBER(E852)),E852&lt;=0,N852&lt;0,COUNTIF(Типы,C852)&lt;&gt;1,COUNTIF(Категории,D852)&lt;&gt;1,COUNTIF(Счета,F852)&lt;&gt;1,COUNTIF(Проекты,I852)&lt;&gt;1,AND(H852&lt;&gt;"",COUNTIF(Контрагенты,H852)&lt;&gt;1),AND(C852="Перевод",OR(F852=G852,COUNTIF(Счета,G852)&lt;&gt;1)),AND(S852&lt;&gt;0,COUNTIF(Docs[ID],J852)&lt;&gt;1),AND(Форма="ООО",C852="Вывод ИП"),AND(Форма="ИП",C852="Дивиденды"),AND(L852&lt;&gt;"Проведён",L852&lt;&gt;"Черновик")),"ОШИБКА","ОК"))</f>
        <v/>
      </c>
      <c r="W852" s="25" t="str">
        <f>IF(A852="","",SUMIF(Accounts[Счёт],F852,Accounts[Начальный])+SUMIFS($Q$7:Q852,$F$7:F852,F852)+SUMIFS($E$7:E852,$G$7:G852,F852,$C$7:C852,"Перевод",$L$7:L852,"Проведён"))</f>
        <v/>
      </c>
    </row>
    <row r="853" spans="1:23" x14ac:dyDescent="0.25">
      <c r="A853" s="22"/>
      <c r="B853" s="23"/>
      <c r="C853" s="22"/>
      <c r="D853" s="22"/>
      <c r="E853" s="27"/>
      <c r="F853" s="22"/>
      <c r="G853" s="22"/>
      <c r="H853" s="22"/>
      <c r="I853" s="22"/>
      <c r="J853" s="22"/>
      <c r="K853" s="22"/>
      <c r="L853" s="22"/>
      <c r="M853" s="22"/>
      <c r="N853" s="27"/>
      <c r="O853" s="22"/>
      <c r="P853" s="5" t="str">
        <f>IF(A853="","",IF(COUNTIF(Типы,C853)=0,0,VLOOKUP(C853,СПРАВОЧНИКИ!$A$7:$E$22,2,FALSE)))</f>
        <v/>
      </c>
      <c r="Q853" s="25" t="str">
        <f t="shared" si="13"/>
        <v/>
      </c>
      <c r="R853" s="5" t="str">
        <f>IF(A853="","",IF(COUNTIF(Типы,C853)=0,"НЕИЗВЕСТНЫЙ ТИП",VLOOKUP(C853,СПРАВОЧНИКИ!$A$7:$E$22,3,FALSE)))</f>
        <v/>
      </c>
      <c r="S853" s="26" t="str">
        <f>IF(A853="","",IF(L853="Проведён",E853*IF(COUNTIF(Типы,C853)=0,0,VLOOKUP(C853,СПРАВОЧНИКИ!$A$7:$E$22,4,FALSE)),0))</f>
        <v/>
      </c>
      <c r="T853" s="26" t="str">
        <f>IF(A853="","",IF(L853="Проведён",E853*IF(COUNTIF(Типы,C853)=0,0,VLOOKUP(C853,СПРАВОЧНИКИ!$A$7:$E$22,5,FALSE)),0))</f>
        <v/>
      </c>
      <c r="U853" s="5" t="str">
        <f>IF(A853="","",IF(COUNTIF(Контрагенты,H853)=0,"Не задан",VLOOKUP(H853,СПРАВОЧНИКИ!$G$7:$H$66,2,FALSE)))</f>
        <v/>
      </c>
      <c r="V853" s="4" t="str">
        <f>IF(A853="",IF(COUNTA(B853:O853)&gt;0,"НЕТ ID",""),IF(OR(AND(OR(C853="Оплата клиента",C853="Возврат клиенту"),COUNTIFS(Docs[ID],J853,Docs[Тип долга],"ДЗ")&lt;&gt;1),AND(OR(C853="Оплата поставщику",C853="Возврат поставщика"),COUNTIFS(Docs[ID],J853,Docs[Тип долга],"КЗ",Docs[Вид],"&lt;&gt;Дивиденды")&lt;&gt;1),AND(C853="Дивиденды",COUNTIFS(Docs[ID],J853,Docs[Вид],"Дивиденды")&lt;&gt;1),AND(C853="Проценты",COUNTIFS(Docs[ID],J853,Docs[Вид],"Проценты")&lt;&gt;1),COUNTIF(Cash[ID],A853)&gt;1,NOT(ISNUMBER(B853)),B853&lt;НачалоУчета,YEAR(B853)&lt;&gt;Год,NOT(ISNUMBER(E853)),E853&lt;=0,N853&lt;0,COUNTIF(Типы,C853)&lt;&gt;1,COUNTIF(Категории,D853)&lt;&gt;1,COUNTIF(Счета,F853)&lt;&gt;1,COUNTIF(Проекты,I853)&lt;&gt;1,AND(H853&lt;&gt;"",COUNTIF(Контрагенты,H853)&lt;&gt;1),AND(C853="Перевод",OR(F853=G853,COUNTIF(Счета,G853)&lt;&gt;1)),AND(S853&lt;&gt;0,COUNTIF(Docs[ID],J853)&lt;&gt;1),AND(Форма="ООО",C853="Вывод ИП"),AND(Форма="ИП",C853="Дивиденды"),AND(L853&lt;&gt;"Проведён",L853&lt;&gt;"Черновик")),"ОШИБКА","ОК"))</f>
        <v/>
      </c>
      <c r="W853" s="25" t="str">
        <f>IF(A853="","",SUMIF(Accounts[Счёт],F853,Accounts[Начальный])+SUMIFS($Q$7:Q853,$F$7:F853,F853)+SUMIFS($E$7:E853,$G$7:G853,F853,$C$7:C853,"Перевод",$L$7:L853,"Проведён"))</f>
        <v/>
      </c>
    </row>
    <row r="854" spans="1:23" x14ac:dyDescent="0.25">
      <c r="A854" s="22"/>
      <c r="B854" s="23"/>
      <c r="C854" s="22"/>
      <c r="D854" s="22"/>
      <c r="E854" s="27"/>
      <c r="F854" s="22"/>
      <c r="G854" s="22"/>
      <c r="H854" s="22"/>
      <c r="I854" s="22"/>
      <c r="J854" s="22"/>
      <c r="K854" s="22"/>
      <c r="L854" s="22"/>
      <c r="M854" s="22"/>
      <c r="N854" s="27"/>
      <c r="O854" s="22"/>
      <c r="P854" s="5" t="str">
        <f>IF(A854="","",IF(COUNTIF(Типы,C854)=0,0,VLOOKUP(C854,СПРАВОЧНИКИ!$A$7:$E$22,2,FALSE)))</f>
        <v/>
      </c>
      <c r="Q854" s="25" t="str">
        <f t="shared" si="13"/>
        <v/>
      </c>
      <c r="R854" s="5" t="str">
        <f>IF(A854="","",IF(COUNTIF(Типы,C854)=0,"НЕИЗВЕСТНЫЙ ТИП",VLOOKUP(C854,СПРАВОЧНИКИ!$A$7:$E$22,3,FALSE)))</f>
        <v/>
      </c>
      <c r="S854" s="26" t="str">
        <f>IF(A854="","",IF(L854="Проведён",E854*IF(COUNTIF(Типы,C854)=0,0,VLOOKUP(C854,СПРАВОЧНИКИ!$A$7:$E$22,4,FALSE)),0))</f>
        <v/>
      </c>
      <c r="T854" s="26" t="str">
        <f>IF(A854="","",IF(L854="Проведён",E854*IF(COUNTIF(Типы,C854)=0,0,VLOOKUP(C854,СПРАВОЧНИКИ!$A$7:$E$22,5,FALSE)),0))</f>
        <v/>
      </c>
      <c r="U854" s="5" t="str">
        <f>IF(A854="","",IF(COUNTIF(Контрагенты,H854)=0,"Не задан",VLOOKUP(H854,СПРАВОЧНИКИ!$G$7:$H$66,2,FALSE)))</f>
        <v/>
      </c>
      <c r="V854" s="4" t="str">
        <f>IF(A854="",IF(COUNTA(B854:O854)&gt;0,"НЕТ ID",""),IF(OR(AND(OR(C854="Оплата клиента",C854="Возврат клиенту"),COUNTIFS(Docs[ID],J854,Docs[Тип долга],"ДЗ")&lt;&gt;1),AND(OR(C854="Оплата поставщику",C854="Возврат поставщика"),COUNTIFS(Docs[ID],J854,Docs[Тип долга],"КЗ",Docs[Вид],"&lt;&gt;Дивиденды")&lt;&gt;1),AND(C854="Дивиденды",COUNTIFS(Docs[ID],J854,Docs[Вид],"Дивиденды")&lt;&gt;1),AND(C854="Проценты",COUNTIFS(Docs[ID],J854,Docs[Вид],"Проценты")&lt;&gt;1),COUNTIF(Cash[ID],A854)&gt;1,NOT(ISNUMBER(B854)),B854&lt;НачалоУчета,YEAR(B854)&lt;&gt;Год,NOT(ISNUMBER(E854)),E854&lt;=0,N854&lt;0,COUNTIF(Типы,C854)&lt;&gt;1,COUNTIF(Категории,D854)&lt;&gt;1,COUNTIF(Счета,F854)&lt;&gt;1,COUNTIF(Проекты,I854)&lt;&gt;1,AND(H854&lt;&gt;"",COUNTIF(Контрагенты,H854)&lt;&gt;1),AND(C854="Перевод",OR(F854=G854,COUNTIF(Счета,G854)&lt;&gt;1)),AND(S854&lt;&gt;0,COUNTIF(Docs[ID],J854)&lt;&gt;1),AND(Форма="ООО",C854="Вывод ИП"),AND(Форма="ИП",C854="Дивиденды"),AND(L854&lt;&gt;"Проведён",L854&lt;&gt;"Черновик")),"ОШИБКА","ОК"))</f>
        <v/>
      </c>
      <c r="W854" s="25" t="str">
        <f>IF(A854="","",SUMIF(Accounts[Счёт],F854,Accounts[Начальный])+SUMIFS($Q$7:Q854,$F$7:F854,F854)+SUMIFS($E$7:E854,$G$7:G854,F854,$C$7:C854,"Перевод",$L$7:L854,"Проведён"))</f>
        <v/>
      </c>
    </row>
    <row r="855" spans="1:23" x14ac:dyDescent="0.25">
      <c r="A855" s="22"/>
      <c r="B855" s="23"/>
      <c r="C855" s="22"/>
      <c r="D855" s="22"/>
      <c r="E855" s="27"/>
      <c r="F855" s="22"/>
      <c r="G855" s="22"/>
      <c r="H855" s="22"/>
      <c r="I855" s="22"/>
      <c r="J855" s="22"/>
      <c r="K855" s="22"/>
      <c r="L855" s="22"/>
      <c r="M855" s="22"/>
      <c r="N855" s="27"/>
      <c r="O855" s="22"/>
      <c r="P855" s="5" t="str">
        <f>IF(A855="","",IF(COUNTIF(Типы,C855)=0,0,VLOOKUP(C855,СПРАВОЧНИКИ!$A$7:$E$22,2,FALSE)))</f>
        <v/>
      </c>
      <c r="Q855" s="25" t="str">
        <f t="shared" si="13"/>
        <v/>
      </c>
      <c r="R855" s="5" t="str">
        <f>IF(A855="","",IF(COUNTIF(Типы,C855)=0,"НЕИЗВЕСТНЫЙ ТИП",VLOOKUP(C855,СПРАВОЧНИКИ!$A$7:$E$22,3,FALSE)))</f>
        <v/>
      </c>
      <c r="S855" s="26" t="str">
        <f>IF(A855="","",IF(L855="Проведён",E855*IF(COUNTIF(Типы,C855)=0,0,VLOOKUP(C855,СПРАВОЧНИКИ!$A$7:$E$22,4,FALSE)),0))</f>
        <v/>
      </c>
      <c r="T855" s="26" t="str">
        <f>IF(A855="","",IF(L855="Проведён",E855*IF(COUNTIF(Типы,C855)=0,0,VLOOKUP(C855,СПРАВОЧНИКИ!$A$7:$E$22,5,FALSE)),0))</f>
        <v/>
      </c>
      <c r="U855" s="5" t="str">
        <f>IF(A855="","",IF(COUNTIF(Контрагенты,H855)=0,"Не задан",VLOOKUP(H855,СПРАВОЧНИКИ!$G$7:$H$66,2,FALSE)))</f>
        <v/>
      </c>
      <c r="V855" s="4" t="str">
        <f>IF(A855="",IF(COUNTA(B855:O855)&gt;0,"НЕТ ID",""),IF(OR(AND(OR(C855="Оплата клиента",C855="Возврат клиенту"),COUNTIFS(Docs[ID],J855,Docs[Тип долга],"ДЗ")&lt;&gt;1),AND(OR(C855="Оплата поставщику",C855="Возврат поставщика"),COUNTIFS(Docs[ID],J855,Docs[Тип долга],"КЗ",Docs[Вид],"&lt;&gt;Дивиденды")&lt;&gt;1),AND(C855="Дивиденды",COUNTIFS(Docs[ID],J855,Docs[Вид],"Дивиденды")&lt;&gt;1),AND(C855="Проценты",COUNTIFS(Docs[ID],J855,Docs[Вид],"Проценты")&lt;&gt;1),COUNTIF(Cash[ID],A855)&gt;1,NOT(ISNUMBER(B855)),B855&lt;НачалоУчета,YEAR(B855)&lt;&gt;Год,NOT(ISNUMBER(E855)),E855&lt;=0,N855&lt;0,COUNTIF(Типы,C855)&lt;&gt;1,COUNTIF(Категории,D855)&lt;&gt;1,COUNTIF(Счета,F855)&lt;&gt;1,COUNTIF(Проекты,I855)&lt;&gt;1,AND(H855&lt;&gt;"",COUNTIF(Контрагенты,H855)&lt;&gt;1),AND(C855="Перевод",OR(F855=G855,COUNTIF(Счета,G855)&lt;&gt;1)),AND(S855&lt;&gt;0,COUNTIF(Docs[ID],J855)&lt;&gt;1),AND(Форма="ООО",C855="Вывод ИП"),AND(Форма="ИП",C855="Дивиденды"),AND(L855&lt;&gt;"Проведён",L855&lt;&gt;"Черновик")),"ОШИБКА","ОК"))</f>
        <v/>
      </c>
      <c r="W855" s="25" t="str">
        <f>IF(A855="","",SUMIF(Accounts[Счёт],F855,Accounts[Начальный])+SUMIFS($Q$7:Q855,$F$7:F855,F855)+SUMIFS($E$7:E855,$G$7:G855,F855,$C$7:C855,"Перевод",$L$7:L855,"Проведён"))</f>
        <v/>
      </c>
    </row>
    <row r="856" spans="1:23" x14ac:dyDescent="0.25">
      <c r="A856" s="22"/>
      <c r="B856" s="23"/>
      <c r="C856" s="22"/>
      <c r="D856" s="22"/>
      <c r="E856" s="27"/>
      <c r="F856" s="22"/>
      <c r="G856" s="22"/>
      <c r="H856" s="22"/>
      <c r="I856" s="22"/>
      <c r="J856" s="22"/>
      <c r="K856" s="22"/>
      <c r="L856" s="22"/>
      <c r="M856" s="22"/>
      <c r="N856" s="27"/>
      <c r="O856" s="22"/>
      <c r="P856" s="5" t="str">
        <f>IF(A856="","",IF(COUNTIF(Типы,C856)=0,0,VLOOKUP(C856,СПРАВОЧНИКИ!$A$7:$E$22,2,FALSE)))</f>
        <v/>
      </c>
      <c r="Q856" s="25" t="str">
        <f t="shared" si="13"/>
        <v/>
      </c>
      <c r="R856" s="5" t="str">
        <f>IF(A856="","",IF(COUNTIF(Типы,C856)=0,"НЕИЗВЕСТНЫЙ ТИП",VLOOKUP(C856,СПРАВОЧНИКИ!$A$7:$E$22,3,FALSE)))</f>
        <v/>
      </c>
      <c r="S856" s="26" t="str">
        <f>IF(A856="","",IF(L856="Проведён",E856*IF(COUNTIF(Типы,C856)=0,0,VLOOKUP(C856,СПРАВОЧНИКИ!$A$7:$E$22,4,FALSE)),0))</f>
        <v/>
      </c>
      <c r="T856" s="26" t="str">
        <f>IF(A856="","",IF(L856="Проведён",E856*IF(COUNTIF(Типы,C856)=0,0,VLOOKUP(C856,СПРАВОЧНИКИ!$A$7:$E$22,5,FALSE)),0))</f>
        <v/>
      </c>
      <c r="U856" s="5" t="str">
        <f>IF(A856="","",IF(COUNTIF(Контрагенты,H856)=0,"Не задан",VLOOKUP(H856,СПРАВОЧНИКИ!$G$7:$H$66,2,FALSE)))</f>
        <v/>
      </c>
      <c r="V856" s="4" t="str">
        <f>IF(A856="",IF(COUNTA(B856:O856)&gt;0,"НЕТ ID",""),IF(OR(AND(OR(C856="Оплата клиента",C856="Возврат клиенту"),COUNTIFS(Docs[ID],J856,Docs[Тип долга],"ДЗ")&lt;&gt;1),AND(OR(C856="Оплата поставщику",C856="Возврат поставщика"),COUNTIFS(Docs[ID],J856,Docs[Тип долга],"КЗ",Docs[Вид],"&lt;&gt;Дивиденды")&lt;&gt;1),AND(C856="Дивиденды",COUNTIFS(Docs[ID],J856,Docs[Вид],"Дивиденды")&lt;&gt;1),AND(C856="Проценты",COUNTIFS(Docs[ID],J856,Docs[Вид],"Проценты")&lt;&gt;1),COUNTIF(Cash[ID],A856)&gt;1,NOT(ISNUMBER(B856)),B856&lt;НачалоУчета,YEAR(B856)&lt;&gt;Год,NOT(ISNUMBER(E856)),E856&lt;=0,N856&lt;0,COUNTIF(Типы,C856)&lt;&gt;1,COUNTIF(Категории,D856)&lt;&gt;1,COUNTIF(Счета,F856)&lt;&gt;1,COUNTIF(Проекты,I856)&lt;&gt;1,AND(H856&lt;&gt;"",COUNTIF(Контрагенты,H856)&lt;&gt;1),AND(C856="Перевод",OR(F856=G856,COUNTIF(Счета,G856)&lt;&gt;1)),AND(S856&lt;&gt;0,COUNTIF(Docs[ID],J856)&lt;&gt;1),AND(Форма="ООО",C856="Вывод ИП"),AND(Форма="ИП",C856="Дивиденды"),AND(L856&lt;&gt;"Проведён",L856&lt;&gt;"Черновик")),"ОШИБКА","ОК"))</f>
        <v/>
      </c>
      <c r="W856" s="25" t="str">
        <f>IF(A856="","",SUMIF(Accounts[Счёт],F856,Accounts[Начальный])+SUMIFS($Q$7:Q856,$F$7:F856,F856)+SUMIFS($E$7:E856,$G$7:G856,F856,$C$7:C856,"Перевод",$L$7:L856,"Проведён"))</f>
        <v/>
      </c>
    </row>
    <row r="857" spans="1:23" x14ac:dyDescent="0.25">
      <c r="A857" s="22"/>
      <c r="B857" s="23"/>
      <c r="C857" s="22"/>
      <c r="D857" s="22"/>
      <c r="E857" s="27"/>
      <c r="F857" s="22"/>
      <c r="G857" s="22"/>
      <c r="H857" s="22"/>
      <c r="I857" s="22"/>
      <c r="J857" s="22"/>
      <c r="K857" s="22"/>
      <c r="L857" s="22"/>
      <c r="M857" s="22"/>
      <c r="N857" s="27"/>
      <c r="O857" s="22"/>
      <c r="P857" s="5" t="str">
        <f>IF(A857="","",IF(COUNTIF(Типы,C857)=0,0,VLOOKUP(C857,СПРАВОЧНИКИ!$A$7:$E$22,2,FALSE)))</f>
        <v/>
      </c>
      <c r="Q857" s="25" t="str">
        <f t="shared" si="13"/>
        <v/>
      </c>
      <c r="R857" s="5" t="str">
        <f>IF(A857="","",IF(COUNTIF(Типы,C857)=0,"НЕИЗВЕСТНЫЙ ТИП",VLOOKUP(C857,СПРАВОЧНИКИ!$A$7:$E$22,3,FALSE)))</f>
        <v/>
      </c>
      <c r="S857" s="26" t="str">
        <f>IF(A857="","",IF(L857="Проведён",E857*IF(COUNTIF(Типы,C857)=0,0,VLOOKUP(C857,СПРАВОЧНИКИ!$A$7:$E$22,4,FALSE)),0))</f>
        <v/>
      </c>
      <c r="T857" s="26" t="str">
        <f>IF(A857="","",IF(L857="Проведён",E857*IF(COUNTIF(Типы,C857)=0,0,VLOOKUP(C857,СПРАВОЧНИКИ!$A$7:$E$22,5,FALSE)),0))</f>
        <v/>
      </c>
      <c r="U857" s="5" t="str">
        <f>IF(A857="","",IF(COUNTIF(Контрагенты,H857)=0,"Не задан",VLOOKUP(H857,СПРАВОЧНИКИ!$G$7:$H$66,2,FALSE)))</f>
        <v/>
      </c>
      <c r="V857" s="4" t="str">
        <f>IF(A857="",IF(COUNTA(B857:O857)&gt;0,"НЕТ ID",""),IF(OR(AND(OR(C857="Оплата клиента",C857="Возврат клиенту"),COUNTIFS(Docs[ID],J857,Docs[Тип долга],"ДЗ")&lt;&gt;1),AND(OR(C857="Оплата поставщику",C857="Возврат поставщика"),COUNTIFS(Docs[ID],J857,Docs[Тип долга],"КЗ",Docs[Вид],"&lt;&gt;Дивиденды")&lt;&gt;1),AND(C857="Дивиденды",COUNTIFS(Docs[ID],J857,Docs[Вид],"Дивиденды")&lt;&gt;1),AND(C857="Проценты",COUNTIFS(Docs[ID],J857,Docs[Вид],"Проценты")&lt;&gt;1),COUNTIF(Cash[ID],A857)&gt;1,NOT(ISNUMBER(B857)),B857&lt;НачалоУчета,YEAR(B857)&lt;&gt;Год,NOT(ISNUMBER(E857)),E857&lt;=0,N857&lt;0,COUNTIF(Типы,C857)&lt;&gt;1,COUNTIF(Категории,D857)&lt;&gt;1,COUNTIF(Счета,F857)&lt;&gt;1,COUNTIF(Проекты,I857)&lt;&gt;1,AND(H857&lt;&gt;"",COUNTIF(Контрагенты,H857)&lt;&gt;1),AND(C857="Перевод",OR(F857=G857,COUNTIF(Счета,G857)&lt;&gt;1)),AND(S857&lt;&gt;0,COUNTIF(Docs[ID],J857)&lt;&gt;1),AND(Форма="ООО",C857="Вывод ИП"),AND(Форма="ИП",C857="Дивиденды"),AND(L857&lt;&gt;"Проведён",L857&lt;&gt;"Черновик")),"ОШИБКА","ОК"))</f>
        <v/>
      </c>
      <c r="W857" s="25" t="str">
        <f>IF(A857="","",SUMIF(Accounts[Счёт],F857,Accounts[Начальный])+SUMIFS($Q$7:Q857,$F$7:F857,F857)+SUMIFS($E$7:E857,$G$7:G857,F857,$C$7:C857,"Перевод",$L$7:L857,"Проведён"))</f>
        <v/>
      </c>
    </row>
    <row r="858" spans="1:23" x14ac:dyDescent="0.25">
      <c r="A858" s="22"/>
      <c r="B858" s="23"/>
      <c r="C858" s="22"/>
      <c r="D858" s="22"/>
      <c r="E858" s="27"/>
      <c r="F858" s="22"/>
      <c r="G858" s="22"/>
      <c r="H858" s="22"/>
      <c r="I858" s="22"/>
      <c r="J858" s="22"/>
      <c r="K858" s="22"/>
      <c r="L858" s="22"/>
      <c r="M858" s="22"/>
      <c r="N858" s="27"/>
      <c r="O858" s="22"/>
      <c r="P858" s="5" t="str">
        <f>IF(A858="","",IF(COUNTIF(Типы,C858)=0,0,VLOOKUP(C858,СПРАВОЧНИКИ!$A$7:$E$22,2,FALSE)))</f>
        <v/>
      </c>
      <c r="Q858" s="25" t="str">
        <f t="shared" si="13"/>
        <v/>
      </c>
      <c r="R858" s="5" t="str">
        <f>IF(A858="","",IF(COUNTIF(Типы,C858)=0,"НЕИЗВЕСТНЫЙ ТИП",VLOOKUP(C858,СПРАВОЧНИКИ!$A$7:$E$22,3,FALSE)))</f>
        <v/>
      </c>
      <c r="S858" s="26" t="str">
        <f>IF(A858="","",IF(L858="Проведён",E858*IF(COUNTIF(Типы,C858)=0,0,VLOOKUP(C858,СПРАВОЧНИКИ!$A$7:$E$22,4,FALSE)),0))</f>
        <v/>
      </c>
      <c r="T858" s="26" t="str">
        <f>IF(A858="","",IF(L858="Проведён",E858*IF(COUNTIF(Типы,C858)=0,0,VLOOKUP(C858,СПРАВОЧНИКИ!$A$7:$E$22,5,FALSE)),0))</f>
        <v/>
      </c>
      <c r="U858" s="5" t="str">
        <f>IF(A858="","",IF(COUNTIF(Контрагенты,H858)=0,"Не задан",VLOOKUP(H858,СПРАВОЧНИКИ!$G$7:$H$66,2,FALSE)))</f>
        <v/>
      </c>
      <c r="V858" s="4" t="str">
        <f>IF(A858="",IF(COUNTA(B858:O858)&gt;0,"НЕТ ID",""),IF(OR(AND(OR(C858="Оплата клиента",C858="Возврат клиенту"),COUNTIFS(Docs[ID],J858,Docs[Тип долга],"ДЗ")&lt;&gt;1),AND(OR(C858="Оплата поставщику",C858="Возврат поставщика"),COUNTIFS(Docs[ID],J858,Docs[Тип долга],"КЗ",Docs[Вид],"&lt;&gt;Дивиденды")&lt;&gt;1),AND(C858="Дивиденды",COUNTIFS(Docs[ID],J858,Docs[Вид],"Дивиденды")&lt;&gt;1),AND(C858="Проценты",COUNTIFS(Docs[ID],J858,Docs[Вид],"Проценты")&lt;&gt;1),COUNTIF(Cash[ID],A858)&gt;1,NOT(ISNUMBER(B858)),B858&lt;НачалоУчета,YEAR(B858)&lt;&gt;Год,NOT(ISNUMBER(E858)),E858&lt;=0,N858&lt;0,COUNTIF(Типы,C858)&lt;&gt;1,COUNTIF(Категории,D858)&lt;&gt;1,COUNTIF(Счета,F858)&lt;&gt;1,COUNTIF(Проекты,I858)&lt;&gt;1,AND(H858&lt;&gt;"",COUNTIF(Контрагенты,H858)&lt;&gt;1),AND(C858="Перевод",OR(F858=G858,COUNTIF(Счета,G858)&lt;&gt;1)),AND(S858&lt;&gt;0,COUNTIF(Docs[ID],J858)&lt;&gt;1),AND(Форма="ООО",C858="Вывод ИП"),AND(Форма="ИП",C858="Дивиденды"),AND(L858&lt;&gt;"Проведён",L858&lt;&gt;"Черновик")),"ОШИБКА","ОК"))</f>
        <v/>
      </c>
      <c r="W858" s="25" t="str">
        <f>IF(A858="","",SUMIF(Accounts[Счёт],F858,Accounts[Начальный])+SUMIFS($Q$7:Q858,$F$7:F858,F858)+SUMIFS($E$7:E858,$G$7:G858,F858,$C$7:C858,"Перевод",$L$7:L858,"Проведён"))</f>
        <v/>
      </c>
    </row>
    <row r="859" spans="1:23" x14ac:dyDescent="0.25">
      <c r="A859" s="22"/>
      <c r="B859" s="23"/>
      <c r="C859" s="22"/>
      <c r="D859" s="22"/>
      <c r="E859" s="27"/>
      <c r="F859" s="22"/>
      <c r="G859" s="22"/>
      <c r="H859" s="22"/>
      <c r="I859" s="22"/>
      <c r="J859" s="22"/>
      <c r="K859" s="22"/>
      <c r="L859" s="22"/>
      <c r="M859" s="22"/>
      <c r="N859" s="27"/>
      <c r="O859" s="22"/>
      <c r="P859" s="5" t="str">
        <f>IF(A859="","",IF(COUNTIF(Типы,C859)=0,0,VLOOKUP(C859,СПРАВОЧНИКИ!$A$7:$E$22,2,FALSE)))</f>
        <v/>
      </c>
      <c r="Q859" s="25" t="str">
        <f t="shared" si="13"/>
        <v/>
      </c>
      <c r="R859" s="5" t="str">
        <f>IF(A859="","",IF(COUNTIF(Типы,C859)=0,"НЕИЗВЕСТНЫЙ ТИП",VLOOKUP(C859,СПРАВОЧНИКИ!$A$7:$E$22,3,FALSE)))</f>
        <v/>
      </c>
      <c r="S859" s="26" t="str">
        <f>IF(A859="","",IF(L859="Проведён",E859*IF(COUNTIF(Типы,C859)=0,0,VLOOKUP(C859,СПРАВОЧНИКИ!$A$7:$E$22,4,FALSE)),0))</f>
        <v/>
      </c>
      <c r="T859" s="26" t="str">
        <f>IF(A859="","",IF(L859="Проведён",E859*IF(COUNTIF(Типы,C859)=0,0,VLOOKUP(C859,СПРАВОЧНИКИ!$A$7:$E$22,5,FALSE)),0))</f>
        <v/>
      </c>
      <c r="U859" s="5" t="str">
        <f>IF(A859="","",IF(COUNTIF(Контрагенты,H859)=0,"Не задан",VLOOKUP(H859,СПРАВОЧНИКИ!$G$7:$H$66,2,FALSE)))</f>
        <v/>
      </c>
      <c r="V859" s="4" t="str">
        <f>IF(A859="",IF(COUNTA(B859:O859)&gt;0,"НЕТ ID",""),IF(OR(AND(OR(C859="Оплата клиента",C859="Возврат клиенту"),COUNTIFS(Docs[ID],J859,Docs[Тип долга],"ДЗ")&lt;&gt;1),AND(OR(C859="Оплата поставщику",C859="Возврат поставщика"),COUNTIFS(Docs[ID],J859,Docs[Тип долга],"КЗ",Docs[Вид],"&lt;&gt;Дивиденды")&lt;&gt;1),AND(C859="Дивиденды",COUNTIFS(Docs[ID],J859,Docs[Вид],"Дивиденды")&lt;&gt;1),AND(C859="Проценты",COUNTIFS(Docs[ID],J859,Docs[Вид],"Проценты")&lt;&gt;1),COUNTIF(Cash[ID],A859)&gt;1,NOT(ISNUMBER(B859)),B859&lt;НачалоУчета,YEAR(B859)&lt;&gt;Год,NOT(ISNUMBER(E859)),E859&lt;=0,N859&lt;0,COUNTIF(Типы,C859)&lt;&gt;1,COUNTIF(Категории,D859)&lt;&gt;1,COUNTIF(Счета,F859)&lt;&gt;1,COUNTIF(Проекты,I859)&lt;&gt;1,AND(H859&lt;&gt;"",COUNTIF(Контрагенты,H859)&lt;&gt;1),AND(C859="Перевод",OR(F859=G859,COUNTIF(Счета,G859)&lt;&gt;1)),AND(S859&lt;&gt;0,COUNTIF(Docs[ID],J859)&lt;&gt;1),AND(Форма="ООО",C859="Вывод ИП"),AND(Форма="ИП",C859="Дивиденды"),AND(L859&lt;&gt;"Проведён",L859&lt;&gt;"Черновик")),"ОШИБКА","ОК"))</f>
        <v/>
      </c>
      <c r="W859" s="25" t="str">
        <f>IF(A859="","",SUMIF(Accounts[Счёт],F859,Accounts[Начальный])+SUMIFS($Q$7:Q859,$F$7:F859,F859)+SUMIFS($E$7:E859,$G$7:G859,F859,$C$7:C859,"Перевод",$L$7:L859,"Проведён"))</f>
        <v/>
      </c>
    </row>
    <row r="860" spans="1:23" x14ac:dyDescent="0.25">
      <c r="A860" s="22"/>
      <c r="B860" s="23"/>
      <c r="C860" s="22"/>
      <c r="D860" s="22"/>
      <c r="E860" s="27"/>
      <c r="F860" s="22"/>
      <c r="G860" s="22"/>
      <c r="H860" s="22"/>
      <c r="I860" s="22"/>
      <c r="J860" s="22"/>
      <c r="K860" s="22"/>
      <c r="L860" s="22"/>
      <c r="M860" s="22"/>
      <c r="N860" s="27"/>
      <c r="O860" s="22"/>
      <c r="P860" s="5" t="str">
        <f>IF(A860="","",IF(COUNTIF(Типы,C860)=0,0,VLOOKUP(C860,СПРАВОЧНИКИ!$A$7:$E$22,2,FALSE)))</f>
        <v/>
      </c>
      <c r="Q860" s="25" t="str">
        <f t="shared" si="13"/>
        <v/>
      </c>
      <c r="R860" s="5" t="str">
        <f>IF(A860="","",IF(COUNTIF(Типы,C860)=0,"НЕИЗВЕСТНЫЙ ТИП",VLOOKUP(C860,СПРАВОЧНИКИ!$A$7:$E$22,3,FALSE)))</f>
        <v/>
      </c>
      <c r="S860" s="26" t="str">
        <f>IF(A860="","",IF(L860="Проведён",E860*IF(COUNTIF(Типы,C860)=0,0,VLOOKUP(C860,СПРАВОЧНИКИ!$A$7:$E$22,4,FALSE)),0))</f>
        <v/>
      </c>
      <c r="T860" s="26" t="str">
        <f>IF(A860="","",IF(L860="Проведён",E860*IF(COUNTIF(Типы,C860)=0,0,VLOOKUP(C860,СПРАВОЧНИКИ!$A$7:$E$22,5,FALSE)),0))</f>
        <v/>
      </c>
      <c r="U860" s="5" t="str">
        <f>IF(A860="","",IF(COUNTIF(Контрагенты,H860)=0,"Не задан",VLOOKUP(H860,СПРАВОЧНИКИ!$G$7:$H$66,2,FALSE)))</f>
        <v/>
      </c>
      <c r="V860" s="4" t="str">
        <f>IF(A860="",IF(COUNTA(B860:O860)&gt;0,"НЕТ ID",""),IF(OR(AND(OR(C860="Оплата клиента",C860="Возврат клиенту"),COUNTIFS(Docs[ID],J860,Docs[Тип долга],"ДЗ")&lt;&gt;1),AND(OR(C860="Оплата поставщику",C860="Возврат поставщика"),COUNTIFS(Docs[ID],J860,Docs[Тип долга],"КЗ",Docs[Вид],"&lt;&gt;Дивиденды")&lt;&gt;1),AND(C860="Дивиденды",COUNTIFS(Docs[ID],J860,Docs[Вид],"Дивиденды")&lt;&gt;1),AND(C860="Проценты",COUNTIFS(Docs[ID],J860,Docs[Вид],"Проценты")&lt;&gt;1),COUNTIF(Cash[ID],A860)&gt;1,NOT(ISNUMBER(B860)),B860&lt;НачалоУчета,YEAR(B860)&lt;&gt;Год,NOT(ISNUMBER(E860)),E860&lt;=0,N860&lt;0,COUNTIF(Типы,C860)&lt;&gt;1,COUNTIF(Категории,D860)&lt;&gt;1,COUNTIF(Счета,F860)&lt;&gt;1,COUNTIF(Проекты,I860)&lt;&gt;1,AND(H860&lt;&gt;"",COUNTIF(Контрагенты,H860)&lt;&gt;1),AND(C860="Перевод",OR(F860=G860,COUNTIF(Счета,G860)&lt;&gt;1)),AND(S860&lt;&gt;0,COUNTIF(Docs[ID],J860)&lt;&gt;1),AND(Форма="ООО",C860="Вывод ИП"),AND(Форма="ИП",C860="Дивиденды"),AND(L860&lt;&gt;"Проведён",L860&lt;&gt;"Черновик")),"ОШИБКА","ОК"))</f>
        <v/>
      </c>
      <c r="W860" s="25" t="str">
        <f>IF(A860="","",SUMIF(Accounts[Счёт],F860,Accounts[Начальный])+SUMIFS($Q$7:Q860,$F$7:F860,F860)+SUMIFS($E$7:E860,$G$7:G860,F860,$C$7:C860,"Перевод",$L$7:L860,"Проведён"))</f>
        <v/>
      </c>
    </row>
    <row r="861" spans="1:23" x14ac:dyDescent="0.25">
      <c r="A861" s="22"/>
      <c r="B861" s="23"/>
      <c r="C861" s="22"/>
      <c r="D861" s="22"/>
      <c r="E861" s="27"/>
      <c r="F861" s="22"/>
      <c r="G861" s="22"/>
      <c r="H861" s="22"/>
      <c r="I861" s="22"/>
      <c r="J861" s="22"/>
      <c r="K861" s="22"/>
      <c r="L861" s="22"/>
      <c r="M861" s="22"/>
      <c r="N861" s="27"/>
      <c r="O861" s="22"/>
      <c r="P861" s="5" t="str">
        <f>IF(A861="","",IF(COUNTIF(Типы,C861)=0,0,VLOOKUP(C861,СПРАВОЧНИКИ!$A$7:$E$22,2,FALSE)))</f>
        <v/>
      </c>
      <c r="Q861" s="25" t="str">
        <f t="shared" si="13"/>
        <v/>
      </c>
      <c r="R861" s="5" t="str">
        <f>IF(A861="","",IF(COUNTIF(Типы,C861)=0,"НЕИЗВЕСТНЫЙ ТИП",VLOOKUP(C861,СПРАВОЧНИКИ!$A$7:$E$22,3,FALSE)))</f>
        <v/>
      </c>
      <c r="S861" s="26" t="str">
        <f>IF(A861="","",IF(L861="Проведён",E861*IF(COUNTIF(Типы,C861)=0,0,VLOOKUP(C861,СПРАВОЧНИКИ!$A$7:$E$22,4,FALSE)),0))</f>
        <v/>
      </c>
      <c r="T861" s="26" t="str">
        <f>IF(A861="","",IF(L861="Проведён",E861*IF(COUNTIF(Типы,C861)=0,0,VLOOKUP(C861,СПРАВОЧНИКИ!$A$7:$E$22,5,FALSE)),0))</f>
        <v/>
      </c>
      <c r="U861" s="5" t="str">
        <f>IF(A861="","",IF(COUNTIF(Контрагенты,H861)=0,"Не задан",VLOOKUP(H861,СПРАВОЧНИКИ!$G$7:$H$66,2,FALSE)))</f>
        <v/>
      </c>
      <c r="V861" s="4" t="str">
        <f>IF(A861="",IF(COUNTA(B861:O861)&gt;0,"НЕТ ID",""),IF(OR(AND(OR(C861="Оплата клиента",C861="Возврат клиенту"),COUNTIFS(Docs[ID],J861,Docs[Тип долга],"ДЗ")&lt;&gt;1),AND(OR(C861="Оплата поставщику",C861="Возврат поставщика"),COUNTIFS(Docs[ID],J861,Docs[Тип долга],"КЗ",Docs[Вид],"&lt;&gt;Дивиденды")&lt;&gt;1),AND(C861="Дивиденды",COUNTIFS(Docs[ID],J861,Docs[Вид],"Дивиденды")&lt;&gt;1),AND(C861="Проценты",COUNTIFS(Docs[ID],J861,Docs[Вид],"Проценты")&lt;&gt;1),COUNTIF(Cash[ID],A861)&gt;1,NOT(ISNUMBER(B861)),B861&lt;НачалоУчета,YEAR(B861)&lt;&gt;Год,NOT(ISNUMBER(E861)),E861&lt;=0,N861&lt;0,COUNTIF(Типы,C861)&lt;&gt;1,COUNTIF(Категории,D861)&lt;&gt;1,COUNTIF(Счета,F861)&lt;&gt;1,COUNTIF(Проекты,I861)&lt;&gt;1,AND(H861&lt;&gt;"",COUNTIF(Контрагенты,H861)&lt;&gt;1),AND(C861="Перевод",OR(F861=G861,COUNTIF(Счета,G861)&lt;&gt;1)),AND(S861&lt;&gt;0,COUNTIF(Docs[ID],J861)&lt;&gt;1),AND(Форма="ООО",C861="Вывод ИП"),AND(Форма="ИП",C861="Дивиденды"),AND(L861&lt;&gt;"Проведён",L861&lt;&gt;"Черновик")),"ОШИБКА","ОК"))</f>
        <v/>
      </c>
      <c r="W861" s="25" t="str">
        <f>IF(A861="","",SUMIF(Accounts[Счёт],F861,Accounts[Начальный])+SUMIFS($Q$7:Q861,$F$7:F861,F861)+SUMIFS($E$7:E861,$G$7:G861,F861,$C$7:C861,"Перевод",$L$7:L861,"Проведён"))</f>
        <v/>
      </c>
    </row>
    <row r="862" spans="1:23" x14ac:dyDescent="0.25">
      <c r="A862" s="22"/>
      <c r="B862" s="23"/>
      <c r="C862" s="22"/>
      <c r="D862" s="22"/>
      <c r="E862" s="27"/>
      <c r="F862" s="22"/>
      <c r="G862" s="22"/>
      <c r="H862" s="22"/>
      <c r="I862" s="22"/>
      <c r="J862" s="22"/>
      <c r="K862" s="22"/>
      <c r="L862" s="22"/>
      <c r="M862" s="22"/>
      <c r="N862" s="27"/>
      <c r="O862" s="22"/>
      <c r="P862" s="5" t="str">
        <f>IF(A862="","",IF(COUNTIF(Типы,C862)=0,0,VLOOKUP(C862,СПРАВОЧНИКИ!$A$7:$E$22,2,FALSE)))</f>
        <v/>
      </c>
      <c r="Q862" s="25" t="str">
        <f t="shared" si="13"/>
        <v/>
      </c>
      <c r="R862" s="5" t="str">
        <f>IF(A862="","",IF(COUNTIF(Типы,C862)=0,"НЕИЗВЕСТНЫЙ ТИП",VLOOKUP(C862,СПРАВОЧНИКИ!$A$7:$E$22,3,FALSE)))</f>
        <v/>
      </c>
      <c r="S862" s="26" t="str">
        <f>IF(A862="","",IF(L862="Проведён",E862*IF(COUNTIF(Типы,C862)=0,0,VLOOKUP(C862,СПРАВОЧНИКИ!$A$7:$E$22,4,FALSE)),0))</f>
        <v/>
      </c>
      <c r="T862" s="26" t="str">
        <f>IF(A862="","",IF(L862="Проведён",E862*IF(COUNTIF(Типы,C862)=0,0,VLOOKUP(C862,СПРАВОЧНИКИ!$A$7:$E$22,5,FALSE)),0))</f>
        <v/>
      </c>
      <c r="U862" s="5" t="str">
        <f>IF(A862="","",IF(COUNTIF(Контрагенты,H862)=0,"Не задан",VLOOKUP(H862,СПРАВОЧНИКИ!$G$7:$H$66,2,FALSE)))</f>
        <v/>
      </c>
      <c r="V862" s="4" t="str">
        <f>IF(A862="",IF(COUNTA(B862:O862)&gt;0,"НЕТ ID",""),IF(OR(AND(OR(C862="Оплата клиента",C862="Возврат клиенту"),COUNTIFS(Docs[ID],J862,Docs[Тип долга],"ДЗ")&lt;&gt;1),AND(OR(C862="Оплата поставщику",C862="Возврат поставщика"),COUNTIFS(Docs[ID],J862,Docs[Тип долга],"КЗ",Docs[Вид],"&lt;&gt;Дивиденды")&lt;&gt;1),AND(C862="Дивиденды",COUNTIFS(Docs[ID],J862,Docs[Вид],"Дивиденды")&lt;&gt;1),AND(C862="Проценты",COUNTIFS(Docs[ID],J862,Docs[Вид],"Проценты")&lt;&gt;1),COUNTIF(Cash[ID],A862)&gt;1,NOT(ISNUMBER(B862)),B862&lt;НачалоУчета,YEAR(B862)&lt;&gt;Год,NOT(ISNUMBER(E862)),E862&lt;=0,N862&lt;0,COUNTIF(Типы,C862)&lt;&gt;1,COUNTIF(Категории,D862)&lt;&gt;1,COUNTIF(Счета,F862)&lt;&gt;1,COUNTIF(Проекты,I862)&lt;&gt;1,AND(H862&lt;&gt;"",COUNTIF(Контрагенты,H862)&lt;&gt;1),AND(C862="Перевод",OR(F862=G862,COUNTIF(Счета,G862)&lt;&gt;1)),AND(S862&lt;&gt;0,COUNTIF(Docs[ID],J862)&lt;&gt;1),AND(Форма="ООО",C862="Вывод ИП"),AND(Форма="ИП",C862="Дивиденды"),AND(L862&lt;&gt;"Проведён",L862&lt;&gt;"Черновик")),"ОШИБКА","ОК"))</f>
        <v/>
      </c>
      <c r="W862" s="25" t="str">
        <f>IF(A862="","",SUMIF(Accounts[Счёт],F862,Accounts[Начальный])+SUMIFS($Q$7:Q862,$F$7:F862,F862)+SUMIFS($E$7:E862,$G$7:G862,F862,$C$7:C862,"Перевод",$L$7:L862,"Проведён"))</f>
        <v/>
      </c>
    </row>
    <row r="863" spans="1:23" x14ac:dyDescent="0.25">
      <c r="A863" s="22"/>
      <c r="B863" s="23"/>
      <c r="C863" s="22"/>
      <c r="D863" s="22"/>
      <c r="E863" s="27"/>
      <c r="F863" s="22"/>
      <c r="G863" s="22"/>
      <c r="H863" s="22"/>
      <c r="I863" s="22"/>
      <c r="J863" s="22"/>
      <c r="K863" s="22"/>
      <c r="L863" s="22"/>
      <c r="M863" s="22"/>
      <c r="N863" s="27"/>
      <c r="O863" s="22"/>
      <c r="P863" s="5" t="str">
        <f>IF(A863="","",IF(COUNTIF(Типы,C863)=0,0,VLOOKUP(C863,СПРАВОЧНИКИ!$A$7:$E$22,2,FALSE)))</f>
        <v/>
      </c>
      <c r="Q863" s="25" t="str">
        <f t="shared" si="13"/>
        <v/>
      </c>
      <c r="R863" s="5" t="str">
        <f>IF(A863="","",IF(COUNTIF(Типы,C863)=0,"НЕИЗВЕСТНЫЙ ТИП",VLOOKUP(C863,СПРАВОЧНИКИ!$A$7:$E$22,3,FALSE)))</f>
        <v/>
      </c>
      <c r="S863" s="26" t="str">
        <f>IF(A863="","",IF(L863="Проведён",E863*IF(COUNTIF(Типы,C863)=0,0,VLOOKUP(C863,СПРАВОЧНИКИ!$A$7:$E$22,4,FALSE)),0))</f>
        <v/>
      </c>
      <c r="T863" s="26" t="str">
        <f>IF(A863="","",IF(L863="Проведён",E863*IF(COUNTIF(Типы,C863)=0,0,VLOOKUP(C863,СПРАВОЧНИКИ!$A$7:$E$22,5,FALSE)),0))</f>
        <v/>
      </c>
      <c r="U863" s="5" t="str">
        <f>IF(A863="","",IF(COUNTIF(Контрагенты,H863)=0,"Не задан",VLOOKUP(H863,СПРАВОЧНИКИ!$G$7:$H$66,2,FALSE)))</f>
        <v/>
      </c>
      <c r="V863" s="4" t="str">
        <f>IF(A863="",IF(COUNTA(B863:O863)&gt;0,"НЕТ ID",""),IF(OR(AND(OR(C863="Оплата клиента",C863="Возврат клиенту"),COUNTIFS(Docs[ID],J863,Docs[Тип долга],"ДЗ")&lt;&gt;1),AND(OR(C863="Оплата поставщику",C863="Возврат поставщика"),COUNTIFS(Docs[ID],J863,Docs[Тип долга],"КЗ",Docs[Вид],"&lt;&gt;Дивиденды")&lt;&gt;1),AND(C863="Дивиденды",COUNTIFS(Docs[ID],J863,Docs[Вид],"Дивиденды")&lt;&gt;1),AND(C863="Проценты",COUNTIFS(Docs[ID],J863,Docs[Вид],"Проценты")&lt;&gt;1),COUNTIF(Cash[ID],A863)&gt;1,NOT(ISNUMBER(B863)),B863&lt;НачалоУчета,YEAR(B863)&lt;&gt;Год,NOT(ISNUMBER(E863)),E863&lt;=0,N863&lt;0,COUNTIF(Типы,C863)&lt;&gt;1,COUNTIF(Категории,D863)&lt;&gt;1,COUNTIF(Счета,F863)&lt;&gt;1,COUNTIF(Проекты,I863)&lt;&gt;1,AND(H863&lt;&gt;"",COUNTIF(Контрагенты,H863)&lt;&gt;1),AND(C863="Перевод",OR(F863=G863,COUNTIF(Счета,G863)&lt;&gt;1)),AND(S863&lt;&gt;0,COUNTIF(Docs[ID],J863)&lt;&gt;1),AND(Форма="ООО",C863="Вывод ИП"),AND(Форма="ИП",C863="Дивиденды"),AND(L863&lt;&gt;"Проведён",L863&lt;&gt;"Черновик")),"ОШИБКА","ОК"))</f>
        <v/>
      </c>
      <c r="W863" s="25" t="str">
        <f>IF(A863="","",SUMIF(Accounts[Счёт],F863,Accounts[Начальный])+SUMIFS($Q$7:Q863,$F$7:F863,F863)+SUMIFS($E$7:E863,$G$7:G863,F863,$C$7:C863,"Перевод",$L$7:L863,"Проведён"))</f>
        <v/>
      </c>
    </row>
    <row r="864" spans="1:23" x14ac:dyDescent="0.25">
      <c r="A864" s="22"/>
      <c r="B864" s="23"/>
      <c r="C864" s="22"/>
      <c r="D864" s="22"/>
      <c r="E864" s="27"/>
      <c r="F864" s="22"/>
      <c r="G864" s="22"/>
      <c r="H864" s="22"/>
      <c r="I864" s="22"/>
      <c r="J864" s="22"/>
      <c r="K864" s="22"/>
      <c r="L864" s="22"/>
      <c r="M864" s="22"/>
      <c r="N864" s="27"/>
      <c r="O864" s="22"/>
      <c r="P864" s="5" t="str">
        <f>IF(A864="","",IF(COUNTIF(Типы,C864)=0,0,VLOOKUP(C864,СПРАВОЧНИКИ!$A$7:$E$22,2,FALSE)))</f>
        <v/>
      </c>
      <c r="Q864" s="25" t="str">
        <f t="shared" si="13"/>
        <v/>
      </c>
      <c r="R864" s="5" t="str">
        <f>IF(A864="","",IF(COUNTIF(Типы,C864)=0,"НЕИЗВЕСТНЫЙ ТИП",VLOOKUP(C864,СПРАВОЧНИКИ!$A$7:$E$22,3,FALSE)))</f>
        <v/>
      </c>
      <c r="S864" s="26" t="str">
        <f>IF(A864="","",IF(L864="Проведён",E864*IF(COUNTIF(Типы,C864)=0,0,VLOOKUP(C864,СПРАВОЧНИКИ!$A$7:$E$22,4,FALSE)),0))</f>
        <v/>
      </c>
      <c r="T864" s="26" t="str">
        <f>IF(A864="","",IF(L864="Проведён",E864*IF(COUNTIF(Типы,C864)=0,0,VLOOKUP(C864,СПРАВОЧНИКИ!$A$7:$E$22,5,FALSE)),0))</f>
        <v/>
      </c>
      <c r="U864" s="5" t="str">
        <f>IF(A864="","",IF(COUNTIF(Контрагенты,H864)=0,"Не задан",VLOOKUP(H864,СПРАВОЧНИКИ!$G$7:$H$66,2,FALSE)))</f>
        <v/>
      </c>
      <c r="V864" s="4" t="str">
        <f>IF(A864="",IF(COUNTA(B864:O864)&gt;0,"НЕТ ID",""),IF(OR(AND(OR(C864="Оплата клиента",C864="Возврат клиенту"),COUNTIFS(Docs[ID],J864,Docs[Тип долга],"ДЗ")&lt;&gt;1),AND(OR(C864="Оплата поставщику",C864="Возврат поставщика"),COUNTIFS(Docs[ID],J864,Docs[Тип долга],"КЗ",Docs[Вид],"&lt;&gt;Дивиденды")&lt;&gt;1),AND(C864="Дивиденды",COUNTIFS(Docs[ID],J864,Docs[Вид],"Дивиденды")&lt;&gt;1),AND(C864="Проценты",COUNTIFS(Docs[ID],J864,Docs[Вид],"Проценты")&lt;&gt;1),COUNTIF(Cash[ID],A864)&gt;1,NOT(ISNUMBER(B864)),B864&lt;НачалоУчета,YEAR(B864)&lt;&gt;Год,NOT(ISNUMBER(E864)),E864&lt;=0,N864&lt;0,COUNTIF(Типы,C864)&lt;&gt;1,COUNTIF(Категории,D864)&lt;&gt;1,COUNTIF(Счета,F864)&lt;&gt;1,COUNTIF(Проекты,I864)&lt;&gt;1,AND(H864&lt;&gt;"",COUNTIF(Контрагенты,H864)&lt;&gt;1),AND(C864="Перевод",OR(F864=G864,COUNTIF(Счета,G864)&lt;&gt;1)),AND(S864&lt;&gt;0,COUNTIF(Docs[ID],J864)&lt;&gt;1),AND(Форма="ООО",C864="Вывод ИП"),AND(Форма="ИП",C864="Дивиденды"),AND(L864&lt;&gt;"Проведён",L864&lt;&gt;"Черновик")),"ОШИБКА","ОК"))</f>
        <v/>
      </c>
      <c r="W864" s="25" t="str">
        <f>IF(A864="","",SUMIF(Accounts[Счёт],F864,Accounts[Начальный])+SUMIFS($Q$7:Q864,$F$7:F864,F864)+SUMIFS($E$7:E864,$G$7:G864,F864,$C$7:C864,"Перевод",$L$7:L864,"Проведён"))</f>
        <v/>
      </c>
    </row>
    <row r="865" spans="1:23" x14ac:dyDescent="0.25">
      <c r="A865" s="22"/>
      <c r="B865" s="23"/>
      <c r="C865" s="22"/>
      <c r="D865" s="22"/>
      <c r="E865" s="27"/>
      <c r="F865" s="22"/>
      <c r="G865" s="22"/>
      <c r="H865" s="22"/>
      <c r="I865" s="22"/>
      <c r="J865" s="22"/>
      <c r="K865" s="22"/>
      <c r="L865" s="22"/>
      <c r="M865" s="22"/>
      <c r="N865" s="27"/>
      <c r="O865" s="22"/>
      <c r="P865" s="5" t="str">
        <f>IF(A865="","",IF(COUNTIF(Типы,C865)=0,0,VLOOKUP(C865,СПРАВОЧНИКИ!$A$7:$E$22,2,FALSE)))</f>
        <v/>
      </c>
      <c r="Q865" s="25" t="str">
        <f t="shared" si="13"/>
        <v/>
      </c>
      <c r="R865" s="5" t="str">
        <f>IF(A865="","",IF(COUNTIF(Типы,C865)=0,"НЕИЗВЕСТНЫЙ ТИП",VLOOKUP(C865,СПРАВОЧНИКИ!$A$7:$E$22,3,FALSE)))</f>
        <v/>
      </c>
      <c r="S865" s="26" t="str">
        <f>IF(A865="","",IF(L865="Проведён",E865*IF(COUNTIF(Типы,C865)=0,0,VLOOKUP(C865,СПРАВОЧНИКИ!$A$7:$E$22,4,FALSE)),0))</f>
        <v/>
      </c>
      <c r="T865" s="26" t="str">
        <f>IF(A865="","",IF(L865="Проведён",E865*IF(COUNTIF(Типы,C865)=0,0,VLOOKUP(C865,СПРАВОЧНИКИ!$A$7:$E$22,5,FALSE)),0))</f>
        <v/>
      </c>
      <c r="U865" s="5" t="str">
        <f>IF(A865="","",IF(COUNTIF(Контрагенты,H865)=0,"Не задан",VLOOKUP(H865,СПРАВОЧНИКИ!$G$7:$H$66,2,FALSE)))</f>
        <v/>
      </c>
      <c r="V865" s="4" t="str">
        <f>IF(A865="",IF(COUNTA(B865:O865)&gt;0,"НЕТ ID",""),IF(OR(AND(OR(C865="Оплата клиента",C865="Возврат клиенту"),COUNTIFS(Docs[ID],J865,Docs[Тип долга],"ДЗ")&lt;&gt;1),AND(OR(C865="Оплата поставщику",C865="Возврат поставщика"),COUNTIFS(Docs[ID],J865,Docs[Тип долга],"КЗ",Docs[Вид],"&lt;&gt;Дивиденды")&lt;&gt;1),AND(C865="Дивиденды",COUNTIFS(Docs[ID],J865,Docs[Вид],"Дивиденды")&lt;&gt;1),AND(C865="Проценты",COUNTIFS(Docs[ID],J865,Docs[Вид],"Проценты")&lt;&gt;1),COUNTIF(Cash[ID],A865)&gt;1,NOT(ISNUMBER(B865)),B865&lt;НачалоУчета,YEAR(B865)&lt;&gt;Год,NOT(ISNUMBER(E865)),E865&lt;=0,N865&lt;0,COUNTIF(Типы,C865)&lt;&gt;1,COUNTIF(Категории,D865)&lt;&gt;1,COUNTIF(Счета,F865)&lt;&gt;1,COUNTIF(Проекты,I865)&lt;&gt;1,AND(H865&lt;&gt;"",COUNTIF(Контрагенты,H865)&lt;&gt;1),AND(C865="Перевод",OR(F865=G865,COUNTIF(Счета,G865)&lt;&gt;1)),AND(S865&lt;&gt;0,COUNTIF(Docs[ID],J865)&lt;&gt;1),AND(Форма="ООО",C865="Вывод ИП"),AND(Форма="ИП",C865="Дивиденды"),AND(L865&lt;&gt;"Проведён",L865&lt;&gt;"Черновик")),"ОШИБКА","ОК"))</f>
        <v/>
      </c>
      <c r="W865" s="25" t="str">
        <f>IF(A865="","",SUMIF(Accounts[Счёт],F865,Accounts[Начальный])+SUMIFS($Q$7:Q865,$F$7:F865,F865)+SUMIFS($E$7:E865,$G$7:G865,F865,$C$7:C865,"Перевод",$L$7:L865,"Проведён"))</f>
        <v/>
      </c>
    </row>
    <row r="866" spans="1:23" x14ac:dyDescent="0.25">
      <c r="A866" s="22"/>
      <c r="B866" s="23"/>
      <c r="C866" s="22"/>
      <c r="D866" s="22"/>
      <c r="E866" s="27"/>
      <c r="F866" s="22"/>
      <c r="G866" s="22"/>
      <c r="H866" s="22"/>
      <c r="I866" s="22"/>
      <c r="J866" s="22"/>
      <c r="K866" s="22"/>
      <c r="L866" s="22"/>
      <c r="M866" s="22"/>
      <c r="N866" s="27"/>
      <c r="O866" s="22"/>
      <c r="P866" s="5" t="str">
        <f>IF(A866="","",IF(COUNTIF(Типы,C866)=0,0,VLOOKUP(C866,СПРАВОЧНИКИ!$A$7:$E$22,2,FALSE)))</f>
        <v/>
      </c>
      <c r="Q866" s="25" t="str">
        <f t="shared" si="13"/>
        <v/>
      </c>
      <c r="R866" s="5" t="str">
        <f>IF(A866="","",IF(COUNTIF(Типы,C866)=0,"НЕИЗВЕСТНЫЙ ТИП",VLOOKUP(C866,СПРАВОЧНИКИ!$A$7:$E$22,3,FALSE)))</f>
        <v/>
      </c>
      <c r="S866" s="26" t="str">
        <f>IF(A866="","",IF(L866="Проведён",E866*IF(COUNTIF(Типы,C866)=0,0,VLOOKUP(C866,СПРАВОЧНИКИ!$A$7:$E$22,4,FALSE)),0))</f>
        <v/>
      </c>
      <c r="T866" s="26" t="str">
        <f>IF(A866="","",IF(L866="Проведён",E866*IF(COUNTIF(Типы,C866)=0,0,VLOOKUP(C866,СПРАВОЧНИКИ!$A$7:$E$22,5,FALSE)),0))</f>
        <v/>
      </c>
      <c r="U866" s="5" t="str">
        <f>IF(A866="","",IF(COUNTIF(Контрагенты,H866)=0,"Не задан",VLOOKUP(H866,СПРАВОЧНИКИ!$G$7:$H$66,2,FALSE)))</f>
        <v/>
      </c>
      <c r="V866" s="4" t="str">
        <f>IF(A866="",IF(COUNTA(B866:O866)&gt;0,"НЕТ ID",""),IF(OR(AND(OR(C866="Оплата клиента",C866="Возврат клиенту"),COUNTIFS(Docs[ID],J866,Docs[Тип долга],"ДЗ")&lt;&gt;1),AND(OR(C866="Оплата поставщику",C866="Возврат поставщика"),COUNTIFS(Docs[ID],J866,Docs[Тип долга],"КЗ",Docs[Вид],"&lt;&gt;Дивиденды")&lt;&gt;1),AND(C866="Дивиденды",COUNTIFS(Docs[ID],J866,Docs[Вид],"Дивиденды")&lt;&gt;1),AND(C866="Проценты",COUNTIFS(Docs[ID],J866,Docs[Вид],"Проценты")&lt;&gt;1),COUNTIF(Cash[ID],A866)&gt;1,NOT(ISNUMBER(B866)),B866&lt;НачалоУчета,YEAR(B866)&lt;&gt;Год,NOT(ISNUMBER(E866)),E866&lt;=0,N866&lt;0,COUNTIF(Типы,C866)&lt;&gt;1,COUNTIF(Категории,D866)&lt;&gt;1,COUNTIF(Счета,F866)&lt;&gt;1,COUNTIF(Проекты,I866)&lt;&gt;1,AND(H866&lt;&gt;"",COUNTIF(Контрагенты,H866)&lt;&gt;1),AND(C866="Перевод",OR(F866=G866,COUNTIF(Счета,G866)&lt;&gt;1)),AND(S866&lt;&gt;0,COUNTIF(Docs[ID],J866)&lt;&gt;1),AND(Форма="ООО",C866="Вывод ИП"),AND(Форма="ИП",C866="Дивиденды"),AND(L866&lt;&gt;"Проведён",L866&lt;&gt;"Черновик")),"ОШИБКА","ОК"))</f>
        <v/>
      </c>
      <c r="W866" s="25" t="str">
        <f>IF(A866="","",SUMIF(Accounts[Счёт],F866,Accounts[Начальный])+SUMIFS($Q$7:Q866,$F$7:F866,F866)+SUMIFS($E$7:E866,$G$7:G866,F866,$C$7:C866,"Перевод",$L$7:L866,"Проведён"))</f>
        <v/>
      </c>
    </row>
    <row r="867" spans="1:23" x14ac:dyDescent="0.25">
      <c r="A867" s="22"/>
      <c r="B867" s="23"/>
      <c r="C867" s="22"/>
      <c r="D867" s="22"/>
      <c r="E867" s="27"/>
      <c r="F867" s="22"/>
      <c r="G867" s="22"/>
      <c r="H867" s="22"/>
      <c r="I867" s="22"/>
      <c r="J867" s="22"/>
      <c r="K867" s="22"/>
      <c r="L867" s="22"/>
      <c r="M867" s="22"/>
      <c r="N867" s="27"/>
      <c r="O867" s="22"/>
      <c r="P867" s="5" t="str">
        <f>IF(A867="","",IF(COUNTIF(Типы,C867)=0,0,VLOOKUP(C867,СПРАВОЧНИКИ!$A$7:$E$22,2,FALSE)))</f>
        <v/>
      </c>
      <c r="Q867" s="25" t="str">
        <f t="shared" si="13"/>
        <v/>
      </c>
      <c r="R867" s="5" t="str">
        <f>IF(A867="","",IF(COUNTIF(Типы,C867)=0,"НЕИЗВЕСТНЫЙ ТИП",VLOOKUP(C867,СПРАВОЧНИКИ!$A$7:$E$22,3,FALSE)))</f>
        <v/>
      </c>
      <c r="S867" s="26" t="str">
        <f>IF(A867="","",IF(L867="Проведён",E867*IF(COUNTIF(Типы,C867)=0,0,VLOOKUP(C867,СПРАВОЧНИКИ!$A$7:$E$22,4,FALSE)),0))</f>
        <v/>
      </c>
      <c r="T867" s="26" t="str">
        <f>IF(A867="","",IF(L867="Проведён",E867*IF(COUNTIF(Типы,C867)=0,0,VLOOKUP(C867,СПРАВОЧНИКИ!$A$7:$E$22,5,FALSE)),0))</f>
        <v/>
      </c>
      <c r="U867" s="5" t="str">
        <f>IF(A867="","",IF(COUNTIF(Контрагенты,H867)=0,"Не задан",VLOOKUP(H867,СПРАВОЧНИКИ!$G$7:$H$66,2,FALSE)))</f>
        <v/>
      </c>
      <c r="V867" s="4" t="str">
        <f>IF(A867="",IF(COUNTA(B867:O867)&gt;0,"НЕТ ID",""),IF(OR(AND(OR(C867="Оплата клиента",C867="Возврат клиенту"),COUNTIFS(Docs[ID],J867,Docs[Тип долга],"ДЗ")&lt;&gt;1),AND(OR(C867="Оплата поставщику",C867="Возврат поставщика"),COUNTIFS(Docs[ID],J867,Docs[Тип долга],"КЗ",Docs[Вид],"&lt;&gt;Дивиденды")&lt;&gt;1),AND(C867="Дивиденды",COUNTIFS(Docs[ID],J867,Docs[Вид],"Дивиденды")&lt;&gt;1),AND(C867="Проценты",COUNTIFS(Docs[ID],J867,Docs[Вид],"Проценты")&lt;&gt;1),COUNTIF(Cash[ID],A867)&gt;1,NOT(ISNUMBER(B867)),B867&lt;НачалоУчета,YEAR(B867)&lt;&gt;Год,NOT(ISNUMBER(E867)),E867&lt;=0,N867&lt;0,COUNTIF(Типы,C867)&lt;&gt;1,COUNTIF(Категории,D867)&lt;&gt;1,COUNTIF(Счета,F867)&lt;&gt;1,COUNTIF(Проекты,I867)&lt;&gt;1,AND(H867&lt;&gt;"",COUNTIF(Контрагенты,H867)&lt;&gt;1),AND(C867="Перевод",OR(F867=G867,COUNTIF(Счета,G867)&lt;&gt;1)),AND(S867&lt;&gt;0,COUNTIF(Docs[ID],J867)&lt;&gt;1),AND(Форма="ООО",C867="Вывод ИП"),AND(Форма="ИП",C867="Дивиденды"),AND(L867&lt;&gt;"Проведён",L867&lt;&gt;"Черновик")),"ОШИБКА","ОК"))</f>
        <v/>
      </c>
      <c r="W867" s="25" t="str">
        <f>IF(A867="","",SUMIF(Accounts[Счёт],F867,Accounts[Начальный])+SUMIFS($Q$7:Q867,$F$7:F867,F867)+SUMIFS($E$7:E867,$G$7:G867,F867,$C$7:C867,"Перевод",$L$7:L867,"Проведён"))</f>
        <v/>
      </c>
    </row>
    <row r="868" spans="1:23" x14ac:dyDescent="0.25">
      <c r="A868" s="22"/>
      <c r="B868" s="23"/>
      <c r="C868" s="22"/>
      <c r="D868" s="22"/>
      <c r="E868" s="27"/>
      <c r="F868" s="22"/>
      <c r="G868" s="22"/>
      <c r="H868" s="22"/>
      <c r="I868" s="22"/>
      <c r="J868" s="22"/>
      <c r="K868" s="22"/>
      <c r="L868" s="22"/>
      <c r="M868" s="22"/>
      <c r="N868" s="27"/>
      <c r="O868" s="22"/>
      <c r="P868" s="5" t="str">
        <f>IF(A868="","",IF(COUNTIF(Типы,C868)=0,0,VLOOKUP(C868,СПРАВОЧНИКИ!$A$7:$E$22,2,FALSE)))</f>
        <v/>
      </c>
      <c r="Q868" s="25" t="str">
        <f t="shared" si="13"/>
        <v/>
      </c>
      <c r="R868" s="5" t="str">
        <f>IF(A868="","",IF(COUNTIF(Типы,C868)=0,"НЕИЗВЕСТНЫЙ ТИП",VLOOKUP(C868,СПРАВОЧНИКИ!$A$7:$E$22,3,FALSE)))</f>
        <v/>
      </c>
      <c r="S868" s="26" t="str">
        <f>IF(A868="","",IF(L868="Проведён",E868*IF(COUNTIF(Типы,C868)=0,0,VLOOKUP(C868,СПРАВОЧНИКИ!$A$7:$E$22,4,FALSE)),0))</f>
        <v/>
      </c>
      <c r="T868" s="26" t="str">
        <f>IF(A868="","",IF(L868="Проведён",E868*IF(COUNTIF(Типы,C868)=0,0,VLOOKUP(C868,СПРАВОЧНИКИ!$A$7:$E$22,5,FALSE)),0))</f>
        <v/>
      </c>
      <c r="U868" s="5" t="str">
        <f>IF(A868="","",IF(COUNTIF(Контрагенты,H868)=0,"Не задан",VLOOKUP(H868,СПРАВОЧНИКИ!$G$7:$H$66,2,FALSE)))</f>
        <v/>
      </c>
      <c r="V868" s="4" t="str">
        <f>IF(A868="",IF(COUNTA(B868:O868)&gt;0,"НЕТ ID",""),IF(OR(AND(OR(C868="Оплата клиента",C868="Возврат клиенту"),COUNTIFS(Docs[ID],J868,Docs[Тип долга],"ДЗ")&lt;&gt;1),AND(OR(C868="Оплата поставщику",C868="Возврат поставщика"),COUNTIFS(Docs[ID],J868,Docs[Тип долга],"КЗ",Docs[Вид],"&lt;&gt;Дивиденды")&lt;&gt;1),AND(C868="Дивиденды",COUNTIFS(Docs[ID],J868,Docs[Вид],"Дивиденды")&lt;&gt;1),AND(C868="Проценты",COUNTIFS(Docs[ID],J868,Docs[Вид],"Проценты")&lt;&gt;1),COUNTIF(Cash[ID],A868)&gt;1,NOT(ISNUMBER(B868)),B868&lt;НачалоУчета,YEAR(B868)&lt;&gt;Год,NOT(ISNUMBER(E868)),E868&lt;=0,N868&lt;0,COUNTIF(Типы,C868)&lt;&gt;1,COUNTIF(Категории,D868)&lt;&gt;1,COUNTIF(Счета,F868)&lt;&gt;1,COUNTIF(Проекты,I868)&lt;&gt;1,AND(H868&lt;&gt;"",COUNTIF(Контрагенты,H868)&lt;&gt;1),AND(C868="Перевод",OR(F868=G868,COUNTIF(Счета,G868)&lt;&gt;1)),AND(S868&lt;&gt;0,COUNTIF(Docs[ID],J868)&lt;&gt;1),AND(Форма="ООО",C868="Вывод ИП"),AND(Форма="ИП",C868="Дивиденды"),AND(L868&lt;&gt;"Проведён",L868&lt;&gt;"Черновик")),"ОШИБКА","ОК"))</f>
        <v/>
      </c>
      <c r="W868" s="25" t="str">
        <f>IF(A868="","",SUMIF(Accounts[Счёт],F868,Accounts[Начальный])+SUMIFS($Q$7:Q868,$F$7:F868,F868)+SUMIFS($E$7:E868,$G$7:G868,F868,$C$7:C868,"Перевод",$L$7:L868,"Проведён"))</f>
        <v/>
      </c>
    </row>
    <row r="869" spans="1:23" x14ac:dyDescent="0.25">
      <c r="A869" s="22"/>
      <c r="B869" s="23"/>
      <c r="C869" s="22"/>
      <c r="D869" s="22"/>
      <c r="E869" s="27"/>
      <c r="F869" s="22"/>
      <c r="G869" s="22"/>
      <c r="H869" s="22"/>
      <c r="I869" s="22"/>
      <c r="J869" s="22"/>
      <c r="K869" s="22"/>
      <c r="L869" s="22"/>
      <c r="M869" s="22"/>
      <c r="N869" s="27"/>
      <c r="O869" s="22"/>
      <c r="P869" s="5" t="str">
        <f>IF(A869="","",IF(COUNTIF(Типы,C869)=0,0,VLOOKUP(C869,СПРАВОЧНИКИ!$A$7:$E$22,2,FALSE)))</f>
        <v/>
      </c>
      <c r="Q869" s="25" t="str">
        <f t="shared" si="13"/>
        <v/>
      </c>
      <c r="R869" s="5" t="str">
        <f>IF(A869="","",IF(COUNTIF(Типы,C869)=0,"НЕИЗВЕСТНЫЙ ТИП",VLOOKUP(C869,СПРАВОЧНИКИ!$A$7:$E$22,3,FALSE)))</f>
        <v/>
      </c>
      <c r="S869" s="26" t="str">
        <f>IF(A869="","",IF(L869="Проведён",E869*IF(COUNTIF(Типы,C869)=0,0,VLOOKUP(C869,СПРАВОЧНИКИ!$A$7:$E$22,4,FALSE)),0))</f>
        <v/>
      </c>
      <c r="T869" s="26" t="str">
        <f>IF(A869="","",IF(L869="Проведён",E869*IF(COUNTIF(Типы,C869)=0,0,VLOOKUP(C869,СПРАВОЧНИКИ!$A$7:$E$22,5,FALSE)),0))</f>
        <v/>
      </c>
      <c r="U869" s="5" t="str">
        <f>IF(A869="","",IF(COUNTIF(Контрагенты,H869)=0,"Не задан",VLOOKUP(H869,СПРАВОЧНИКИ!$G$7:$H$66,2,FALSE)))</f>
        <v/>
      </c>
      <c r="V869" s="4" t="str">
        <f>IF(A869="",IF(COUNTA(B869:O869)&gt;0,"НЕТ ID",""),IF(OR(AND(OR(C869="Оплата клиента",C869="Возврат клиенту"),COUNTIFS(Docs[ID],J869,Docs[Тип долга],"ДЗ")&lt;&gt;1),AND(OR(C869="Оплата поставщику",C869="Возврат поставщика"),COUNTIFS(Docs[ID],J869,Docs[Тип долга],"КЗ",Docs[Вид],"&lt;&gt;Дивиденды")&lt;&gt;1),AND(C869="Дивиденды",COUNTIFS(Docs[ID],J869,Docs[Вид],"Дивиденды")&lt;&gt;1),AND(C869="Проценты",COUNTIFS(Docs[ID],J869,Docs[Вид],"Проценты")&lt;&gt;1),COUNTIF(Cash[ID],A869)&gt;1,NOT(ISNUMBER(B869)),B869&lt;НачалоУчета,YEAR(B869)&lt;&gt;Год,NOT(ISNUMBER(E869)),E869&lt;=0,N869&lt;0,COUNTIF(Типы,C869)&lt;&gt;1,COUNTIF(Категории,D869)&lt;&gt;1,COUNTIF(Счета,F869)&lt;&gt;1,COUNTIF(Проекты,I869)&lt;&gt;1,AND(H869&lt;&gt;"",COUNTIF(Контрагенты,H869)&lt;&gt;1),AND(C869="Перевод",OR(F869=G869,COUNTIF(Счета,G869)&lt;&gt;1)),AND(S869&lt;&gt;0,COUNTIF(Docs[ID],J869)&lt;&gt;1),AND(Форма="ООО",C869="Вывод ИП"),AND(Форма="ИП",C869="Дивиденды"),AND(L869&lt;&gt;"Проведён",L869&lt;&gt;"Черновик")),"ОШИБКА","ОК"))</f>
        <v/>
      </c>
      <c r="W869" s="25" t="str">
        <f>IF(A869="","",SUMIF(Accounts[Счёт],F869,Accounts[Начальный])+SUMIFS($Q$7:Q869,$F$7:F869,F869)+SUMIFS($E$7:E869,$G$7:G869,F869,$C$7:C869,"Перевод",$L$7:L869,"Проведён"))</f>
        <v/>
      </c>
    </row>
    <row r="870" spans="1:23" x14ac:dyDescent="0.25">
      <c r="A870" s="22"/>
      <c r="B870" s="23"/>
      <c r="C870" s="22"/>
      <c r="D870" s="22"/>
      <c r="E870" s="27"/>
      <c r="F870" s="22"/>
      <c r="G870" s="22"/>
      <c r="H870" s="22"/>
      <c r="I870" s="22"/>
      <c r="J870" s="22"/>
      <c r="K870" s="22"/>
      <c r="L870" s="22"/>
      <c r="M870" s="22"/>
      <c r="N870" s="27"/>
      <c r="O870" s="22"/>
      <c r="P870" s="5" t="str">
        <f>IF(A870="","",IF(COUNTIF(Типы,C870)=0,0,VLOOKUP(C870,СПРАВОЧНИКИ!$A$7:$E$22,2,FALSE)))</f>
        <v/>
      </c>
      <c r="Q870" s="25" t="str">
        <f t="shared" si="13"/>
        <v/>
      </c>
      <c r="R870" s="5" t="str">
        <f>IF(A870="","",IF(COUNTIF(Типы,C870)=0,"НЕИЗВЕСТНЫЙ ТИП",VLOOKUP(C870,СПРАВОЧНИКИ!$A$7:$E$22,3,FALSE)))</f>
        <v/>
      </c>
      <c r="S870" s="26" t="str">
        <f>IF(A870="","",IF(L870="Проведён",E870*IF(COUNTIF(Типы,C870)=0,0,VLOOKUP(C870,СПРАВОЧНИКИ!$A$7:$E$22,4,FALSE)),0))</f>
        <v/>
      </c>
      <c r="T870" s="26" t="str">
        <f>IF(A870="","",IF(L870="Проведён",E870*IF(COUNTIF(Типы,C870)=0,0,VLOOKUP(C870,СПРАВОЧНИКИ!$A$7:$E$22,5,FALSE)),0))</f>
        <v/>
      </c>
      <c r="U870" s="5" t="str">
        <f>IF(A870="","",IF(COUNTIF(Контрагенты,H870)=0,"Не задан",VLOOKUP(H870,СПРАВОЧНИКИ!$G$7:$H$66,2,FALSE)))</f>
        <v/>
      </c>
      <c r="V870" s="4" t="str">
        <f>IF(A870="",IF(COUNTA(B870:O870)&gt;0,"НЕТ ID",""),IF(OR(AND(OR(C870="Оплата клиента",C870="Возврат клиенту"),COUNTIFS(Docs[ID],J870,Docs[Тип долга],"ДЗ")&lt;&gt;1),AND(OR(C870="Оплата поставщику",C870="Возврат поставщика"),COUNTIFS(Docs[ID],J870,Docs[Тип долга],"КЗ",Docs[Вид],"&lt;&gt;Дивиденды")&lt;&gt;1),AND(C870="Дивиденды",COUNTIFS(Docs[ID],J870,Docs[Вид],"Дивиденды")&lt;&gt;1),AND(C870="Проценты",COUNTIFS(Docs[ID],J870,Docs[Вид],"Проценты")&lt;&gt;1),COUNTIF(Cash[ID],A870)&gt;1,NOT(ISNUMBER(B870)),B870&lt;НачалоУчета,YEAR(B870)&lt;&gt;Год,NOT(ISNUMBER(E870)),E870&lt;=0,N870&lt;0,COUNTIF(Типы,C870)&lt;&gt;1,COUNTIF(Категории,D870)&lt;&gt;1,COUNTIF(Счета,F870)&lt;&gt;1,COUNTIF(Проекты,I870)&lt;&gt;1,AND(H870&lt;&gt;"",COUNTIF(Контрагенты,H870)&lt;&gt;1),AND(C870="Перевод",OR(F870=G870,COUNTIF(Счета,G870)&lt;&gt;1)),AND(S870&lt;&gt;0,COUNTIF(Docs[ID],J870)&lt;&gt;1),AND(Форма="ООО",C870="Вывод ИП"),AND(Форма="ИП",C870="Дивиденды"),AND(L870&lt;&gt;"Проведён",L870&lt;&gt;"Черновик")),"ОШИБКА","ОК"))</f>
        <v/>
      </c>
      <c r="W870" s="25" t="str">
        <f>IF(A870="","",SUMIF(Accounts[Счёт],F870,Accounts[Начальный])+SUMIFS($Q$7:Q870,$F$7:F870,F870)+SUMIFS($E$7:E870,$G$7:G870,F870,$C$7:C870,"Перевод",$L$7:L870,"Проведён"))</f>
        <v/>
      </c>
    </row>
    <row r="871" spans="1:23" x14ac:dyDescent="0.25">
      <c r="A871" s="22"/>
      <c r="B871" s="23"/>
      <c r="C871" s="22"/>
      <c r="D871" s="22"/>
      <c r="E871" s="27"/>
      <c r="F871" s="22"/>
      <c r="G871" s="22"/>
      <c r="H871" s="22"/>
      <c r="I871" s="22"/>
      <c r="J871" s="22"/>
      <c r="K871" s="22"/>
      <c r="L871" s="22"/>
      <c r="M871" s="22"/>
      <c r="N871" s="27"/>
      <c r="O871" s="22"/>
      <c r="P871" s="5" t="str">
        <f>IF(A871="","",IF(COUNTIF(Типы,C871)=0,0,VLOOKUP(C871,СПРАВОЧНИКИ!$A$7:$E$22,2,FALSE)))</f>
        <v/>
      </c>
      <c r="Q871" s="25" t="str">
        <f t="shared" si="13"/>
        <v/>
      </c>
      <c r="R871" s="5" t="str">
        <f>IF(A871="","",IF(COUNTIF(Типы,C871)=0,"НЕИЗВЕСТНЫЙ ТИП",VLOOKUP(C871,СПРАВОЧНИКИ!$A$7:$E$22,3,FALSE)))</f>
        <v/>
      </c>
      <c r="S871" s="26" t="str">
        <f>IF(A871="","",IF(L871="Проведён",E871*IF(COUNTIF(Типы,C871)=0,0,VLOOKUP(C871,СПРАВОЧНИКИ!$A$7:$E$22,4,FALSE)),0))</f>
        <v/>
      </c>
      <c r="T871" s="26" t="str">
        <f>IF(A871="","",IF(L871="Проведён",E871*IF(COUNTIF(Типы,C871)=0,0,VLOOKUP(C871,СПРАВОЧНИКИ!$A$7:$E$22,5,FALSE)),0))</f>
        <v/>
      </c>
      <c r="U871" s="5" t="str">
        <f>IF(A871="","",IF(COUNTIF(Контрагенты,H871)=0,"Не задан",VLOOKUP(H871,СПРАВОЧНИКИ!$G$7:$H$66,2,FALSE)))</f>
        <v/>
      </c>
      <c r="V871" s="4" t="str">
        <f>IF(A871="",IF(COUNTA(B871:O871)&gt;0,"НЕТ ID",""),IF(OR(AND(OR(C871="Оплата клиента",C871="Возврат клиенту"),COUNTIFS(Docs[ID],J871,Docs[Тип долга],"ДЗ")&lt;&gt;1),AND(OR(C871="Оплата поставщику",C871="Возврат поставщика"),COUNTIFS(Docs[ID],J871,Docs[Тип долга],"КЗ",Docs[Вид],"&lt;&gt;Дивиденды")&lt;&gt;1),AND(C871="Дивиденды",COUNTIFS(Docs[ID],J871,Docs[Вид],"Дивиденды")&lt;&gt;1),AND(C871="Проценты",COUNTIFS(Docs[ID],J871,Docs[Вид],"Проценты")&lt;&gt;1),COUNTIF(Cash[ID],A871)&gt;1,NOT(ISNUMBER(B871)),B871&lt;НачалоУчета,YEAR(B871)&lt;&gt;Год,NOT(ISNUMBER(E871)),E871&lt;=0,N871&lt;0,COUNTIF(Типы,C871)&lt;&gt;1,COUNTIF(Категории,D871)&lt;&gt;1,COUNTIF(Счета,F871)&lt;&gt;1,COUNTIF(Проекты,I871)&lt;&gt;1,AND(H871&lt;&gt;"",COUNTIF(Контрагенты,H871)&lt;&gt;1),AND(C871="Перевод",OR(F871=G871,COUNTIF(Счета,G871)&lt;&gt;1)),AND(S871&lt;&gt;0,COUNTIF(Docs[ID],J871)&lt;&gt;1),AND(Форма="ООО",C871="Вывод ИП"),AND(Форма="ИП",C871="Дивиденды"),AND(L871&lt;&gt;"Проведён",L871&lt;&gt;"Черновик")),"ОШИБКА","ОК"))</f>
        <v/>
      </c>
      <c r="W871" s="25" t="str">
        <f>IF(A871="","",SUMIF(Accounts[Счёт],F871,Accounts[Начальный])+SUMIFS($Q$7:Q871,$F$7:F871,F871)+SUMIFS($E$7:E871,$G$7:G871,F871,$C$7:C871,"Перевод",$L$7:L871,"Проведён"))</f>
        <v/>
      </c>
    </row>
    <row r="872" spans="1:23" x14ac:dyDescent="0.25">
      <c r="A872" s="22"/>
      <c r="B872" s="23"/>
      <c r="C872" s="22"/>
      <c r="D872" s="22"/>
      <c r="E872" s="27"/>
      <c r="F872" s="22"/>
      <c r="G872" s="22"/>
      <c r="H872" s="22"/>
      <c r="I872" s="22"/>
      <c r="J872" s="22"/>
      <c r="K872" s="22"/>
      <c r="L872" s="22"/>
      <c r="M872" s="22"/>
      <c r="N872" s="27"/>
      <c r="O872" s="22"/>
      <c r="P872" s="5" t="str">
        <f>IF(A872="","",IF(COUNTIF(Типы,C872)=0,0,VLOOKUP(C872,СПРАВОЧНИКИ!$A$7:$E$22,2,FALSE)))</f>
        <v/>
      </c>
      <c r="Q872" s="25" t="str">
        <f t="shared" si="13"/>
        <v/>
      </c>
      <c r="R872" s="5" t="str">
        <f>IF(A872="","",IF(COUNTIF(Типы,C872)=0,"НЕИЗВЕСТНЫЙ ТИП",VLOOKUP(C872,СПРАВОЧНИКИ!$A$7:$E$22,3,FALSE)))</f>
        <v/>
      </c>
      <c r="S872" s="26" t="str">
        <f>IF(A872="","",IF(L872="Проведён",E872*IF(COUNTIF(Типы,C872)=0,0,VLOOKUP(C872,СПРАВОЧНИКИ!$A$7:$E$22,4,FALSE)),0))</f>
        <v/>
      </c>
      <c r="T872" s="26" t="str">
        <f>IF(A872="","",IF(L872="Проведён",E872*IF(COUNTIF(Типы,C872)=0,0,VLOOKUP(C872,СПРАВОЧНИКИ!$A$7:$E$22,5,FALSE)),0))</f>
        <v/>
      </c>
      <c r="U872" s="5" t="str">
        <f>IF(A872="","",IF(COUNTIF(Контрагенты,H872)=0,"Не задан",VLOOKUP(H872,СПРАВОЧНИКИ!$G$7:$H$66,2,FALSE)))</f>
        <v/>
      </c>
      <c r="V872" s="4" t="str">
        <f>IF(A872="",IF(COUNTA(B872:O872)&gt;0,"НЕТ ID",""),IF(OR(AND(OR(C872="Оплата клиента",C872="Возврат клиенту"),COUNTIFS(Docs[ID],J872,Docs[Тип долга],"ДЗ")&lt;&gt;1),AND(OR(C872="Оплата поставщику",C872="Возврат поставщика"),COUNTIFS(Docs[ID],J872,Docs[Тип долга],"КЗ",Docs[Вид],"&lt;&gt;Дивиденды")&lt;&gt;1),AND(C872="Дивиденды",COUNTIFS(Docs[ID],J872,Docs[Вид],"Дивиденды")&lt;&gt;1),AND(C872="Проценты",COUNTIFS(Docs[ID],J872,Docs[Вид],"Проценты")&lt;&gt;1),COUNTIF(Cash[ID],A872)&gt;1,NOT(ISNUMBER(B872)),B872&lt;НачалоУчета,YEAR(B872)&lt;&gt;Год,NOT(ISNUMBER(E872)),E872&lt;=0,N872&lt;0,COUNTIF(Типы,C872)&lt;&gt;1,COUNTIF(Категории,D872)&lt;&gt;1,COUNTIF(Счета,F872)&lt;&gt;1,COUNTIF(Проекты,I872)&lt;&gt;1,AND(H872&lt;&gt;"",COUNTIF(Контрагенты,H872)&lt;&gt;1),AND(C872="Перевод",OR(F872=G872,COUNTIF(Счета,G872)&lt;&gt;1)),AND(S872&lt;&gt;0,COUNTIF(Docs[ID],J872)&lt;&gt;1),AND(Форма="ООО",C872="Вывод ИП"),AND(Форма="ИП",C872="Дивиденды"),AND(L872&lt;&gt;"Проведён",L872&lt;&gt;"Черновик")),"ОШИБКА","ОК"))</f>
        <v/>
      </c>
      <c r="W872" s="25" t="str">
        <f>IF(A872="","",SUMIF(Accounts[Счёт],F872,Accounts[Начальный])+SUMIFS($Q$7:Q872,$F$7:F872,F872)+SUMIFS($E$7:E872,$G$7:G872,F872,$C$7:C872,"Перевод",$L$7:L872,"Проведён"))</f>
        <v/>
      </c>
    </row>
    <row r="873" spans="1:23" x14ac:dyDescent="0.25">
      <c r="A873" s="22"/>
      <c r="B873" s="23"/>
      <c r="C873" s="22"/>
      <c r="D873" s="22"/>
      <c r="E873" s="27"/>
      <c r="F873" s="22"/>
      <c r="G873" s="22"/>
      <c r="H873" s="22"/>
      <c r="I873" s="22"/>
      <c r="J873" s="22"/>
      <c r="K873" s="22"/>
      <c r="L873" s="22"/>
      <c r="M873" s="22"/>
      <c r="N873" s="27"/>
      <c r="O873" s="22"/>
      <c r="P873" s="5" t="str">
        <f>IF(A873="","",IF(COUNTIF(Типы,C873)=0,0,VLOOKUP(C873,СПРАВОЧНИКИ!$A$7:$E$22,2,FALSE)))</f>
        <v/>
      </c>
      <c r="Q873" s="25" t="str">
        <f t="shared" si="13"/>
        <v/>
      </c>
      <c r="R873" s="5" t="str">
        <f>IF(A873="","",IF(COUNTIF(Типы,C873)=0,"НЕИЗВЕСТНЫЙ ТИП",VLOOKUP(C873,СПРАВОЧНИКИ!$A$7:$E$22,3,FALSE)))</f>
        <v/>
      </c>
      <c r="S873" s="26" t="str">
        <f>IF(A873="","",IF(L873="Проведён",E873*IF(COUNTIF(Типы,C873)=0,0,VLOOKUP(C873,СПРАВОЧНИКИ!$A$7:$E$22,4,FALSE)),0))</f>
        <v/>
      </c>
      <c r="T873" s="26" t="str">
        <f>IF(A873="","",IF(L873="Проведён",E873*IF(COUNTIF(Типы,C873)=0,0,VLOOKUP(C873,СПРАВОЧНИКИ!$A$7:$E$22,5,FALSE)),0))</f>
        <v/>
      </c>
      <c r="U873" s="5" t="str">
        <f>IF(A873="","",IF(COUNTIF(Контрагенты,H873)=0,"Не задан",VLOOKUP(H873,СПРАВОЧНИКИ!$G$7:$H$66,2,FALSE)))</f>
        <v/>
      </c>
      <c r="V873" s="4" t="str">
        <f>IF(A873="",IF(COUNTA(B873:O873)&gt;0,"НЕТ ID",""),IF(OR(AND(OR(C873="Оплата клиента",C873="Возврат клиенту"),COUNTIFS(Docs[ID],J873,Docs[Тип долга],"ДЗ")&lt;&gt;1),AND(OR(C873="Оплата поставщику",C873="Возврат поставщика"),COUNTIFS(Docs[ID],J873,Docs[Тип долга],"КЗ",Docs[Вид],"&lt;&gt;Дивиденды")&lt;&gt;1),AND(C873="Дивиденды",COUNTIFS(Docs[ID],J873,Docs[Вид],"Дивиденды")&lt;&gt;1),AND(C873="Проценты",COUNTIFS(Docs[ID],J873,Docs[Вид],"Проценты")&lt;&gt;1),COUNTIF(Cash[ID],A873)&gt;1,NOT(ISNUMBER(B873)),B873&lt;НачалоУчета,YEAR(B873)&lt;&gt;Год,NOT(ISNUMBER(E873)),E873&lt;=0,N873&lt;0,COUNTIF(Типы,C873)&lt;&gt;1,COUNTIF(Категории,D873)&lt;&gt;1,COUNTIF(Счета,F873)&lt;&gt;1,COUNTIF(Проекты,I873)&lt;&gt;1,AND(H873&lt;&gt;"",COUNTIF(Контрагенты,H873)&lt;&gt;1),AND(C873="Перевод",OR(F873=G873,COUNTIF(Счета,G873)&lt;&gt;1)),AND(S873&lt;&gt;0,COUNTIF(Docs[ID],J873)&lt;&gt;1),AND(Форма="ООО",C873="Вывод ИП"),AND(Форма="ИП",C873="Дивиденды"),AND(L873&lt;&gt;"Проведён",L873&lt;&gt;"Черновик")),"ОШИБКА","ОК"))</f>
        <v/>
      </c>
      <c r="W873" s="25" t="str">
        <f>IF(A873="","",SUMIF(Accounts[Счёт],F873,Accounts[Начальный])+SUMIFS($Q$7:Q873,$F$7:F873,F873)+SUMIFS($E$7:E873,$G$7:G873,F873,$C$7:C873,"Перевод",$L$7:L873,"Проведён"))</f>
        <v/>
      </c>
    </row>
    <row r="874" spans="1:23" x14ac:dyDescent="0.25">
      <c r="A874" s="22"/>
      <c r="B874" s="23"/>
      <c r="C874" s="22"/>
      <c r="D874" s="22"/>
      <c r="E874" s="27"/>
      <c r="F874" s="22"/>
      <c r="G874" s="22"/>
      <c r="H874" s="22"/>
      <c r="I874" s="22"/>
      <c r="J874" s="22"/>
      <c r="K874" s="22"/>
      <c r="L874" s="22"/>
      <c r="M874" s="22"/>
      <c r="N874" s="27"/>
      <c r="O874" s="22"/>
      <c r="P874" s="5" t="str">
        <f>IF(A874="","",IF(COUNTIF(Типы,C874)=0,0,VLOOKUP(C874,СПРАВОЧНИКИ!$A$7:$E$22,2,FALSE)))</f>
        <v/>
      </c>
      <c r="Q874" s="25" t="str">
        <f t="shared" si="13"/>
        <v/>
      </c>
      <c r="R874" s="5" t="str">
        <f>IF(A874="","",IF(COUNTIF(Типы,C874)=0,"НЕИЗВЕСТНЫЙ ТИП",VLOOKUP(C874,СПРАВОЧНИКИ!$A$7:$E$22,3,FALSE)))</f>
        <v/>
      </c>
      <c r="S874" s="26" t="str">
        <f>IF(A874="","",IF(L874="Проведён",E874*IF(COUNTIF(Типы,C874)=0,0,VLOOKUP(C874,СПРАВОЧНИКИ!$A$7:$E$22,4,FALSE)),0))</f>
        <v/>
      </c>
      <c r="T874" s="26" t="str">
        <f>IF(A874="","",IF(L874="Проведён",E874*IF(COUNTIF(Типы,C874)=0,0,VLOOKUP(C874,СПРАВОЧНИКИ!$A$7:$E$22,5,FALSE)),0))</f>
        <v/>
      </c>
      <c r="U874" s="5" t="str">
        <f>IF(A874="","",IF(COUNTIF(Контрагенты,H874)=0,"Не задан",VLOOKUP(H874,СПРАВОЧНИКИ!$G$7:$H$66,2,FALSE)))</f>
        <v/>
      </c>
      <c r="V874" s="4" t="str">
        <f>IF(A874="",IF(COUNTA(B874:O874)&gt;0,"НЕТ ID",""),IF(OR(AND(OR(C874="Оплата клиента",C874="Возврат клиенту"),COUNTIFS(Docs[ID],J874,Docs[Тип долга],"ДЗ")&lt;&gt;1),AND(OR(C874="Оплата поставщику",C874="Возврат поставщика"),COUNTIFS(Docs[ID],J874,Docs[Тип долга],"КЗ",Docs[Вид],"&lt;&gt;Дивиденды")&lt;&gt;1),AND(C874="Дивиденды",COUNTIFS(Docs[ID],J874,Docs[Вид],"Дивиденды")&lt;&gt;1),AND(C874="Проценты",COUNTIFS(Docs[ID],J874,Docs[Вид],"Проценты")&lt;&gt;1),COUNTIF(Cash[ID],A874)&gt;1,NOT(ISNUMBER(B874)),B874&lt;НачалоУчета,YEAR(B874)&lt;&gt;Год,NOT(ISNUMBER(E874)),E874&lt;=0,N874&lt;0,COUNTIF(Типы,C874)&lt;&gt;1,COUNTIF(Категории,D874)&lt;&gt;1,COUNTIF(Счета,F874)&lt;&gt;1,COUNTIF(Проекты,I874)&lt;&gt;1,AND(H874&lt;&gt;"",COUNTIF(Контрагенты,H874)&lt;&gt;1),AND(C874="Перевод",OR(F874=G874,COUNTIF(Счета,G874)&lt;&gt;1)),AND(S874&lt;&gt;0,COUNTIF(Docs[ID],J874)&lt;&gt;1),AND(Форма="ООО",C874="Вывод ИП"),AND(Форма="ИП",C874="Дивиденды"),AND(L874&lt;&gt;"Проведён",L874&lt;&gt;"Черновик")),"ОШИБКА","ОК"))</f>
        <v/>
      </c>
      <c r="W874" s="25" t="str">
        <f>IF(A874="","",SUMIF(Accounts[Счёт],F874,Accounts[Начальный])+SUMIFS($Q$7:Q874,$F$7:F874,F874)+SUMIFS($E$7:E874,$G$7:G874,F874,$C$7:C874,"Перевод",$L$7:L874,"Проведён"))</f>
        <v/>
      </c>
    </row>
    <row r="875" spans="1:23" x14ac:dyDescent="0.25">
      <c r="A875" s="22"/>
      <c r="B875" s="23"/>
      <c r="C875" s="22"/>
      <c r="D875" s="22"/>
      <c r="E875" s="27"/>
      <c r="F875" s="22"/>
      <c r="G875" s="22"/>
      <c r="H875" s="22"/>
      <c r="I875" s="22"/>
      <c r="J875" s="22"/>
      <c r="K875" s="22"/>
      <c r="L875" s="22"/>
      <c r="M875" s="22"/>
      <c r="N875" s="27"/>
      <c r="O875" s="22"/>
      <c r="P875" s="5" t="str">
        <f>IF(A875="","",IF(COUNTIF(Типы,C875)=0,0,VLOOKUP(C875,СПРАВОЧНИКИ!$A$7:$E$22,2,FALSE)))</f>
        <v/>
      </c>
      <c r="Q875" s="25" t="str">
        <f t="shared" si="13"/>
        <v/>
      </c>
      <c r="R875" s="5" t="str">
        <f>IF(A875="","",IF(COUNTIF(Типы,C875)=0,"НЕИЗВЕСТНЫЙ ТИП",VLOOKUP(C875,СПРАВОЧНИКИ!$A$7:$E$22,3,FALSE)))</f>
        <v/>
      </c>
      <c r="S875" s="26" t="str">
        <f>IF(A875="","",IF(L875="Проведён",E875*IF(COUNTIF(Типы,C875)=0,0,VLOOKUP(C875,СПРАВОЧНИКИ!$A$7:$E$22,4,FALSE)),0))</f>
        <v/>
      </c>
      <c r="T875" s="26" t="str">
        <f>IF(A875="","",IF(L875="Проведён",E875*IF(COUNTIF(Типы,C875)=0,0,VLOOKUP(C875,СПРАВОЧНИКИ!$A$7:$E$22,5,FALSE)),0))</f>
        <v/>
      </c>
      <c r="U875" s="5" t="str">
        <f>IF(A875="","",IF(COUNTIF(Контрагенты,H875)=0,"Не задан",VLOOKUP(H875,СПРАВОЧНИКИ!$G$7:$H$66,2,FALSE)))</f>
        <v/>
      </c>
      <c r="V875" s="4" t="str">
        <f>IF(A875="",IF(COUNTA(B875:O875)&gt;0,"НЕТ ID",""),IF(OR(AND(OR(C875="Оплата клиента",C875="Возврат клиенту"),COUNTIFS(Docs[ID],J875,Docs[Тип долга],"ДЗ")&lt;&gt;1),AND(OR(C875="Оплата поставщику",C875="Возврат поставщика"),COUNTIFS(Docs[ID],J875,Docs[Тип долга],"КЗ",Docs[Вид],"&lt;&gt;Дивиденды")&lt;&gt;1),AND(C875="Дивиденды",COUNTIFS(Docs[ID],J875,Docs[Вид],"Дивиденды")&lt;&gt;1),AND(C875="Проценты",COUNTIFS(Docs[ID],J875,Docs[Вид],"Проценты")&lt;&gt;1),COUNTIF(Cash[ID],A875)&gt;1,NOT(ISNUMBER(B875)),B875&lt;НачалоУчета,YEAR(B875)&lt;&gt;Год,NOT(ISNUMBER(E875)),E875&lt;=0,N875&lt;0,COUNTIF(Типы,C875)&lt;&gt;1,COUNTIF(Категории,D875)&lt;&gt;1,COUNTIF(Счета,F875)&lt;&gt;1,COUNTIF(Проекты,I875)&lt;&gt;1,AND(H875&lt;&gt;"",COUNTIF(Контрагенты,H875)&lt;&gt;1),AND(C875="Перевод",OR(F875=G875,COUNTIF(Счета,G875)&lt;&gt;1)),AND(S875&lt;&gt;0,COUNTIF(Docs[ID],J875)&lt;&gt;1),AND(Форма="ООО",C875="Вывод ИП"),AND(Форма="ИП",C875="Дивиденды"),AND(L875&lt;&gt;"Проведён",L875&lt;&gt;"Черновик")),"ОШИБКА","ОК"))</f>
        <v/>
      </c>
      <c r="W875" s="25" t="str">
        <f>IF(A875="","",SUMIF(Accounts[Счёт],F875,Accounts[Начальный])+SUMIFS($Q$7:Q875,$F$7:F875,F875)+SUMIFS($E$7:E875,$G$7:G875,F875,$C$7:C875,"Перевод",$L$7:L875,"Проведён"))</f>
        <v/>
      </c>
    </row>
    <row r="876" spans="1:23" x14ac:dyDescent="0.25">
      <c r="A876" s="22"/>
      <c r="B876" s="23"/>
      <c r="C876" s="22"/>
      <c r="D876" s="22"/>
      <c r="E876" s="27"/>
      <c r="F876" s="22"/>
      <c r="G876" s="22"/>
      <c r="H876" s="22"/>
      <c r="I876" s="22"/>
      <c r="J876" s="22"/>
      <c r="K876" s="22"/>
      <c r="L876" s="22"/>
      <c r="M876" s="22"/>
      <c r="N876" s="27"/>
      <c r="O876" s="22"/>
      <c r="P876" s="5" t="str">
        <f>IF(A876="","",IF(COUNTIF(Типы,C876)=0,0,VLOOKUP(C876,СПРАВОЧНИКИ!$A$7:$E$22,2,FALSE)))</f>
        <v/>
      </c>
      <c r="Q876" s="25" t="str">
        <f t="shared" si="13"/>
        <v/>
      </c>
      <c r="R876" s="5" t="str">
        <f>IF(A876="","",IF(COUNTIF(Типы,C876)=0,"НЕИЗВЕСТНЫЙ ТИП",VLOOKUP(C876,СПРАВОЧНИКИ!$A$7:$E$22,3,FALSE)))</f>
        <v/>
      </c>
      <c r="S876" s="26" t="str">
        <f>IF(A876="","",IF(L876="Проведён",E876*IF(COUNTIF(Типы,C876)=0,0,VLOOKUP(C876,СПРАВОЧНИКИ!$A$7:$E$22,4,FALSE)),0))</f>
        <v/>
      </c>
      <c r="T876" s="26" t="str">
        <f>IF(A876="","",IF(L876="Проведён",E876*IF(COUNTIF(Типы,C876)=0,0,VLOOKUP(C876,СПРАВОЧНИКИ!$A$7:$E$22,5,FALSE)),0))</f>
        <v/>
      </c>
      <c r="U876" s="5" t="str">
        <f>IF(A876="","",IF(COUNTIF(Контрагенты,H876)=0,"Не задан",VLOOKUP(H876,СПРАВОЧНИКИ!$G$7:$H$66,2,FALSE)))</f>
        <v/>
      </c>
      <c r="V876" s="4" t="str">
        <f>IF(A876="",IF(COUNTA(B876:O876)&gt;0,"НЕТ ID",""),IF(OR(AND(OR(C876="Оплата клиента",C876="Возврат клиенту"),COUNTIFS(Docs[ID],J876,Docs[Тип долга],"ДЗ")&lt;&gt;1),AND(OR(C876="Оплата поставщику",C876="Возврат поставщика"),COUNTIFS(Docs[ID],J876,Docs[Тип долга],"КЗ",Docs[Вид],"&lt;&gt;Дивиденды")&lt;&gt;1),AND(C876="Дивиденды",COUNTIFS(Docs[ID],J876,Docs[Вид],"Дивиденды")&lt;&gt;1),AND(C876="Проценты",COUNTIFS(Docs[ID],J876,Docs[Вид],"Проценты")&lt;&gt;1),COUNTIF(Cash[ID],A876)&gt;1,NOT(ISNUMBER(B876)),B876&lt;НачалоУчета,YEAR(B876)&lt;&gt;Год,NOT(ISNUMBER(E876)),E876&lt;=0,N876&lt;0,COUNTIF(Типы,C876)&lt;&gt;1,COUNTIF(Категории,D876)&lt;&gt;1,COUNTIF(Счета,F876)&lt;&gt;1,COUNTIF(Проекты,I876)&lt;&gt;1,AND(H876&lt;&gt;"",COUNTIF(Контрагенты,H876)&lt;&gt;1),AND(C876="Перевод",OR(F876=G876,COUNTIF(Счета,G876)&lt;&gt;1)),AND(S876&lt;&gt;0,COUNTIF(Docs[ID],J876)&lt;&gt;1),AND(Форма="ООО",C876="Вывод ИП"),AND(Форма="ИП",C876="Дивиденды"),AND(L876&lt;&gt;"Проведён",L876&lt;&gt;"Черновик")),"ОШИБКА","ОК"))</f>
        <v/>
      </c>
      <c r="W876" s="25" t="str">
        <f>IF(A876="","",SUMIF(Accounts[Счёт],F876,Accounts[Начальный])+SUMIFS($Q$7:Q876,$F$7:F876,F876)+SUMIFS($E$7:E876,$G$7:G876,F876,$C$7:C876,"Перевод",$L$7:L876,"Проведён"))</f>
        <v/>
      </c>
    </row>
    <row r="877" spans="1:23" x14ac:dyDescent="0.25">
      <c r="A877" s="22"/>
      <c r="B877" s="23"/>
      <c r="C877" s="22"/>
      <c r="D877" s="22"/>
      <c r="E877" s="27"/>
      <c r="F877" s="22"/>
      <c r="G877" s="22"/>
      <c r="H877" s="22"/>
      <c r="I877" s="22"/>
      <c r="J877" s="22"/>
      <c r="K877" s="22"/>
      <c r="L877" s="22"/>
      <c r="M877" s="22"/>
      <c r="N877" s="27"/>
      <c r="O877" s="22"/>
      <c r="P877" s="5" t="str">
        <f>IF(A877="","",IF(COUNTIF(Типы,C877)=0,0,VLOOKUP(C877,СПРАВОЧНИКИ!$A$7:$E$22,2,FALSE)))</f>
        <v/>
      </c>
      <c r="Q877" s="25" t="str">
        <f t="shared" si="13"/>
        <v/>
      </c>
      <c r="R877" s="5" t="str">
        <f>IF(A877="","",IF(COUNTIF(Типы,C877)=0,"НЕИЗВЕСТНЫЙ ТИП",VLOOKUP(C877,СПРАВОЧНИКИ!$A$7:$E$22,3,FALSE)))</f>
        <v/>
      </c>
      <c r="S877" s="26" t="str">
        <f>IF(A877="","",IF(L877="Проведён",E877*IF(COUNTIF(Типы,C877)=0,0,VLOOKUP(C877,СПРАВОЧНИКИ!$A$7:$E$22,4,FALSE)),0))</f>
        <v/>
      </c>
      <c r="T877" s="26" t="str">
        <f>IF(A877="","",IF(L877="Проведён",E877*IF(COUNTIF(Типы,C877)=0,0,VLOOKUP(C877,СПРАВОЧНИКИ!$A$7:$E$22,5,FALSE)),0))</f>
        <v/>
      </c>
      <c r="U877" s="5" t="str">
        <f>IF(A877="","",IF(COUNTIF(Контрагенты,H877)=0,"Не задан",VLOOKUP(H877,СПРАВОЧНИКИ!$G$7:$H$66,2,FALSE)))</f>
        <v/>
      </c>
      <c r="V877" s="4" t="str">
        <f>IF(A877="",IF(COUNTA(B877:O877)&gt;0,"НЕТ ID",""),IF(OR(AND(OR(C877="Оплата клиента",C877="Возврат клиенту"),COUNTIFS(Docs[ID],J877,Docs[Тип долга],"ДЗ")&lt;&gt;1),AND(OR(C877="Оплата поставщику",C877="Возврат поставщика"),COUNTIFS(Docs[ID],J877,Docs[Тип долга],"КЗ",Docs[Вид],"&lt;&gt;Дивиденды")&lt;&gt;1),AND(C877="Дивиденды",COUNTIFS(Docs[ID],J877,Docs[Вид],"Дивиденды")&lt;&gt;1),AND(C877="Проценты",COUNTIFS(Docs[ID],J877,Docs[Вид],"Проценты")&lt;&gt;1),COUNTIF(Cash[ID],A877)&gt;1,NOT(ISNUMBER(B877)),B877&lt;НачалоУчета,YEAR(B877)&lt;&gt;Год,NOT(ISNUMBER(E877)),E877&lt;=0,N877&lt;0,COUNTIF(Типы,C877)&lt;&gt;1,COUNTIF(Категории,D877)&lt;&gt;1,COUNTIF(Счета,F877)&lt;&gt;1,COUNTIF(Проекты,I877)&lt;&gt;1,AND(H877&lt;&gt;"",COUNTIF(Контрагенты,H877)&lt;&gt;1),AND(C877="Перевод",OR(F877=G877,COUNTIF(Счета,G877)&lt;&gt;1)),AND(S877&lt;&gt;0,COUNTIF(Docs[ID],J877)&lt;&gt;1),AND(Форма="ООО",C877="Вывод ИП"),AND(Форма="ИП",C877="Дивиденды"),AND(L877&lt;&gt;"Проведён",L877&lt;&gt;"Черновик")),"ОШИБКА","ОК"))</f>
        <v/>
      </c>
      <c r="W877" s="25" t="str">
        <f>IF(A877="","",SUMIF(Accounts[Счёт],F877,Accounts[Начальный])+SUMIFS($Q$7:Q877,$F$7:F877,F877)+SUMIFS($E$7:E877,$G$7:G877,F877,$C$7:C877,"Перевод",$L$7:L877,"Проведён"))</f>
        <v/>
      </c>
    </row>
    <row r="878" spans="1:23" x14ac:dyDescent="0.25">
      <c r="A878" s="22"/>
      <c r="B878" s="23"/>
      <c r="C878" s="22"/>
      <c r="D878" s="22"/>
      <c r="E878" s="27"/>
      <c r="F878" s="22"/>
      <c r="G878" s="22"/>
      <c r="H878" s="22"/>
      <c r="I878" s="22"/>
      <c r="J878" s="22"/>
      <c r="K878" s="22"/>
      <c r="L878" s="22"/>
      <c r="M878" s="22"/>
      <c r="N878" s="27"/>
      <c r="O878" s="22"/>
      <c r="P878" s="5" t="str">
        <f>IF(A878="","",IF(COUNTIF(Типы,C878)=0,0,VLOOKUP(C878,СПРАВОЧНИКИ!$A$7:$E$22,2,FALSE)))</f>
        <v/>
      </c>
      <c r="Q878" s="25" t="str">
        <f t="shared" si="13"/>
        <v/>
      </c>
      <c r="R878" s="5" t="str">
        <f>IF(A878="","",IF(COUNTIF(Типы,C878)=0,"НЕИЗВЕСТНЫЙ ТИП",VLOOKUP(C878,СПРАВОЧНИКИ!$A$7:$E$22,3,FALSE)))</f>
        <v/>
      </c>
      <c r="S878" s="26" t="str">
        <f>IF(A878="","",IF(L878="Проведён",E878*IF(COUNTIF(Типы,C878)=0,0,VLOOKUP(C878,СПРАВОЧНИКИ!$A$7:$E$22,4,FALSE)),0))</f>
        <v/>
      </c>
      <c r="T878" s="26" t="str">
        <f>IF(A878="","",IF(L878="Проведён",E878*IF(COUNTIF(Типы,C878)=0,0,VLOOKUP(C878,СПРАВОЧНИКИ!$A$7:$E$22,5,FALSE)),0))</f>
        <v/>
      </c>
      <c r="U878" s="5" t="str">
        <f>IF(A878="","",IF(COUNTIF(Контрагенты,H878)=0,"Не задан",VLOOKUP(H878,СПРАВОЧНИКИ!$G$7:$H$66,2,FALSE)))</f>
        <v/>
      </c>
      <c r="V878" s="4" t="str">
        <f>IF(A878="",IF(COUNTA(B878:O878)&gt;0,"НЕТ ID",""),IF(OR(AND(OR(C878="Оплата клиента",C878="Возврат клиенту"),COUNTIFS(Docs[ID],J878,Docs[Тип долга],"ДЗ")&lt;&gt;1),AND(OR(C878="Оплата поставщику",C878="Возврат поставщика"),COUNTIFS(Docs[ID],J878,Docs[Тип долга],"КЗ",Docs[Вид],"&lt;&gt;Дивиденды")&lt;&gt;1),AND(C878="Дивиденды",COUNTIFS(Docs[ID],J878,Docs[Вид],"Дивиденды")&lt;&gt;1),AND(C878="Проценты",COUNTIFS(Docs[ID],J878,Docs[Вид],"Проценты")&lt;&gt;1),COUNTIF(Cash[ID],A878)&gt;1,NOT(ISNUMBER(B878)),B878&lt;НачалоУчета,YEAR(B878)&lt;&gt;Год,NOT(ISNUMBER(E878)),E878&lt;=0,N878&lt;0,COUNTIF(Типы,C878)&lt;&gt;1,COUNTIF(Категории,D878)&lt;&gt;1,COUNTIF(Счета,F878)&lt;&gt;1,COUNTIF(Проекты,I878)&lt;&gt;1,AND(H878&lt;&gt;"",COUNTIF(Контрагенты,H878)&lt;&gt;1),AND(C878="Перевод",OR(F878=G878,COUNTIF(Счета,G878)&lt;&gt;1)),AND(S878&lt;&gt;0,COUNTIF(Docs[ID],J878)&lt;&gt;1),AND(Форма="ООО",C878="Вывод ИП"),AND(Форма="ИП",C878="Дивиденды"),AND(L878&lt;&gt;"Проведён",L878&lt;&gt;"Черновик")),"ОШИБКА","ОК"))</f>
        <v/>
      </c>
      <c r="W878" s="25" t="str">
        <f>IF(A878="","",SUMIF(Accounts[Счёт],F878,Accounts[Начальный])+SUMIFS($Q$7:Q878,$F$7:F878,F878)+SUMIFS($E$7:E878,$G$7:G878,F878,$C$7:C878,"Перевод",$L$7:L878,"Проведён"))</f>
        <v/>
      </c>
    </row>
    <row r="879" spans="1:23" x14ac:dyDescent="0.25">
      <c r="A879" s="22"/>
      <c r="B879" s="23"/>
      <c r="C879" s="22"/>
      <c r="D879" s="22"/>
      <c r="E879" s="27"/>
      <c r="F879" s="22"/>
      <c r="G879" s="22"/>
      <c r="H879" s="22"/>
      <c r="I879" s="22"/>
      <c r="J879" s="22"/>
      <c r="K879" s="22"/>
      <c r="L879" s="22"/>
      <c r="M879" s="22"/>
      <c r="N879" s="27"/>
      <c r="O879" s="22"/>
      <c r="P879" s="5" t="str">
        <f>IF(A879="","",IF(COUNTIF(Типы,C879)=0,0,VLOOKUP(C879,СПРАВОЧНИКИ!$A$7:$E$22,2,FALSE)))</f>
        <v/>
      </c>
      <c r="Q879" s="25" t="str">
        <f t="shared" si="13"/>
        <v/>
      </c>
      <c r="R879" s="5" t="str">
        <f>IF(A879="","",IF(COUNTIF(Типы,C879)=0,"НЕИЗВЕСТНЫЙ ТИП",VLOOKUP(C879,СПРАВОЧНИКИ!$A$7:$E$22,3,FALSE)))</f>
        <v/>
      </c>
      <c r="S879" s="26" t="str">
        <f>IF(A879="","",IF(L879="Проведён",E879*IF(COUNTIF(Типы,C879)=0,0,VLOOKUP(C879,СПРАВОЧНИКИ!$A$7:$E$22,4,FALSE)),0))</f>
        <v/>
      </c>
      <c r="T879" s="26" t="str">
        <f>IF(A879="","",IF(L879="Проведён",E879*IF(COUNTIF(Типы,C879)=0,0,VLOOKUP(C879,СПРАВОЧНИКИ!$A$7:$E$22,5,FALSE)),0))</f>
        <v/>
      </c>
      <c r="U879" s="5" t="str">
        <f>IF(A879="","",IF(COUNTIF(Контрагенты,H879)=0,"Не задан",VLOOKUP(H879,СПРАВОЧНИКИ!$G$7:$H$66,2,FALSE)))</f>
        <v/>
      </c>
      <c r="V879" s="4" t="str">
        <f>IF(A879="",IF(COUNTA(B879:O879)&gt;0,"НЕТ ID",""),IF(OR(AND(OR(C879="Оплата клиента",C879="Возврат клиенту"),COUNTIFS(Docs[ID],J879,Docs[Тип долга],"ДЗ")&lt;&gt;1),AND(OR(C879="Оплата поставщику",C879="Возврат поставщика"),COUNTIFS(Docs[ID],J879,Docs[Тип долга],"КЗ",Docs[Вид],"&lt;&gt;Дивиденды")&lt;&gt;1),AND(C879="Дивиденды",COUNTIFS(Docs[ID],J879,Docs[Вид],"Дивиденды")&lt;&gt;1),AND(C879="Проценты",COUNTIFS(Docs[ID],J879,Docs[Вид],"Проценты")&lt;&gt;1),COUNTIF(Cash[ID],A879)&gt;1,NOT(ISNUMBER(B879)),B879&lt;НачалоУчета,YEAR(B879)&lt;&gt;Год,NOT(ISNUMBER(E879)),E879&lt;=0,N879&lt;0,COUNTIF(Типы,C879)&lt;&gt;1,COUNTIF(Категории,D879)&lt;&gt;1,COUNTIF(Счета,F879)&lt;&gt;1,COUNTIF(Проекты,I879)&lt;&gt;1,AND(H879&lt;&gt;"",COUNTIF(Контрагенты,H879)&lt;&gt;1),AND(C879="Перевод",OR(F879=G879,COUNTIF(Счета,G879)&lt;&gt;1)),AND(S879&lt;&gt;0,COUNTIF(Docs[ID],J879)&lt;&gt;1),AND(Форма="ООО",C879="Вывод ИП"),AND(Форма="ИП",C879="Дивиденды"),AND(L879&lt;&gt;"Проведён",L879&lt;&gt;"Черновик")),"ОШИБКА","ОК"))</f>
        <v/>
      </c>
      <c r="W879" s="25" t="str">
        <f>IF(A879="","",SUMIF(Accounts[Счёт],F879,Accounts[Начальный])+SUMIFS($Q$7:Q879,$F$7:F879,F879)+SUMIFS($E$7:E879,$G$7:G879,F879,$C$7:C879,"Перевод",$L$7:L879,"Проведён"))</f>
        <v/>
      </c>
    </row>
    <row r="880" spans="1:23" x14ac:dyDescent="0.25">
      <c r="A880" s="22"/>
      <c r="B880" s="23"/>
      <c r="C880" s="22"/>
      <c r="D880" s="22"/>
      <c r="E880" s="27"/>
      <c r="F880" s="22"/>
      <c r="G880" s="22"/>
      <c r="H880" s="22"/>
      <c r="I880" s="22"/>
      <c r="J880" s="22"/>
      <c r="K880" s="22"/>
      <c r="L880" s="22"/>
      <c r="M880" s="22"/>
      <c r="N880" s="27"/>
      <c r="O880" s="22"/>
      <c r="P880" s="5" t="str">
        <f>IF(A880="","",IF(COUNTIF(Типы,C880)=0,0,VLOOKUP(C880,СПРАВОЧНИКИ!$A$7:$E$22,2,FALSE)))</f>
        <v/>
      </c>
      <c r="Q880" s="25" t="str">
        <f t="shared" si="13"/>
        <v/>
      </c>
      <c r="R880" s="5" t="str">
        <f>IF(A880="","",IF(COUNTIF(Типы,C880)=0,"НЕИЗВЕСТНЫЙ ТИП",VLOOKUP(C880,СПРАВОЧНИКИ!$A$7:$E$22,3,FALSE)))</f>
        <v/>
      </c>
      <c r="S880" s="26" t="str">
        <f>IF(A880="","",IF(L880="Проведён",E880*IF(COUNTIF(Типы,C880)=0,0,VLOOKUP(C880,СПРАВОЧНИКИ!$A$7:$E$22,4,FALSE)),0))</f>
        <v/>
      </c>
      <c r="T880" s="26" t="str">
        <f>IF(A880="","",IF(L880="Проведён",E880*IF(COUNTIF(Типы,C880)=0,0,VLOOKUP(C880,СПРАВОЧНИКИ!$A$7:$E$22,5,FALSE)),0))</f>
        <v/>
      </c>
      <c r="U880" s="5" t="str">
        <f>IF(A880="","",IF(COUNTIF(Контрагенты,H880)=0,"Не задан",VLOOKUP(H880,СПРАВОЧНИКИ!$G$7:$H$66,2,FALSE)))</f>
        <v/>
      </c>
      <c r="V880" s="4" t="str">
        <f>IF(A880="",IF(COUNTA(B880:O880)&gt;0,"НЕТ ID",""),IF(OR(AND(OR(C880="Оплата клиента",C880="Возврат клиенту"),COUNTIFS(Docs[ID],J880,Docs[Тип долга],"ДЗ")&lt;&gt;1),AND(OR(C880="Оплата поставщику",C880="Возврат поставщика"),COUNTIFS(Docs[ID],J880,Docs[Тип долга],"КЗ",Docs[Вид],"&lt;&gt;Дивиденды")&lt;&gt;1),AND(C880="Дивиденды",COUNTIFS(Docs[ID],J880,Docs[Вид],"Дивиденды")&lt;&gt;1),AND(C880="Проценты",COUNTIFS(Docs[ID],J880,Docs[Вид],"Проценты")&lt;&gt;1),COUNTIF(Cash[ID],A880)&gt;1,NOT(ISNUMBER(B880)),B880&lt;НачалоУчета,YEAR(B880)&lt;&gt;Год,NOT(ISNUMBER(E880)),E880&lt;=0,N880&lt;0,COUNTIF(Типы,C880)&lt;&gt;1,COUNTIF(Категории,D880)&lt;&gt;1,COUNTIF(Счета,F880)&lt;&gt;1,COUNTIF(Проекты,I880)&lt;&gt;1,AND(H880&lt;&gt;"",COUNTIF(Контрагенты,H880)&lt;&gt;1),AND(C880="Перевод",OR(F880=G880,COUNTIF(Счета,G880)&lt;&gt;1)),AND(S880&lt;&gt;0,COUNTIF(Docs[ID],J880)&lt;&gt;1),AND(Форма="ООО",C880="Вывод ИП"),AND(Форма="ИП",C880="Дивиденды"),AND(L880&lt;&gt;"Проведён",L880&lt;&gt;"Черновик")),"ОШИБКА","ОК"))</f>
        <v/>
      </c>
      <c r="W880" s="25" t="str">
        <f>IF(A880="","",SUMIF(Accounts[Счёт],F880,Accounts[Начальный])+SUMIFS($Q$7:Q880,$F$7:F880,F880)+SUMIFS($E$7:E880,$G$7:G880,F880,$C$7:C880,"Перевод",$L$7:L880,"Проведён"))</f>
        <v/>
      </c>
    </row>
    <row r="881" spans="1:23" x14ac:dyDescent="0.25">
      <c r="A881" s="22"/>
      <c r="B881" s="23"/>
      <c r="C881" s="22"/>
      <c r="D881" s="22"/>
      <c r="E881" s="27"/>
      <c r="F881" s="22"/>
      <c r="G881" s="22"/>
      <c r="H881" s="22"/>
      <c r="I881" s="22"/>
      <c r="J881" s="22"/>
      <c r="K881" s="22"/>
      <c r="L881" s="22"/>
      <c r="M881" s="22"/>
      <c r="N881" s="27"/>
      <c r="O881" s="22"/>
      <c r="P881" s="5" t="str">
        <f>IF(A881="","",IF(COUNTIF(Типы,C881)=0,0,VLOOKUP(C881,СПРАВОЧНИКИ!$A$7:$E$22,2,FALSE)))</f>
        <v/>
      </c>
      <c r="Q881" s="25" t="str">
        <f t="shared" si="13"/>
        <v/>
      </c>
      <c r="R881" s="5" t="str">
        <f>IF(A881="","",IF(COUNTIF(Типы,C881)=0,"НЕИЗВЕСТНЫЙ ТИП",VLOOKUP(C881,СПРАВОЧНИКИ!$A$7:$E$22,3,FALSE)))</f>
        <v/>
      </c>
      <c r="S881" s="26" t="str">
        <f>IF(A881="","",IF(L881="Проведён",E881*IF(COUNTIF(Типы,C881)=0,0,VLOOKUP(C881,СПРАВОЧНИКИ!$A$7:$E$22,4,FALSE)),0))</f>
        <v/>
      </c>
      <c r="T881" s="26" t="str">
        <f>IF(A881="","",IF(L881="Проведён",E881*IF(COUNTIF(Типы,C881)=0,0,VLOOKUP(C881,СПРАВОЧНИКИ!$A$7:$E$22,5,FALSE)),0))</f>
        <v/>
      </c>
      <c r="U881" s="5" t="str">
        <f>IF(A881="","",IF(COUNTIF(Контрагенты,H881)=0,"Не задан",VLOOKUP(H881,СПРАВОЧНИКИ!$G$7:$H$66,2,FALSE)))</f>
        <v/>
      </c>
      <c r="V881" s="4" t="str">
        <f>IF(A881="",IF(COUNTA(B881:O881)&gt;0,"НЕТ ID",""),IF(OR(AND(OR(C881="Оплата клиента",C881="Возврат клиенту"),COUNTIFS(Docs[ID],J881,Docs[Тип долга],"ДЗ")&lt;&gt;1),AND(OR(C881="Оплата поставщику",C881="Возврат поставщика"),COUNTIFS(Docs[ID],J881,Docs[Тип долга],"КЗ",Docs[Вид],"&lt;&gt;Дивиденды")&lt;&gt;1),AND(C881="Дивиденды",COUNTIFS(Docs[ID],J881,Docs[Вид],"Дивиденды")&lt;&gt;1),AND(C881="Проценты",COUNTIFS(Docs[ID],J881,Docs[Вид],"Проценты")&lt;&gt;1),COUNTIF(Cash[ID],A881)&gt;1,NOT(ISNUMBER(B881)),B881&lt;НачалоУчета,YEAR(B881)&lt;&gt;Год,NOT(ISNUMBER(E881)),E881&lt;=0,N881&lt;0,COUNTIF(Типы,C881)&lt;&gt;1,COUNTIF(Категории,D881)&lt;&gt;1,COUNTIF(Счета,F881)&lt;&gt;1,COUNTIF(Проекты,I881)&lt;&gt;1,AND(H881&lt;&gt;"",COUNTIF(Контрагенты,H881)&lt;&gt;1),AND(C881="Перевод",OR(F881=G881,COUNTIF(Счета,G881)&lt;&gt;1)),AND(S881&lt;&gt;0,COUNTIF(Docs[ID],J881)&lt;&gt;1),AND(Форма="ООО",C881="Вывод ИП"),AND(Форма="ИП",C881="Дивиденды"),AND(L881&lt;&gt;"Проведён",L881&lt;&gt;"Черновик")),"ОШИБКА","ОК"))</f>
        <v/>
      </c>
      <c r="W881" s="25" t="str">
        <f>IF(A881="","",SUMIF(Accounts[Счёт],F881,Accounts[Начальный])+SUMIFS($Q$7:Q881,$F$7:F881,F881)+SUMIFS($E$7:E881,$G$7:G881,F881,$C$7:C881,"Перевод",$L$7:L881,"Проведён"))</f>
        <v/>
      </c>
    </row>
    <row r="882" spans="1:23" x14ac:dyDescent="0.25">
      <c r="A882" s="22"/>
      <c r="B882" s="23"/>
      <c r="C882" s="22"/>
      <c r="D882" s="22"/>
      <c r="E882" s="27"/>
      <c r="F882" s="22"/>
      <c r="G882" s="22"/>
      <c r="H882" s="22"/>
      <c r="I882" s="22"/>
      <c r="J882" s="22"/>
      <c r="K882" s="22"/>
      <c r="L882" s="22"/>
      <c r="M882" s="22"/>
      <c r="N882" s="27"/>
      <c r="O882" s="22"/>
      <c r="P882" s="5" t="str">
        <f>IF(A882="","",IF(COUNTIF(Типы,C882)=0,0,VLOOKUP(C882,СПРАВОЧНИКИ!$A$7:$E$22,2,FALSE)))</f>
        <v/>
      </c>
      <c r="Q882" s="25" t="str">
        <f t="shared" si="13"/>
        <v/>
      </c>
      <c r="R882" s="5" t="str">
        <f>IF(A882="","",IF(COUNTIF(Типы,C882)=0,"НЕИЗВЕСТНЫЙ ТИП",VLOOKUP(C882,СПРАВОЧНИКИ!$A$7:$E$22,3,FALSE)))</f>
        <v/>
      </c>
      <c r="S882" s="26" t="str">
        <f>IF(A882="","",IF(L882="Проведён",E882*IF(COUNTIF(Типы,C882)=0,0,VLOOKUP(C882,СПРАВОЧНИКИ!$A$7:$E$22,4,FALSE)),0))</f>
        <v/>
      </c>
      <c r="T882" s="26" t="str">
        <f>IF(A882="","",IF(L882="Проведён",E882*IF(COUNTIF(Типы,C882)=0,0,VLOOKUP(C882,СПРАВОЧНИКИ!$A$7:$E$22,5,FALSE)),0))</f>
        <v/>
      </c>
      <c r="U882" s="5" t="str">
        <f>IF(A882="","",IF(COUNTIF(Контрагенты,H882)=0,"Не задан",VLOOKUP(H882,СПРАВОЧНИКИ!$G$7:$H$66,2,FALSE)))</f>
        <v/>
      </c>
      <c r="V882" s="4" t="str">
        <f>IF(A882="",IF(COUNTA(B882:O882)&gt;0,"НЕТ ID",""),IF(OR(AND(OR(C882="Оплата клиента",C882="Возврат клиенту"),COUNTIFS(Docs[ID],J882,Docs[Тип долга],"ДЗ")&lt;&gt;1),AND(OR(C882="Оплата поставщику",C882="Возврат поставщика"),COUNTIFS(Docs[ID],J882,Docs[Тип долга],"КЗ",Docs[Вид],"&lt;&gt;Дивиденды")&lt;&gt;1),AND(C882="Дивиденды",COUNTIFS(Docs[ID],J882,Docs[Вид],"Дивиденды")&lt;&gt;1),AND(C882="Проценты",COUNTIFS(Docs[ID],J882,Docs[Вид],"Проценты")&lt;&gt;1),COUNTIF(Cash[ID],A882)&gt;1,NOT(ISNUMBER(B882)),B882&lt;НачалоУчета,YEAR(B882)&lt;&gt;Год,NOT(ISNUMBER(E882)),E882&lt;=0,N882&lt;0,COUNTIF(Типы,C882)&lt;&gt;1,COUNTIF(Категории,D882)&lt;&gt;1,COUNTIF(Счета,F882)&lt;&gt;1,COUNTIF(Проекты,I882)&lt;&gt;1,AND(H882&lt;&gt;"",COUNTIF(Контрагенты,H882)&lt;&gt;1),AND(C882="Перевод",OR(F882=G882,COUNTIF(Счета,G882)&lt;&gt;1)),AND(S882&lt;&gt;0,COUNTIF(Docs[ID],J882)&lt;&gt;1),AND(Форма="ООО",C882="Вывод ИП"),AND(Форма="ИП",C882="Дивиденды"),AND(L882&lt;&gt;"Проведён",L882&lt;&gt;"Черновик")),"ОШИБКА","ОК"))</f>
        <v/>
      </c>
      <c r="W882" s="25" t="str">
        <f>IF(A882="","",SUMIF(Accounts[Счёт],F882,Accounts[Начальный])+SUMIFS($Q$7:Q882,$F$7:F882,F882)+SUMIFS($E$7:E882,$G$7:G882,F882,$C$7:C882,"Перевод",$L$7:L882,"Проведён"))</f>
        <v/>
      </c>
    </row>
    <row r="883" spans="1:23" x14ac:dyDescent="0.25">
      <c r="A883" s="22"/>
      <c r="B883" s="23"/>
      <c r="C883" s="22"/>
      <c r="D883" s="22"/>
      <c r="E883" s="27"/>
      <c r="F883" s="22"/>
      <c r="G883" s="22"/>
      <c r="H883" s="22"/>
      <c r="I883" s="22"/>
      <c r="J883" s="22"/>
      <c r="K883" s="22"/>
      <c r="L883" s="22"/>
      <c r="M883" s="22"/>
      <c r="N883" s="27"/>
      <c r="O883" s="22"/>
      <c r="P883" s="5" t="str">
        <f>IF(A883="","",IF(COUNTIF(Типы,C883)=0,0,VLOOKUP(C883,СПРАВОЧНИКИ!$A$7:$E$22,2,FALSE)))</f>
        <v/>
      </c>
      <c r="Q883" s="25" t="str">
        <f t="shared" si="13"/>
        <v/>
      </c>
      <c r="R883" s="5" t="str">
        <f>IF(A883="","",IF(COUNTIF(Типы,C883)=0,"НЕИЗВЕСТНЫЙ ТИП",VLOOKUP(C883,СПРАВОЧНИКИ!$A$7:$E$22,3,FALSE)))</f>
        <v/>
      </c>
      <c r="S883" s="26" t="str">
        <f>IF(A883="","",IF(L883="Проведён",E883*IF(COUNTIF(Типы,C883)=0,0,VLOOKUP(C883,СПРАВОЧНИКИ!$A$7:$E$22,4,FALSE)),0))</f>
        <v/>
      </c>
      <c r="T883" s="26" t="str">
        <f>IF(A883="","",IF(L883="Проведён",E883*IF(COUNTIF(Типы,C883)=0,0,VLOOKUP(C883,СПРАВОЧНИКИ!$A$7:$E$22,5,FALSE)),0))</f>
        <v/>
      </c>
      <c r="U883" s="5" t="str">
        <f>IF(A883="","",IF(COUNTIF(Контрагенты,H883)=0,"Не задан",VLOOKUP(H883,СПРАВОЧНИКИ!$G$7:$H$66,2,FALSE)))</f>
        <v/>
      </c>
      <c r="V883" s="4" t="str">
        <f>IF(A883="",IF(COUNTA(B883:O883)&gt;0,"НЕТ ID",""),IF(OR(AND(OR(C883="Оплата клиента",C883="Возврат клиенту"),COUNTIFS(Docs[ID],J883,Docs[Тип долга],"ДЗ")&lt;&gt;1),AND(OR(C883="Оплата поставщику",C883="Возврат поставщика"),COUNTIFS(Docs[ID],J883,Docs[Тип долга],"КЗ",Docs[Вид],"&lt;&gt;Дивиденды")&lt;&gt;1),AND(C883="Дивиденды",COUNTIFS(Docs[ID],J883,Docs[Вид],"Дивиденды")&lt;&gt;1),AND(C883="Проценты",COUNTIFS(Docs[ID],J883,Docs[Вид],"Проценты")&lt;&gt;1),COUNTIF(Cash[ID],A883)&gt;1,NOT(ISNUMBER(B883)),B883&lt;НачалоУчета,YEAR(B883)&lt;&gt;Год,NOT(ISNUMBER(E883)),E883&lt;=0,N883&lt;0,COUNTIF(Типы,C883)&lt;&gt;1,COUNTIF(Категории,D883)&lt;&gt;1,COUNTIF(Счета,F883)&lt;&gt;1,COUNTIF(Проекты,I883)&lt;&gt;1,AND(H883&lt;&gt;"",COUNTIF(Контрагенты,H883)&lt;&gt;1),AND(C883="Перевод",OR(F883=G883,COUNTIF(Счета,G883)&lt;&gt;1)),AND(S883&lt;&gt;0,COUNTIF(Docs[ID],J883)&lt;&gt;1),AND(Форма="ООО",C883="Вывод ИП"),AND(Форма="ИП",C883="Дивиденды"),AND(L883&lt;&gt;"Проведён",L883&lt;&gt;"Черновик")),"ОШИБКА","ОК"))</f>
        <v/>
      </c>
      <c r="W883" s="25" t="str">
        <f>IF(A883="","",SUMIF(Accounts[Счёт],F883,Accounts[Начальный])+SUMIFS($Q$7:Q883,$F$7:F883,F883)+SUMIFS($E$7:E883,$G$7:G883,F883,$C$7:C883,"Перевод",$L$7:L883,"Проведён"))</f>
        <v/>
      </c>
    </row>
    <row r="884" spans="1:23" x14ac:dyDescent="0.25">
      <c r="A884" s="22"/>
      <c r="B884" s="23"/>
      <c r="C884" s="22"/>
      <c r="D884" s="22"/>
      <c r="E884" s="27"/>
      <c r="F884" s="22"/>
      <c r="G884" s="22"/>
      <c r="H884" s="22"/>
      <c r="I884" s="22"/>
      <c r="J884" s="22"/>
      <c r="K884" s="22"/>
      <c r="L884" s="22"/>
      <c r="M884" s="22"/>
      <c r="N884" s="27"/>
      <c r="O884" s="22"/>
      <c r="P884" s="5" t="str">
        <f>IF(A884="","",IF(COUNTIF(Типы,C884)=0,0,VLOOKUP(C884,СПРАВОЧНИКИ!$A$7:$E$22,2,FALSE)))</f>
        <v/>
      </c>
      <c r="Q884" s="25" t="str">
        <f t="shared" si="13"/>
        <v/>
      </c>
      <c r="R884" s="5" t="str">
        <f>IF(A884="","",IF(COUNTIF(Типы,C884)=0,"НЕИЗВЕСТНЫЙ ТИП",VLOOKUP(C884,СПРАВОЧНИКИ!$A$7:$E$22,3,FALSE)))</f>
        <v/>
      </c>
      <c r="S884" s="26" t="str">
        <f>IF(A884="","",IF(L884="Проведён",E884*IF(COUNTIF(Типы,C884)=0,0,VLOOKUP(C884,СПРАВОЧНИКИ!$A$7:$E$22,4,FALSE)),0))</f>
        <v/>
      </c>
      <c r="T884" s="26" t="str">
        <f>IF(A884="","",IF(L884="Проведён",E884*IF(COUNTIF(Типы,C884)=0,0,VLOOKUP(C884,СПРАВОЧНИКИ!$A$7:$E$22,5,FALSE)),0))</f>
        <v/>
      </c>
      <c r="U884" s="5" t="str">
        <f>IF(A884="","",IF(COUNTIF(Контрагенты,H884)=0,"Не задан",VLOOKUP(H884,СПРАВОЧНИКИ!$G$7:$H$66,2,FALSE)))</f>
        <v/>
      </c>
      <c r="V884" s="4" t="str">
        <f>IF(A884="",IF(COUNTA(B884:O884)&gt;0,"НЕТ ID",""),IF(OR(AND(OR(C884="Оплата клиента",C884="Возврат клиенту"),COUNTIFS(Docs[ID],J884,Docs[Тип долга],"ДЗ")&lt;&gt;1),AND(OR(C884="Оплата поставщику",C884="Возврат поставщика"),COUNTIFS(Docs[ID],J884,Docs[Тип долга],"КЗ",Docs[Вид],"&lt;&gt;Дивиденды")&lt;&gt;1),AND(C884="Дивиденды",COUNTIFS(Docs[ID],J884,Docs[Вид],"Дивиденды")&lt;&gt;1),AND(C884="Проценты",COUNTIFS(Docs[ID],J884,Docs[Вид],"Проценты")&lt;&gt;1),COUNTIF(Cash[ID],A884)&gt;1,NOT(ISNUMBER(B884)),B884&lt;НачалоУчета,YEAR(B884)&lt;&gt;Год,NOT(ISNUMBER(E884)),E884&lt;=0,N884&lt;0,COUNTIF(Типы,C884)&lt;&gt;1,COUNTIF(Категории,D884)&lt;&gt;1,COUNTIF(Счета,F884)&lt;&gt;1,COUNTIF(Проекты,I884)&lt;&gt;1,AND(H884&lt;&gt;"",COUNTIF(Контрагенты,H884)&lt;&gt;1),AND(C884="Перевод",OR(F884=G884,COUNTIF(Счета,G884)&lt;&gt;1)),AND(S884&lt;&gt;0,COUNTIF(Docs[ID],J884)&lt;&gt;1),AND(Форма="ООО",C884="Вывод ИП"),AND(Форма="ИП",C884="Дивиденды"),AND(L884&lt;&gt;"Проведён",L884&lt;&gt;"Черновик")),"ОШИБКА","ОК"))</f>
        <v/>
      </c>
      <c r="W884" s="25" t="str">
        <f>IF(A884="","",SUMIF(Accounts[Счёт],F884,Accounts[Начальный])+SUMIFS($Q$7:Q884,$F$7:F884,F884)+SUMIFS($E$7:E884,$G$7:G884,F884,$C$7:C884,"Перевод",$L$7:L884,"Проведён"))</f>
        <v/>
      </c>
    </row>
    <row r="885" spans="1:23" x14ac:dyDescent="0.25">
      <c r="A885" s="22"/>
      <c r="B885" s="23"/>
      <c r="C885" s="22"/>
      <c r="D885" s="22"/>
      <c r="E885" s="27"/>
      <c r="F885" s="22"/>
      <c r="G885" s="22"/>
      <c r="H885" s="22"/>
      <c r="I885" s="22"/>
      <c r="J885" s="22"/>
      <c r="K885" s="22"/>
      <c r="L885" s="22"/>
      <c r="M885" s="22"/>
      <c r="N885" s="27"/>
      <c r="O885" s="22"/>
      <c r="P885" s="5" t="str">
        <f>IF(A885="","",IF(COUNTIF(Типы,C885)=0,0,VLOOKUP(C885,СПРАВОЧНИКИ!$A$7:$E$22,2,FALSE)))</f>
        <v/>
      </c>
      <c r="Q885" s="25" t="str">
        <f t="shared" si="13"/>
        <v/>
      </c>
      <c r="R885" s="5" t="str">
        <f>IF(A885="","",IF(COUNTIF(Типы,C885)=0,"НЕИЗВЕСТНЫЙ ТИП",VLOOKUP(C885,СПРАВОЧНИКИ!$A$7:$E$22,3,FALSE)))</f>
        <v/>
      </c>
      <c r="S885" s="26" t="str">
        <f>IF(A885="","",IF(L885="Проведён",E885*IF(COUNTIF(Типы,C885)=0,0,VLOOKUP(C885,СПРАВОЧНИКИ!$A$7:$E$22,4,FALSE)),0))</f>
        <v/>
      </c>
      <c r="T885" s="26" t="str">
        <f>IF(A885="","",IF(L885="Проведён",E885*IF(COUNTIF(Типы,C885)=0,0,VLOOKUP(C885,СПРАВОЧНИКИ!$A$7:$E$22,5,FALSE)),0))</f>
        <v/>
      </c>
      <c r="U885" s="5" t="str">
        <f>IF(A885="","",IF(COUNTIF(Контрагенты,H885)=0,"Не задан",VLOOKUP(H885,СПРАВОЧНИКИ!$G$7:$H$66,2,FALSE)))</f>
        <v/>
      </c>
      <c r="V885" s="4" t="str">
        <f>IF(A885="",IF(COUNTA(B885:O885)&gt;0,"НЕТ ID",""),IF(OR(AND(OR(C885="Оплата клиента",C885="Возврат клиенту"),COUNTIFS(Docs[ID],J885,Docs[Тип долга],"ДЗ")&lt;&gt;1),AND(OR(C885="Оплата поставщику",C885="Возврат поставщика"),COUNTIFS(Docs[ID],J885,Docs[Тип долга],"КЗ",Docs[Вид],"&lt;&gt;Дивиденды")&lt;&gt;1),AND(C885="Дивиденды",COUNTIFS(Docs[ID],J885,Docs[Вид],"Дивиденды")&lt;&gt;1),AND(C885="Проценты",COUNTIFS(Docs[ID],J885,Docs[Вид],"Проценты")&lt;&gt;1),COUNTIF(Cash[ID],A885)&gt;1,NOT(ISNUMBER(B885)),B885&lt;НачалоУчета,YEAR(B885)&lt;&gt;Год,NOT(ISNUMBER(E885)),E885&lt;=0,N885&lt;0,COUNTIF(Типы,C885)&lt;&gt;1,COUNTIF(Категории,D885)&lt;&gt;1,COUNTIF(Счета,F885)&lt;&gt;1,COUNTIF(Проекты,I885)&lt;&gt;1,AND(H885&lt;&gt;"",COUNTIF(Контрагенты,H885)&lt;&gt;1),AND(C885="Перевод",OR(F885=G885,COUNTIF(Счета,G885)&lt;&gt;1)),AND(S885&lt;&gt;0,COUNTIF(Docs[ID],J885)&lt;&gt;1),AND(Форма="ООО",C885="Вывод ИП"),AND(Форма="ИП",C885="Дивиденды"),AND(L885&lt;&gt;"Проведён",L885&lt;&gt;"Черновик")),"ОШИБКА","ОК"))</f>
        <v/>
      </c>
      <c r="W885" s="25" t="str">
        <f>IF(A885="","",SUMIF(Accounts[Счёт],F885,Accounts[Начальный])+SUMIFS($Q$7:Q885,$F$7:F885,F885)+SUMIFS($E$7:E885,$G$7:G885,F885,$C$7:C885,"Перевод",$L$7:L885,"Проведён"))</f>
        <v/>
      </c>
    </row>
    <row r="886" spans="1:23" x14ac:dyDescent="0.25">
      <c r="A886" s="22"/>
      <c r="B886" s="23"/>
      <c r="C886" s="22"/>
      <c r="D886" s="22"/>
      <c r="E886" s="27"/>
      <c r="F886" s="22"/>
      <c r="G886" s="22"/>
      <c r="H886" s="22"/>
      <c r="I886" s="22"/>
      <c r="J886" s="22"/>
      <c r="K886" s="22"/>
      <c r="L886" s="22"/>
      <c r="M886" s="22"/>
      <c r="N886" s="27"/>
      <c r="O886" s="22"/>
      <c r="P886" s="5" t="str">
        <f>IF(A886="","",IF(COUNTIF(Типы,C886)=0,0,VLOOKUP(C886,СПРАВОЧНИКИ!$A$7:$E$22,2,FALSE)))</f>
        <v/>
      </c>
      <c r="Q886" s="25" t="str">
        <f t="shared" si="13"/>
        <v/>
      </c>
      <c r="R886" s="5" t="str">
        <f>IF(A886="","",IF(COUNTIF(Типы,C886)=0,"НЕИЗВЕСТНЫЙ ТИП",VLOOKUP(C886,СПРАВОЧНИКИ!$A$7:$E$22,3,FALSE)))</f>
        <v/>
      </c>
      <c r="S886" s="26" t="str">
        <f>IF(A886="","",IF(L886="Проведён",E886*IF(COUNTIF(Типы,C886)=0,0,VLOOKUP(C886,СПРАВОЧНИКИ!$A$7:$E$22,4,FALSE)),0))</f>
        <v/>
      </c>
      <c r="T886" s="26" t="str">
        <f>IF(A886="","",IF(L886="Проведён",E886*IF(COUNTIF(Типы,C886)=0,0,VLOOKUP(C886,СПРАВОЧНИКИ!$A$7:$E$22,5,FALSE)),0))</f>
        <v/>
      </c>
      <c r="U886" s="5" t="str">
        <f>IF(A886="","",IF(COUNTIF(Контрагенты,H886)=0,"Не задан",VLOOKUP(H886,СПРАВОЧНИКИ!$G$7:$H$66,2,FALSE)))</f>
        <v/>
      </c>
      <c r="V886" s="4" t="str">
        <f>IF(A886="",IF(COUNTA(B886:O886)&gt;0,"НЕТ ID",""),IF(OR(AND(OR(C886="Оплата клиента",C886="Возврат клиенту"),COUNTIFS(Docs[ID],J886,Docs[Тип долга],"ДЗ")&lt;&gt;1),AND(OR(C886="Оплата поставщику",C886="Возврат поставщика"),COUNTIFS(Docs[ID],J886,Docs[Тип долга],"КЗ",Docs[Вид],"&lt;&gt;Дивиденды")&lt;&gt;1),AND(C886="Дивиденды",COUNTIFS(Docs[ID],J886,Docs[Вид],"Дивиденды")&lt;&gt;1),AND(C886="Проценты",COUNTIFS(Docs[ID],J886,Docs[Вид],"Проценты")&lt;&gt;1),COUNTIF(Cash[ID],A886)&gt;1,NOT(ISNUMBER(B886)),B886&lt;НачалоУчета,YEAR(B886)&lt;&gt;Год,NOT(ISNUMBER(E886)),E886&lt;=0,N886&lt;0,COUNTIF(Типы,C886)&lt;&gt;1,COUNTIF(Категории,D886)&lt;&gt;1,COUNTIF(Счета,F886)&lt;&gt;1,COUNTIF(Проекты,I886)&lt;&gt;1,AND(H886&lt;&gt;"",COUNTIF(Контрагенты,H886)&lt;&gt;1),AND(C886="Перевод",OR(F886=G886,COUNTIF(Счета,G886)&lt;&gt;1)),AND(S886&lt;&gt;0,COUNTIF(Docs[ID],J886)&lt;&gt;1),AND(Форма="ООО",C886="Вывод ИП"),AND(Форма="ИП",C886="Дивиденды"),AND(L886&lt;&gt;"Проведён",L886&lt;&gt;"Черновик")),"ОШИБКА","ОК"))</f>
        <v/>
      </c>
      <c r="W886" s="25" t="str">
        <f>IF(A886="","",SUMIF(Accounts[Счёт],F886,Accounts[Начальный])+SUMIFS($Q$7:Q886,$F$7:F886,F886)+SUMIFS($E$7:E886,$G$7:G886,F886,$C$7:C886,"Перевод",$L$7:L886,"Проведён"))</f>
        <v/>
      </c>
    </row>
    <row r="887" spans="1:23" x14ac:dyDescent="0.25">
      <c r="A887" s="22"/>
      <c r="B887" s="23"/>
      <c r="C887" s="22"/>
      <c r="D887" s="22"/>
      <c r="E887" s="27"/>
      <c r="F887" s="22"/>
      <c r="G887" s="22"/>
      <c r="H887" s="22"/>
      <c r="I887" s="22"/>
      <c r="J887" s="22"/>
      <c r="K887" s="22"/>
      <c r="L887" s="22"/>
      <c r="M887" s="22"/>
      <c r="N887" s="27"/>
      <c r="O887" s="22"/>
      <c r="P887" s="5" t="str">
        <f>IF(A887="","",IF(COUNTIF(Типы,C887)=0,0,VLOOKUP(C887,СПРАВОЧНИКИ!$A$7:$E$22,2,FALSE)))</f>
        <v/>
      </c>
      <c r="Q887" s="25" t="str">
        <f t="shared" si="13"/>
        <v/>
      </c>
      <c r="R887" s="5" t="str">
        <f>IF(A887="","",IF(COUNTIF(Типы,C887)=0,"НЕИЗВЕСТНЫЙ ТИП",VLOOKUP(C887,СПРАВОЧНИКИ!$A$7:$E$22,3,FALSE)))</f>
        <v/>
      </c>
      <c r="S887" s="26" t="str">
        <f>IF(A887="","",IF(L887="Проведён",E887*IF(COUNTIF(Типы,C887)=0,0,VLOOKUP(C887,СПРАВОЧНИКИ!$A$7:$E$22,4,FALSE)),0))</f>
        <v/>
      </c>
      <c r="T887" s="26" t="str">
        <f>IF(A887="","",IF(L887="Проведён",E887*IF(COUNTIF(Типы,C887)=0,0,VLOOKUP(C887,СПРАВОЧНИКИ!$A$7:$E$22,5,FALSE)),0))</f>
        <v/>
      </c>
      <c r="U887" s="5" t="str">
        <f>IF(A887="","",IF(COUNTIF(Контрагенты,H887)=0,"Не задан",VLOOKUP(H887,СПРАВОЧНИКИ!$G$7:$H$66,2,FALSE)))</f>
        <v/>
      </c>
      <c r="V887" s="4" t="str">
        <f>IF(A887="",IF(COUNTA(B887:O887)&gt;0,"НЕТ ID",""),IF(OR(AND(OR(C887="Оплата клиента",C887="Возврат клиенту"),COUNTIFS(Docs[ID],J887,Docs[Тип долга],"ДЗ")&lt;&gt;1),AND(OR(C887="Оплата поставщику",C887="Возврат поставщика"),COUNTIFS(Docs[ID],J887,Docs[Тип долга],"КЗ",Docs[Вид],"&lt;&gt;Дивиденды")&lt;&gt;1),AND(C887="Дивиденды",COUNTIFS(Docs[ID],J887,Docs[Вид],"Дивиденды")&lt;&gt;1),AND(C887="Проценты",COUNTIFS(Docs[ID],J887,Docs[Вид],"Проценты")&lt;&gt;1),COUNTIF(Cash[ID],A887)&gt;1,NOT(ISNUMBER(B887)),B887&lt;НачалоУчета,YEAR(B887)&lt;&gt;Год,NOT(ISNUMBER(E887)),E887&lt;=0,N887&lt;0,COUNTIF(Типы,C887)&lt;&gt;1,COUNTIF(Категории,D887)&lt;&gt;1,COUNTIF(Счета,F887)&lt;&gt;1,COUNTIF(Проекты,I887)&lt;&gt;1,AND(H887&lt;&gt;"",COUNTIF(Контрагенты,H887)&lt;&gt;1),AND(C887="Перевод",OR(F887=G887,COUNTIF(Счета,G887)&lt;&gt;1)),AND(S887&lt;&gt;0,COUNTIF(Docs[ID],J887)&lt;&gt;1),AND(Форма="ООО",C887="Вывод ИП"),AND(Форма="ИП",C887="Дивиденды"),AND(L887&lt;&gt;"Проведён",L887&lt;&gt;"Черновик")),"ОШИБКА","ОК"))</f>
        <v/>
      </c>
      <c r="W887" s="25" t="str">
        <f>IF(A887="","",SUMIF(Accounts[Счёт],F887,Accounts[Начальный])+SUMIFS($Q$7:Q887,$F$7:F887,F887)+SUMIFS($E$7:E887,$G$7:G887,F887,$C$7:C887,"Перевод",$L$7:L887,"Проведён"))</f>
        <v/>
      </c>
    </row>
    <row r="888" spans="1:23" x14ac:dyDescent="0.25">
      <c r="A888" s="22"/>
      <c r="B888" s="23"/>
      <c r="C888" s="22"/>
      <c r="D888" s="22"/>
      <c r="E888" s="27"/>
      <c r="F888" s="22"/>
      <c r="G888" s="22"/>
      <c r="H888" s="22"/>
      <c r="I888" s="22"/>
      <c r="J888" s="22"/>
      <c r="K888" s="22"/>
      <c r="L888" s="22"/>
      <c r="M888" s="22"/>
      <c r="N888" s="27"/>
      <c r="O888" s="22"/>
      <c r="P888" s="5" t="str">
        <f>IF(A888="","",IF(COUNTIF(Типы,C888)=0,0,VLOOKUP(C888,СПРАВОЧНИКИ!$A$7:$E$22,2,FALSE)))</f>
        <v/>
      </c>
      <c r="Q888" s="25" t="str">
        <f t="shared" si="13"/>
        <v/>
      </c>
      <c r="R888" s="5" t="str">
        <f>IF(A888="","",IF(COUNTIF(Типы,C888)=0,"НЕИЗВЕСТНЫЙ ТИП",VLOOKUP(C888,СПРАВОЧНИКИ!$A$7:$E$22,3,FALSE)))</f>
        <v/>
      </c>
      <c r="S888" s="26" t="str">
        <f>IF(A888="","",IF(L888="Проведён",E888*IF(COUNTIF(Типы,C888)=0,0,VLOOKUP(C888,СПРАВОЧНИКИ!$A$7:$E$22,4,FALSE)),0))</f>
        <v/>
      </c>
      <c r="T888" s="26" t="str">
        <f>IF(A888="","",IF(L888="Проведён",E888*IF(COUNTIF(Типы,C888)=0,0,VLOOKUP(C888,СПРАВОЧНИКИ!$A$7:$E$22,5,FALSE)),0))</f>
        <v/>
      </c>
      <c r="U888" s="5" t="str">
        <f>IF(A888="","",IF(COUNTIF(Контрагенты,H888)=0,"Не задан",VLOOKUP(H888,СПРАВОЧНИКИ!$G$7:$H$66,2,FALSE)))</f>
        <v/>
      </c>
      <c r="V888" s="4" t="str">
        <f>IF(A888="",IF(COUNTA(B888:O888)&gt;0,"НЕТ ID",""),IF(OR(AND(OR(C888="Оплата клиента",C888="Возврат клиенту"),COUNTIFS(Docs[ID],J888,Docs[Тип долга],"ДЗ")&lt;&gt;1),AND(OR(C888="Оплата поставщику",C888="Возврат поставщика"),COUNTIFS(Docs[ID],J888,Docs[Тип долга],"КЗ",Docs[Вид],"&lt;&gt;Дивиденды")&lt;&gt;1),AND(C888="Дивиденды",COUNTIFS(Docs[ID],J888,Docs[Вид],"Дивиденды")&lt;&gt;1),AND(C888="Проценты",COUNTIFS(Docs[ID],J888,Docs[Вид],"Проценты")&lt;&gt;1),COUNTIF(Cash[ID],A888)&gt;1,NOT(ISNUMBER(B888)),B888&lt;НачалоУчета,YEAR(B888)&lt;&gt;Год,NOT(ISNUMBER(E888)),E888&lt;=0,N888&lt;0,COUNTIF(Типы,C888)&lt;&gt;1,COUNTIF(Категории,D888)&lt;&gt;1,COUNTIF(Счета,F888)&lt;&gt;1,COUNTIF(Проекты,I888)&lt;&gt;1,AND(H888&lt;&gt;"",COUNTIF(Контрагенты,H888)&lt;&gt;1),AND(C888="Перевод",OR(F888=G888,COUNTIF(Счета,G888)&lt;&gt;1)),AND(S888&lt;&gt;0,COUNTIF(Docs[ID],J888)&lt;&gt;1),AND(Форма="ООО",C888="Вывод ИП"),AND(Форма="ИП",C888="Дивиденды"),AND(L888&lt;&gt;"Проведён",L888&lt;&gt;"Черновик")),"ОШИБКА","ОК"))</f>
        <v/>
      </c>
      <c r="W888" s="25" t="str">
        <f>IF(A888="","",SUMIF(Accounts[Счёт],F888,Accounts[Начальный])+SUMIFS($Q$7:Q888,$F$7:F888,F888)+SUMIFS($E$7:E888,$G$7:G888,F888,$C$7:C888,"Перевод",$L$7:L888,"Проведён"))</f>
        <v/>
      </c>
    </row>
    <row r="889" spans="1:23" x14ac:dyDescent="0.25">
      <c r="A889" s="22"/>
      <c r="B889" s="23"/>
      <c r="C889" s="22"/>
      <c r="D889" s="22"/>
      <c r="E889" s="27"/>
      <c r="F889" s="22"/>
      <c r="G889" s="22"/>
      <c r="H889" s="22"/>
      <c r="I889" s="22"/>
      <c r="J889" s="22"/>
      <c r="K889" s="22"/>
      <c r="L889" s="22"/>
      <c r="M889" s="22"/>
      <c r="N889" s="27"/>
      <c r="O889" s="22"/>
      <c r="P889" s="5" t="str">
        <f>IF(A889="","",IF(COUNTIF(Типы,C889)=0,0,VLOOKUP(C889,СПРАВОЧНИКИ!$A$7:$E$22,2,FALSE)))</f>
        <v/>
      </c>
      <c r="Q889" s="25" t="str">
        <f t="shared" si="13"/>
        <v/>
      </c>
      <c r="R889" s="5" t="str">
        <f>IF(A889="","",IF(COUNTIF(Типы,C889)=0,"НЕИЗВЕСТНЫЙ ТИП",VLOOKUP(C889,СПРАВОЧНИКИ!$A$7:$E$22,3,FALSE)))</f>
        <v/>
      </c>
      <c r="S889" s="26" t="str">
        <f>IF(A889="","",IF(L889="Проведён",E889*IF(COUNTIF(Типы,C889)=0,0,VLOOKUP(C889,СПРАВОЧНИКИ!$A$7:$E$22,4,FALSE)),0))</f>
        <v/>
      </c>
      <c r="T889" s="26" t="str">
        <f>IF(A889="","",IF(L889="Проведён",E889*IF(COUNTIF(Типы,C889)=0,0,VLOOKUP(C889,СПРАВОЧНИКИ!$A$7:$E$22,5,FALSE)),0))</f>
        <v/>
      </c>
      <c r="U889" s="5" t="str">
        <f>IF(A889="","",IF(COUNTIF(Контрагенты,H889)=0,"Не задан",VLOOKUP(H889,СПРАВОЧНИКИ!$G$7:$H$66,2,FALSE)))</f>
        <v/>
      </c>
      <c r="V889" s="4" t="str">
        <f>IF(A889="",IF(COUNTA(B889:O889)&gt;0,"НЕТ ID",""),IF(OR(AND(OR(C889="Оплата клиента",C889="Возврат клиенту"),COUNTIFS(Docs[ID],J889,Docs[Тип долга],"ДЗ")&lt;&gt;1),AND(OR(C889="Оплата поставщику",C889="Возврат поставщика"),COUNTIFS(Docs[ID],J889,Docs[Тип долга],"КЗ",Docs[Вид],"&lt;&gt;Дивиденды")&lt;&gt;1),AND(C889="Дивиденды",COUNTIFS(Docs[ID],J889,Docs[Вид],"Дивиденды")&lt;&gt;1),AND(C889="Проценты",COUNTIFS(Docs[ID],J889,Docs[Вид],"Проценты")&lt;&gt;1),COUNTIF(Cash[ID],A889)&gt;1,NOT(ISNUMBER(B889)),B889&lt;НачалоУчета,YEAR(B889)&lt;&gt;Год,NOT(ISNUMBER(E889)),E889&lt;=0,N889&lt;0,COUNTIF(Типы,C889)&lt;&gt;1,COUNTIF(Категории,D889)&lt;&gt;1,COUNTIF(Счета,F889)&lt;&gt;1,COUNTIF(Проекты,I889)&lt;&gt;1,AND(H889&lt;&gt;"",COUNTIF(Контрагенты,H889)&lt;&gt;1),AND(C889="Перевод",OR(F889=G889,COUNTIF(Счета,G889)&lt;&gt;1)),AND(S889&lt;&gt;0,COUNTIF(Docs[ID],J889)&lt;&gt;1),AND(Форма="ООО",C889="Вывод ИП"),AND(Форма="ИП",C889="Дивиденды"),AND(L889&lt;&gt;"Проведён",L889&lt;&gt;"Черновик")),"ОШИБКА","ОК"))</f>
        <v/>
      </c>
      <c r="W889" s="25" t="str">
        <f>IF(A889="","",SUMIF(Accounts[Счёт],F889,Accounts[Начальный])+SUMIFS($Q$7:Q889,$F$7:F889,F889)+SUMIFS($E$7:E889,$G$7:G889,F889,$C$7:C889,"Перевод",$L$7:L889,"Проведён"))</f>
        <v/>
      </c>
    </row>
    <row r="890" spans="1:23" x14ac:dyDescent="0.25">
      <c r="A890" s="22"/>
      <c r="B890" s="23"/>
      <c r="C890" s="22"/>
      <c r="D890" s="22"/>
      <c r="E890" s="27"/>
      <c r="F890" s="22"/>
      <c r="G890" s="22"/>
      <c r="H890" s="22"/>
      <c r="I890" s="22"/>
      <c r="J890" s="22"/>
      <c r="K890" s="22"/>
      <c r="L890" s="22"/>
      <c r="M890" s="22"/>
      <c r="N890" s="27"/>
      <c r="O890" s="22"/>
      <c r="P890" s="5" t="str">
        <f>IF(A890="","",IF(COUNTIF(Типы,C890)=0,0,VLOOKUP(C890,СПРАВОЧНИКИ!$A$7:$E$22,2,FALSE)))</f>
        <v/>
      </c>
      <c r="Q890" s="25" t="str">
        <f t="shared" si="13"/>
        <v/>
      </c>
      <c r="R890" s="5" t="str">
        <f>IF(A890="","",IF(COUNTIF(Типы,C890)=0,"НЕИЗВЕСТНЫЙ ТИП",VLOOKUP(C890,СПРАВОЧНИКИ!$A$7:$E$22,3,FALSE)))</f>
        <v/>
      </c>
      <c r="S890" s="26" t="str">
        <f>IF(A890="","",IF(L890="Проведён",E890*IF(COUNTIF(Типы,C890)=0,0,VLOOKUP(C890,СПРАВОЧНИКИ!$A$7:$E$22,4,FALSE)),0))</f>
        <v/>
      </c>
      <c r="T890" s="26" t="str">
        <f>IF(A890="","",IF(L890="Проведён",E890*IF(COUNTIF(Типы,C890)=0,0,VLOOKUP(C890,СПРАВОЧНИКИ!$A$7:$E$22,5,FALSE)),0))</f>
        <v/>
      </c>
      <c r="U890" s="5" t="str">
        <f>IF(A890="","",IF(COUNTIF(Контрагенты,H890)=0,"Не задан",VLOOKUP(H890,СПРАВОЧНИКИ!$G$7:$H$66,2,FALSE)))</f>
        <v/>
      </c>
      <c r="V890" s="4" t="str">
        <f>IF(A890="",IF(COUNTA(B890:O890)&gt;0,"НЕТ ID",""),IF(OR(AND(OR(C890="Оплата клиента",C890="Возврат клиенту"),COUNTIFS(Docs[ID],J890,Docs[Тип долга],"ДЗ")&lt;&gt;1),AND(OR(C890="Оплата поставщику",C890="Возврат поставщика"),COUNTIFS(Docs[ID],J890,Docs[Тип долга],"КЗ",Docs[Вид],"&lt;&gt;Дивиденды")&lt;&gt;1),AND(C890="Дивиденды",COUNTIFS(Docs[ID],J890,Docs[Вид],"Дивиденды")&lt;&gt;1),AND(C890="Проценты",COUNTIFS(Docs[ID],J890,Docs[Вид],"Проценты")&lt;&gt;1),COUNTIF(Cash[ID],A890)&gt;1,NOT(ISNUMBER(B890)),B890&lt;НачалоУчета,YEAR(B890)&lt;&gt;Год,NOT(ISNUMBER(E890)),E890&lt;=0,N890&lt;0,COUNTIF(Типы,C890)&lt;&gt;1,COUNTIF(Категории,D890)&lt;&gt;1,COUNTIF(Счета,F890)&lt;&gt;1,COUNTIF(Проекты,I890)&lt;&gt;1,AND(H890&lt;&gt;"",COUNTIF(Контрагенты,H890)&lt;&gt;1),AND(C890="Перевод",OR(F890=G890,COUNTIF(Счета,G890)&lt;&gt;1)),AND(S890&lt;&gt;0,COUNTIF(Docs[ID],J890)&lt;&gt;1),AND(Форма="ООО",C890="Вывод ИП"),AND(Форма="ИП",C890="Дивиденды"),AND(L890&lt;&gt;"Проведён",L890&lt;&gt;"Черновик")),"ОШИБКА","ОК"))</f>
        <v/>
      </c>
      <c r="W890" s="25" t="str">
        <f>IF(A890="","",SUMIF(Accounts[Счёт],F890,Accounts[Начальный])+SUMIFS($Q$7:Q890,$F$7:F890,F890)+SUMIFS($E$7:E890,$G$7:G890,F890,$C$7:C890,"Перевод",$L$7:L890,"Проведён"))</f>
        <v/>
      </c>
    </row>
    <row r="891" spans="1:23" x14ac:dyDescent="0.25">
      <c r="A891" s="22"/>
      <c r="B891" s="23"/>
      <c r="C891" s="22"/>
      <c r="D891" s="22"/>
      <c r="E891" s="27"/>
      <c r="F891" s="22"/>
      <c r="G891" s="22"/>
      <c r="H891" s="22"/>
      <c r="I891" s="22"/>
      <c r="J891" s="22"/>
      <c r="K891" s="22"/>
      <c r="L891" s="22"/>
      <c r="M891" s="22"/>
      <c r="N891" s="27"/>
      <c r="O891" s="22"/>
      <c r="P891" s="5" t="str">
        <f>IF(A891="","",IF(COUNTIF(Типы,C891)=0,0,VLOOKUP(C891,СПРАВОЧНИКИ!$A$7:$E$22,2,FALSE)))</f>
        <v/>
      </c>
      <c r="Q891" s="25" t="str">
        <f t="shared" si="13"/>
        <v/>
      </c>
      <c r="R891" s="5" t="str">
        <f>IF(A891="","",IF(COUNTIF(Типы,C891)=0,"НЕИЗВЕСТНЫЙ ТИП",VLOOKUP(C891,СПРАВОЧНИКИ!$A$7:$E$22,3,FALSE)))</f>
        <v/>
      </c>
      <c r="S891" s="26" t="str">
        <f>IF(A891="","",IF(L891="Проведён",E891*IF(COUNTIF(Типы,C891)=0,0,VLOOKUP(C891,СПРАВОЧНИКИ!$A$7:$E$22,4,FALSE)),0))</f>
        <v/>
      </c>
      <c r="T891" s="26" t="str">
        <f>IF(A891="","",IF(L891="Проведён",E891*IF(COUNTIF(Типы,C891)=0,0,VLOOKUP(C891,СПРАВОЧНИКИ!$A$7:$E$22,5,FALSE)),0))</f>
        <v/>
      </c>
      <c r="U891" s="5" t="str">
        <f>IF(A891="","",IF(COUNTIF(Контрагенты,H891)=0,"Не задан",VLOOKUP(H891,СПРАВОЧНИКИ!$G$7:$H$66,2,FALSE)))</f>
        <v/>
      </c>
      <c r="V891" s="4" t="str">
        <f>IF(A891="",IF(COUNTA(B891:O891)&gt;0,"НЕТ ID",""),IF(OR(AND(OR(C891="Оплата клиента",C891="Возврат клиенту"),COUNTIFS(Docs[ID],J891,Docs[Тип долга],"ДЗ")&lt;&gt;1),AND(OR(C891="Оплата поставщику",C891="Возврат поставщика"),COUNTIFS(Docs[ID],J891,Docs[Тип долга],"КЗ",Docs[Вид],"&lt;&gt;Дивиденды")&lt;&gt;1),AND(C891="Дивиденды",COUNTIFS(Docs[ID],J891,Docs[Вид],"Дивиденды")&lt;&gt;1),AND(C891="Проценты",COUNTIFS(Docs[ID],J891,Docs[Вид],"Проценты")&lt;&gt;1),COUNTIF(Cash[ID],A891)&gt;1,NOT(ISNUMBER(B891)),B891&lt;НачалоУчета,YEAR(B891)&lt;&gt;Год,NOT(ISNUMBER(E891)),E891&lt;=0,N891&lt;0,COUNTIF(Типы,C891)&lt;&gt;1,COUNTIF(Категории,D891)&lt;&gt;1,COUNTIF(Счета,F891)&lt;&gt;1,COUNTIF(Проекты,I891)&lt;&gt;1,AND(H891&lt;&gt;"",COUNTIF(Контрагенты,H891)&lt;&gt;1),AND(C891="Перевод",OR(F891=G891,COUNTIF(Счета,G891)&lt;&gt;1)),AND(S891&lt;&gt;0,COUNTIF(Docs[ID],J891)&lt;&gt;1),AND(Форма="ООО",C891="Вывод ИП"),AND(Форма="ИП",C891="Дивиденды"),AND(L891&lt;&gt;"Проведён",L891&lt;&gt;"Черновик")),"ОШИБКА","ОК"))</f>
        <v/>
      </c>
      <c r="W891" s="25" t="str">
        <f>IF(A891="","",SUMIF(Accounts[Счёт],F891,Accounts[Начальный])+SUMIFS($Q$7:Q891,$F$7:F891,F891)+SUMIFS($E$7:E891,$G$7:G891,F891,$C$7:C891,"Перевод",$L$7:L891,"Проведён"))</f>
        <v/>
      </c>
    </row>
    <row r="892" spans="1:23" x14ac:dyDescent="0.25">
      <c r="A892" s="22"/>
      <c r="B892" s="23"/>
      <c r="C892" s="22"/>
      <c r="D892" s="22"/>
      <c r="E892" s="27"/>
      <c r="F892" s="22"/>
      <c r="G892" s="22"/>
      <c r="H892" s="22"/>
      <c r="I892" s="22"/>
      <c r="J892" s="22"/>
      <c r="K892" s="22"/>
      <c r="L892" s="22"/>
      <c r="M892" s="22"/>
      <c r="N892" s="27"/>
      <c r="O892" s="22"/>
      <c r="P892" s="5" t="str">
        <f>IF(A892="","",IF(COUNTIF(Типы,C892)=0,0,VLOOKUP(C892,СПРАВОЧНИКИ!$A$7:$E$22,2,FALSE)))</f>
        <v/>
      </c>
      <c r="Q892" s="25" t="str">
        <f t="shared" si="13"/>
        <v/>
      </c>
      <c r="R892" s="5" t="str">
        <f>IF(A892="","",IF(COUNTIF(Типы,C892)=0,"НЕИЗВЕСТНЫЙ ТИП",VLOOKUP(C892,СПРАВОЧНИКИ!$A$7:$E$22,3,FALSE)))</f>
        <v/>
      </c>
      <c r="S892" s="26" t="str">
        <f>IF(A892="","",IF(L892="Проведён",E892*IF(COUNTIF(Типы,C892)=0,0,VLOOKUP(C892,СПРАВОЧНИКИ!$A$7:$E$22,4,FALSE)),0))</f>
        <v/>
      </c>
      <c r="T892" s="26" t="str">
        <f>IF(A892="","",IF(L892="Проведён",E892*IF(COUNTIF(Типы,C892)=0,0,VLOOKUP(C892,СПРАВОЧНИКИ!$A$7:$E$22,5,FALSE)),0))</f>
        <v/>
      </c>
      <c r="U892" s="5" t="str">
        <f>IF(A892="","",IF(COUNTIF(Контрагенты,H892)=0,"Не задан",VLOOKUP(H892,СПРАВОЧНИКИ!$G$7:$H$66,2,FALSE)))</f>
        <v/>
      </c>
      <c r="V892" s="4" t="str">
        <f>IF(A892="",IF(COUNTA(B892:O892)&gt;0,"НЕТ ID",""),IF(OR(AND(OR(C892="Оплата клиента",C892="Возврат клиенту"),COUNTIFS(Docs[ID],J892,Docs[Тип долга],"ДЗ")&lt;&gt;1),AND(OR(C892="Оплата поставщику",C892="Возврат поставщика"),COUNTIFS(Docs[ID],J892,Docs[Тип долга],"КЗ",Docs[Вид],"&lt;&gt;Дивиденды")&lt;&gt;1),AND(C892="Дивиденды",COUNTIFS(Docs[ID],J892,Docs[Вид],"Дивиденды")&lt;&gt;1),AND(C892="Проценты",COUNTIFS(Docs[ID],J892,Docs[Вид],"Проценты")&lt;&gt;1),COUNTIF(Cash[ID],A892)&gt;1,NOT(ISNUMBER(B892)),B892&lt;НачалоУчета,YEAR(B892)&lt;&gt;Год,NOT(ISNUMBER(E892)),E892&lt;=0,N892&lt;0,COUNTIF(Типы,C892)&lt;&gt;1,COUNTIF(Категории,D892)&lt;&gt;1,COUNTIF(Счета,F892)&lt;&gt;1,COUNTIF(Проекты,I892)&lt;&gt;1,AND(H892&lt;&gt;"",COUNTIF(Контрагенты,H892)&lt;&gt;1),AND(C892="Перевод",OR(F892=G892,COUNTIF(Счета,G892)&lt;&gt;1)),AND(S892&lt;&gt;0,COUNTIF(Docs[ID],J892)&lt;&gt;1),AND(Форма="ООО",C892="Вывод ИП"),AND(Форма="ИП",C892="Дивиденды"),AND(L892&lt;&gt;"Проведён",L892&lt;&gt;"Черновик")),"ОШИБКА","ОК"))</f>
        <v/>
      </c>
      <c r="W892" s="25" t="str">
        <f>IF(A892="","",SUMIF(Accounts[Счёт],F892,Accounts[Начальный])+SUMIFS($Q$7:Q892,$F$7:F892,F892)+SUMIFS($E$7:E892,$G$7:G892,F892,$C$7:C892,"Перевод",$L$7:L892,"Проведён"))</f>
        <v/>
      </c>
    </row>
    <row r="893" spans="1:23" x14ac:dyDescent="0.25">
      <c r="A893" s="22"/>
      <c r="B893" s="23"/>
      <c r="C893" s="22"/>
      <c r="D893" s="22"/>
      <c r="E893" s="27"/>
      <c r="F893" s="22"/>
      <c r="G893" s="22"/>
      <c r="H893" s="22"/>
      <c r="I893" s="22"/>
      <c r="J893" s="22"/>
      <c r="K893" s="22"/>
      <c r="L893" s="22"/>
      <c r="M893" s="22"/>
      <c r="N893" s="27"/>
      <c r="O893" s="22"/>
      <c r="P893" s="5" t="str">
        <f>IF(A893="","",IF(COUNTIF(Типы,C893)=0,0,VLOOKUP(C893,СПРАВОЧНИКИ!$A$7:$E$22,2,FALSE)))</f>
        <v/>
      </c>
      <c r="Q893" s="25" t="str">
        <f t="shared" si="13"/>
        <v/>
      </c>
      <c r="R893" s="5" t="str">
        <f>IF(A893="","",IF(COUNTIF(Типы,C893)=0,"НЕИЗВЕСТНЫЙ ТИП",VLOOKUP(C893,СПРАВОЧНИКИ!$A$7:$E$22,3,FALSE)))</f>
        <v/>
      </c>
      <c r="S893" s="26" t="str">
        <f>IF(A893="","",IF(L893="Проведён",E893*IF(COUNTIF(Типы,C893)=0,0,VLOOKUP(C893,СПРАВОЧНИКИ!$A$7:$E$22,4,FALSE)),0))</f>
        <v/>
      </c>
      <c r="T893" s="26" t="str">
        <f>IF(A893="","",IF(L893="Проведён",E893*IF(COUNTIF(Типы,C893)=0,0,VLOOKUP(C893,СПРАВОЧНИКИ!$A$7:$E$22,5,FALSE)),0))</f>
        <v/>
      </c>
      <c r="U893" s="5" t="str">
        <f>IF(A893="","",IF(COUNTIF(Контрагенты,H893)=0,"Не задан",VLOOKUP(H893,СПРАВОЧНИКИ!$G$7:$H$66,2,FALSE)))</f>
        <v/>
      </c>
      <c r="V893" s="4" t="str">
        <f>IF(A893="",IF(COUNTA(B893:O893)&gt;0,"НЕТ ID",""),IF(OR(AND(OR(C893="Оплата клиента",C893="Возврат клиенту"),COUNTIFS(Docs[ID],J893,Docs[Тип долга],"ДЗ")&lt;&gt;1),AND(OR(C893="Оплата поставщику",C893="Возврат поставщика"),COUNTIFS(Docs[ID],J893,Docs[Тип долга],"КЗ",Docs[Вид],"&lt;&gt;Дивиденды")&lt;&gt;1),AND(C893="Дивиденды",COUNTIFS(Docs[ID],J893,Docs[Вид],"Дивиденды")&lt;&gt;1),AND(C893="Проценты",COUNTIFS(Docs[ID],J893,Docs[Вид],"Проценты")&lt;&gt;1),COUNTIF(Cash[ID],A893)&gt;1,NOT(ISNUMBER(B893)),B893&lt;НачалоУчета,YEAR(B893)&lt;&gt;Год,NOT(ISNUMBER(E893)),E893&lt;=0,N893&lt;0,COUNTIF(Типы,C893)&lt;&gt;1,COUNTIF(Категории,D893)&lt;&gt;1,COUNTIF(Счета,F893)&lt;&gt;1,COUNTIF(Проекты,I893)&lt;&gt;1,AND(H893&lt;&gt;"",COUNTIF(Контрагенты,H893)&lt;&gt;1),AND(C893="Перевод",OR(F893=G893,COUNTIF(Счета,G893)&lt;&gt;1)),AND(S893&lt;&gt;0,COUNTIF(Docs[ID],J893)&lt;&gt;1),AND(Форма="ООО",C893="Вывод ИП"),AND(Форма="ИП",C893="Дивиденды"),AND(L893&lt;&gt;"Проведён",L893&lt;&gt;"Черновик")),"ОШИБКА","ОК"))</f>
        <v/>
      </c>
      <c r="W893" s="25" t="str">
        <f>IF(A893="","",SUMIF(Accounts[Счёт],F893,Accounts[Начальный])+SUMIFS($Q$7:Q893,$F$7:F893,F893)+SUMIFS($E$7:E893,$G$7:G893,F893,$C$7:C893,"Перевод",$L$7:L893,"Проведён"))</f>
        <v/>
      </c>
    </row>
    <row r="894" spans="1:23" x14ac:dyDescent="0.25">
      <c r="A894" s="22"/>
      <c r="B894" s="23"/>
      <c r="C894" s="22"/>
      <c r="D894" s="22"/>
      <c r="E894" s="27"/>
      <c r="F894" s="22"/>
      <c r="G894" s="22"/>
      <c r="H894" s="22"/>
      <c r="I894" s="22"/>
      <c r="J894" s="22"/>
      <c r="K894" s="22"/>
      <c r="L894" s="22"/>
      <c r="M894" s="22"/>
      <c r="N894" s="27"/>
      <c r="O894" s="22"/>
      <c r="P894" s="5" t="str">
        <f>IF(A894="","",IF(COUNTIF(Типы,C894)=0,0,VLOOKUP(C894,СПРАВОЧНИКИ!$A$7:$E$22,2,FALSE)))</f>
        <v/>
      </c>
      <c r="Q894" s="25" t="str">
        <f t="shared" si="13"/>
        <v/>
      </c>
      <c r="R894" s="5" t="str">
        <f>IF(A894="","",IF(COUNTIF(Типы,C894)=0,"НЕИЗВЕСТНЫЙ ТИП",VLOOKUP(C894,СПРАВОЧНИКИ!$A$7:$E$22,3,FALSE)))</f>
        <v/>
      </c>
      <c r="S894" s="26" t="str">
        <f>IF(A894="","",IF(L894="Проведён",E894*IF(COUNTIF(Типы,C894)=0,0,VLOOKUP(C894,СПРАВОЧНИКИ!$A$7:$E$22,4,FALSE)),0))</f>
        <v/>
      </c>
      <c r="T894" s="26" t="str">
        <f>IF(A894="","",IF(L894="Проведён",E894*IF(COUNTIF(Типы,C894)=0,0,VLOOKUP(C894,СПРАВОЧНИКИ!$A$7:$E$22,5,FALSE)),0))</f>
        <v/>
      </c>
      <c r="U894" s="5" t="str">
        <f>IF(A894="","",IF(COUNTIF(Контрагенты,H894)=0,"Не задан",VLOOKUP(H894,СПРАВОЧНИКИ!$G$7:$H$66,2,FALSE)))</f>
        <v/>
      </c>
      <c r="V894" s="4" t="str">
        <f>IF(A894="",IF(COUNTA(B894:O894)&gt;0,"НЕТ ID",""),IF(OR(AND(OR(C894="Оплата клиента",C894="Возврат клиенту"),COUNTIFS(Docs[ID],J894,Docs[Тип долга],"ДЗ")&lt;&gt;1),AND(OR(C894="Оплата поставщику",C894="Возврат поставщика"),COUNTIFS(Docs[ID],J894,Docs[Тип долга],"КЗ",Docs[Вид],"&lt;&gt;Дивиденды")&lt;&gt;1),AND(C894="Дивиденды",COUNTIFS(Docs[ID],J894,Docs[Вид],"Дивиденды")&lt;&gt;1),AND(C894="Проценты",COUNTIFS(Docs[ID],J894,Docs[Вид],"Проценты")&lt;&gt;1),COUNTIF(Cash[ID],A894)&gt;1,NOT(ISNUMBER(B894)),B894&lt;НачалоУчета,YEAR(B894)&lt;&gt;Год,NOT(ISNUMBER(E894)),E894&lt;=0,N894&lt;0,COUNTIF(Типы,C894)&lt;&gt;1,COUNTIF(Категории,D894)&lt;&gt;1,COUNTIF(Счета,F894)&lt;&gt;1,COUNTIF(Проекты,I894)&lt;&gt;1,AND(H894&lt;&gt;"",COUNTIF(Контрагенты,H894)&lt;&gt;1),AND(C894="Перевод",OR(F894=G894,COUNTIF(Счета,G894)&lt;&gt;1)),AND(S894&lt;&gt;0,COUNTIF(Docs[ID],J894)&lt;&gt;1),AND(Форма="ООО",C894="Вывод ИП"),AND(Форма="ИП",C894="Дивиденды"),AND(L894&lt;&gt;"Проведён",L894&lt;&gt;"Черновик")),"ОШИБКА","ОК"))</f>
        <v/>
      </c>
      <c r="W894" s="25" t="str">
        <f>IF(A894="","",SUMIF(Accounts[Счёт],F894,Accounts[Начальный])+SUMIFS($Q$7:Q894,$F$7:F894,F894)+SUMIFS($E$7:E894,$G$7:G894,F894,$C$7:C894,"Перевод",$L$7:L894,"Проведён"))</f>
        <v/>
      </c>
    </row>
    <row r="895" spans="1:23" x14ac:dyDescent="0.25">
      <c r="A895" s="22"/>
      <c r="B895" s="23"/>
      <c r="C895" s="22"/>
      <c r="D895" s="22"/>
      <c r="E895" s="27"/>
      <c r="F895" s="22"/>
      <c r="G895" s="22"/>
      <c r="H895" s="22"/>
      <c r="I895" s="22"/>
      <c r="J895" s="22"/>
      <c r="K895" s="22"/>
      <c r="L895" s="22"/>
      <c r="M895" s="22"/>
      <c r="N895" s="27"/>
      <c r="O895" s="22"/>
      <c r="P895" s="5" t="str">
        <f>IF(A895="","",IF(COUNTIF(Типы,C895)=0,0,VLOOKUP(C895,СПРАВОЧНИКИ!$A$7:$E$22,2,FALSE)))</f>
        <v/>
      </c>
      <c r="Q895" s="25" t="str">
        <f t="shared" si="13"/>
        <v/>
      </c>
      <c r="R895" s="5" t="str">
        <f>IF(A895="","",IF(COUNTIF(Типы,C895)=0,"НЕИЗВЕСТНЫЙ ТИП",VLOOKUP(C895,СПРАВОЧНИКИ!$A$7:$E$22,3,FALSE)))</f>
        <v/>
      </c>
      <c r="S895" s="26" t="str">
        <f>IF(A895="","",IF(L895="Проведён",E895*IF(COUNTIF(Типы,C895)=0,0,VLOOKUP(C895,СПРАВОЧНИКИ!$A$7:$E$22,4,FALSE)),0))</f>
        <v/>
      </c>
      <c r="T895" s="26" t="str">
        <f>IF(A895="","",IF(L895="Проведён",E895*IF(COUNTIF(Типы,C895)=0,0,VLOOKUP(C895,СПРАВОЧНИКИ!$A$7:$E$22,5,FALSE)),0))</f>
        <v/>
      </c>
      <c r="U895" s="5" t="str">
        <f>IF(A895="","",IF(COUNTIF(Контрагенты,H895)=0,"Не задан",VLOOKUP(H895,СПРАВОЧНИКИ!$G$7:$H$66,2,FALSE)))</f>
        <v/>
      </c>
      <c r="V895" s="4" t="str">
        <f>IF(A895="",IF(COUNTA(B895:O895)&gt;0,"НЕТ ID",""),IF(OR(AND(OR(C895="Оплата клиента",C895="Возврат клиенту"),COUNTIFS(Docs[ID],J895,Docs[Тип долга],"ДЗ")&lt;&gt;1),AND(OR(C895="Оплата поставщику",C895="Возврат поставщика"),COUNTIFS(Docs[ID],J895,Docs[Тип долга],"КЗ",Docs[Вид],"&lt;&gt;Дивиденды")&lt;&gt;1),AND(C895="Дивиденды",COUNTIFS(Docs[ID],J895,Docs[Вид],"Дивиденды")&lt;&gt;1),AND(C895="Проценты",COUNTIFS(Docs[ID],J895,Docs[Вид],"Проценты")&lt;&gt;1),COUNTIF(Cash[ID],A895)&gt;1,NOT(ISNUMBER(B895)),B895&lt;НачалоУчета,YEAR(B895)&lt;&gt;Год,NOT(ISNUMBER(E895)),E895&lt;=0,N895&lt;0,COUNTIF(Типы,C895)&lt;&gt;1,COUNTIF(Категории,D895)&lt;&gt;1,COUNTIF(Счета,F895)&lt;&gt;1,COUNTIF(Проекты,I895)&lt;&gt;1,AND(H895&lt;&gt;"",COUNTIF(Контрагенты,H895)&lt;&gt;1),AND(C895="Перевод",OR(F895=G895,COUNTIF(Счета,G895)&lt;&gt;1)),AND(S895&lt;&gt;0,COUNTIF(Docs[ID],J895)&lt;&gt;1),AND(Форма="ООО",C895="Вывод ИП"),AND(Форма="ИП",C895="Дивиденды"),AND(L895&lt;&gt;"Проведён",L895&lt;&gt;"Черновик")),"ОШИБКА","ОК"))</f>
        <v/>
      </c>
      <c r="W895" s="25" t="str">
        <f>IF(A895="","",SUMIF(Accounts[Счёт],F895,Accounts[Начальный])+SUMIFS($Q$7:Q895,$F$7:F895,F895)+SUMIFS($E$7:E895,$G$7:G895,F895,$C$7:C895,"Перевод",$L$7:L895,"Проведён"))</f>
        <v/>
      </c>
    </row>
    <row r="896" spans="1:23" x14ac:dyDescent="0.25">
      <c r="A896" s="22"/>
      <c r="B896" s="23"/>
      <c r="C896" s="22"/>
      <c r="D896" s="22"/>
      <c r="E896" s="27"/>
      <c r="F896" s="22"/>
      <c r="G896" s="22"/>
      <c r="H896" s="22"/>
      <c r="I896" s="22"/>
      <c r="J896" s="22"/>
      <c r="K896" s="22"/>
      <c r="L896" s="22"/>
      <c r="M896" s="22"/>
      <c r="N896" s="27"/>
      <c r="O896" s="22"/>
      <c r="P896" s="5" t="str">
        <f>IF(A896="","",IF(COUNTIF(Типы,C896)=0,0,VLOOKUP(C896,СПРАВОЧНИКИ!$A$7:$E$22,2,FALSE)))</f>
        <v/>
      </c>
      <c r="Q896" s="25" t="str">
        <f t="shared" si="13"/>
        <v/>
      </c>
      <c r="R896" s="5" t="str">
        <f>IF(A896="","",IF(COUNTIF(Типы,C896)=0,"НЕИЗВЕСТНЫЙ ТИП",VLOOKUP(C896,СПРАВОЧНИКИ!$A$7:$E$22,3,FALSE)))</f>
        <v/>
      </c>
      <c r="S896" s="26" t="str">
        <f>IF(A896="","",IF(L896="Проведён",E896*IF(COUNTIF(Типы,C896)=0,0,VLOOKUP(C896,СПРАВОЧНИКИ!$A$7:$E$22,4,FALSE)),0))</f>
        <v/>
      </c>
      <c r="T896" s="26" t="str">
        <f>IF(A896="","",IF(L896="Проведён",E896*IF(COUNTIF(Типы,C896)=0,0,VLOOKUP(C896,СПРАВОЧНИКИ!$A$7:$E$22,5,FALSE)),0))</f>
        <v/>
      </c>
      <c r="U896" s="5" t="str">
        <f>IF(A896="","",IF(COUNTIF(Контрагенты,H896)=0,"Не задан",VLOOKUP(H896,СПРАВОЧНИКИ!$G$7:$H$66,2,FALSE)))</f>
        <v/>
      </c>
      <c r="V896" s="4" t="str">
        <f>IF(A896="",IF(COUNTA(B896:O896)&gt;0,"НЕТ ID",""),IF(OR(AND(OR(C896="Оплата клиента",C896="Возврат клиенту"),COUNTIFS(Docs[ID],J896,Docs[Тип долга],"ДЗ")&lt;&gt;1),AND(OR(C896="Оплата поставщику",C896="Возврат поставщика"),COUNTIFS(Docs[ID],J896,Docs[Тип долга],"КЗ",Docs[Вид],"&lt;&gt;Дивиденды")&lt;&gt;1),AND(C896="Дивиденды",COUNTIFS(Docs[ID],J896,Docs[Вид],"Дивиденды")&lt;&gt;1),AND(C896="Проценты",COUNTIFS(Docs[ID],J896,Docs[Вид],"Проценты")&lt;&gt;1),COUNTIF(Cash[ID],A896)&gt;1,NOT(ISNUMBER(B896)),B896&lt;НачалоУчета,YEAR(B896)&lt;&gt;Год,NOT(ISNUMBER(E896)),E896&lt;=0,N896&lt;0,COUNTIF(Типы,C896)&lt;&gt;1,COUNTIF(Категории,D896)&lt;&gt;1,COUNTIF(Счета,F896)&lt;&gt;1,COUNTIF(Проекты,I896)&lt;&gt;1,AND(H896&lt;&gt;"",COUNTIF(Контрагенты,H896)&lt;&gt;1),AND(C896="Перевод",OR(F896=G896,COUNTIF(Счета,G896)&lt;&gt;1)),AND(S896&lt;&gt;0,COUNTIF(Docs[ID],J896)&lt;&gt;1),AND(Форма="ООО",C896="Вывод ИП"),AND(Форма="ИП",C896="Дивиденды"),AND(L896&lt;&gt;"Проведён",L896&lt;&gt;"Черновик")),"ОШИБКА","ОК"))</f>
        <v/>
      </c>
      <c r="W896" s="25" t="str">
        <f>IF(A896="","",SUMIF(Accounts[Счёт],F896,Accounts[Начальный])+SUMIFS($Q$7:Q896,$F$7:F896,F896)+SUMIFS($E$7:E896,$G$7:G896,F896,$C$7:C896,"Перевод",$L$7:L896,"Проведён"))</f>
        <v/>
      </c>
    </row>
    <row r="897" spans="1:23" x14ac:dyDescent="0.25">
      <c r="A897" s="22"/>
      <c r="B897" s="23"/>
      <c r="C897" s="22"/>
      <c r="D897" s="22"/>
      <c r="E897" s="27"/>
      <c r="F897" s="22"/>
      <c r="G897" s="22"/>
      <c r="H897" s="22"/>
      <c r="I897" s="22"/>
      <c r="J897" s="22"/>
      <c r="K897" s="22"/>
      <c r="L897" s="22"/>
      <c r="M897" s="22"/>
      <c r="N897" s="27"/>
      <c r="O897" s="22"/>
      <c r="P897" s="5" t="str">
        <f>IF(A897="","",IF(COUNTIF(Типы,C897)=0,0,VLOOKUP(C897,СПРАВОЧНИКИ!$A$7:$E$22,2,FALSE)))</f>
        <v/>
      </c>
      <c r="Q897" s="25" t="str">
        <f t="shared" si="13"/>
        <v/>
      </c>
      <c r="R897" s="5" t="str">
        <f>IF(A897="","",IF(COUNTIF(Типы,C897)=0,"НЕИЗВЕСТНЫЙ ТИП",VLOOKUP(C897,СПРАВОЧНИКИ!$A$7:$E$22,3,FALSE)))</f>
        <v/>
      </c>
      <c r="S897" s="26" t="str">
        <f>IF(A897="","",IF(L897="Проведён",E897*IF(COUNTIF(Типы,C897)=0,0,VLOOKUP(C897,СПРАВОЧНИКИ!$A$7:$E$22,4,FALSE)),0))</f>
        <v/>
      </c>
      <c r="T897" s="26" t="str">
        <f>IF(A897="","",IF(L897="Проведён",E897*IF(COUNTIF(Типы,C897)=0,0,VLOOKUP(C897,СПРАВОЧНИКИ!$A$7:$E$22,5,FALSE)),0))</f>
        <v/>
      </c>
      <c r="U897" s="5" t="str">
        <f>IF(A897="","",IF(COUNTIF(Контрагенты,H897)=0,"Не задан",VLOOKUP(H897,СПРАВОЧНИКИ!$G$7:$H$66,2,FALSE)))</f>
        <v/>
      </c>
      <c r="V897" s="4" t="str">
        <f>IF(A897="",IF(COUNTA(B897:O897)&gt;0,"НЕТ ID",""),IF(OR(AND(OR(C897="Оплата клиента",C897="Возврат клиенту"),COUNTIFS(Docs[ID],J897,Docs[Тип долга],"ДЗ")&lt;&gt;1),AND(OR(C897="Оплата поставщику",C897="Возврат поставщика"),COUNTIFS(Docs[ID],J897,Docs[Тип долга],"КЗ",Docs[Вид],"&lt;&gt;Дивиденды")&lt;&gt;1),AND(C897="Дивиденды",COUNTIFS(Docs[ID],J897,Docs[Вид],"Дивиденды")&lt;&gt;1),AND(C897="Проценты",COUNTIFS(Docs[ID],J897,Docs[Вид],"Проценты")&lt;&gt;1),COUNTIF(Cash[ID],A897)&gt;1,NOT(ISNUMBER(B897)),B897&lt;НачалоУчета,YEAR(B897)&lt;&gt;Год,NOT(ISNUMBER(E897)),E897&lt;=0,N897&lt;0,COUNTIF(Типы,C897)&lt;&gt;1,COUNTIF(Категории,D897)&lt;&gt;1,COUNTIF(Счета,F897)&lt;&gt;1,COUNTIF(Проекты,I897)&lt;&gt;1,AND(H897&lt;&gt;"",COUNTIF(Контрагенты,H897)&lt;&gt;1),AND(C897="Перевод",OR(F897=G897,COUNTIF(Счета,G897)&lt;&gt;1)),AND(S897&lt;&gt;0,COUNTIF(Docs[ID],J897)&lt;&gt;1),AND(Форма="ООО",C897="Вывод ИП"),AND(Форма="ИП",C897="Дивиденды"),AND(L897&lt;&gt;"Проведён",L897&lt;&gt;"Черновик")),"ОШИБКА","ОК"))</f>
        <v/>
      </c>
      <c r="W897" s="25" t="str">
        <f>IF(A897="","",SUMIF(Accounts[Счёт],F897,Accounts[Начальный])+SUMIFS($Q$7:Q897,$F$7:F897,F897)+SUMIFS($E$7:E897,$G$7:G897,F897,$C$7:C897,"Перевод",$L$7:L897,"Проведён"))</f>
        <v/>
      </c>
    </row>
    <row r="898" spans="1:23" x14ac:dyDescent="0.25">
      <c r="A898" s="22"/>
      <c r="B898" s="23"/>
      <c r="C898" s="22"/>
      <c r="D898" s="22"/>
      <c r="E898" s="27"/>
      <c r="F898" s="22"/>
      <c r="G898" s="22"/>
      <c r="H898" s="22"/>
      <c r="I898" s="22"/>
      <c r="J898" s="22"/>
      <c r="K898" s="22"/>
      <c r="L898" s="22"/>
      <c r="M898" s="22"/>
      <c r="N898" s="27"/>
      <c r="O898" s="22"/>
      <c r="P898" s="5" t="str">
        <f>IF(A898="","",IF(COUNTIF(Типы,C898)=0,0,VLOOKUP(C898,СПРАВОЧНИКИ!$A$7:$E$22,2,FALSE)))</f>
        <v/>
      </c>
      <c r="Q898" s="25" t="str">
        <f t="shared" si="13"/>
        <v/>
      </c>
      <c r="R898" s="5" t="str">
        <f>IF(A898="","",IF(COUNTIF(Типы,C898)=0,"НЕИЗВЕСТНЫЙ ТИП",VLOOKUP(C898,СПРАВОЧНИКИ!$A$7:$E$22,3,FALSE)))</f>
        <v/>
      </c>
      <c r="S898" s="26" t="str">
        <f>IF(A898="","",IF(L898="Проведён",E898*IF(COUNTIF(Типы,C898)=0,0,VLOOKUP(C898,СПРАВОЧНИКИ!$A$7:$E$22,4,FALSE)),0))</f>
        <v/>
      </c>
      <c r="T898" s="26" t="str">
        <f>IF(A898="","",IF(L898="Проведён",E898*IF(COUNTIF(Типы,C898)=0,0,VLOOKUP(C898,СПРАВОЧНИКИ!$A$7:$E$22,5,FALSE)),0))</f>
        <v/>
      </c>
      <c r="U898" s="5" t="str">
        <f>IF(A898="","",IF(COUNTIF(Контрагенты,H898)=0,"Не задан",VLOOKUP(H898,СПРАВОЧНИКИ!$G$7:$H$66,2,FALSE)))</f>
        <v/>
      </c>
      <c r="V898" s="4" t="str">
        <f>IF(A898="",IF(COUNTA(B898:O898)&gt;0,"НЕТ ID",""),IF(OR(AND(OR(C898="Оплата клиента",C898="Возврат клиенту"),COUNTIFS(Docs[ID],J898,Docs[Тип долга],"ДЗ")&lt;&gt;1),AND(OR(C898="Оплата поставщику",C898="Возврат поставщика"),COUNTIFS(Docs[ID],J898,Docs[Тип долга],"КЗ",Docs[Вид],"&lt;&gt;Дивиденды")&lt;&gt;1),AND(C898="Дивиденды",COUNTIFS(Docs[ID],J898,Docs[Вид],"Дивиденды")&lt;&gt;1),AND(C898="Проценты",COUNTIFS(Docs[ID],J898,Docs[Вид],"Проценты")&lt;&gt;1),COUNTIF(Cash[ID],A898)&gt;1,NOT(ISNUMBER(B898)),B898&lt;НачалоУчета,YEAR(B898)&lt;&gt;Год,NOT(ISNUMBER(E898)),E898&lt;=0,N898&lt;0,COUNTIF(Типы,C898)&lt;&gt;1,COUNTIF(Категории,D898)&lt;&gt;1,COUNTIF(Счета,F898)&lt;&gt;1,COUNTIF(Проекты,I898)&lt;&gt;1,AND(H898&lt;&gt;"",COUNTIF(Контрагенты,H898)&lt;&gt;1),AND(C898="Перевод",OR(F898=G898,COUNTIF(Счета,G898)&lt;&gt;1)),AND(S898&lt;&gt;0,COUNTIF(Docs[ID],J898)&lt;&gt;1),AND(Форма="ООО",C898="Вывод ИП"),AND(Форма="ИП",C898="Дивиденды"),AND(L898&lt;&gt;"Проведён",L898&lt;&gt;"Черновик")),"ОШИБКА","ОК"))</f>
        <v/>
      </c>
      <c r="W898" s="25" t="str">
        <f>IF(A898="","",SUMIF(Accounts[Счёт],F898,Accounts[Начальный])+SUMIFS($Q$7:Q898,$F$7:F898,F898)+SUMIFS($E$7:E898,$G$7:G898,F898,$C$7:C898,"Перевод",$L$7:L898,"Проведён"))</f>
        <v/>
      </c>
    </row>
    <row r="899" spans="1:23" x14ac:dyDescent="0.25">
      <c r="A899" s="22"/>
      <c r="B899" s="23"/>
      <c r="C899" s="22"/>
      <c r="D899" s="22"/>
      <c r="E899" s="27"/>
      <c r="F899" s="22"/>
      <c r="G899" s="22"/>
      <c r="H899" s="22"/>
      <c r="I899" s="22"/>
      <c r="J899" s="22"/>
      <c r="K899" s="22"/>
      <c r="L899" s="22"/>
      <c r="M899" s="22"/>
      <c r="N899" s="27"/>
      <c r="O899" s="22"/>
      <c r="P899" s="5" t="str">
        <f>IF(A899="","",IF(COUNTIF(Типы,C899)=0,0,VLOOKUP(C899,СПРАВОЧНИКИ!$A$7:$E$22,2,FALSE)))</f>
        <v/>
      </c>
      <c r="Q899" s="25" t="str">
        <f t="shared" si="13"/>
        <v/>
      </c>
      <c r="R899" s="5" t="str">
        <f>IF(A899="","",IF(COUNTIF(Типы,C899)=0,"НЕИЗВЕСТНЫЙ ТИП",VLOOKUP(C899,СПРАВОЧНИКИ!$A$7:$E$22,3,FALSE)))</f>
        <v/>
      </c>
      <c r="S899" s="26" t="str">
        <f>IF(A899="","",IF(L899="Проведён",E899*IF(COUNTIF(Типы,C899)=0,0,VLOOKUP(C899,СПРАВОЧНИКИ!$A$7:$E$22,4,FALSE)),0))</f>
        <v/>
      </c>
      <c r="T899" s="26" t="str">
        <f>IF(A899="","",IF(L899="Проведён",E899*IF(COUNTIF(Типы,C899)=0,0,VLOOKUP(C899,СПРАВОЧНИКИ!$A$7:$E$22,5,FALSE)),0))</f>
        <v/>
      </c>
      <c r="U899" s="5" t="str">
        <f>IF(A899="","",IF(COUNTIF(Контрагенты,H899)=0,"Не задан",VLOOKUP(H899,СПРАВОЧНИКИ!$G$7:$H$66,2,FALSE)))</f>
        <v/>
      </c>
      <c r="V899" s="4" t="str">
        <f>IF(A899="",IF(COUNTA(B899:O899)&gt;0,"НЕТ ID",""),IF(OR(AND(OR(C899="Оплата клиента",C899="Возврат клиенту"),COUNTIFS(Docs[ID],J899,Docs[Тип долга],"ДЗ")&lt;&gt;1),AND(OR(C899="Оплата поставщику",C899="Возврат поставщика"),COUNTIFS(Docs[ID],J899,Docs[Тип долга],"КЗ",Docs[Вид],"&lt;&gt;Дивиденды")&lt;&gt;1),AND(C899="Дивиденды",COUNTIFS(Docs[ID],J899,Docs[Вид],"Дивиденды")&lt;&gt;1),AND(C899="Проценты",COUNTIFS(Docs[ID],J899,Docs[Вид],"Проценты")&lt;&gt;1),COUNTIF(Cash[ID],A899)&gt;1,NOT(ISNUMBER(B899)),B899&lt;НачалоУчета,YEAR(B899)&lt;&gt;Год,NOT(ISNUMBER(E899)),E899&lt;=0,N899&lt;0,COUNTIF(Типы,C899)&lt;&gt;1,COUNTIF(Категории,D899)&lt;&gt;1,COUNTIF(Счета,F899)&lt;&gt;1,COUNTIF(Проекты,I899)&lt;&gt;1,AND(H899&lt;&gt;"",COUNTIF(Контрагенты,H899)&lt;&gt;1),AND(C899="Перевод",OR(F899=G899,COUNTIF(Счета,G899)&lt;&gt;1)),AND(S899&lt;&gt;0,COUNTIF(Docs[ID],J899)&lt;&gt;1),AND(Форма="ООО",C899="Вывод ИП"),AND(Форма="ИП",C899="Дивиденды"),AND(L899&lt;&gt;"Проведён",L899&lt;&gt;"Черновик")),"ОШИБКА","ОК"))</f>
        <v/>
      </c>
      <c r="W899" s="25" t="str">
        <f>IF(A899="","",SUMIF(Accounts[Счёт],F899,Accounts[Начальный])+SUMIFS($Q$7:Q899,$F$7:F899,F899)+SUMIFS($E$7:E899,$G$7:G899,F899,$C$7:C899,"Перевод",$L$7:L899,"Проведён"))</f>
        <v/>
      </c>
    </row>
    <row r="900" spans="1:23" x14ac:dyDescent="0.25">
      <c r="A900" s="22"/>
      <c r="B900" s="23"/>
      <c r="C900" s="22"/>
      <c r="D900" s="22"/>
      <c r="E900" s="27"/>
      <c r="F900" s="22"/>
      <c r="G900" s="22"/>
      <c r="H900" s="22"/>
      <c r="I900" s="22"/>
      <c r="J900" s="22"/>
      <c r="K900" s="22"/>
      <c r="L900" s="22"/>
      <c r="M900" s="22"/>
      <c r="N900" s="27"/>
      <c r="O900" s="22"/>
      <c r="P900" s="5" t="str">
        <f>IF(A900="","",IF(COUNTIF(Типы,C900)=0,0,VLOOKUP(C900,СПРАВОЧНИКИ!$A$7:$E$22,2,FALSE)))</f>
        <v/>
      </c>
      <c r="Q900" s="25" t="str">
        <f t="shared" si="13"/>
        <v/>
      </c>
      <c r="R900" s="5" t="str">
        <f>IF(A900="","",IF(COUNTIF(Типы,C900)=0,"НЕИЗВЕСТНЫЙ ТИП",VLOOKUP(C900,СПРАВОЧНИКИ!$A$7:$E$22,3,FALSE)))</f>
        <v/>
      </c>
      <c r="S900" s="26" t="str">
        <f>IF(A900="","",IF(L900="Проведён",E900*IF(COUNTIF(Типы,C900)=0,0,VLOOKUP(C900,СПРАВОЧНИКИ!$A$7:$E$22,4,FALSE)),0))</f>
        <v/>
      </c>
      <c r="T900" s="26" t="str">
        <f>IF(A900="","",IF(L900="Проведён",E900*IF(COUNTIF(Типы,C900)=0,0,VLOOKUP(C900,СПРАВОЧНИКИ!$A$7:$E$22,5,FALSE)),0))</f>
        <v/>
      </c>
      <c r="U900" s="5" t="str">
        <f>IF(A900="","",IF(COUNTIF(Контрагенты,H900)=0,"Не задан",VLOOKUP(H900,СПРАВОЧНИКИ!$G$7:$H$66,2,FALSE)))</f>
        <v/>
      </c>
      <c r="V900" s="4" t="str">
        <f>IF(A900="",IF(COUNTA(B900:O900)&gt;0,"НЕТ ID",""),IF(OR(AND(OR(C900="Оплата клиента",C900="Возврат клиенту"),COUNTIFS(Docs[ID],J900,Docs[Тип долга],"ДЗ")&lt;&gt;1),AND(OR(C900="Оплата поставщику",C900="Возврат поставщика"),COUNTIFS(Docs[ID],J900,Docs[Тип долга],"КЗ",Docs[Вид],"&lt;&gt;Дивиденды")&lt;&gt;1),AND(C900="Дивиденды",COUNTIFS(Docs[ID],J900,Docs[Вид],"Дивиденды")&lt;&gt;1),AND(C900="Проценты",COUNTIFS(Docs[ID],J900,Docs[Вид],"Проценты")&lt;&gt;1),COUNTIF(Cash[ID],A900)&gt;1,NOT(ISNUMBER(B900)),B900&lt;НачалоУчета,YEAR(B900)&lt;&gt;Год,NOT(ISNUMBER(E900)),E900&lt;=0,N900&lt;0,COUNTIF(Типы,C900)&lt;&gt;1,COUNTIF(Категории,D900)&lt;&gt;1,COUNTIF(Счета,F900)&lt;&gt;1,COUNTIF(Проекты,I900)&lt;&gt;1,AND(H900&lt;&gt;"",COUNTIF(Контрагенты,H900)&lt;&gt;1),AND(C900="Перевод",OR(F900=G900,COUNTIF(Счета,G900)&lt;&gt;1)),AND(S900&lt;&gt;0,COUNTIF(Docs[ID],J900)&lt;&gt;1),AND(Форма="ООО",C900="Вывод ИП"),AND(Форма="ИП",C900="Дивиденды"),AND(L900&lt;&gt;"Проведён",L900&lt;&gt;"Черновик")),"ОШИБКА","ОК"))</f>
        <v/>
      </c>
      <c r="W900" s="25" t="str">
        <f>IF(A900="","",SUMIF(Accounts[Счёт],F900,Accounts[Начальный])+SUMIFS($Q$7:Q900,$F$7:F900,F900)+SUMIFS($E$7:E900,$G$7:G900,F900,$C$7:C900,"Перевод",$L$7:L900,"Проведён"))</f>
        <v/>
      </c>
    </row>
    <row r="901" spans="1:23" x14ac:dyDescent="0.25">
      <c r="A901" s="22"/>
      <c r="B901" s="23"/>
      <c r="C901" s="22"/>
      <c r="D901" s="22"/>
      <c r="E901" s="27"/>
      <c r="F901" s="22"/>
      <c r="G901" s="22"/>
      <c r="H901" s="22"/>
      <c r="I901" s="22"/>
      <c r="J901" s="22"/>
      <c r="K901" s="22"/>
      <c r="L901" s="22"/>
      <c r="M901" s="22"/>
      <c r="N901" s="27"/>
      <c r="O901" s="22"/>
      <c r="P901" s="5" t="str">
        <f>IF(A901="","",IF(COUNTIF(Типы,C901)=0,0,VLOOKUP(C901,СПРАВОЧНИКИ!$A$7:$E$22,2,FALSE)))</f>
        <v/>
      </c>
      <c r="Q901" s="25" t="str">
        <f t="shared" si="13"/>
        <v/>
      </c>
      <c r="R901" s="5" t="str">
        <f>IF(A901="","",IF(COUNTIF(Типы,C901)=0,"НЕИЗВЕСТНЫЙ ТИП",VLOOKUP(C901,СПРАВОЧНИКИ!$A$7:$E$22,3,FALSE)))</f>
        <v/>
      </c>
      <c r="S901" s="26" t="str">
        <f>IF(A901="","",IF(L901="Проведён",E901*IF(COUNTIF(Типы,C901)=0,0,VLOOKUP(C901,СПРАВОЧНИКИ!$A$7:$E$22,4,FALSE)),0))</f>
        <v/>
      </c>
      <c r="T901" s="26" t="str">
        <f>IF(A901="","",IF(L901="Проведён",E901*IF(COUNTIF(Типы,C901)=0,0,VLOOKUP(C901,СПРАВОЧНИКИ!$A$7:$E$22,5,FALSE)),0))</f>
        <v/>
      </c>
      <c r="U901" s="5" t="str">
        <f>IF(A901="","",IF(COUNTIF(Контрагенты,H901)=0,"Не задан",VLOOKUP(H901,СПРАВОЧНИКИ!$G$7:$H$66,2,FALSE)))</f>
        <v/>
      </c>
      <c r="V901" s="4" t="str">
        <f>IF(A901="",IF(COUNTA(B901:O901)&gt;0,"НЕТ ID",""),IF(OR(AND(OR(C901="Оплата клиента",C901="Возврат клиенту"),COUNTIFS(Docs[ID],J901,Docs[Тип долга],"ДЗ")&lt;&gt;1),AND(OR(C901="Оплата поставщику",C901="Возврат поставщика"),COUNTIFS(Docs[ID],J901,Docs[Тип долга],"КЗ",Docs[Вид],"&lt;&gt;Дивиденды")&lt;&gt;1),AND(C901="Дивиденды",COUNTIFS(Docs[ID],J901,Docs[Вид],"Дивиденды")&lt;&gt;1),AND(C901="Проценты",COUNTIFS(Docs[ID],J901,Docs[Вид],"Проценты")&lt;&gt;1),COUNTIF(Cash[ID],A901)&gt;1,NOT(ISNUMBER(B901)),B901&lt;НачалоУчета,YEAR(B901)&lt;&gt;Год,NOT(ISNUMBER(E901)),E901&lt;=0,N901&lt;0,COUNTIF(Типы,C901)&lt;&gt;1,COUNTIF(Категории,D901)&lt;&gt;1,COUNTIF(Счета,F901)&lt;&gt;1,COUNTIF(Проекты,I901)&lt;&gt;1,AND(H901&lt;&gt;"",COUNTIF(Контрагенты,H901)&lt;&gt;1),AND(C901="Перевод",OR(F901=G901,COUNTIF(Счета,G901)&lt;&gt;1)),AND(S901&lt;&gt;0,COUNTIF(Docs[ID],J901)&lt;&gt;1),AND(Форма="ООО",C901="Вывод ИП"),AND(Форма="ИП",C901="Дивиденды"),AND(L901&lt;&gt;"Проведён",L901&lt;&gt;"Черновик")),"ОШИБКА","ОК"))</f>
        <v/>
      </c>
      <c r="W901" s="25" t="str">
        <f>IF(A901="","",SUMIF(Accounts[Счёт],F901,Accounts[Начальный])+SUMIFS($Q$7:Q901,$F$7:F901,F901)+SUMIFS($E$7:E901,$G$7:G901,F901,$C$7:C901,"Перевод",$L$7:L901,"Проведён"))</f>
        <v/>
      </c>
    </row>
    <row r="902" spans="1:23" x14ac:dyDescent="0.25">
      <c r="A902" s="22"/>
      <c r="B902" s="23"/>
      <c r="C902" s="22"/>
      <c r="D902" s="22"/>
      <c r="E902" s="27"/>
      <c r="F902" s="22"/>
      <c r="G902" s="22"/>
      <c r="H902" s="22"/>
      <c r="I902" s="22"/>
      <c r="J902" s="22"/>
      <c r="K902" s="22"/>
      <c r="L902" s="22"/>
      <c r="M902" s="22"/>
      <c r="N902" s="27"/>
      <c r="O902" s="22"/>
      <c r="P902" s="5" t="str">
        <f>IF(A902="","",IF(COUNTIF(Типы,C902)=0,0,VLOOKUP(C902,СПРАВОЧНИКИ!$A$7:$E$22,2,FALSE)))</f>
        <v/>
      </c>
      <c r="Q902" s="25" t="str">
        <f t="shared" si="13"/>
        <v/>
      </c>
      <c r="R902" s="5" t="str">
        <f>IF(A902="","",IF(COUNTIF(Типы,C902)=0,"НЕИЗВЕСТНЫЙ ТИП",VLOOKUP(C902,СПРАВОЧНИКИ!$A$7:$E$22,3,FALSE)))</f>
        <v/>
      </c>
      <c r="S902" s="26" t="str">
        <f>IF(A902="","",IF(L902="Проведён",E902*IF(COUNTIF(Типы,C902)=0,0,VLOOKUP(C902,СПРАВОЧНИКИ!$A$7:$E$22,4,FALSE)),0))</f>
        <v/>
      </c>
      <c r="T902" s="26" t="str">
        <f>IF(A902="","",IF(L902="Проведён",E902*IF(COUNTIF(Типы,C902)=0,0,VLOOKUP(C902,СПРАВОЧНИКИ!$A$7:$E$22,5,FALSE)),0))</f>
        <v/>
      </c>
      <c r="U902" s="5" t="str">
        <f>IF(A902="","",IF(COUNTIF(Контрагенты,H902)=0,"Не задан",VLOOKUP(H902,СПРАВОЧНИКИ!$G$7:$H$66,2,FALSE)))</f>
        <v/>
      </c>
      <c r="V902" s="4" t="str">
        <f>IF(A902="",IF(COUNTA(B902:O902)&gt;0,"НЕТ ID",""),IF(OR(AND(OR(C902="Оплата клиента",C902="Возврат клиенту"),COUNTIFS(Docs[ID],J902,Docs[Тип долга],"ДЗ")&lt;&gt;1),AND(OR(C902="Оплата поставщику",C902="Возврат поставщика"),COUNTIFS(Docs[ID],J902,Docs[Тип долга],"КЗ",Docs[Вид],"&lt;&gt;Дивиденды")&lt;&gt;1),AND(C902="Дивиденды",COUNTIFS(Docs[ID],J902,Docs[Вид],"Дивиденды")&lt;&gt;1),AND(C902="Проценты",COUNTIFS(Docs[ID],J902,Docs[Вид],"Проценты")&lt;&gt;1),COUNTIF(Cash[ID],A902)&gt;1,NOT(ISNUMBER(B902)),B902&lt;НачалоУчета,YEAR(B902)&lt;&gt;Год,NOT(ISNUMBER(E902)),E902&lt;=0,N902&lt;0,COUNTIF(Типы,C902)&lt;&gt;1,COUNTIF(Категории,D902)&lt;&gt;1,COUNTIF(Счета,F902)&lt;&gt;1,COUNTIF(Проекты,I902)&lt;&gt;1,AND(H902&lt;&gt;"",COUNTIF(Контрагенты,H902)&lt;&gt;1),AND(C902="Перевод",OR(F902=G902,COUNTIF(Счета,G902)&lt;&gt;1)),AND(S902&lt;&gt;0,COUNTIF(Docs[ID],J902)&lt;&gt;1),AND(Форма="ООО",C902="Вывод ИП"),AND(Форма="ИП",C902="Дивиденды"),AND(L902&lt;&gt;"Проведён",L902&lt;&gt;"Черновик")),"ОШИБКА","ОК"))</f>
        <v/>
      </c>
      <c r="W902" s="25" t="str">
        <f>IF(A902="","",SUMIF(Accounts[Счёт],F902,Accounts[Начальный])+SUMIFS($Q$7:Q902,$F$7:F902,F902)+SUMIFS($E$7:E902,$G$7:G902,F902,$C$7:C902,"Перевод",$L$7:L902,"Проведён"))</f>
        <v/>
      </c>
    </row>
    <row r="903" spans="1:23" x14ac:dyDescent="0.25">
      <c r="A903" s="22"/>
      <c r="B903" s="23"/>
      <c r="C903" s="22"/>
      <c r="D903" s="22"/>
      <c r="E903" s="27"/>
      <c r="F903" s="22"/>
      <c r="G903" s="22"/>
      <c r="H903" s="22"/>
      <c r="I903" s="22"/>
      <c r="J903" s="22"/>
      <c r="K903" s="22"/>
      <c r="L903" s="22"/>
      <c r="M903" s="22"/>
      <c r="N903" s="27"/>
      <c r="O903" s="22"/>
      <c r="P903" s="5" t="str">
        <f>IF(A903="","",IF(COUNTIF(Типы,C903)=0,0,VLOOKUP(C903,СПРАВОЧНИКИ!$A$7:$E$22,2,FALSE)))</f>
        <v/>
      </c>
      <c r="Q903" s="25" t="str">
        <f t="shared" ref="Q903:Q966" si="14">IF(A903="","",IF(L903="Проведён",E903*P903,0))</f>
        <v/>
      </c>
      <c r="R903" s="5" t="str">
        <f>IF(A903="","",IF(COUNTIF(Типы,C903)=0,"НЕИЗВЕСТНЫЙ ТИП",VLOOKUP(C903,СПРАВОЧНИКИ!$A$7:$E$22,3,FALSE)))</f>
        <v/>
      </c>
      <c r="S903" s="26" t="str">
        <f>IF(A903="","",IF(L903="Проведён",E903*IF(COUNTIF(Типы,C903)=0,0,VLOOKUP(C903,СПРАВОЧНИКИ!$A$7:$E$22,4,FALSE)),0))</f>
        <v/>
      </c>
      <c r="T903" s="26" t="str">
        <f>IF(A903="","",IF(L903="Проведён",E903*IF(COUNTIF(Типы,C903)=0,0,VLOOKUP(C903,СПРАВОЧНИКИ!$A$7:$E$22,5,FALSE)),0))</f>
        <v/>
      </c>
      <c r="U903" s="5" t="str">
        <f>IF(A903="","",IF(COUNTIF(Контрагенты,H903)=0,"Не задан",VLOOKUP(H903,СПРАВОЧНИКИ!$G$7:$H$66,2,FALSE)))</f>
        <v/>
      </c>
      <c r="V903" s="4" t="str">
        <f>IF(A903="",IF(COUNTA(B903:O903)&gt;0,"НЕТ ID",""),IF(OR(AND(OR(C903="Оплата клиента",C903="Возврат клиенту"),COUNTIFS(Docs[ID],J903,Docs[Тип долга],"ДЗ")&lt;&gt;1),AND(OR(C903="Оплата поставщику",C903="Возврат поставщика"),COUNTIFS(Docs[ID],J903,Docs[Тип долга],"КЗ",Docs[Вид],"&lt;&gt;Дивиденды")&lt;&gt;1),AND(C903="Дивиденды",COUNTIFS(Docs[ID],J903,Docs[Вид],"Дивиденды")&lt;&gt;1),AND(C903="Проценты",COUNTIFS(Docs[ID],J903,Docs[Вид],"Проценты")&lt;&gt;1),COUNTIF(Cash[ID],A903)&gt;1,NOT(ISNUMBER(B903)),B903&lt;НачалоУчета,YEAR(B903)&lt;&gt;Год,NOT(ISNUMBER(E903)),E903&lt;=0,N903&lt;0,COUNTIF(Типы,C903)&lt;&gt;1,COUNTIF(Категории,D903)&lt;&gt;1,COUNTIF(Счета,F903)&lt;&gt;1,COUNTIF(Проекты,I903)&lt;&gt;1,AND(H903&lt;&gt;"",COUNTIF(Контрагенты,H903)&lt;&gt;1),AND(C903="Перевод",OR(F903=G903,COUNTIF(Счета,G903)&lt;&gt;1)),AND(S903&lt;&gt;0,COUNTIF(Docs[ID],J903)&lt;&gt;1),AND(Форма="ООО",C903="Вывод ИП"),AND(Форма="ИП",C903="Дивиденды"),AND(L903&lt;&gt;"Проведён",L903&lt;&gt;"Черновик")),"ОШИБКА","ОК"))</f>
        <v/>
      </c>
      <c r="W903" s="25" t="str">
        <f>IF(A903="","",SUMIF(Accounts[Счёт],F903,Accounts[Начальный])+SUMIFS($Q$7:Q903,$F$7:F903,F903)+SUMIFS($E$7:E903,$G$7:G903,F903,$C$7:C903,"Перевод",$L$7:L903,"Проведён"))</f>
        <v/>
      </c>
    </row>
    <row r="904" spans="1:23" x14ac:dyDescent="0.25">
      <c r="A904" s="22"/>
      <c r="B904" s="23"/>
      <c r="C904" s="22"/>
      <c r="D904" s="22"/>
      <c r="E904" s="27"/>
      <c r="F904" s="22"/>
      <c r="G904" s="22"/>
      <c r="H904" s="22"/>
      <c r="I904" s="22"/>
      <c r="J904" s="22"/>
      <c r="K904" s="22"/>
      <c r="L904" s="22"/>
      <c r="M904" s="22"/>
      <c r="N904" s="27"/>
      <c r="O904" s="22"/>
      <c r="P904" s="5" t="str">
        <f>IF(A904="","",IF(COUNTIF(Типы,C904)=0,0,VLOOKUP(C904,СПРАВОЧНИКИ!$A$7:$E$22,2,FALSE)))</f>
        <v/>
      </c>
      <c r="Q904" s="25" t="str">
        <f t="shared" si="14"/>
        <v/>
      </c>
      <c r="R904" s="5" t="str">
        <f>IF(A904="","",IF(COUNTIF(Типы,C904)=0,"НЕИЗВЕСТНЫЙ ТИП",VLOOKUP(C904,СПРАВОЧНИКИ!$A$7:$E$22,3,FALSE)))</f>
        <v/>
      </c>
      <c r="S904" s="26" t="str">
        <f>IF(A904="","",IF(L904="Проведён",E904*IF(COUNTIF(Типы,C904)=0,0,VLOOKUP(C904,СПРАВОЧНИКИ!$A$7:$E$22,4,FALSE)),0))</f>
        <v/>
      </c>
      <c r="T904" s="26" t="str">
        <f>IF(A904="","",IF(L904="Проведён",E904*IF(COUNTIF(Типы,C904)=0,0,VLOOKUP(C904,СПРАВОЧНИКИ!$A$7:$E$22,5,FALSE)),0))</f>
        <v/>
      </c>
      <c r="U904" s="5" t="str">
        <f>IF(A904="","",IF(COUNTIF(Контрагенты,H904)=0,"Не задан",VLOOKUP(H904,СПРАВОЧНИКИ!$G$7:$H$66,2,FALSE)))</f>
        <v/>
      </c>
      <c r="V904" s="4" t="str">
        <f>IF(A904="",IF(COUNTA(B904:O904)&gt;0,"НЕТ ID",""),IF(OR(AND(OR(C904="Оплата клиента",C904="Возврат клиенту"),COUNTIFS(Docs[ID],J904,Docs[Тип долга],"ДЗ")&lt;&gt;1),AND(OR(C904="Оплата поставщику",C904="Возврат поставщика"),COUNTIFS(Docs[ID],J904,Docs[Тип долга],"КЗ",Docs[Вид],"&lt;&gt;Дивиденды")&lt;&gt;1),AND(C904="Дивиденды",COUNTIFS(Docs[ID],J904,Docs[Вид],"Дивиденды")&lt;&gt;1),AND(C904="Проценты",COUNTIFS(Docs[ID],J904,Docs[Вид],"Проценты")&lt;&gt;1),COUNTIF(Cash[ID],A904)&gt;1,NOT(ISNUMBER(B904)),B904&lt;НачалоУчета,YEAR(B904)&lt;&gt;Год,NOT(ISNUMBER(E904)),E904&lt;=0,N904&lt;0,COUNTIF(Типы,C904)&lt;&gt;1,COUNTIF(Категории,D904)&lt;&gt;1,COUNTIF(Счета,F904)&lt;&gt;1,COUNTIF(Проекты,I904)&lt;&gt;1,AND(H904&lt;&gt;"",COUNTIF(Контрагенты,H904)&lt;&gt;1),AND(C904="Перевод",OR(F904=G904,COUNTIF(Счета,G904)&lt;&gt;1)),AND(S904&lt;&gt;0,COUNTIF(Docs[ID],J904)&lt;&gt;1),AND(Форма="ООО",C904="Вывод ИП"),AND(Форма="ИП",C904="Дивиденды"),AND(L904&lt;&gt;"Проведён",L904&lt;&gt;"Черновик")),"ОШИБКА","ОК"))</f>
        <v/>
      </c>
      <c r="W904" s="25" t="str">
        <f>IF(A904="","",SUMIF(Accounts[Счёт],F904,Accounts[Начальный])+SUMIFS($Q$7:Q904,$F$7:F904,F904)+SUMIFS($E$7:E904,$G$7:G904,F904,$C$7:C904,"Перевод",$L$7:L904,"Проведён"))</f>
        <v/>
      </c>
    </row>
    <row r="905" spans="1:23" x14ac:dyDescent="0.25">
      <c r="A905" s="22"/>
      <c r="B905" s="23"/>
      <c r="C905" s="22"/>
      <c r="D905" s="22"/>
      <c r="E905" s="27"/>
      <c r="F905" s="22"/>
      <c r="G905" s="22"/>
      <c r="H905" s="22"/>
      <c r="I905" s="22"/>
      <c r="J905" s="22"/>
      <c r="K905" s="22"/>
      <c r="L905" s="22"/>
      <c r="M905" s="22"/>
      <c r="N905" s="27"/>
      <c r="O905" s="22"/>
      <c r="P905" s="5" t="str">
        <f>IF(A905="","",IF(COUNTIF(Типы,C905)=0,0,VLOOKUP(C905,СПРАВОЧНИКИ!$A$7:$E$22,2,FALSE)))</f>
        <v/>
      </c>
      <c r="Q905" s="25" t="str">
        <f t="shared" si="14"/>
        <v/>
      </c>
      <c r="R905" s="5" t="str">
        <f>IF(A905="","",IF(COUNTIF(Типы,C905)=0,"НЕИЗВЕСТНЫЙ ТИП",VLOOKUP(C905,СПРАВОЧНИКИ!$A$7:$E$22,3,FALSE)))</f>
        <v/>
      </c>
      <c r="S905" s="26" t="str">
        <f>IF(A905="","",IF(L905="Проведён",E905*IF(COUNTIF(Типы,C905)=0,0,VLOOKUP(C905,СПРАВОЧНИКИ!$A$7:$E$22,4,FALSE)),0))</f>
        <v/>
      </c>
      <c r="T905" s="26" t="str">
        <f>IF(A905="","",IF(L905="Проведён",E905*IF(COUNTIF(Типы,C905)=0,0,VLOOKUP(C905,СПРАВОЧНИКИ!$A$7:$E$22,5,FALSE)),0))</f>
        <v/>
      </c>
      <c r="U905" s="5" t="str">
        <f>IF(A905="","",IF(COUNTIF(Контрагенты,H905)=0,"Не задан",VLOOKUP(H905,СПРАВОЧНИКИ!$G$7:$H$66,2,FALSE)))</f>
        <v/>
      </c>
      <c r="V905" s="4" t="str">
        <f>IF(A905="",IF(COUNTA(B905:O905)&gt;0,"НЕТ ID",""),IF(OR(AND(OR(C905="Оплата клиента",C905="Возврат клиенту"),COUNTIFS(Docs[ID],J905,Docs[Тип долга],"ДЗ")&lt;&gt;1),AND(OR(C905="Оплата поставщику",C905="Возврат поставщика"),COUNTIFS(Docs[ID],J905,Docs[Тип долга],"КЗ",Docs[Вид],"&lt;&gt;Дивиденды")&lt;&gt;1),AND(C905="Дивиденды",COUNTIFS(Docs[ID],J905,Docs[Вид],"Дивиденды")&lt;&gt;1),AND(C905="Проценты",COUNTIFS(Docs[ID],J905,Docs[Вид],"Проценты")&lt;&gt;1),COUNTIF(Cash[ID],A905)&gt;1,NOT(ISNUMBER(B905)),B905&lt;НачалоУчета,YEAR(B905)&lt;&gt;Год,NOT(ISNUMBER(E905)),E905&lt;=0,N905&lt;0,COUNTIF(Типы,C905)&lt;&gt;1,COUNTIF(Категории,D905)&lt;&gt;1,COUNTIF(Счета,F905)&lt;&gt;1,COUNTIF(Проекты,I905)&lt;&gt;1,AND(H905&lt;&gt;"",COUNTIF(Контрагенты,H905)&lt;&gt;1),AND(C905="Перевод",OR(F905=G905,COUNTIF(Счета,G905)&lt;&gt;1)),AND(S905&lt;&gt;0,COUNTIF(Docs[ID],J905)&lt;&gt;1),AND(Форма="ООО",C905="Вывод ИП"),AND(Форма="ИП",C905="Дивиденды"),AND(L905&lt;&gt;"Проведён",L905&lt;&gt;"Черновик")),"ОШИБКА","ОК"))</f>
        <v/>
      </c>
      <c r="W905" s="25" t="str">
        <f>IF(A905="","",SUMIF(Accounts[Счёт],F905,Accounts[Начальный])+SUMIFS($Q$7:Q905,$F$7:F905,F905)+SUMIFS($E$7:E905,$G$7:G905,F905,$C$7:C905,"Перевод",$L$7:L905,"Проведён"))</f>
        <v/>
      </c>
    </row>
    <row r="906" spans="1:23" x14ac:dyDescent="0.25">
      <c r="A906" s="22"/>
      <c r="B906" s="23"/>
      <c r="C906" s="22"/>
      <c r="D906" s="22"/>
      <c r="E906" s="27"/>
      <c r="F906" s="22"/>
      <c r="G906" s="22"/>
      <c r="H906" s="22"/>
      <c r="I906" s="22"/>
      <c r="J906" s="22"/>
      <c r="K906" s="22"/>
      <c r="L906" s="22"/>
      <c r="M906" s="22"/>
      <c r="N906" s="27"/>
      <c r="O906" s="22"/>
      <c r="P906" s="5" t="str">
        <f>IF(A906="","",IF(COUNTIF(Типы,C906)=0,0,VLOOKUP(C906,СПРАВОЧНИКИ!$A$7:$E$22,2,FALSE)))</f>
        <v/>
      </c>
      <c r="Q906" s="25" t="str">
        <f t="shared" si="14"/>
        <v/>
      </c>
      <c r="R906" s="5" t="str">
        <f>IF(A906="","",IF(COUNTIF(Типы,C906)=0,"НЕИЗВЕСТНЫЙ ТИП",VLOOKUP(C906,СПРАВОЧНИКИ!$A$7:$E$22,3,FALSE)))</f>
        <v/>
      </c>
      <c r="S906" s="26" t="str">
        <f>IF(A906="","",IF(L906="Проведён",E906*IF(COUNTIF(Типы,C906)=0,0,VLOOKUP(C906,СПРАВОЧНИКИ!$A$7:$E$22,4,FALSE)),0))</f>
        <v/>
      </c>
      <c r="T906" s="26" t="str">
        <f>IF(A906="","",IF(L906="Проведён",E906*IF(COUNTIF(Типы,C906)=0,0,VLOOKUP(C906,СПРАВОЧНИКИ!$A$7:$E$22,5,FALSE)),0))</f>
        <v/>
      </c>
      <c r="U906" s="5" t="str">
        <f>IF(A906="","",IF(COUNTIF(Контрагенты,H906)=0,"Не задан",VLOOKUP(H906,СПРАВОЧНИКИ!$G$7:$H$66,2,FALSE)))</f>
        <v/>
      </c>
      <c r="V906" s="4" t="str">
        <f>IF(A906="",IF(COUNTA(B906:O906)&gt;0,"НЕТ ID",""),IF(OR(AND(OR(C906="Оплата клиента",C906="Возврат клиенту"),COUNTIFS(Docs[ID],J906,Docs[Тип долга],"ДЗ")&lt;&gt;1),AND(OR(C906="Оплата поставщику",C906="Возврат поставщика"),COUNTIFS(Docs[ID],J906,Docs[Тип долга],"КЗ",Docs[Вид],"&lt;&gt;Дивиденды")&lt;&gt;1),AND(C906="Дивиденды",COUNTIFS(Docs[ID],J906,Docs[Вид],"Дивиденды")&lt;&gt;1),AND(C906="Проценты",COUNTIFS(Docs[ID],J906,Docs[Вид],"Проценты")&lt;&gt;1),COUNTIF(Cash[ID],A906)&gt;1,NOT(ISNUMBER(B906)),B906&lt;НачалоУчета,YEAR(B906)&lt;&gt;Год,NOT(ISNUMBER(E906)),E906&lt;=0,N906&lt;0,COUNTIF(Типы,C906)&lt;&gt;1,COUNTIF(Категории,D906)&lt;&gt;1,COUNTIF(Счета,F906)&lt;&gt;1,COUNTIF(Проекты,I906)&lt;&gt;1,AND(H906&lt;&gt;"",COUNTIF(Контрагенты,H906)&lt;&gt;1),AND(C906="Перевод",OR(F906=G906,COUNTIF(Счета,G906)&lt;&gt;1)),AND(S906&lt;&gt;0,COUNTIF(Docs[ID],J906)&lt;&gt;1),AND(Форма="ООО",C906="Вывод ИП"),AND(Форма="ИП",C906="Дивиденды"),AND(L906&lt;&gt;"Проведён",L906&lt;&gt;"Черновик")),"ОШИБКА","ОК"))</f>
        <v/>
      </c>
      <c r="W906" s="25" t="str">
        <f>IF(A906="","",SUMIF(Accounts[Счёт],F906,Accounts[Начальный])+SUMIFS($Q$7:Q906,$F$7:F906,F906)+SUMIFS($E$7:E906,$G$7:G906,F906,$C$7:C906,"Перевод",$L$7:L906,"Проведён"))</f>
        <v/>
      </c>
    </row>
    <row r="907" spans="1:23" x14ac:dyDescent="0.25">
      <c r="A907" s="22"/>
      <c r="B907" s="23"/>
      <c r="C907" s="22"/>
      <c r="D907" s="22"/>
      <c r="E907" s="27"/>
      <c r="F907" s="22"/>
      <c r="G907" s="22"/>
      <c r="H907" s="22"/>
      <c r="I907" s="22"/>
      <c r="J907" s="22"/>
      <c r="K907" s="22"/>
      <c r="L907" s="22"/>
      <c r="M907" s="22"/>
      <c r="N907" s="27"/>
      <c r="O907" s="22"/>
      <c r="P907" s="5" t="str">
        <f>IF(A907="","",IF(COUNTIF(Типы,C907)=0,0,VLOOKUP(C907,СПРАВОЧНИКИ!$A$7:$E$22,2,FALSE)))</f>
        <v/>
      </c>
      <c r="Q907" s="25" t="str">
        <f t="shared" si="14"/>
        <v/>
      </c>
      <c r="R907" s="5" t="str">
        <f>IF(A907="","",IF(COUNTIF(Типы,C907)=0,"НЕИЗВЕСТНЫЙ ТИП",VLOOKUP(C907,СПРАВОЧНИКИ!$A$7:$E$22,3,FALSE)))</f>
        <v/>
      </c>
      <c r="S907" s="26" t="str">
        <f>IF(A907="","",IF(L907="Проведён",E907*IF(COUNTIF(Типы,C907)=0,0,VLOOKUP(C907,СПРАВОЧНИКИ!$A$7:$E$22,4,FALSE)),0))</f>
        <v/>
      </c>
      <c r="T907" s="26" t="str">
        <f>IF(A907="","",IF(L907="Проведён",E907*IF(COUNTIF(Типы,C907)=0,0,VLOOKUP(C907,СПРАВОЧНИКИ!$A$7:$E$22,5,FALSE)),0))</f>
        <v/>
      </c>
      <c r="U907" s="5" t="str">
        <f>IF(A907="","",IF(COUNTIF(Контрагенты,H907)=0,"Не задан",VLOOKUP(H907,СПРАВОЧНИКИ!$G$7:$H$66,2,FALSE)))</f>
        <v/>
      </c>
      <c r="V907" s="4" t="str">
        <f>IF(A907="",IF(COUNTA(B907:O907)&gt;0,"НЕТ ID",""),IF(OR(AND(OR(C907="Оплата клиента",C907="Возврат клиенту"),COUNTIFS(Docs[ID],J907,Docs[Тип долга],"ДЗ")&lt;&gt;1),AND(OR(C907="Оплата поставщику",C907="Возврат поставщика"),COUNTIFS(Docs[ID],J907,Docs[Тип долга],"КЗ",Docs[Вид],"&lt;&gt;Дивиденды")&lt;&gt;1),AND(C907="Дивиденды",COUNTIFS(Docs[ID],J907,Docs[Вид],"Дивиденды")&lt;&gt;1),AND(C907="Проценты",COUNTIFS(Docs[ID],J907,Docs[Вид],"Проценты")&lt;&gt;1),COUNTIF(Cash[ID],A907)&gt;1,NOT(ISNUMBER(B907)),B907&lt;НачалоУчета,YEAR(B907)&lt;&gt;Год,NOT(ISNUMBER(E907)),E907&lt;=0,N907&lt;0,COUNTIF(Типы,C907)&lt;&gt;1,COUNTIF(Категории,D907)&lt;&gt;1,COUNTIF(Счета,F907)&lt;&gt;1,COUNTIF(Проекты,I907)&lt;&gt;1,AND(H907&lt;&gt;"",COUNTIF(Контрагенты,H907)&lt;&gt;1),AND(C907="Перевод",OR(F907=G907,COUNTIF(Счета,G907)&lt;&gt;1)),AND(S907&lt;&gt;0,COUNTIF(Docs[ID],J907)&lt;&gt;1),AND(Форма="ООО",C907="Вывод ИП"),AND(Форма="ИП",C907="Дивиденды"),AND(L907&lt;&gt;"Проведён",L907&lt;&gt;"Черновик")),"ОШИБКА","ОК"))</f>
        <v/>
      </c>
      <c r="W907" s="25" t="str">
        <f>IF(A907="","",SUMIF(Accounts[Счёт],F907,Accounts[Начальный])+SUMIFS($Q$7:Q907,$F$7:F907,F907)+SUMIFS($E$7:E907,$G$7:G907,F907,$C$7:C907,"Перевод",$L$7:L907,"Проведён"))</f>
        <v/>
      </c>
    </row>
    <row r="908" spans="1:23" x14ac:dyDescent="0.25">
      <c r="A908" s="22"/>
      <c r="B908" s="23"/>
      <c r="C908" s="22"/>
      <c r="D908" s="22"/>
      <c r="E908" s="27"/>
      <c r="F908" s="22"/>
      <c r="G908" s="22"/>
      <c r="H908" s="22"/>
      <c r="I908" s="22"/>
      <c r="J908" s="22"/>
      <c r="K908" s="22"/>
      <c r="L908" s="22"/>
      <c r="M908" s="22"/>
      <c r="N908" s="27"/>
      <c r="O908" s="22"/>
      <c r="P908" s="5" t="str">
        <f>IF(A908="","",IF(COUNTIF(Типы,C908)=0,0,VLOOKUP(C908,СПРАВОЧНИКИ!$A$7:$E$22,2,FALSE)))</f>
        <v/>
      </c>
      <c r="Q908" s="25" t="str">
        <f t="shared" si="14"/>
        <v/>
      </c>
      <c r="R908" s="5" t="str">
        <f>IF(A908="","",IF(COUNTIF(Типы,C908)=0,"НЕИЗВЕСТНЫЙ ТИП",VLOOKUP(C908,СПРАВОЧНИКИ!$A$7:$E$22,3,FALSE)))</f>
        <v/>
      </c>
      <c r="S908" s="26" t="str">
        <f>IF(A908="","",IF(L908="Проведён",E908*IF(COUNTIF(Типы,C908)=0,0,VLOOKUP(C908,СПРАВОЧНИКИ!$A$7:$E$22,4,FALSE)),0))</f>
        <v/>
      </c>
      <c r="T908" s="26" t="str">
        <f>IF(A908="","",IF(L908="Проведён",E908*IF(COUNTIF(Типы,C908)=0,0,VLOOKUP(C908,СПРАВОЧНИКИ!$A$7:$E$22,5,FALSE)),0))</f>
        <v/>
      </c>
      <c r="U908" s="5" t="str">
        <f>IF(A908="","",IF(COUNTIF(Контрагенты,H908)=0,"Не задан",VLOOKUP(H908,СПРАВОЧНИКИ!$G$7:$H$66,2,FALSE)))</f>
        <v/>
      </c>
      <c r="V908" s="4" t="str">
        <f>IF(A908="",IF(COUNTA(B908:O908)&gt;0,"НЕТ ID",""),IF(OR(AND(OR(C908="Оплата клиента",C908="Возврат клиенту"),COUNTIFS(Docs[ID],J908,Docs[Тип долга],"ДЗ")&lt;&gt;1),AND(OR(C908="Оплата поставщику",C908="Возврат поставщика"),COUNTIFS(Docs[ID],J908,Docs[Тип долга],"КЗ",Docs[Вид],"&lt;&gt;Дивиденды")&lt;&gt;1),AND(C908="Дивиденды",COUNTIFS(Docs[ID],J908,Docs[Вид],"Дивиденды")&lt;&gt;1),AND(C908="Проценты",COUNTIFS(Docs[ID],J908,Docs[Вид],"Проценты")&lt;&gt;1),COUNTIF(Cash[ID],A908)&gt;1,NOT(ISNUMBER(B908)),B908&lt;НачалоУчета,YEAR(B908)&lt;&gt;Год,NOT(ISNUMBER(E908)),E908&lt;=0,N908&lt;0,COUNTIF(Типы,C908)&lt;&gt;1,COUNTIF(Категории,D908)&lt;&gt;1,COUNTIF(Счета,F908)&lt;&gt;1,COUNTIF(Проекты,I908)&lt;&gt;1,AND(H908&lt;&gt;"",COUNTIF(Контрагенты,H908)&lt;&gt;1),AND(C908="Перевод",OR(F908=G908,COUNTIF(Счета,G908)&lt;&gt;1)),AND(S908&lt;&gt;0,COUNTIF(Docs[ID],J908)&lt;&gt;1),AND(Форма="ООО",C908="Вывод ИП"),AND(Форма="ИП",C908="Дивиденды"),AND(L908&lt;&gt;"Проведён",L908&lt;&gt;"Черновик")),"ОШИБКА","ОК"))</f>
        <v/>
      </c>
      <c r="W908" s="25" t="str">
        <f>IF(A908="","",SUMIF(Accounts[Счёт],F908,Accounts[Начальный])+SUMIFS($Q$7:Q908,$F$7:F908,F908)+SUMIFS($E$7:E908,$G$7:G908,F908,$C$7:C908,"Перевод",$L$7:L908,"Проведён"))</f>
        <v/>
      </c>
    </row>
    <row r="909" spans="1:23" x14ac:dyDescent="0.25">
      <c r="A909" s="22"/>
      <c r="B909" s="23"/>
      <c r="C909" s="22"/>
      <c r="D909" s="22"/>
      <c r="E909" s="27"/>
      <c r="F909" s="22"/>
      <c r="G909" s="22"/>
      <c r="H909" s="22"/>
      <c r="I909" s="22"/>
      <c r="J909" s="22"/>
      <c r="K909" s="22"/>
      <c r="L909" s="22"/>
      <c r="M909" s="22"/>
      <c r="N909" s="27"/>
      <c r="O909" s="22"/>
      <c r="P909" s="5" t="str">
        <f>IF(A909="","",IF(COUNTIF(Типы,C909)=0,0,VLOOKUP(C909,СПРАВОЧНИКИ!$A$7:$E$22,2,FALSE)))</f>
        <v/>
      </c>
      <c r="Q909" s="25" t="str">
        <f t="shared" si="14"/>
        <v/>
      </c>
      <c r="R909" s="5" t="str">
        <f>IF(A909="","",IF(COUNTIF(Типы,C909)=0,"НЕИЗВЕСТНЫЙ ТИП",VLOOKUP(C909,СПРАВОЧНИКИ!$A$7:$E$22,3,FALSE)))</f>
        <v/>
      </c>
      <c r="S909" s="26" t="str">
        <f>IF(A909="","",IF(L909="Проведён",E909*IF(COUNTIF(Типы,C909)=0,0,VLOOKUP(C909,СПРАВОЧНИКИ!$A$7:$E$22,4,FALSE)),0))</f>
        <v/>
      </c>
      <c r="T909" s="26" t="str">
        <f>IF(A909="","",IF(L909="Проведён",E909*IF(COUNTIF(Типы,C909)=0,0,VLOOKUP(C909,СПРАВОЧНИКИ!$A$7:$E$22,5,FALSE)),0))</f>
        <v/>
      </c>
      <c r="U909" s="5" t="str">
        <f>IF(A909="","",IF(COUNTIF(Контрагенты,H909)=0,"Не задан",VLOOKUP(H909,СПРАВОЧНИКИ!$G$7:$H$66,2,FALSE)))</f>
        <v/>
      </c>
      <c r="V909" s="4" t="str">
        <f>IF(A909="",IF(COUNTA(B909:O909)&gt;0,"НЕТ ID",""),IF(OR(AND(OR(C909="Оплата клиента",C909="Возврат клиенту"),COUNTIFS(Docs[ID],J909,Docs[Тип долга],"ДЗ")&lt;&gt;1),AND(OR(C909="Оплата поставщику",C909="Возврат поставщика"),COUNTIFS(Docs[ID],J909,Docs[Тип долга],"КЗ",Docs[Вид],"&lt;&gt;Дивиденды")&lt;&gt;1),AND(C909="Дивиденды",COUNTIFS(Docs[ID],J909,Docs[Вид],"Дивиденды")&lt;&gt;1),AND(C909="Проценты",COUNTIFS(Docs[ID],J909,Docs[Вид],"Проценты")&lt;&gt;1),COUNTIF(Cash[ID],A909)&gt;1,NOT(ISNUMBER(B909)),B909&lt;НачалоУчета,YEAR(B909)&lt;&gt;Год,NOT(ISNUMBER(E909)),E909&lt;=0,N909&lt;0,COUNTIF(Типы,C909)&lt;&gt;1,COUNTIF(Категории,D909)&lt;&gt;1,COUNTIF(Счета,F909)&lt;&gt;1,COUNTIF(Проекты,I909)&lt;&gt;1,AND(H909&lt;&gt;"",COUNTIF(Контрагенты,H909)&lt;&gt;1),AND(C909="Перевод",OR(F909=G909,COUNTIF(Счета,G909)&lt;&gt;1)),AND(S909&lt;&gt;0,COUNTIF(Docs[ID],J909)&lt;&gt;1),AND(Форма="ООО",C909="Вывод ИП"),AND(Форма="ИП",C909="Дивиденды"),AND(L909&lt;&gt;"Проведён",L909&lt;&gt;"Черновик")),"ОШИБКА","ОК"))</f>
        <v/>
      </c>
      <c r="W909" s="25" t="str">
        <f>IF(A909="","",SUMIF(Accounts[Счёт],F909,Accounts[Начальный])+SUMIFS($Q$7:Q909,$F$7:F909,F909)+SUMIFS($E$7:E909,$G$7:G909,F909,$C$7:C909,"Перевод",$L$7:L909,"Проведён"))</f>
        <v/>
      </c>
    </row>
    <row r="910" spans="1:23" x14ac:dyDescent="0.25">
      <c r="A910" s="22"/>
      <c r="B910" s="23"/>
      <c r="C910" s="22"/>
      <c r="D910" s="22"/>
      <c r="E910" s="27"/>
      <c r="F910" s="22"/>
      <c r="G910" s="22"/>
      <c r="H910" s="22"/>
      <c r="I910" s="22"/>
      <c r="J910" s="22"/>
      <c r="K910" s="22"/>
      <c r="L910" s="22"/>
      <c r="M910" s="22"/>
      <c r="N910" s="27"/>
      <c r="O910" s="22"/>
      <c r="P910" s="5" t="str">
        <f>IF(A910="","",IF(COUNTIF(Типы,C910)=0,0,VLOOKUP(C910,СПРАВОЧНИКИ!$A$7:$E$22,2,FALSE)))</f>
        <v/>
      </c>
      <c r="Q910" s="25" t="str">
        <f t="shared" si="14"/>
        <v/>
      </c>
      <c r="R910" s="5" t="str">
        <f>IF(A910="","",IF(COUNTIF(Типы,C910)=0,"НЕИЗВЕСТНЫЙ ТИП",VLOOKUP(C910,СПРАВОЧНИКИ!$A$7:$E$22,3,FALSE)))</f>
        <v/>
      </c>
      <c r="S910" s="26" t="str">
        <f>IF(A910="","",IF(L910="Проведён",E910*IF(COUNTIF(Типы,C910)=0,0,VLOOKUP(C910,СПРАВОЧНИКИ!$A$7:$E$22,4,FALSE)),0))</f>
        <v/>
      </c>
      <c r="T910" s="26" t="str">
        <f>IF(A910="","",IF(L910="Проведён",E910*IF(COUNTIF(Типы,C910)=0,0,VLOOKUP(C910,СПРАВОЧНИКИ!$A$7:$E$22,5,FALSE)),0))</f>
        <v/>
      </c>
      <c r="U910" s="5" t="str">
        <f>IF(A910="","",IF(COUNTIF(Контрагенты,H910)=0,"Не задан",VLOOKUP(H910,СПРАВОЧНИКИ!$G$7:$H$66,2,FALSE)))</f>
        <v/>
      </c>
      <c r="V910" s="4" t="str">
        <f>IF(A910="",IF(COUNTA(B910:O910)&gt;0,"НЕТ ID",""),IF(OR(AND(OR(C910="Оплата клиента",C910="Возврат клиенту"),COUNTIFS(Docs[ID],J910,Docs[Тип долга],"ДЗ")&lt;&gt;1),AND(OR(C910="Оплата поставщику",C910="Возврат поставщика"),COUNTIFS(Docs[ID],J910,Docs[Тип долга],"КЗ",Docs[Вид],"&lt;&gt;Дивиденды")&lt;&gt;1),AND(C910="Дивиденды",COUNTIFS(Docs[ID],J910,Docs[Вид],"Дивиденды")&lt;&gt;1),AND(C910="Проценты",COUNTIFS(Docs[ID],J910,Docs[Вид],"Проценты")&lt;&gt;1),COUNTIF(Cash[ID],A910)&gt;1,NOT(ISNUMBER(B910)),B910&lt;НачалоУчета,YEAR(B910)&lt;&gt;Год,NOT(ISNUMBER(E910)),E910&lt;=0,N910&lt;0,COUNTIF(Типы,C910)&lt;&gt;1,COUNTIF(Категории,D910)&lt;&gt;1,COUNTIF(Счета,F910)&lt;&gt;1,COUNTIF(Проекты,I910)&lt;&gt;1,AND(H910&lt;&gt;"",COUNTIF(Контрагенты,H910)&lt;&gt;1),AND(C910="Перевод",OR(F910=G910,COUNTIF(Счета,G910)&lt;&gt;1)),AND(S910&lt;&gt;0,COUNTIF(Docs[ID],J910)&lt;&gt;1),AND(Форма="ООО",C910="Вывод ИП"),AND(Форма="ИП",C910="Дивиденды"),AND(L910&lt;&gt;"Проведён",L910&lt;&gt;"Черновик")),"ОШИБКА","ОК"))</f>
        <v/>
      </c>
      <c r="W910" s="25" t="str">
        <f>IF(A910="","",SUMIF(Accounts[Счёт],F910,Accounts[Начальный])+SUMIFS($Q$7:Q910,$F$7:F910,F910)+SUMIFS($E$7:E910,$G$7:G910,F910,$C$7:C910,"Перевод",$L$7:L910,"Проведён"))</f>
        <v/>
      </c>
    </row>
    <row r="911" spans="1:23" x14ac:dyDescent="0.25">
      <c r="A911" s="22"/>
      <c r="B911" s="23"/>
      <c r="C911" s="22"/>
      <c r="D911" s="22"/>
      <c r="E911" s="27"/>
      <c r="F911" s="22"/>
      <c r="G911" s="22"/>
      <c r="H911" s="22"/>
      <c r="I911" s="22"/>
      <c r="J911" s="22"/>
      <c r="K911" s="22"/>
      <c r="L911" s="22"/>
      <c r="M911" s="22"/>
      <c r="N911" s="27"/>
      <c r="O911" s="22"/>
      <c r="P911" s="5" t="str">
        <f>IF(A911="","",IF(COUNTIF(Типы,C911)=0,0,VLOOKUP(C911,СПРАВОЧНИКИ!$A$7:$E$22,2,FALSE)))</f>
        <v/>
      </c>
      <c r="Q911" s="25" t="str">
        <f t="shared" si="14"/>
        <v/>
      </c>
      <c r="R911" s="5" t="str">
        <f>IF(A911="","",IF(COUNTIF(Типы,C911)=0,"НЕИЗВЕСТНЫЙ ТИП",VLOOKUP(C911,СПРАВОЧНИКИ!$A$7:$E$22,3,FALSE)))</f>
        <v/>
      </c>
      <c r="S911" s="26" t="str">
        <f>IF(A911="","",IF(L911="Проведён",E911*IF(COUNTIF(Типы,C911)=0,0,VLOOKUP(C911,СПРАВОЧНИКИ!$A$7:$E$22,4,FALSE)),0))</f>
        <v/>
      </c>
      <c r="T911" s="26" t="str">
        <f>IF(A911="","",IF(L911="Проведён",E911*IF(COUNTIF(Типы,C911)=0,0,VLOOKUP(C911,СПРАВОЧНИКИ!$A$7:$E$22,5,FALSE)),0))</f>
        <v/>
      </c>
      <c r="U911" s="5" t="str">
        <f>IF(A911="","",IF(COUNTIF(Контрагенты,H911)=0,"Не задан",VLOOKUP(H911,СПРАВОЧНИКИ!$G$7:$H$66,2,FALSE)))</f>
        <v/>
      </c>
      <c r="V911" s="4" t="str">
        <f>IF(A911="",IF(COUNTA(B911:O911)&gt;0,"НЕТ ID",""),IF(OR(AND(OR(C911="Оплата клиента",C911="Возврат клиенту"),COUNTIFS(Docs[ID],J911,Docs[Тип долга],"ДЗ")&lt;&gt;1),AND(OR(C911="Оплата поставщику",C911="Возврат поставщика"),COUNTIFS(Docs[ID],J911,Docs[Тип долга],"КЗ",Docs[Вид],"&lt;&gt;Дивиденды")&lt;&gt;1),AND(C911="Дивиденды",COUNTIFS(Docs[ID],J911,Docs[Вид],"Дивиденды")&lt;&gt;1),AND(C911="Проценты",COUNTIFS(Docs[ID],J911,Docs[Вид],"Проценты")&lt;&gt;1),COUNTIF(Cash[ID],A911)&gt;1,NOT(ISNUMBER(B911)),B911&lt;НачалоУчета,YEAR(B911)&lt;&gt;Год,NOT(ISNUMBER(E911)),E911&lt;=0,N911&lt;0,COUNTIF(Типы,C911)&lt;&gt;1,COUNTIF(Категории,D911)&lt;&gt;1,COUNTIF(Счета,F911)&lt;&gt;1,COUNTIF(Проекты,I911)&lt;&gt;1,AND(H911&lt;&gt;"",COUNTIF(Контрагенты,H911)&lt;&gt;1),AND(C911="Перевод",OR(F911=G911,COUNTIF(Счета,G911)&lt;&gt;1)),AND(S911&lt;&gt;0,COUNTIF(Docs[ID],J911)&lt;&gt;1),AND(Форма="ООО",C911="Вывод ИП"),AND(Форма="ИП",C911="Дивиденды"),AND(L911&lt;&gt;"Проведён",L911&lt;&gt;"Черновик")),"ОШИБКА","ОК"))</f>
        <v/>
      </c>
      <c r="W911" s="25" t="str">
        <f>IF(A911="","",SUMIF(Accounts[Счёт],F911,Accounts[Начальный])+SUMIFS($Q$7:Q911,$F$7:F911,F911)+SUMIFS($E$7:E911,$G$7:G911,F911,$C$7:C911,"Перевод",$L$7:L911,"Проведён"))</f>
        <v/>
      </c>
    </row>
    <row r="912" spans="1:23" x14ac:dyDescent="0.25">
      <c r="A912" s="22"/>
      <c r="B912" s="23"/>
      <c r="C912" s="22"/>
      <c r="D912" s="22"/>
      <c r="E912" s="27"/>
      <c r="F912" s="22"/>
      <c r="G912" s="22"/>
      <c r="H912" s="22"/>
      <c r="I912" s="22"/>
      <c r="J912" s="22"/>
      <c r="K912" s="22"/>
      <c r="L912" s="22"/>
      <c r="M912" s="22"/>
      <c r="N912" s="27"/>
      <c r="O912" s="22"/>
      <c r="P912" s="5" t="str">
        <f>IF(A912="","",IF(COUNTIF(Типы,C912)=0,0,VLOOKUP(C912,СПРАВОЧНИКИ!$A$7:$E$22,2,FALSE)))</f>
        <v/>
      </c>
      <c r="Q912" s="25" t="str">
        <f t="shared" si="14"/>
        <v/>
      </c>
      <c r="R912" s="5" t="str">
        <f>IF(A912="","",IF(COUNTIF(Типы,C912)=0,"НЕИЗВЕСТНЫЙ ТИП",VLOOKUP(C912,СПРАВОЧНИКИ!$A$7:$E$22,3,FALSE)))</f>
        <v/>
      </c>
      <c r="S912" s="26" t="str">
        <f>IF(A912="","",IF(L912="Проведён",E912*IF(COUNTIF(Типы,C912)=0,0,VLOOKUP(C912,СПРАВОЧНИКИ!$A$7:$E$22,4,FALSE)),0))</f>
        <v/>
      </c>
      <c r="T912" s="26" t="str">
        <f>IF(A912="","",IF(L912="Проведён",E912*IF(COUNTIF(Типы,C912)=0,0,VLOOKUP(C912,СПРАВОЧНИКИ!$A$7:$E$22,5,FALSE)),0))</f>
        <v/>
      </c>
      <c r="U912" s="5" t="str">
        <f>IF(A912="","",IF(COUNTIF(Контрагенты,H912)=0,"Не задан",VLOOKUP(H912,СПРАВОЧНИКИ!$G$7:$H$66,2,FALSE)))</f>
        <v/>
      </c>
      <c r="V912" s="4" t="str">
        <f>IF(A912="",IF(COUNTA(B912:O912)&gt;0,"НЕТ ID",""),IF(OR(AND(OR(C912="Оплата клиента",C912="Возврат клиенту"),COUNTIFS(Docs[ID],J912,Docs[Тип долга],"ДЗ")&lt;&gt;1),AND(OR(C912="Оплата поставщику",C912="Возврат поставщика"),COUNTIFS(Docs[ID],J912,Docs[Тип долга],"КЗ",Docs[Вид],"&lt;&gt;Дивиденды")&lt;&gt;1),AND(C912="Дивиденды",COUNTIFS(Docs[ID],J912,Docs[Вид],"Дивиденды")&lt;&gt;1),AND(C912="Проценты",COUNTIFS(Docs[ID],J912,Docs[Вид],"Проценты")&lt;&gt;1),COUNTIF(Cash[ID],A912)&gt;1,NOT(ISNUMBER(B912)),B912&lt;НачалоУчета,YEAR(B912)&lt;&gt;Год,NOT(ISNUMBER(E912)),E912&lt;=0,N912&lt;0,COUNTIF(Типы,C912)&lt;&gt;1,COUNTIF(Категории,D912)&lt;&gt;1,COUNTIF(Счета,F912)&lt;&gt;1,COUNTIF(Проекты,I912)&lt;&gt;1,AND(H912&lt;&gt;"",COUNTIF(Контрагенты,H912)&lt;&gt;1),AND(C912="Перевод",OR(F912=G912,COUNTIF(Счета,G912)&lt;&gt;1)),AND(S912&lt;&gt;0,COUNTIF(Docs[ID],J912)&lt;&gt;1),AND(Форма="ООО",C912="Вывод ИП"),AND(Форма="ИП",C912="Дивиденды"),AND(L912&lt;&gt;"Проведён",L912&lt;&gt;"Черновик")),"ОШИБКА","ОК"))</f>
        <v/>
      </c>
      <c r="W912" s="25" t="str">
        <f>IF(A912="","",SUMIF(Accounts[Счёт],F912,Accounts[Начальный])+SUMIFS($Q$7:Q912,$F$7:F912,F912)+SUMIFS($E$7:E912,$G$7:G912,F912,$C$7:C912,"Перевод",$L$7:L912,"Проведён"))</f>
        <v/>
      </c>
    </row>
    <row r="913" spans="1:23" x14ac:dyDescent="0.25">
      <c r="A913" s="22"/>
      <c r="B913" s="23"/>
      <c r="C913" s="22"/>
      <c r="D913" s="22"/>
      <c r="E913" s="27"/>
      <c r="F913" s="22"/>
      <c r="G913" s="22"/>
      <c r="H913" s="22"/>
      <c r="I913" s="22"/>
      <c r="J913" s="22"/>
      <c r="K913" s="22"/>
      <c r="L913" s="22"/>
      <c r="M913" s="22"/>
      <c r="N913" s="27"/>
      <c r="O913" s="22"/>
      <c r="P913" s="5" t="str">
        <f>IF(A913="","",IF(COUNTIF(Типы,C913)=0,0,VLOOKUP(C913,СПРАВОЧНИКИ!$A$7:$E$22,2,FALSE)))</f>
        <v/>
      </c>
      <c r="Q913" s="25" t="str">
        <f t="shared" si="14"/>
        <v/>
      </c>
      <c r="R913" s="5" t="str">
        <f>IF(A913="","",IF(COUNTIF(Типы,C913)=0,"НЕИЗВЕСТНЫЙ ТИП",VLOOKUP(C913,СПРАВОЧНИКИ!$A$7:$E$22,3,FALSE)))</f>
        <v/>
      </c>
      <c r="S913" s="26" t="str">
        <f>IF(A913="","",IF(L913="Проведён",E913*IF(COUNTIF(Типы,C913)=0,0,VLOOKUP(C913,СПРАВОЧНИКИ!$A$7:$E$22,4,FALSE)),0))</f>
        <v/>
      </c>
      <c r="T913" s="26" t="str">
        <f>IF(A913="","",IF(L913="Проведён",E913*IF(COUNTIF(Типы,C913)=0,0,VLOOKUP(C913,СПРАВОЧНИКИ!$A$7:$E$22,5,FALSE)),0))</f>
        <v/>
      </c>
      <c r="U913" s="5" t="str">
        <f>IF(A913="","",IF(COUNTIF(Контрагенты,H913)=0,"Не задан",VLOOKUP(H913,СПРАВОЧНИКИ!$G$7:$H$66,2,FALSE)))</f>
        <v/>
      </c>
      <c r="V913" s="4" t="str">
        <f>IF(A913="",IF(COUNTA(B913:O913)&gt;0,"НЕТ ID",""),IF(OR(AND(OR(C913="Оплата клиента",C913="Возврат клиенту"),COUNTIFS(Docs[ID],J913,Docs[Тип долга],"ДЗ")&lt;&gt;1),AND(OR(C913="Оплата поставщику",C913="Возврат поставщика"),COUNTIFS(Docs[ID],J913,Docs[Тип долга],"КЗ",Docs[Вид],"&lt;&gt;Дивиденды")&lt;&gt;1),AND(C913="Дивиденды",COUNTIFS(Docs[ID],J913,Docs[Вид],"Дивиденды")&lt;&gt;1),AND(C913="Проценты",COUNTIFS(Docs[ID],J913,Docs[Вид],"Проценты")&lt;&gt;1),COUNTIF(Cash[ID],A913)&gt;1,NOT(ISNUMBER(B913)),B913&lt;НачалоУчета,YEAR(B913)&lt;&gt;Год,NOT(ISNUMBER(E913)),E913&lt;=0,N913&lt;0,COUNTIF(Типы,C913)&lt;&gt;1,COUNTIF(Категории,D913)&lt;&gt;1,COUNTIF(Счета,F913)&lt;&gt;1,COUNTIF(Проекты,I913)&lt;&gt;1,AND(H913&lt;&gt;"",COUNTIF(Контрагенты,H913)&lt;&gt;1),AND(C913="Перевод",OR(F913=G913,COUNTIF(Счета,G913)&lt;&gt;1)),AND(S913&lt;&gt;0,COUNTIF(Docs[ID],J913)&lt;&gt;1),AND(Форма="ООО",C913="Вывод ИП"),AND(Форма="ИП",C913="Дивиденды"),AND(L913&lt;&gt;"Проведён",L913&lt;&gt;"Черновик")),"ОШИБКА","ОК"))</f>
        <v/>
      </c>
      <c r="W913" s="25" t="str">
        <f>IF(A913="","",SUMIF(Accounts[Счёт],F913,Accounts[Начальный])+SUMIFS($Q$7:Q913,$F$7:F913,F913)+SUMIFS($E$7:E913,$G$7:G913,F913,$C$7:C913,"Перевод",$L$7:L913,"Проведён"))</f>
        <v/>
      </c>
    </row>
    <row r="914" spans="1:23" x14ac:dyDescent="0.25">
      <c r="A914" s="22"/>
      <c r="B914" s="23"/>
      <c r="C914" s="22"/>
      <c r="D914" s="22"/>
      <c r="E914" s="27"/>
      <c r="F914" s="22"/>
      <c r="G914" s="22"/>
      <c r="H914" s="22"/>
      <c r="I914" s="22"/>
      <c r="J914" s="22"/>
      <c r="K914" s="22"/>
      <c r="L914" s="22"/>
      <c r="M914" s="22"/>
      <c r="N914" s="27"/>
      <c r="O914" s="22"/>
      <c r="P914" s="5" t="str">
        <f>IF(A914="","",IF(COUNTIF(Типы,C914)=0,0,VLOOKUP(C914,СПРАВОЧНИКИ!$A$7:$E$22,2,FALSE)))</f>
        <v/>
      </c>
      <c r="Q914" s="25" t="str">
        <f t="shared" si="14"/>
        <v/>
      </c>
      <c r="R914" s="5" t="str">
        <f>IF(A914="","",IF(COUNTIF(Типы,C914)=0,"НЕИЗВЕСТНЫЙ ТИП",VLOOKUP(C914,СПРАВОЧНИКИ!$A$7:$E$22,3,FALSE)))</f>
        <v/>
      </c>
      <c r="S914" s="26" t="str">
        <f>IF(A914="","",IF(L914="Проведён",E914*IF(COUNTIF(Типы,C914)=0,0,VLOOKUP(C914,СПРАВОЧНИКИ!$A$7:$E$22,4,FALSE)),0))</f>
        <v/>
      </c>
      <c r="T914" s="26" t="str">
        <f>IF(A914="","",IF(L914="Проведён",E914*IF(COUNTIF(Типы,C914)=0,0,VLOOKUP(C914,СПРАВОЧНИКИ!$A$7:$E$22,5,FALSE)),0))</f>
        <v/>
      </c>
      <c r="U914" s="5" t="str">
        <f>IF(A914="","",IF(COUNTIF(Контрагенты,H914)=0,"Не задан",VLOOKUP(H914,СПРАВОЧНИКИ!$G$7:$H$66,2,FALSE)))</f>
        <v/>
      </c>
      <c r="V914" s="4" t="str">
        <f>IF(A914="",IF(COUNTA(B914:O914)&gt;0,"НЕТ ID",""),IF(OR(AND(OR(C914="Оплата клиента",C914="Возврат клиенту"),COUNTIFS(Docs[ID],J914,Docs[Тип долга],"ДЗ")&lt;&gt;1),AND(OR(C914="Оплата поставщику",C914="Возврат поставщика"),COUNTIFS(Docs[ID],J914,Docs[Тип долга],"КЗ",Docs[Вид],"&lt;&gt;Дивиденды")&lt;&gt;1),AND(C914="Дивиденды",COUNTIFS(Docs[ID],J914,Docs[Вид],"Дивиденды")&lt;&gt;1),AND(C914="Проценты",COUNTIFS(Docs[ID],J914,Docs[Вид],"Проценты")&lt;&gt;1),COUNTIF(Cash[ID],A914)&gt;1,NOT(ISNUMBER(B914)),B914&lt;НачалоУчета,YEAR(B914)&lt;&gt;Год,NOT(ISNUMBER(E914)),E914&lt;=0,N914&lt;0,COUNTIF(Типы,C914)&lt;&gt;1,COUNTIF(Категории,D914)&lt;&gt;1,COUNTIF(Счета,F914)&lt;&gt;1,COUNTIF(Проекты,I914)&lt;&gt;1,AND(H914&lt;&gt;"",COUNTIF(Контрагенты,H914)&lt;&gt;1),AND(C914="Перевод",OR(F914=G914,COUNTIF(Счета,G914)&lt;&gt;1)),AND(S914&lt;&gt;0,COUNTIF(Docs[ID],J914)&lt;&gt;1),AND(Форма="ООО",C914="Вывод ИП"),AND(Форма="ИП",C914="Дивиденды"),AND(L914&lt;&gt;"Проведён",L914&lt;&gt;"Черновик")),"ОШИБКА","ОК"))</f>
        <v/>
      </c>
      <c r="W914" s="25" t="str">
        <f>IF(A914="","",SUMIF(Accounts[Счёт],F914,Accounts[Начальный])+SUMIFS($Q$7:Q914,$F$7:F914,F914)+SUMIFS($E$7:E914,$G$7:G914,F914,$C$7:C914,"Перевод",$L$7:L914,"Проведён"))</f>
        <v/>
      </c>
    </row>
    <row r="915" spans="1:23" x14ac:dyDescent="0.25">
      <c r="A915" s="22"/>
      <c r="B915" s="23"/>
      <c r="C915" s="22"/>
      <c r="D915" s="22"/>
      <c r="E915" s="27"/>
      <c r="F915" s="22"/>
      <c r="G915" s="22"/>
      <c r="H915" s="22"/>
      <c r="I915" s="22"/>
      <c r="J915" s="22"/>
      <c r="K915" s="22"/>
      <c r="L915" s="22"/>
      <c r="M915" s="22"/>
      <c r="N915" s="27"/>
      <c r="O915" s="22"/>
      <c r="P915" s="5" t="str">
        <f>IF(A915="","",IF(COUNTIF(Типы,C915)=0,0,VLOOKUP(C915,СПРАВОЧНИКИ!$A$7:$E$22,2,FALSE)))</f>
        <v/>
      </c>
      <c r="Q915" s="25" t="str">
        <f t="shared" si="14"/>
        <v/>
      </c>
      <c r="R915" s="5" t="str">
        <f>IF(A915="","",IF(COUNTIF(Типы,C915)=0,"НЕИЗВЕСТНЫЙ ТИП",VLOOKUP(C915,СПРАВОЧНИКИ!$A$7:$E$22,3,FALSE)))</f>
        <v/>
      </c>
      <c r="S915" s="26" t="str">
        <f>IF(A915="","",IF(L915="Проведён",E915*IF(COUNTIF(Типы,C915)=0,0,VLOOKUP(C915,СПРАВОЧНИКИ!$A$7:$E$22,4,FALSE)),0))</f>
        <v/>
      </c>
      <c r="T915" s="26" t="str">
        <f>IF(A915="","",IF(L915="Проведён",E915*IF(COUNTIF(Типы,C915)=0,0,VLOOKUP(C915,СПРАВОЧНИКИ!$A$7:$E$22,5,FALSE)),0))</f>
        <v/>
      </c>
      <c r="U915" s="5" t="str">
        <f>IF(A915="","",IF(COUNTIF(Контрагенты,H915)=0,"Не задан",VLOOKUP(H915,СПРАВОЧНИКИ!$G$7:$H$66,2,FALSE)))</f>
        <v/>
      </c>
      <c r="V915" s="4" t="str">
        <f>IF(A915="",IF(COUNTA(B915:O915)&gt;0,"НЕТ ID",""),IF(OR(AND(OR(C915="Оплата клиента",C915="Возврат клиенту"),COUNTIFS(Docs[ID],J915,Docs[Тип долга],"ДЗ")&lt;&gt;1),AND(OR(C915="Оплата поставщику",C915="Возврат поставщика"),COUNTIFS(Docs[ID],J915,Docs[Тип долга],"КЗ",Docs[Вид],"&lt;&gt;Дивиденды")&lt;&gt;1),AND(C915="Дивиденды",COUNTIFS(Docs[ID],J915,Docs[Вид],"Дивиденды")&lt;&gt;1),AND(C915="Проценты",COUNTIFS(Docs[ID],J915,Docs[Вид],"Проценты")&lt;&gt;1),COUNTIF(Cash[ID],A915)&gt;1,NOT(ISNUMBER(B915)),B915&lt;НачалоУчета,YEAR(B915)&lt;&gt;Год,NOT(ISNUMBER(E915)),E915&lt;=0,N915&lt;0,COUNTIF(Типы,C915)&lt;&gt;1,COUNTIF(Категории,D915)&lt;&gt;1,COUNTIF(Счета,F915)&lt;&gt;1,COUNTIF(Проекты,I915)&lt;&gt;1,AND(H915&lt;&gt;"",COUNTIF(Контрагенты,H915)&lt;&gt;1),AND(C915="Перевод",OR(F915=G915,COUNTIF(Счета,G915)&lt;&gt;1)),AND(S915&lt;&gt;0,COUNTIF(Docs[ID],J915)&lt;&gt;1),AND(Форма="ООО",C915="Вывод ИП"),AND(Форма="ИП",C915="Дивиденды"),AND(L915&lt;&gt;"Проведён",L915&lt;&gt;"Черновик")),"ОШИБКА","ОК"))</f>
        <v/>
      </c>
      <c r="W915" s="25" t="str">
        <f>IF(A915="","",SUMIF(Accounts[Счёт],F915,Accounts[Начальный])+SUMIFS($Q$7:Q915,$F$7:F915,F915)+SUMIFS($E$7:E915,$G$7:G915,F915,$C$7:C915,"Перевод",$L$7:L915,"Проведён"))</f>
        <v/>
      </c>
    </row>
    <row r="916" spans="1:23" x14ac:dyDescent="0.25">
      <c r="A916" s="22"/>
      <c r="B916" s="23"/>
      <c r="C916" s="22"/>
      <c r="D916" s="22"/>
      <c r="E916" s="27"/>
      <c r="F916" s="22"/>
      <c r="G916" s="22"/>
      <c r="H916" s="22"/>
      <c r="I916" s="22"/>
      <c r="J916" s="22"/>
      <c r="K916" s="22"/>
      <c r="L916" s="22"/>
      <c r="M916" s="22"/>
      <c r="N916" s="27"/>
      <c r="O916" s="22"/>
      <c r="P916" s="5" t="str">
        <f>IF(A916="","",IF(COUNTIF(Типы,C916)=0,0,VLOOKUP(C916,СПРАВОЧНИКИ!$A$7:$E$22,2,FALSE)))</f>
        <v/>
      </c>
      <c r="Q916" s="25" t="str">
        <f t="shared" si="14"/>
        <v/>
      </c>
      <c r="R916" s="5" t="str">
        <f>IF(A916="","",IF(COUNTIF(Типы,C916)=0,"НЕИЗВЕСТНЫЙ ТИП",VLOOKUP(C916,СПРАВОЧНИКИ!$A$7:$E$22,3,FALSE)))</f>
        <v/>
      </c>
      <c r="S916" s="26" t="str">
        <f>IF(A916="","",IF(L916="Проведён",E916*IF(COUNTIF(Типы,C916)=0,0,VLOOKUP(C916,СПРАВОЧНИКИ!$A$7:$E$22,4,FALSE)),0))</f>
        <v/>
      </c>
      <c r="T916" s="26" t="str">
        <f>IF(A916="","",IF(L916="Проведён",E916*IF(COUNTIF(Типы,C916)=0,0,VLOOKUP(C916,СПРАВОЧНИКИ!$A$7:$E$22,5,FALSE)),0))</f>
        <v/>
      </c>
      <c r="U916" s="5" t="str">
        <f>IF(A916="","",IF(COUNTIF(Контрагенты,H916)=0,"Не задан",VLOOKUP(H916,СПРАВОЧНИКИ!$G$7:$H$66,2,FALSE)))</f>
        <v/>
      </c>
      <c r="V916" s="4" t="str">
        <f>IF(A916="",IF(COUNTA(B916:O916)&gt;0,"НЕТ ID",""),IF(OR(AND(OR(C916="Оплата клиента",C916="Возврат клиенту"),COUNTIFS(Docs[ID],J916,Docs[Тип долга],"ДЗ")&lt;&gt;1),AND(OR(C916="Оплата поставщику",C916="Возврат поставщика"),COUNTIFS(Docs[ID],J916,Docs[Тип долга],"КЗ",Docs[Вид],"&lt;&gt;Дивиденды")&lt;&gt;1),AND(C916="Дивиденды",COUNTIFS(Docs[ID],J916,Docs[Вид],"Дивиденды")&lt;&gt;1),AND(C916="Проценты",COUNTIFS(Docs[ID],J916,Docs[Вид],"Проценты")&lt;&gt;1),COUNTIF(Cash[ID],A916)&gt;1,NOT(ISNUMBER(B916)),B916&lt;НачалоУчета,YEAR(B916)&lt;&gt;Год,NOT(ISNUMBER(E916)),E916&lt;=0,N916&lt;0,COUNTIF(Типы,C916)&lt;&gt;1,COUNTIF(Категории,D916)&lt;&gt;1,COUNTIF(Счета,F916)&lt;&gt;1,COUNTIF(Проекты,I916)&lt;&gt;1,AND(H916&lt;&gt;"",COUNTIF(Контрагенты,H916)&lt;&gt;1),AND(C916="Перевод",OR(F916=G916,COUNTIF(Счета,G916)&lt;&gt;1)),AND(S916&lt;&gt;0,COUNTIF(Docs[ID],J916)&lt;&gt;1),AND(Форма="ООО",C916="Вывод ИП"),AND(Форма="ИП",C916="Дивиденды"),AND(L916&lt;&gt;"Проведён",L916&lt;&gt;"Черновик")),"ОШИБКА","ОК"))</f>
        <v/>
      </c>
      <c r="W916" s="25" t="str">
        <f>IF(A916="","",SUMIF(Accounts[Счёт],F916,Accounts[Начальный])+SUMIFS($Q$7:Q916,$F$7:F916,F916)+SUMIFS($E$7:E916,$G$7:G916,F916,$C$7:C916,"Перевод",$L$7:L916,"Проведён"))</f>
        <v/>
      </c>
    </row>
    <row r="917" spans="1:23" x14ac:dyDescent="0.25">
      <c r="A917" s="22"/>
      <c r="B917" s="23"/>
      <c r="C917" s="22"/>
      <c r="D917" s="22"/>
      <c r="E917" s="27"/>
      <c r="F917" s="22"/>
      <c r="G917" s="22"/>
      <c r="H917" s="22"/>
      <c r="I917" s="22"/>
      <c r="J917" s="22"/>
      <c r="K917" s="22"/>
      <c r="L917" s="22"/>
      <c r="M917" s="22"/>
      <c r="N917" s="27"/>
      <c r="O917" s="22"/>
      <c r="P917" s="5" t="str">
        <f>IF(A917="","",IF(COUNTIF(Типы,C917)=0,0,VLOOKUP(C917,СПРАВОЧНИКИ!$A$7:$E$22,2,FALSE)))</f>
        <v/>
      </c>
      <c r="Q917" s="25" t="str">
        <f t="shared" si="14"/>
        <v/>
      </c>
      <c r="R917" s="5" t="str">
        <f>IF(A917="","",IF(COUNTIF(Типы,C917)=0,"НЕИЗВЕСТНЫЙ ТИП",VLOOKUP(C917,СПРАВОЧНИКИ!$A$7:$E$22,3,FALSE)))</f>
        <v/>
      </c>
      <c r="S917" s="26" t="str">
        <f>IF(A917="","",IF(L917="Проведён",E917*IF(COUNTIF(Типы,C917)=0,0,VLOOKUP(C917,СПРАВОЧНИКИ!$A$7:$E$22,4,FALSE)),0))</f>
        <v/>
      </c>
      <c r="T917" s="26" t="str">
        <f>IF(A917="","",IF(L917="Проведён",E917*IF(COUNTIF(Типы,C917)=0,0,VLOOKUP(C917,СПРАВОЧНИКИ!$A$7:$E$22,5,FALSE)),0))</f>
        <v/>
      </c>
      <c r="U917" s="5" t="str">
        <f>IF(A917="","",IF(COUNTIF(Контрагенты,H917)=0,"Не задан",VLOOKUP(H917,СПРАВОЧНИКИ!$G$7:$H$66,2,FALSE)))</f>
        <v/>
      </c>
      <c r="V917" s="4" t="str">
        <f>IF(A917="",IF(COUNTA(B917:O917)&gt;0,"НЕТ ID",""),IF(OR(AND(OR(C917="Оплата клиента",C917="Возврат клиенту"),COUNTIFS(Docs[ID],J917,Docs[Тип долга],"ДЗ")&lt;&gt;1),AND(OR(C917="Оплата поставщику",C917="Возврат поставщика"),COUNTIFS(Docs[ID],J917,Docs[Тип долга],"КЗ",Docs[Вид],"&lt;&gt;Дивиденды")&lt;&gt;1),AND(C917="Дивиденды",COUNTIFS(Docs[ID],J917,Docs[Вид],"Дивиденды")&lt;&gt;1),AND(C917="Проценты",COUNTIFS(Docs[ID],J917,Docs[Вид],"Проценты")&lt;&gt;1),COUNTIF(Cash[ID],A917)&gt;1,NOT(ISNUMBER(B917)),B917&lt;НачалоУчета,YEAR(B917)&lt;&gt;Год,NOT(ISNUMBER(E917)),E917&lt;=0,N917&lt;0,COUNTIF(Типы,C917)&lt;&gt;1,COUNTIF(Категории,D917)&lt;&gt;1,COUNTIF(Счета,F917)&lt;&gt;1,COUNTIF(Проекты,I917)&lt;&gt;1,AND(H917&lt;&gt;"",COUNTIF(Контрагенты,H917)&lt;&gt;1),AND(C917="Перевод",OR(F917=G917,COUNTIF(Счета,G917)&lt;&gt;1)),AND(S917&lt;&gt;0,COUNTIF(Docs[ID],J917)&lt;&gt;1),AND(Форма="ООО",C917="Вывод ИП"),AND(Форма="ИП",C917="Дивиденды"),AND(L917&lt;&gt;"Проведён",L917&lt;&gt;"Черновик")),"ОШИБКА","ОК"))</f>
        <v/>
      </c>
      <c r="W917" s="25" t="str">
        <f>IF(A917="","",SUMIF(Accounts[Счёт],F917,Accounts[Начальный])+SUMIFS($Q$7:Q917,$F$7:F917,F917)+SUMIFS($E$7:E917,$G$7:G917,F917,$C$7:C917,"Перевод",$L$7:L917,"Проведён"))</f>
        <v/>
      </c>
    </row>
    <row r="918" spans="1:23" x14ac:dyDescent="0.25">
      <c r="A918" s="22"/>
      <c r="B918" s="23"/>
      <c r="C918" s="22"/>
      <c r="D918" s="22"/>
      <c r="E918" s="27"/>
      <c r="F918" s="22"/>
      <c r="G918" s="22"/>
      <c r="H918" s="22"/>
      <c r="I918" s="22"/>
      <c r="J918" s="22"/>
      <c r="K918" s="22"/>
      <c r="L918" s="22"/>
      <c r="M918" s="22"/>
      <c r="N918" s="27"/>
      <c r="O918" s="22"/>
      <c r="P918" s="5" t="str">
        <f>IF(A918="","",IF(COUNTIF(Типы,C918)=0,0,VLOOKUP(C918,СПРАВОЧНИКИ!$A$7:$E$22,2,FALSE)))</f>
        <v/>
      </c>
      <c r="Q918" s="25" t="str">
        <f t="shared" si="14"/>
        <v/>
      </c>
      <c r="R918" s="5" t="str">
        <f>IF(A918="","",IF(COUNTIF(Типы,C918)=0,"НЕИЗВЕСТНЫЙ ТИП",VLOOKUP(C918,СПРАВОЧНИКИ!$A$7:$E$22,3,FALSE)))</f>
        <v/>
      </c>
      <c r="S918" s="26" t="str">
        <f>IF(A918="","",IF(L918="Проведён",E918*IF(COUNTIF(Типы,C918)=0,0,VLOOKUP(C918,СПРАВОЧНИКИ!$A$7:$E$22,4,FALSE)),0))</f>
        <v/>
      </c>
      <c r="T918" s="26" t="str">
        <f>IF(A918="","",IF(L918="Проведён",E918*IF(COUNTIF(Типы,C918)=0,0,VLOOKUP(C918,СПРАВОЧНИКИ!$A$7:$E$22,5,FALSE)),0))</f>
        <v/>
      </c>
      <c r="U918" s="5" t="str">
        <f>IF(A918="","",IF(COUNTIF(Контрагенты,H918)=0,"Не задан",VLOOKUP(H918,СПРАВОЧНИКИ!$G$7:$H$66,2,FALSE)))</f>
        <v/>
      </c>
      <c r="V918" s="4" t="str">
        <f>IF(A918="",IF(COUNTA(B918:O918)&gt;0,"НЕТ ID",""),IF(OR(AND(OR(C918="Оплата клиента",C918="Возврат клиенту"),COUNTIFS(Docs[ID],J918,Docs[Тип долга],"ДЗ")&lt;&gt;1),AND(OR(C918="Оплата поставщику",C918="Возврат поставщика"),COUNTIFS(Docs[ID],J918,Docs[Тип долга],"КЗ",Docs[Вид],"&lt;&gt;Дивиденды")&lt;&gt;1),AND(C918="Дивиденды",COUNTIFS(Docs[ID],J918,Docs[Вид],"Дивиденды")&lt;&gt;1),AND(C918="Проценты",COUNTIFS(Docs[ID],J918,Docs[Вид],"Проценты")&lt;&gt;1),COUNTIF(Cash[ID],A918)&gt;1,NOT(ISNUMBER(B918)),B918&lt;НачалоУчета,YEAR(B918)&lt;&gt;Год,NOT(ISNUMBER(E918)),E918&lt;=0,N918&lt;0,COUNTIF(Типы,C918)&lt;&gt;1,COUNTIF(Категории,D918)&lt;&gt;1,COUNTIF(Счета,F918)&lt;&gt;1,COUNTIF(Проекты,I918)&lt;&gt;1,AND(H918&lt;&gt;"",COUNTIF(Контрагенты,H918)&lt;&gt;1),AND(C918="Перевод",OR(F918=G918,COUNTIF(Счета,G918)&lt;&gt;1)),AND(S918&lt;&gt;0,COUNTIF(Docs[ID],J918)&lt;&gt;1),AND(Форма="ООО",C918="Вывод ИП"),AND(Форма="ИП",C918="Дивиденды"),AND(L918&lt;&gt;"Проведён",L918&lt;&gt;"Черновик")),"ОШИБКА","ОК"))</f>
        <v/>
      </c>
      <c r="W918" s="25" t="str">
        <f>IF(A918="","",SUMIF(Accounts[Счёт],F918,Accounts[Начальный])+SUMIFS($Q$7:Q918,$F$7:F918,F918)+SUMIFS($E$7:E918,$G$7:G918,F918,$C$7:C918,"Перевод",$L$7:L918,"Проведён"))</f>
        <v/>
      </c>
    </row>
    <row r="919" spans="1:23" x14ac:dyDescent="0.25">
      <c r="A919" s="22"/>
      <c r="B919" s="23"/>
      <c r="C919" s="22"/>
      <c r="D919" s="22"/>
      <c r="E919" s="27"/>
      <c r="F919" s="22"/>
      <c r="G919" s="22"/>
      <c r="H919" s="22"/>
      <c r="I919" s="22"/>
      <c r="J919" s="22"/>
      <c r="K919" s="22"/>
      <c r="L919" s="22"/>
      <c r="M919" s="22"/>
      <c r="N919" s="27"/>
      <c r="O919" s="22"/>
      <c r="P919" s="5" t="str">
        <f>IF(A919="","",IF(COUNTIF(Типы,C919)=0,0,VLOOKUP(C919,СПРАВОЧНИКИ!$A$7:$E$22,2,FALSE)))</f>
        <v/>
      </c>
      <c r="Q919" s="25" t="str">
        <f t="shared" si="14"/>
        <v/>
      </c>
      <c r="R919" s="5" t="str">
        <f>IF(A919="","",IF(COUNTIF(Типы,C919)=0,"НЕИЗВЕСТНЫЙ ТИП",VLOOKUP(C919,СПРАВОЧНИКИ!$A$7:$E$22,3,FALSE)))</f>
        <v/>
      </c>
      <c r="S919" s="26" t="str">
        <f>IF(A919="","",IF(L919="Проведён",E919*IF(COUNTIF(Типы,C919)=0,0,VLOOKUP(C919,СПРАВОЧНИКИ!$A$7:$E$22,4,FALSE)),0))</f>
        <v/>
      </c>
      <c r="T919" s="26" t="str">
        <f>IF(A919="","",IF(L919="Проведён",E919*IF(COUNTIF(Типы,C919)=0,0,VLOOKUP(C919,СПРАВОЧНИКИ!$A$7:$E$22,5,FALSE)),0))</f>
        <v/>
      </c>
      <c r="U919" s="5" t="str">
        <f>IF(A919="","",IF(COUNTIF(Контрагенты,H919)=0,"Не задан",VLOOKUP(H919,СПРАВОЧНИКИ!$G$7:$H$66,2,FALSE)))</f>
        <v/>
      </c>
      <c r="V919" s="4" t="str">
        <f>IF(A919="",IF(COUNTA(B919:O919)&gt;0,"НЕТ ID",""),IF(OR(AND(OR(C919="Оплата клиента",C919="Возврат клиенту"),COUNTIFS(Docs[ID],J919,Docs[Тип долга],"ДЗ")&lt;&gt;1),AND(OR(C919="Оплата поставщику",C919="Возврат поставщика"),COUNTIFS(Docs[ID],J919,Docs[Тип долга],"КЗ",Docs[Вид],"&lt;&gt;Дивиденды")&lt;&gt;1),AND(C919="Дивиденды",COUNTIFS(Docs[ID],J919,Docs[Вид],"Дивиденды")&lt;&gt;1),AND(C919="Проценты",COUNTIFS(Docs[ID],J919,Docs[Вид],"Проценты")&lt;&gt;1),COUNTIF(Cash[ID],A919)&gt;1,NOT(ISNUMBER(B919)),B919&lt;НачалоУчета,YEAR(B919)&lt;&gt;Год,NOT(ISNUMBER(E919)),E919&lt;=0,N919&lt;0,COUNTIF(Типы,C919)&lt;&gt;1,COUNTIF(Категории,D919)&lt;&gt;1,COUNTIF(Счета,F919)&lt;&gt;1,COUNTIF(Проекты,I919)&lt;&gt;1,AND(H919&lt;&gt;"",COUNTIF(Контрагенты,H919)&lt;&gt;1),AND(C919="Перевод",OR(F919=G919,COUNTIF(Счета,G919)&lt;&gt;1)),AND(S919&lt;&gt;0,COUNTIF(Docs[ID],J919)&lt;&gt;1),AND(Форма="ООО",C919="Вывод ИП"),AND(Форма="ИП",C919="Дивиденды"),AND(L919&lt;&gt;"Проведён",L919&lt;&gt;"Черновик")),"ОШИБКА","ОК"))</f>
        <v/>
      </c>
      <c r="W919" s="25" t="str">
        <f>IF(A919="","",SUMIF(Accounts[Счёт],F919,Accounts[Начальный])+SUMIFS($Q$7:Q919,$F$7:F919,F919)+SUMIFS($E$7:E919,$G$7:G919,F919,$C$7:C919,"Перевод",$L$7:L919,"Проведён"))</f>
        <v/>
      </c>
    </row>
    <row r="920" spans="1:23" x14ac:dyDescent="0.25">
      <c r="A920" s="22"/>
      <c r="B920" s="23"/>
      <c r="C920" s="22"/>
      <c r="D920" s="22"/>
      <c r="E920" s="27"/>
      <c r="F920" s="22"/>
      <c r="G920" s="22"/>
      <c r="H920" s="22"/>
      <c r="I920" s="22"/>
      <c r="J920" s="22"/>
      <c r="K920" s="22"/>
      <c r="L920" s="22"/>
      <c r="M920" s="22"/>
      <c r="N920" s="27"/>
      <c r="O920" s="22"/>
      <c r="P920" s="5" t="str">
        <f>IF(A920="","",IF(COUNTIF(Типы,C920)=0,0,VLOOKUP(C920,СПРАВОЧНИКИ!$A$7:$E$22,2,FALSE)))</f>
        <v/>
      </c>
      <c r="Q920" s="25" t="str">
        <f t="shared" si="14"/>
        <v/>
      </c>
      <c r="R920" s="5" t="str">
        <f>IF(A920="","",IF(COUNTIF(Типы,C920)=0,"НЕИЗВЕСТНЫЙ ТИП",VLOOKUP(C920,СПРАВОЧНИКИ!$A$7:$E$22,3,FALSE)))</f>
        <v/>
      </c>
      <c r="S920" s="26" t="str">
        <f>IF(A920="","",IF(L920="Проведён",E920*IF(COUNTIF(Типы,C920)=0,0,VLOOKUP(C920,СПРАВОЧНИКИ!$A$7:$E$22,4,FALSE)),0))</f>
        <v/>
      </c>
      <c r="T920" s="26" t="str">
        <f>IF(A920="","",IF(L920="Проведён",E920*IF(COUNTIF(Типы,C920)=0,0,VLOOKUP(C920,СПРАВОЧНИКИ!$A$7:$E$22,5,FALSE)),0))</f>
        <v/>
      </c>
      <c r="U920" s="5" t="str">
        <f>IF(A920="","",IF(COUNTIF(Контрагенты,H920)=0,"Не задан",VLOOKUP(H920,СПРАВОЧНИКИ!$G$7:$H$66,2,FALSE)))</f>
        <v/>
      </c>
      <c r="V920" s="4" t="str">
        <f>IF(A920="",IF(COUNTA(B920:O920)&gt;0,"НЕТ ID",""),IF(OR(AND(OR(C920="Оплата клиента",C920="Возврат клиенту"),COUNTIFS(Docs[ID],J920,Docs[Тип долга],"ДЗ")&lt;&gt;1),AND(OR(C920="Оплата поставщику",C920="Возврат поставщика"),COUNTIFS(Docs[ID],J920,Docs[Тип долга],"КЗ",Docs[Вид],"&lt;&gt;Дивиденды")&lt;&gt;1),AND(C920="Дивиденды",COUNTIFS(Docs[ID],J920,Docs[Вид],"Дивиденды")&lt;&gt;1),AND(C920="Проценты",COUNTIFS(Docs[ID],J920,Docs[Вид],"Проценты")&lt;&gt;1),COUNTIF(Cash[ID],A920)&gt;1,NOT(ISNUMBER(B920)),B920&lt;НачалоУчета,YEAR(B920)&lt;&gt;Год,NOT(ISNUMBER(E920)),E920&lt;=0,N920&lt;0,COUNTIF(Типы,C920)&lt;&gt;1,COUNTIF(Категории,D920)&lt;&gt;1,COUNTIF(Счета,F920)&lt;&gt;1,COUNTIF(Проекты,I920)&lt;&gt;1,AND(H920&lt;&gt;"",COUNTIF(Контрагенты,H920)&lt;&gt;1),AND(C920="Перевод",OR(F920=G920,COUNTIF(Счета,G920)&lt;&gt;1)),AND(S920&lt;&gt;0,COUNTIF(Docs[ID],J920)&lt;&gt;1),AND(Форма="ООО",C920="Вывод ИП"),AND(Форма="ИП",C920="Дивиденды"),AND(L920&lt;&gt;"Проведён",L920&lt;&gt;"Черновик")),"ОШИБКА","ОК"))</f>
        <v/>
      </c>
      <c r="W920" s="25" t="str">
        <f>IF(A920="","",SUMIF(Accounts[Счёт],F920,Accounts[Начальный])+SUMIFS($Q$7:Q920,$F$7:F920,F920)+SUMIFS($E$7:E920,$G$7:G920,F920,$C$7:C920,"Перевод",$L$7:L920,"Проведён"))</f>
        <v/>
      </c>
    </row>
    <row r="921" spans="1:23" x14ac:dyDescent="0.25">
      <c r="A921" s="22"/>
      <c r="B921" s="23"/>
      <c r="C921" s="22"/>
      <c r="D921" s="22"/>
      <c r="E921" s="27"/>
      <c r="F921" s="22"/>
      <c r="G921" s="22"/>
      <c r="H921" s="22"/>
      <c r="I921" s="22"/>
      <c r="J921" s="22"/>
      <c r="K921" s="22"/>
      <c r="L921" s="22"/>
      <c r="M921" s="22"/>
      <c r="N921" s="27"/>
      <c r="O921" s="22"/>
      <c r="P921" s="5" t="str">
        <f>IF(A921="","",IF(COUNTIF(Типы,C921)=0,0,VLOOKUP(C921,СПРАВОЧНИКИ!$A$7:$E$22,2,FALSE)))</f>
        <v/>
      </c>
      <c r="Q921" s="25" t="str">
        <f t="shared" si="14"/>
        <v/>
      </c>
      <c r="R921" s="5" t="str">
        <f>IF(A921="","",IF(COUNTIF(Типы,C921)=0,"НЕИЗВЕСТНЫЙ ТИП",VLOOKUP(C921,СПРАВОЧНИКИ!$A$7:$E$22,3,FALSE)))</f>
        <v/>
      </c>
      <c r="S921" s="26" t="str">
        <f>IF(A921="","",IF(L921="Проведён",E921*IF(COUNTIF(Типы,C921)=0,0,VLOOKUP(C921,СПРАВОЧНИКИ!$A$7:$E$22,4,FALSE)),0))</f>
        <v/>
      </c>
      <c r="T921" s="26" t="str">
        <f>IF(A921="","",IF(L921="Проведён",E921*IF(COUNTIF(Типы,C921)=0,0,VLOOKUP(C921,СПРАВОЧНИКИ!$A$7:$E$22,5,FALSE)),0))</f>
        <v/>
      </c>
      <c r="U921" s="5" t="str">
        <f>IF(A921="","",IF(COUNTIF(Контрагенты,H921)=0,"Не задан",VLOOKUP(H921,СПРАВОЧНИКИ!$G$7:$H$66,2,FALSE)))</f>
        <v/>
      </c>
      <c r="V921" s="4" t="str">
        <f>IF(A921="",IF(COUNTA(B921:O921)&gt;0,"НЕТ ID",""),IF(OR(AND(OR(C921="Оплата клиента",C921="Возврат клиенту"),COUNTIFS(Docs[ID],J921,Docs[Тип долга],"ДЗ")&lt;&gt;1),AND(OR(C921="Оплата поставщику",C921="Возврат поставщика"),COUNTIFS(Docs[ID],J921,Docs[Тип долга],"КЗ",Docs[Вид],"&lt;&gt;Дивиденды")&lt;&gt;1),AND(C921="Дивиденды",COUNTIFS(Docs[ID],J921,Docs[Вид],"Дивиденды")&lt;&gt;1),AND(C921="Проценты",COUNTIFS(Docs[ID],J921,Docs[Вид],"Проценты")&lt;&gt;1),COUNTIF(Cash[ID],A921)&gt;1,NOT(ISNUMBER(B921)),B921&lt;НачалоУчета,YEAR(B921)&lt;&gt;Год,NOT(ISNUMBER(E921)),E921&lt;=0,N921&lt;0,COUNTIF(Типы,C921)&lt;&gt;1,COUNTIF(Категории,D921)&lt;&gt;1,COUNTIF(Счета,F921)&lt;&gt;1,COUNTIF(Проекты,I921)&lt;&gt;1,AND(H921&lt;&gt;"",COUNTIF(Контрагенты,H921)&lt;&gt;1),AND(C921="Перевод",OR(F921=G921,COUNTIF(Счета,G921)&lt;&gt;1)),AND(S921&lt;&gt;0,COUNTIF(Docs[ID],J921)&lt;&gt;1),AND(Форма="ООО",C921="Вывод ИП"),AND(Форма="ИП",C921="Дивиденды"),AND(L921&lt;&gt;"Проведён",L921&lt;&gt;"Черновик")),"ОШИБКА","ОК"))</f>
        <v/>
      </c>
      <c r="W921" s="25" t="str">
        <f>IF(A921="","",SUMIF(Accounts[Счёт],F921,Accounts[Начальный])+SUMIFS($Q$7:Q921,$F$7:F921,F921)+SUMIFS($E$7:E921,$G$7:G921,F921,$C$7:C921,"Перевод",$L$7:L921,"Проведён"))</f>
        <v/>
      </c>
    </row>
    <row r="922" spans="1:23" x14ac:dyDescent="0.25">
      <c r="A922" s="22"/>
      <c r="B922" s="23"/>
      <c r="C922" s="22"/>
      <c r="D922" s="22"/>
      <c r="E922" s="27"/>
      <c r="F922" s="22"/>
      <c r="G922" s="22"/>
      <c r="H922" s="22"/>
      <c r="I922" s="22"/>
      <c r="J922" s="22"/>
      <c r="K922" s="22"/>
      <c r="L922" s="22"/>
      <c r="M922" s="22"/>
      <c r="N922" s="27"/>
      <c r="O922" s="22"/>
      <c r="P922" s="5" t="str">
        <f>IF(A922="","",IF(COUNTIF(Типы,C922)=0,0,VLOOKUP(C922,СПРАВОЧНИКИ!$A$7:$E$22,2,FALSE)))</f>
        <v/>
      </c>
      <c r="Q922" s="25" t="str">
        <f t="shared" si="14"/>
        <v/>
      </c>
      <c r="R922" s="5" t="str">
        <f>IF(A922="","",IF(COUNTIF(Типы,C922)=0,"НЕИЗВЕСТНЫЙ ТИП",VLOOKUP(C922,СПРАВОЧНИКИ!$A$7:$E$22,3,FALSE)))</f>
        <v/>
      </c>
      <c r="S922" s="26" t="str">
        <f>IF(A922="","",IF(L922="Проведён",E922*IF(COUNTIF(Типы,C922)=0,0,VLOOKUP(C922,СПРАВОЧНИКИ!$A$7:$E$22,4,FALSE)),0))</f>
        <v/>
      </c>
      <c r="T922" s="26" t="str">
        <f>IF(A922="","",IF(L922="Проведён",E922*IF(COUNTIF(Типы,C922)=0,0,VLOOKUP(C922,СПРАВОЧНИКИ!$A$7:$E$22,5,FALSE)),0))</f>
        <v/>
      </c>
      <c r="U922" s="5" t="str">
        <f>IF(A922="","",IF(COUNTIF(Контрагенты,H922)=0,"Не задан",VLOOKUP(H922,СПРАВОЧНИКИ!$G$7:$H$66,2,FALSE)))</f>
        <v/>
      </c>
      <c r="V922" s="4" t="str">
        <f>IF(A922="",IF(COUNTA(B922:O922)&gt;0,"НЕТ ID",""),IF(OR(AND(OR(C922="Оплата клиента",C922="Возврат клиенту"),COUNTIFS(Docs[ID],J922,Docs[Тип долга],"ДЗ")&lt;&gt;1),AND(OR(C922="Оплата поставщику",C922="Возврат поставщика"),COUNTIFS(Docs[ID],J922,Docs[Тип долга],"КЗ",Docs[Вид],"&lt;&gt;Дивиденды")&lt;&gt;1),AND(C922="Дивиденды",COUNTIFS(Docs[ID],J922,Docs[Вид],"Дивиденды")&lt;&gt;1),AND(C922="Проценты",COUNTIFS(Docs[ID],J922,Docs[Вид],"Проценты")&lt;&gt;1),COUNTIF(Cash[ID],A922)&gt;1,NOT(ISNUMBER(B922)),B922&lt;НачалоУчета,YEAR(B922)&lt;&gt;Год,NOT(ISNUMBER(E922)),E922&lt;=0,N922&lt;0,COUNTIF(Типы,C922)&lt;&gt;1,COUNTIF(Категории,D922)&lt;&gt;1,COUNTIF(Счета,F922)&lt;&gt;1,COUNTIF(Проекты,I922)&lt;&gt;1,AND(H922&lt;&gt;"",COUNTIF(Контрагенты,H922)&lt;&gt;1),AND(C922="Перевод",OR(F922=G922,COUNTIF(Счета,G922)&lt;&gt;1)),AND(S922&lt;&gt;0,COUNTIF(Docs[ID],J922)&lt;&gt;1),AND(Форма="ООО",C922="Вывод ИП"),AND(Форма="ИП",C922="Дивиденды"),AND(L922&lt;&gt;"Проведён",L922&lt;&gt;"Черновик")),"ОШИБКА","ОК"))</f>
        <v/>
      </c>
      <c r="W922" s="25" t="str">
        <f>IF(A922="","",SUMIF(Accounts[Счёт],F922,Accounts[Начальный])+SUMIFS($Q$7:Q922,$F$7:F922,F922)+SUMIFS($E$7:E922,$G$7:G922,F922,$C$7:C922,"Перевод",$L$7:L922,"Проведён"))</f>
        <v/>
      </c>
    </row>
    <row r="923" spans="1:23" x14ac:dyDescent="0.25">
      <c r="A923" s="22"/>
      <c r="B923" s="23"/>
      <c r="C923" s="22"/>
      <c r="D923" s="22"/>
      <c r="E923" s="27"/>
      <c r="F923" s="22"/>
      <c r="G923" s="22"/>
      <c r="H923" s="22"/>
      <c r="I923" s="22"/>
      <c r="J923" s="22"/>
      <c r="K923" s="22"/>
      <c r="L923" s="22"/>
      <c r="M923" s="22"/>
      <c r="N923" s="27"/>
      <c r="O923" s="22"/>
      <c r="P923" s="5" t="str">
        <f>IF(A923="","",IF(COUNTIF(Типы,C923)=0,0,VLOOKUP(C923,СПРАВОЧНИКИ!$A$7:$E$22,2,FALSE)))</f>
        <v/>
      </c>
      <c r="Q923" s="25" t="str">
        <f t="shared" si="14"/>
        <v/>
      </c>
      <c r="R923" s="5" t="str">
        <f>IF(A923="","",IF(COUNTIF(Типы,C923)=0,"НЕИЗВЕСТНЫЙ ТИП",VLOOKUP(C923,СПРАВОЧНИКИ!$A$7:$E$22,3,FALSE)))</f>
        <v/>
      </c>
      <c r="S923" s="26" t="str">
        <f>IF(A923="","",IF(L923="Проведён",E923*IF(COUNTIF(Типы,C923)=0,0,VLOOKUP(C923,СПРАВОЧНИКИ!$A$7:$E$22,4,FALSE)),0))</f>
        <v/>
      </c>
      <c r="T923" s="26" t="str">
        <f>IF(A923="","",IF(L923="Проведён",E923*IF(COUNTIF(Типы,C923)=0,0,VLOOKUP(C923,СПРАВОЧНИКИ!$A$7:$E$22,5,FALSE)),0))</f>
        <v/>
      </c>
      <c r="U923" s="5" t="str">
        <f>IF(A923="","",IF(COUNTIF(Контрагенты,H923)=0,"Не задан",VLOOKUP(H923,СПРАВОЧНИКИ!$G$7:$H$66,2,FALSE)))</f>
        <v/>
      </c>
      <c r="V923" s="4" t="str">
        <f>IF(A923="",IF(COUNTA(B923:O923)&gt;0,"НЕТ ID",""),IF(OR(AND(OR(C923="Оплата клиента",C923="Возврат клиенту"),COUNTIFS(Docs[ID],J923,Docs[Тип долга],"ДЗ")&lt;&gt;1),AND(OR(C923="Оплата поставщику",C923="Возврат поставщика"),COUNTIFS(Docs[ID],J923,Docs[Тип долга],"КЗ",Docs[Вид],"&lt;&gt;Дивиденды")&lt;&gt;1),AND(C923="Дивиденды",COUNTIFS(Docs[ID],J923,Docs[Вид],"Дивиденды")&lt;&gt;1),AND(C923="Проценты",COUNTIFS(Docs[ID],J923,Docs[Вид],"Проценты")&lt;&gt;1),COUNTIF(Cash[ID],A923)&gt;1,NOT(ISNUMBER(B923)),B923&lt;НачалоУчета,YEAR(B923)&lt;&gt;Год,NOT(ISNUMBER(E923)),E923&lt;=0,N923&lt;0,COUNTIF(Типы,C923)&lt;&gt;1,COUNTIF(Категории,D923)&lt;&gt;1,COUNTIF(Счета,F923)&lt;&gt;1,COUNTIF(Проекты,I923)&lt;&gt;1,AND(H923&lt;&gt;"",COUNTIF(Контрагенты,H923)&lt;&gt;1),AND(C923="Перевод",OR(F923=G923,COUNTIF(Счета,G923)&lt;&gt;1)),AND(S923&lt;&gt;0,COUNTIF(Docs[ID],J923)&lt;&gt;1),AND(Форма="ООО",C923="Вывод ИП"),AND(Форма="ИП",C923="Дивиденды"),AND(L923&lt;&gt;"Проведён",L923&lt;&gt;"Черновик")),"ОШИБКА","ОК"))</f>
        <v/>
      </c>
      <c r="W923" s="25" t="str">
        <f>IF(A923="","",SUMIF(Accounts[Счёт],F923,Accounts[Начальный])+SUMIFS($Q$7:Q923,$F$7:F923,F923)+SUMIFS($E$7:E923,$G$7:G923,F923,$C$7:C923,"Перевод",$L$7:L923,"Проведён"))</f>
        <v/>
      </c>
    </row>
    <row r="924" spans="1:23" x14ac:dyDescent="0.25">
      <c r="A924" s="22"/>
      <c r="B924" s="23"/>
      <c r="C924" s="22"/>
      <c r="D924" s="22"/>
      <c r="E924" s="27"/>
      <c r="F924" s="22"/>
      <c r="G924" s="22"/>
      <c r="H924" s="22"/>
      <c r="I924" s="22"/>
      <c r="J924" s="22"/>
      <c r="K924" s="22"/>
      <c r="L924" s="22"/>
      <c r="M924" s="22"/>
      <c r="N924" s="27"/>
      <c r="O924" s="22"/>
      <c r="P924" s="5" t="str">
        <f>IF(A924="","",IF(COUNTIF(Типы,C924)=0,0,VLOOKUP(C924,СПРАВОЧНИКИ!$A$7:$E$22,2,FALSE)))</f>
        <v/>
      </c>
      <c r="Q924" s="25" t="str">
        <f t="shared" si="14"/>
        <v/>
      </c>
      <c r="R924" s="5" t="str">
        <f>IF(A924="","",IF(COUNTIF(Типы,C924)=0,"НЕИЗВЕСТНЫЙ ТИП",VLOOKUP(C924,СПРАВОЧНИКИ!$A$7:$E$22,3,FALSE)))</f>
        <v/>
      </c>
      <c r="S924" s="26" t="str">
        <f>IF(A924="","",IF(L924="Проведён",E924*IF(COUNTIF(Типы,C924)=0,0,VLOOKUP(C924,СПРАВОЧНИКИ!$A$7:$E$22,4,FALSE)),0))</f>
        <v/>
      </c>
      <c r="T924" s="26" t="str">
        <f>IF(A924="","",IF(L924="Проведён",E924*IF(COUNTIF(Типы,C924)=0,0,VLOOKUP(C924,СПРАВОЧНИКИ!$A$7:$E$22,5,FALSE)),0))</f>
        <v/>
      </c>
      <c r="U924" s="5" t="str">
        <f>IF(A924="","",IF(COUNTIF(Контрагенты,H924)=0,"Не задан",VLOOKUP(H924,СПРАВОЧНИКИ!$G$7:$H$66,2,FALSE)))</f>
        <v/>
      </c>
      <c r="V924" s="4" t="str">
        <f>IF(A924="",IF(COUNTA(B924:O924)&gt;0,"НЕТ ID",""),IF(OR(AND(OR(C924="Оплата клиента",C924="Возврат клиенту"),COUNTIFS(Docs[ID],J924,Docs[Тип долга],"ДЗ")&lt;&gt;1),AND(OR(C924="Оплата поставщику",C924="Возврат поставщика"),COUNTIFS(Docs[ID],J924,Docs[Тип долга],"КЗ",Docs[Вид],"&lt;&gt;Дивиденды")&lt;&gt;1),AND(C924="Дивиденды",COUNTIFS(Docs[ID],J924,Docs[Вид],"Дивиденды")&lt;&gt;1),AND(C924="Проценты",COUNTIFS(Docs[ID],J924,Docs[Вид],"Проценты")&lt;&gt;1),COUNTIF(Cash[ID],A924)&gt;1,NOT(ISNUMBER(B924)),B924&lt;НачалоУчета,YEAR(B924)&lt;&gt;Год,NOT(ISNUMBER(E924)),E924&lt;=0,N924&lt;0,COUNTIF(Типы,C924)&lt;&gt;1,COUNTIF(Категории,D924)&lt;&gt;1,COUNTIF(Счета,F924)&lt;&gt;1,COUNTIF(Проекты,I924)&lt;&gt;1,AND(H924&lt;&gt;"",COUNTIF(Контрагенты,H924)&lt;&gt;1),AND(C924="Перевод",OR(F924=G924,COUNTIF(Счета,G924)&lt;&gt;1)),AND(S924&lt;&gt;0,COUNTIF(Docs[ID],J924)&lt;&gt;1),AND(Форма="ООО",C924="Вывод ИП"),AND(Форма="ИП",C924="Дивиденды"),AND(L924&lt;&gt;"Проведён",L924&lt;&gt;"Черновик")),"ОШИБКА","ОК"))</f>
        <v/>
      </c>
      <c r="W924" s="25" t="str">
        <f>IF(A924="","",SUMIF(Accounts[Счёт],F924,Accounts[Начальный])+SUMIFS($Q$7:Q924,$F$7:F924,F924)+SUMIFS($E$7:E924,$G$7:G924,F924,$C$7:C924,"Перевод",$L$7:L924,"Проведён"))</f>
        <v/>
      </c>
    </row>
    <row r="925" spans="1:23" x14ac:dyDescent="0.25">
      <c r="A925" s="22"/>
      <c r="B925" s="23"/>
      <c r="C925" s="22"/>
      <c r="D925" s="22"/>
      <c r="E925" s="27"/>
      <c r="F925" s="22"/>
      <c r="G925" s="22"/>
      <c r="H925" s="22"/>
      <c r="I925" s="22"/>
      <c r="J925" s="22"/>
      <c r="K925" s="22"/>
      <c r="L925" s="22"/>
      <c r="M925" s="22"/>
      <c r="N925" s="27"/>
      <c r="O925" s="22"/>
      <c r="P925" s="5" t="str">
        <f>IF(A925="","",IF(COUNTIF(Типы,C925)=0,0,VLOOKUP(C925,СПРАВОЧНИКИ!$A$7:$E$22,2,FALSE)))</f>
        <v/>
      </c>
      <c r="Q925" s="25" t="str">
        <f t="shared" si="14"/>
        <v/>
      </c>
      <c r="R925" s="5" t="str">
        <f>IF(A925="","",IF(COUNTIF(Типы,C925)=0,"НЕИЗВЕСТНЫЙ ТИП",VLOOKUP(C925,СПРАВОЧНИКИ!$A$7:$E$22,3,FALSE)))</f>
        <v/>
      </c>
      <c r="S925" s="26" t="str">
        <f>IF(A925="","",IF(L925="Проведён",E925*IF(COUNTIF(Типы,C925)=0,0,VLOOKUP(C925,СПРАВОЧНИКИ!$A$7:$E$22,4,FALSE)),0))</f>
        <v/>
      </c>
      <c r="T925" s="26" t="str">
        <f>IF(A925="","",IF(L925="Проведён",E925*IF(COUNTIF(Типы,C925)=0,0,VLOOKUP(C925,СПРАВОЧНИКИ!$A$7:$E$22,5,FALSE)),0))</f>
        <v/>
      </c>
      <c r="U925" s="5" t="str">
        <f>IF(A925="","",IF(COUNTIF(Контрагенты,H925)=0,"Не задан",VLOOKUP(H925,СПРАВОЧНИКИ!$G$7:$H$66,2,FALSE)))</f>
        <v/>
      </c>
      <c r="V925" s="4" t="str">
        <f>IF(A925="",IF(COUNTA(B925:O925)&gt;0,"НЕТ ID",""),IF(OR(AND(OR(C925="Оплата клиента",C925="Возврат клиенту"),COUNTIFS(Docs[ID],J925,Docs[Тип долга],"ДЗ")&lt;&gt;1),AND(OR(C925="Оплата поставщику",C925="Возврат поставщика"),COUNTIFS(Docs[ID],J925,Docs[Тип долга],"КЗ",Docs[Вид],"&lt;&gt;Дивиденды")&lt;&gt;1),AND(C925="Дивиденды",COUNTIFS(Docs[ID],J925,Docs[Вид],"Дивиденды")&lt;&gt;1),AND(C925="Проценты",COUNTIFS(Docs[ID],J925,Docs[Вид],"Проценты")&lt;&gt;1),COUNTIF(Cash[ID],A925)&gt;1,NOT(ISNUMBER(B925)),B925&lt;НачалоУчета,YEAR(B925)&lt;&gt;Год,NOT(ISNUMBER(E925)),E925&lt;=0,N925&lt;0,COUNTIF(Типы,C925)&lt;&gt;1,COUNTIF(Категории,D925)&lt;&gt;1,COUNTIF(Счета,F925)&lt;&gt;1,COUNTIF(Проекты,I925)&lt;&gt;1,AND(H925&lt;&gt;"",COUNTIF(Контрагенты,H925)&lt;&gt;1),AND(C925="Перевод",OR(F925=G925,COUNTIF(Счета,G925)&lt;&gt;1)),AND(S925&lt;&gt;0,COUNTIF(Docs[ID],J925)&lt;&gt;1),AND(Форма="ООО",C925="Вывод ИП"),AND(Форма="ИП",C925="Дивиденды"),AND(L925&lt;&gt;"Проведён",L925&lt;&gt;"Черновик")),"ОШИБКА","ОК"))</f>
        <v/>
      </c>
      <c r="W925" s="25" t="str">
        <f>IF(A925="","",SUMIF(Accounts[Счёт],F925,Accounts[Начальный])+SUMIFS($Q$7:Q925,$F$7:F925,F925)+SUMIFS($E$7:E925,$G$7:G925,F925,$C$7:C925,"Перевод",$L$7:L925,"Проведён"))</f>
        <v/>
      </c>
    </row>
    <row r="926" spans="1:23" x14ac:dyDescent="0.25">
      <c r="A926" s="22"/>
      <c r="B926" s="23"/>
      <c r="C926" s="22"/>
      <c r="D926" s="22"/>
      <c r="E926" s="27"/>
      <c r="F926" s="22"/>
      <c r="G926" s="22"/>
      <c r="H926" s="22"/>
      <c r="I926" s="22"/>
      <c r="J926" s="22"/>
      <c r="K926" s="22"/>
      <c r="L926" s="22"/>
      <c r="M926" s="22"/>
      <c r="N926" s="27"/>
      <c r="O926" s="22"/>
      <c r="P926" s="5" t="str">
        <f>IF(A926="","",IF(COUNTIF(Типы,C926)=0,0,VLOOKUP(C926,СПРАВОЧНИКИ!$A$7:$E$22,2,FALSE)))</f>
        <v/>
      </c>
      <c r="Q926" s="25" t="str">
        <f t="shared" si="14"/>
        <v/>
      </c>
      <c r="R926" s="5" t="str">
        <f>IF(A926="","",IF(COUNTIF(Типы,C926)=0,"НЕИЗВЕСТНЫЙ ТИП",VLOOKUP(C926,СПРАВОЧНИКИ!$A$7:$E$22,3,FALSE)))</f>
        <v/>
      </c>
      <c r="S926" s="26" t="str">
        <f>IF(A926="","",IF(L926="Проведён",E926*IF(COUNTIF(Типы,C926)=0,0,VLOOKUP(C926,СПРАВОЧНИКИ!$A$7:$E$22,4,FALSE)),0))</f>
        <v/>
      </c>
      <c r="T926" s="26" t="str">
        <f>IF(A926="","",IF(L926="Проведён",E926*IF(COUNTIF(Типы,C926)=0,0,VLOOKUP(C926,СПРАВОЧНИКИ!$A$7:$E$22,5,FALSE)),0))</f>
        <v/>
      </c>
      <c r="U926" s="5" t="str">
        <f>IF(A926="","",IF(COUNTIF(Контрагенты,H926)=0,"Не задан",VLOOKUP(H926,СПРАВОЧНИКИ!$G$7:$H$66,2,FALSE)))</f>
        <v/>
      </c>
      <c r="V926" s="4" t="str">
        <f>IF(A926="",IF(COUNTA(B926:O926)&gt;0,"НЕТ ID",""),IF(OR(AND(OR(C926="Оплата клиента",C926="Возврат клиенту"),COUNTIFS(Docs[ID],J926,Docs[Тип долга],"ДЗ")&lt;&gt;1),AND(OR(C926="Оплата поставщику",C926="Возврат поставщика"),COUNTIFS(Docs[ID],J926,Docs[Тип долга],"КЗ",Docs[Вид],"&lt;&gt;Дивиденды")&lt;&gt;1),AND(C926="Дивиденды",COUNTIFS(Docs[ID],J926,Docs[Вид],"Дивиденды")&lt;&gt;1),AND(C926="Проценты",COUNTIFS(Docs[ID],J926,Docs[Вид],"Проценты")&lt;&gt;1),COUNTIF(Cash[ID],A926)&gt;1,NOT(ISNUMBER(B926)),B926&lt;НачалоУчета,YEAR(B926)&lt;&gt;Год,NOT(ISNUMBER(E926)),E926&lt;=0,N926&lt;0,COUNTIF(Типы,C926)&lt;&gt;1,COUNTIF(Категории,D926)&lt;&gt;1,COUNTIF(Счета,F926)&lt;&gt;1,COUNTIF(Проекты,I926)&lt;&gt;1,AND(H926&lt;&gt;"",COUNTIF(Контрагенты,H926)&lt;&gt;1),AND(C926="Перевод",OR(F926=G926,COUNTIF(Счета,G926)&lt;&gt;1)),AND(S926&lt;&gt;0,COUNTIF(Docs[ID],J926)&lt;&gt;1),AND(Форма="ООО",C926="Вывод ИП"),AND(Форма="ИП",C926="Дивиденды"),AND(L926&lt;&gt;"Проведён",L926&lt;&gt;"Черновик")),"ОШИБКА","ОК"))</f>
        <v/>
      </c>
      <c r="W926" s="25" t="str">
        <f>IF(A926="","",SUMIF(Accounts[Счёт],F926,Accounts[Начальный])+SUMIFS($Q$7:Q926,$F$7:F926,F926)+SUMIFS($E$7:E926,$G$7:G926,F926,$C$7:C926,"Перевод",$L$7:L926,"Проведён"))</f>
        <v/>
      </c>
    </row>
    <row r="927" spans="1:23" x14ac:dyDescent="0.25">
      <c r="A927" s="22"/>
      <c r="B927" s="23"/>
      <c r="C927" s="22"/>
      <c r="D927" s="22"/>
      <c r="E927" s="27"/>
      <c r="F927" s="22"/>
      <c r="G927" s="22"/>
      <c r="H927" s="22"/>
      <c r="I927" s="22"/>
      <c r="J927" s="22"/>
      <c r="K927" s="22"/>
      <c r="L927" s="22"/>
      <c r="M927" s="22"/>
      <c r="N927" s="27"/>
      <c r="O927" s="22"/>
      <c r="P927" s="5" t="str">
        <f>IF(A927="","",IF(COUNTIF(Типы,C927)=0,0,VLOOKUP(C927,СПРАВОЧНИКИ!$A$7:$E$22,2,FALSE)))</f>
        <v/>
      </c>
      <c r="Q927" s="25" t="str">
        <f t="shared" si="14"/>
        <v/>
      </c>
      <c r="R927" s="5" t="str">
        <f>IF(A927="","",IF(COUNTIF(Типы,C927)=0,"НЕИЗВЕСТНЫЙ ТИП",VLOOKUP(C927,СПРАВОЧНИКИ!$A$7:$E$22,3,FALSE)))</f>
        <v/>
      </c>
      <c r="S927" s="26" t="str">
        <f>IF(A927="","",IF(L927="Проведён",E927*IF(COUNTIF(Типы,C927)=0,0,VLOOKUP(C927,СПРАВОЧНИКИ!$A$7:$E$22,4,FALSE)),0))</f>
        <v/>
      </c>
      <c r="T927" s="26" t="str">
        <f>IF(A927="","",IF(L927="Проведён",E927*IF(COUNTIF(Типы,C927)=0,0,VLOOKUP(C927,СПРАВОЧНИКИ!$A$7:$E$22,5,FALSE)),0))</f>
        <v/>
      </c>
      <c r="U927" s="5" t="str">
        <f>IF(A927="","",IF(COUNTIF(Контрагенты,H927)=0,"Не задан",VLOOKUP(H927,СПРАВОЧНИКИ!$G$7:$H$66,2,FALSE)))</f>
        <v/>
      </c>
      <c r="V927" s="4" t="str">
        <f>IF(A927="",IF(COUNTA(B927:O927)&gt;0,"НЕТ ID",""),IF(OR(AND(OR(C927="Оплата клиента",C927="Возврат клиенту"),COUNTIFS(Docs[ID],J927,Docs[Тип долга],"ДЗ")&lt;&gt;1),AND(OR(C927="Оплата поставщику",C927="Возврат поставщика"),COUNTIFS(Docs[ID],J927,Docs[Тип долга],"КЗ",Docs[Вид],"&lt;&gt;Дивиденды")&lt;&gt;1),AND(C927="Дивиденды",COUNTIFS(Docs[ID],J927,Docs[Вид],"Дивиденды")&lt;&gt;1),AND(C927="Проценты",COUNTIFS(Docs[ID],J927,Docs[Вид],"Проценты")&lt;&gt;1),COUNTIF(Cash[ID],A927)&gt;1,NOT(ISNUMBER(B927)),B927&lt;НачалоУчета,YEAR(B927)&lt;&gt;Год,NOT(ISNUMBER(E927)),E927&lt;=0,N927&lt;0,COUNTIF(Типы,C927)&lt;&gt;1,COUNTIF(Категории,D927)&lt;&gt;1,COUNTIF(Счета,F927)&lt;&gt;1,COUNTIF(Проекты,I927)&lt;&gt;1,AND(H927&lt;&gt;"",COUNTIF(Контрагенты,H927)&lt;&gt;1),AND(C927="Перевод",OR(F927=G927,COUNTIF(Счета,G927)&lt;&gt;1)),AND(S927&lt;&gt;0,COUNTIF(Docs[ID],J927)&lt;&gt;1),AND(Форма="ООО",C927="Вывод ИП"),AND(Форма="ИП",C927="Дивиденды"),AND(L927&lt;&gt;"Проведён",L927&lt;&gt;"Черновик")),"ОШИБКА","ОК"))</f>
        <v/>
      </c>
      <c r="W927" s="25" t="str">
        <f>IF(A927="","",SUMIF(Accounts[Счёт],F927,Accounts[Начальный])+SUMIFS($Q$7:Q927,$F$7:F927,F927)+SUMIFS($E$7:E927,$G$7:G927,F927,$C$7:C927,"Перевод",$L$7:L927,"Проведён"))</f>
        <v/>
      </c>
    </row>
    <row r="928" spans="1:23" x14ac:dyDescent="0.25">
      <c r="A928" s="22"/>
      <c r="B928" s="23"/>
      <c r="C928" s="22"/>
      <c r="D928" s="22"/>
      <c r="E928" s="27"/>
      <c r="F928" s="22"/>
      <c r="G928" s="22"/>
      <c r="H928" s="22"/>
      <c r="I928" s="22"/>
      <c r="J928" s="22"/>
      <c r="K928" s="22"/>
      <c r="L928" s="22"/>
      <c r="M928" s="22"/>
      <c r="N928" s="27"/>
      <c r="O928" s="22"/>
      <c r="P928" s="5" t="str">
        <f>IF(A928="","",IF(COUNTIF(Типы,C928)=0,0,VLOOKUP(C928,СПРАВОЧНИКИ!$A$7:$E$22,2,FALSE)))</f>
        <v/>
      </c>
      <c r="Q928" s="25" t="str">
        <f t="shared" si="14"/>
        <v/>
      </c>
      <c r="R928" s="5" t="str">
        <f>IF(A928="","",IF(COUNTIF(Типы,C928)=0,"НЕИЗВЕСТНЫЙ ТИП",VLOOKUP(C928,СПРАВОЧНИКИ!$A$7:$E$22,3,FALSE)))</f>
        <v/>
      </c>
      <c r="S928" s="26" t="str">
        <f>IF(A928="","",IF(L928="Проведён",E928*IF(COUNTIF(Типы,C928)=0,0,VLOOKUP(C928,СПРАВОЧНИКИ!$A$7:$E$22,4,FALSE)),0))</f>
        <v/>
      </c>
      <c r="T928" s="26" t="str">
        <f>IF(A928="","",IF(L928="Проведён",E928*IF(COUNTIF(Типы,C928)=0,0,VLOOKUP(C928,СПРАВОЧНИКИ!$A$7:$E$22,5,FALSE)),0))</f>
        <v/>
      </c>
      <c r="U928" s="5" t="str">
        <f>IF(A928="","",IF(COUNTIF(Контрагенты,H928)=0,"Не задан",VLOOKUP(H928,СПРАВОЧНИКИ!$G$7:$H$66,2,FALSE)))</f>
        <v/>
      </c>
      <c r="V928" s="4" t="str">
        <f>IF(A928="",IF(COUNTA(B928:O928)&gt;0,"НЕТ ID",""),IF(OR(AND(OR(C928="Оплата клиента",C928="Возврат клиенту"),COUNTIFS(Docs[ID],J928,Docs[Тип долга],"ДЗ")&lt;&gt;1),AND(OR(C928="Оплата поставщику",C928="Возврат поставщика"),COUNTIFS(Docs[ID],J928,Docs[Тип долга],"КЗ",Docs[Вид],"&lt;&gt;Дивиденды")&lt;&gt;1),AND(C928="Дивиденды",COUNTIFS(Docs[ID],J928,Docs[Вид],"Дивиденды")&lt;&gt;1),AND(C928="Проценты",COUNTIFS(Docs[ID],J928,Docs[Вид],"Проценты")&lt;&gt;1),COUNTIF(Cash[ID],A928)&gt;1,NOT(ISNUMBER(B928)),B928&lt;НачалоУчета,YEAR(B928)&lt;&gt;Год,NOT(ISNUMBER(E928)),E928&lt;=0,N928&lt;0,COUNTIF(Типы,C928)&lt;&gt;1,COUNTIF(Категории,D928)&lt;&gt;1,COUNTIF(Счета,F928)&lt;&gt;1,COUNTIF(Проекты,I928)&lt;&gt;1,AND(H928&lt;&gt;"",COUNTIF(Контрагенты,H928)&lt;&gt;1),AND(C928="Перевод",OR(F928=G928,COUNTIF(Счета,G928)&lt;&gt;1)),AND(S928&lt;&gt;0,COUNTIF(Docs[ID],J928)&lt;&gt;1),AND(Форма="ООО",C928="Вывод ИП"),AND(Форма="ИП",C928="Дивиденды"),AND(L928&lt;&gt;"Проведён",L928&lt;&gt;"Черновик")),"ОШИБКА","ОК"))</f>
        <v/>
      </c>
      <c r="W928" s="25" t="str">
        <f>IF(A928="","",SUMIF(Accounts[Счёт],F928,Accounts[Начальный])+SUMIFS($Q$7:Q928,$F$7:F928,F928)+SUMIFS($E$7:E928,$G$7:G928,F928,$C$7:C928,"Перевод",$L$7:L928,"Проведён"))</f>
        <v/>
      </c>
    </row>
    <row r="929" spans="1:23" x14ac:dyDescent="0.25">
      <c r="A929" s="22"/>
      <c r="B929" s="23"/>
      <c r="C929" s="22"/>
      <c r="D929" s="22"/>
      <c r="E929" s="27"/>
      <c r="F929" s="22"/>
      <c r="G929" s="22"/>
      <c r="H929" s="22"/>
      <c r="I929" s="22"/>
      <c r="J929" s="22"/>
      <c r="K929" s="22"/>
      <c r="L929" s="22"/>
      <c r="M929" s="22"/>
      <c r="N929" s="27"/>
      <c r="O929" s="22"/>
      <c r="P929" s="5" t="str">
        <f>IF(A929="","",IF(COUNTIF(Типы,C929)=0,0,VLOOKUP(C929,СПРАВОЧНИКИ!$A$7:$E$22,2,FALSE)))</f>
        <v/>
      </c>
      <c r="Q929" s="25" t="str">
        <f t="shared" si="14"/>
        <v/>
      </c>
      <c r="R929" s="5" t="str">
        <f>IF(A929="","",IF(COUNTIF(Типы,C929)=0,"НЕИЗВЕСТНЫЙ ТИП",VLOOKUP(C929,СПРАВОЧНИКИ!$A$7:$E$22,3,FALSE)))</f>
        <v/>
      </c>
      <c r="S929" s="26" t="str">
        <f>IF(A929="","",IF(L929="Проведён",E929*IF(COUNTIF(Типы,C929)=0,0,VLOOKUP(C929,СПРАВОЧНИКИ!$A$7:$E$22,4,FALSE)),0))</f>
        <v/>
      </c>
      <c r="T929" s="26" t="str">
        <f>IF(A929="","",IF(L929="Проведён",E929*IF(COUNTIF(Типы,C929)=0,0,VLOOKUP(C929,СПРАВОЧНИКИ!$A$7:$E$22,5,FALSE)),0))</f>
        <v/>
      </c>
      <c r="U929" s="5" t="str">
        <f>IF(A929="","",IF(COUNTIF(Контрагенты,H929)=0,"Не задан",VLOOKUP(H929,СПРАВОЧНИКИ!$G$7:$H$66,2,FALSE)))</f>
        <v/>
      </c>
      <c r="V929" s="4" t="str">
        <f>IF(A929="",IF(COUNTA(B929:O929)&gt;0,"НЕТ ID",""),IF(OR(AND(OR(C929="Оплата клиента",C929="Возврат клиенту"),COUNTIFS(Docs[ID],J929,Docs[Тип долга],"ДЗ")&lt;&gt;1),AND(OR(C929="Оплата поставщику",C929="Возврат поставщика"),COUNTIFS(Docs[ID],J929,Docs[Тип долга],"КЗ",Docs[Вид],"&lt;&gt;Дивиденды")&lt;&gt;1),AND(C929="Дивиденды",COUNTIFS(Docs[ID],J929,Docs[Вид],"Дивиденды")&lt;&gt;1),AND(C929="Проценты",COUNTIFS(Docs[ID],J929,Docs[Вид],"Проценты")&lt;&gt;1),COUNTIF(Cash[ID],A929)&gt;1,NOT(ISNUMBER(B929)),B929&lt;НачалоУчета,YEAR(B929)&lt;&gt;Год,NOT(ISNUMBER(E929)),E929&lt;=0,N929&lt;0,COUNTIF(Типы,C929)&lt;&gt;1,COUNTIF(Категории,D929)&lt;&gt;1,COUNTIF(Счета,F929)&lt;&gt;1,COUNTIF(Проекты,I929)&lt;&gt;1,AND(H929&lt;&gt;"",COUNTIF(Контрагенты,H929)&lt;&gt;1),AND(C929="Перевод",OR(F929=G929,COUNTIF(Счета,G929)&lt;&gt;1)),AND(S929&lt;&gt;0,COUNTIF(Docs[ID],J929)&lt;&gt;1),AND(Форма="ООО",C929="Вывод ИП"),AND(Форма="ИП",C929="Дивиденды"),AND(L929&lt;&gt;"Проведён",L929&lt;&gt;"Черновик")),"ОШИБКА","ОК"))</f>
        <v/>
      </c>
      <c r="W929" s="25" t="str">
        <f>IF(A929="","",SUMIF(Accounts[Счёт],F929,Accounts[Начальный])+SUMIFS($Q$7:Q929,$F$7:F929,F929)+SUMIFS($E$7:E929,$G$7:G929,F929,$C$7:C929,"Перевод",$L$7:L929,"Проведён"))</f>
        <v/>
      </c>
    </row>
    <row r="930" spans="1:23" x14ac:dyDescent="0.25">
      <c r="A930" s="22"/>
      <c r="B930" s="23"/>
      <c r="C930" s="22"/>
      <c r="D930" s="22"/>
      <c r="E930" s="27"/>
      <c r="F930" s="22"/>
      <c r="G930" s="22"/>
      <c r="H930" s="22"/>
      <c r="I930" s="22"/>
      <c r="J930" s="22"/>
      <c r="K930" s="22"/>
      <c r="L930" s="22"/>
      <c r="M930" s="22"/>
      <c r="N930" s="27"/>
      <c r="O930" s="22"/>
      <c r="P930" s="5" t="str">
        <f>IF(A930="","",IF(COUNTIF(Типы,C930)=0,0,VLOOKUP(C930,СПРАВОЧНИКИ!$A$7:$E$22,2,FALSE)))</f>
        <v/>
      </c>
      <c r="Q930" s="25" t="str">
        <f t="shared" si="14"/>
        <v/>
      </c>
      <c r="R930" s="5" t="str">
        <f>IF(A930="","",IF(COUNTIF(Типы,C930)=0,"НЕИЗВЕСТНЫЙ ТИП",VLOOKUP(C930,СПРАВОЧНИКИ!$A$7:$E$22,3,FALSE)))</f>
        <v/>
      </c>
      <c r="S930" s="26" t="str">
        <f>IF(A930="","",IF(L930="Проведён",E930*IF(COUNTIF(Типы,C930)=0,0,VLOOKUP(C930,СПРАВОЧНИКИ!$A$7:$E$22,4,FALSE)),0))</f>
        <v/>
      </c>
      <c r="T930" s="26" t="str">
        <f>IF(A930="","",IF(L930="Проведён",E930*IF(COUNTIF(Типы,C930)=0,0,VLOOKUP(C930,СПРАВОЧНИКИ!$A$7:$E$22,5,FALSE)),0))</f>
        <v/>
      </c>
      <c r="U930" s="5" t="str">
        <f>IF(A930="","",IF(COUNTIF(Контрагенты,H930)=0,"Не задан",VLOOKUP(H930,СПРАВОЧНИКИ!$G$7:$H$66,2,FALSE)))</f>
        <v/>
      </c>
      <c r="V930" s="4" t="str">
        <f>IF(A930="",IF(COUNTA(B930:O930)&gt;0,"НЕТ ID",""),IF(OR(AND(OR(C930="Оплата клиента",C930="Возврат клиенту"),COUNTIFS(Docs[ID],J930,Docs[Тип долга],"ДЗ")&lt;&gt;1),AND(OR(C930="Оплата поставщику",C930="Возврат поставщика"),COUNTIFS(Docs[ID],J930,Docs[Тип долга],"КЗ",Docs[Вид],"&lt;&gt;Дивиденды")&lt;&gt;1),AND(C930="Дивиденды",COUNTIFS(Docs[ID],J930,Docs[Вид],"Дивиденды")&lt;&gt;1),AND(C930="Проценты",COUNTIFS(Docs[ID],J930,Docs[Вид],"Проценты")&lt;&gt;1),COUNTIF(Cash[ID],A930)&gt;1,NOT(ISNUMBER(B930)),B930&lt;НачалоУчета,YEAR(B930)&lt;&gt;Год,NOT(ISNUMBER(E930)),E930&lt;=0,N930&lt;0,COUNTIF(Типы,C930)&lt;&gt;1,COUNTIF(Категории,D930)&lt;&gt;1,COUNTIF(Счета,F930)&lt;&gt;1,COUNTIF(Проекты,I930)&lt;&gt;1,AND(H930&lt;&gt;"",COUNTIF(Контрагенты,H930)&lt;&gt;1),AND(C930="Перевод",OR(F930=G930,COUNTIF(Счета,G930)&lt;&gt;1)),AND(S930&lt;&gt;0,COUNTIF(Docs[ID],J930)&lt;&gt;1),AND(Форма="ООО",C930="Вывод ИП"),AND(Форма="ИП",C930="Дивиденды"),AND(L930&lt;&gt;"Проведён",L930&lt;&gt;"Черновик")),"ОШИБКА","ОК"))</f>
        <v/>
      </c>
      <c r="W930" s="25" t="str">
        <f>IF(A930="","",SUMIF(Accounts[Счёт],F930,Accounts[Начальный])+SUMIFS($Q$7:Q930,$F$7:F930,F930)+SUMIFS($E$7:E930,$G$7:G930,F930,$C$7:C930,"Перевод",$L$7:L930,"Проведён"))</f>
        <v/>
      </c>
    </row>
    <row r="931" spans="1:23" x14ac:dyDescent="0.25">
      <c r="A931" s="22"/>
      <c r="B931" s="23"/>
      <c r="C931" s="22"/>
      <c r="D931" s="22"/>
      <c r="E931" s="27"/>
      <c r="F931" s="22"/>
      <c r="G931" s="22"/>
      <c r="H931" s="22"/>
      <c r="I931" s="22"/>
      <c r="J931" s="22"/>
      <c r="K931" s="22"/>
      <c r="L931" s="22"/>
      <c r="M931" s="22"/>
      <c r="N931" s="27"/>
      <c r="O931" s="22"/>
      <c r="P931" s="5" t="str">
        <f>IF(A931="","",IF(COUNTIF(Типы,C931)=0,0,VLOOKUP(C931,СПРАВОЧНИКИ!$A$7:$E$22,2,FALSE)))</f>
        <v/>
      </c>
      <c r="Q931" s="25" t="str">
        <f t="shared" si="14"/>
        <v/>
      </c>
      <c r="R931" s="5" t="str">
        <f>IF(A931="","",IF(COUNTIF(Типы,C931)=0,"НЕИЗВЕСТНЫЙ ТИП",VLOOKUP(C931,СПРАВОЧНИКИ!$A$7:$E$22,3,FALSE)))</f>
        <v/>
      </c>
      <c r="S931" s="26" t="str">
        <f>IF(A931="","",IF(L931="Проведён",E931*IF(COUNTIF(Типы,C931)=0,0,VLOOKUP(C931,СПРАВОЧНИКИ!$A$7:$E$22,4,FALSE)),0))</f>
        <v/>
      </c>
      <c r="T931" s="26" t="str">
        <f>IF(A931="","",IF(L931="Проведён",E931*IF(COUNTIF(Типы,C931)=0,0,VLOOKUP(C931,СПРАВОЧНИКИ!$A$7:$E$22,5,FALSE)),0))</f>
        <v/>
      </c>
      <c r="U931" s="5" t="str">
        <f>IF(A931="","",IF(COUNTIF(Контрагенты,H931)=0,"Не задан",VLOOKUP(H931,СПРАВОЧНИКИ!$G$7:$H$66,2,FALSE)))</f>
        <v/>
      </c>
      <c r="V931" s="4" t="str">
        <f>IF(A931="",IF(COUNTA(B931:O931)&gt;0,"НЕТ ID",""),IF(OR(AND(OR(C931="Оплата клиента",C931="Возврат клиенту"),COUNTIFS(Docs[ID],J931,Docs[Тип долга],"ДЗ")&lt;&gt;1),AND(OR(C931="Оплата поставщику",C931="Возврат поставщика"),COUNTIFS(Docs[ID],J931,Docs[Тип долга],"КЗ",Docs[Вид],"&lt;&gt;Дивиденды")&lt;&gt;1),AND(C931="Дивиденды",COUNTIFS(Docs[ID],J931,Docs[Вид],"Дивиденды")&lt;&gt;1),AND(C931="Проценты",COUNTIFS(Docs[ID],J931,Docs[Вид],"Проценты")&lt;&gt;1),COUNTIF(Cash[ID],A931)&gt;1,NOT(ISNUMBER(B931)),B931&lt;НачалоУчета,YEAR(B931)&lt;&gt;Год,NOT(ISNUMBER(E931)),E931&lt;=0,N931&lt;0,COUNTIF(Типы,C931)&lt;&gt;1,COUNTIF(Категории,D931)&lt;&gt;1,COUNTIF(Счета,F931)&lt;&gt;1,COUNTIF(Проекты,I931)&lt;&gt;1,AND(H931&lt;&gt;"",COUNTIF(Контрагенты,H931)&lt;&gt;1),AND(C931="Перевод",OR(F931=G931,COUNTIF(Счета,G931)&lt;&gt;1)),AND(S931&lt;&gt;0,COUNTIF(Docs[ID],J931)&lt;&gt;1),AND(Форма="ООО",C931="Вывод ИП"),AND(Форма="ИП",C931="Дивиденды"),AND(L931&lt;&gt;"Проведён",L931&lt;&gt;"Черновик")),"ОШИБКА","ОК"))</f>
        <v/>
      </c>
      <c r="W931" s="25" t="str">
        <f>IF(A931="","",SUMIF(Accounts[Счёт],F931,Accounts[Начальный])+SUMIFS($Q$7:Q931,$F$7:F931,F931)+SUMIFS($E$7:E931,$G$7:G931,F931,$C$7:C931,"Перевод",$L$7:L931,"Проведён"))</f>
        <v/>
      </c>
    </row>
    <row r="932" spans="1:23" x14ac:dyDescent="0.25">
      <c r="A932" s="22"/>
      <c r="B932" s="23"/>
      <c r="C932" s="22"/>
      <c r="D932" s="22"/>
      <c r="E932" s="27"/>
      <c r="F932" s="22"/>
      <c r="G932" s="22"/>
      <c r="H932" s="22"/>
      <c r="I932" s="22"/>
      <c r="J932" s="22"/>
      <c r="K932" s="22"/>
      <c r="L932" s="22"/>
      <c r="M932" s="22"/>
      <c r="N932" s="27"/>
      <c r="O932" s="22"/>
      <c r="P932" s="5" t="str">
        <f>IF(A932="","",IF(COUNTIF(Типы,C932)=0,0,VLOOKUP(C932,СПРАВОЧНИКИ!$A$7:$E$22,2,FALSE)))</f>
        <v/>
      </c>
      <c r="Q932" s="25" t="str">
        <f t="shared" si="14"/>
        <v/>
      </c>
      <c r="R932" s="5" t="str">
        <f>IF(A932="","",IF(COUNTIF(Типы,C932)=0,"НЕИЗВЕСТНЫЙ ТИП",VLOOKUP(C932,СПРАВОЧНИКИ!$A$7:$E$22,3,FALSE)))</f>
        <v/>
      </c>
      <c r="S932" s="26" t="str">
        <f>IF(A932="","",IF(L932="Проведён",E932*IF(COUNTIF(Типы,C932)=0,0,VLOOKUP(C932,СПРАВОЧНИКИ!$A$7:$E$22,4,FALSE)),0))</f>
        <v/>
      </c>
      <c r="T932" s="26" t="str">
        <f>IF(A932="","",IF(L932="Проведён",E932*IF(COUNTIF(Типы,C932)=0,0,VLOOKUP(C932,СПРАВОЧНИКИ!$A$7:$E$22,5,FALSE)),0))</f>
        <v/>
      </c>
      <c r="U932" s="5" t="str">
        <f>IF(A932="","",IF(COUNTIF(Контрагенты,H932)=0,"Не задан",VLOOKUP(H932,СПРАВОЧНИКИ!$G$7:$H$66,2,FALSE)))</f>
        <v/>
      </c>
      <c r="V932" s="4" t="str">
        <f>IF(A932="",IF(COUNTA(B932:O932)&gt;0,"НЕТ ID",""),IF(OR(AND(OR(C932="Оплата клиента",C932="Возврат клиенту"),COUNTIFS(Docs[ID],J932,Docs[Тип долга],"ДЗ")&lt;&gt;1),AND(OR(C932="Оплата поставщику",C932="Возврат поставщика"),COUNTIFS(Docs[ID],J932,Docs[Тип долга],"КЗ",Docs[Вид],"&lt;&gt;Дивиденды")&lt;&gt;1),AND(C932="Дивиденды",COUNTIFS(Docs[ID],J932,Docs[Вид],"Дивиденды")&lt;&gt;1),AND(C932="Проценты",COUNTIFS(Docs[ID],J932,Docs[Вид],"Проценты")&lt;&gt;1),COUNTIF(Cash[ID],A932)&gt;1,NOT(ISNUMBER(B932)),B932&lt;НачалоУчета,YEAR(B932)&lt;&gt;Год,NOT(ISNUMBER(E932)),E932&lt;=0,N932&lt;0,COUNTIF(Типы,C932)&lt;&gt;1,COUNTIF(Категории,D932)&lt;&gt;1,COUNTIF(Счета,F932)&lt;&gt;1,COUNTIF(Проекты,I932)&lt;&gt;1,AND(H932&lt;&gt;"",COUNTIF(Контрагенты,H932)&lt;&gt;1),AND(C932="Перевод",OR(F932=G932,COUNTIF(Счета,G932)&lt;&gt;1)),AND(S932&lt;&gt;0,COUNTIF(Docs[ID],J932)&lt;&gt;1),AND(Форма="ООО",C932="Вывод ИП"),AND(Форма="ИП",C932="Дивиденды"),AND(L932&lt;&gt;"Проведён",L932&lt;&gt;"Черновик")),"ОШИБКА","ОК"))</f>
        <v/>
      </c>
      <c r="W932" s="25" t="str">
        <f>IF(A932="","",SUMIF(Accounts[Счёт],F932,Accounts[Начальный])+SUMIFS($Q$7:Q932,$F$7:F932,F932)+SUMIFS($E$7:E932,$G$7:G932,F932,$C$7:C932,"Перевод",$L$7:L932,"Проведён"))</f>
        <v/>
      </c>
    </row>
    <row r="933" spans="1:23" x14ac:dyDescent="0.25">
      <c r="A933" s="22"/>
      <c r="B933" s="23"/>
      <c r="C933" s="22"/>
      <c r="D933" s="22"/>
      <c r="E933" s="27"/>
      <c r="F933" s="22"/>
      <c r="G933" s="22"/>
      <c r="H933" s="22"/>
      <c r="I933" s="22"/>
      <c r="J933" s="22"/>
      <c r="K933" s="22"/>
      <c r="L933" s="22"/>
      <c r="M933" s="22"/>
      <c r="N933" s="27"/>
      <c r="O933" s="22"/>
      <c r="P933" s="5" t="str">
        <f>IF(A933="","",IF(COUNTIF(Типы,C933)=0,0,VLOOKUP(C933,СПРАВОЧНИКИ!$A$7:$E$22,2,FALSE)))</f>
        <v/>
      </c>
      <c r="Q933" s="25" t="str">
        <f t="shared" si="14"/>
        <v/>
      </c>
      <c r="R933" s="5" t="str">
        <f>IF(A933="","",IF(COUNTIF(Типы,C933)=0,"НЕИЗВЕСТНЫЙ ТИП",VLOOKUP(C933,СПРАВОЧНИКИ!$A$7:$E$22,3,FALSE)))</f>
        <v/>
      </c>
      <c r="S933" s="26" t="str">
        <f>IF(A933="","",IF(L933="Проведён",E933*IF(COUNTIF(Типы,C933)=0,0,VLOOKUP(C933,СПРАВОЧНИКИ!$A$7:$E$22,4,FALSE)),0))</f>
        <v/>
      </c>
      <c r="T933" s="26" t="str">
        <f>IF(A933="","",IF(L933="Проведён",E933*IF(COUNTIF(Типы,C933)=0,0,VLOOKUP(C933,СПРАВОЧНИКИ!$A$7:$E$22,5,FALSE)),0))</f>
        <v/>
      </c>
      <c r="U933" s="5" t="str">
        <f>IF(A933="","",IF(COUNTIF(Контрагенты,H933)=0,"Не задан",VLOOKUP(H933,СПРАВОЧНИКИ!$G$7:$H$66,2,FALSE)))</f>
        <v/>
      </c>
      <c r="V933" s="4" t="str">
        <f>IF(A933="",IF(COUNTA(B933:O933)&gt;0,"НЕТ ID",""),IF(OR(AND(OR(C933="Оплата клиента",C933="Возврат клиенту"),COUNTIFS(Docs[ID],J933,Docs[Тип долга],"ДЗ")&lt;&gt;1),AND(OR(C933="Оплата поставщику",C933="Возврат поставщика"),COUNTIFS(Docs[ID],J933,Docs[Тип долга],"КЗ",Docs[Вид],"&lt;&gt;Дивиденды")&lt;&gt;1),AND(C933="Дивиденды",COUNTIFS(Docs[ID],J933,Docs[Вид],"Дивиденды")&lt;&gt;1),AND(C933="Проценты",COUNTIFS(Docs[ID],J933,Docs[Вид],"Проценты")&lt;&gt;1),COUNTIF(Cash[ID],A933)&gt;1,NOT(ISNUMBER(B933)),B933&lt;НачалоУчета,YEAR(B933)&lt;&gt;Год,NOT(ISNUMBER(E933)),E933&lt;=0,N933&lt;0,COUNTIF(Типы,C933)&lt;&gt;1,COUNTIF(Категории,D933)&lt;&gt;1,COUNTIF(Счета,F933)&lt;&gt;1,COUNTIF(Проекты,I933)&lt;&gt;1,AND(H933&lt;&gt;"",COUNTIF(Контрагенты,H933)&lt;&gt;1),AND(C933="Перевод",OR(F933=G933,COUNTIF(Счета,G933)&lt;&gt;1)),AND(S933&lt;&gt;0,COUNTIF(Docs[ID],J933)&lt;&gt;1),AND(Форма="ООО",C933="Вывод ИП"),AND(Форма="ИП",C933="Дивиденды"),AND(L933&lt;&gt;"Проведён",L933&lt;&gt;"Черновик")),"ОШИБКА","ОК"))</f>
        <v/>
      </c>
      <c r="W933" s="25" t="str">
        <f>IF(A933="","",SUMIF(Accounts[Счёт],F933,Accounts[Начальный])+SUMIFS($Q$7:Q933,$F$7:F933,F933)+SUMIFS($E$7:E933,$G$7:G933,F933,$C$7:C933,"Перевод",$L$7:L933,"Проведён"))</f>
        <v/>
      </c>
    </row>
    <row r="934" spans="1:23" x14ac:dyDescent="0.25">
      <c r="A934" s="22"/>
      <c r="B934" s="23"/>
      <c r="C934" s="22"/>
      <c r="D934" s="22"/>
      <c r="E934" s="27"/>
      <c r="F934" s="22"/>
      <c r="G934" s="22"/>
      <c r="H934" s="22"/>
      <c r="I934" s="22"/>
      <c r="J934" s="22"/>
      <c r="K934" s="22"/>
      <c r="L934" s="22"/>
      <c r="M934" s="22"/>
      <c r="N934" s="27"/>
      <c r="O934" s="22"/>
      <c r="P934" s="5" t="str">
        <f>IF(A934="","",IF(COUNTIF(Типы,C934)=0,0,VLOOKUP(C934,СПРАВОЧНИКИ!$A$7:$E$22,2,FALSE)))</f>
        <v/>
      </c>
      <c r="Q934" s="25" t="str">
        <f t="shared" si="14"/>
        <v/>
      </c>
      <c r="R934" s="5" t="str">
        <f>IF(A934="","",IF(COUNTIF(Типы,C934)=0,"НЕИЗВЕСТНЫЙ ТИП",VLOOKUP(C934,СПРАВОЧНИКИ!$A$7:$E$22,3,FALSE)))</f>
        <v/>
      </c>
      <c r="S934" s="26" t="str">
        <f>IF(A934="","",IF(L934="Проведён",E934*IF(COUNTIF(Типы,C934)=0,0,VLOOKUP(C934,СПРАВОЧНИКИ!$A$7:$E$22,4,FALSE)),0))</f>
        <v/>
      </c>
      <c r="T934" s="26" t="str">
        <f>IF(A934="","",IF(L934="Проведён",E934*IF(COUNTIF(Типы,C934)=0,0,VLOOKUP(C934,СПРАВОЧНИКИ!$A$7:$E$22,5,FALSE)),0))</f>
        <v/>
      </c>
      <c r="U934" s="5" t="str">
        <f>IF(A934="","",IF(COUNTIF(Контрагенты,H934)=0,"Не задан",VLOOKUP(H934,СПРАВОЧНИКИ!$G$7:$H$66,2,FALSE)))</f>
        <v/>
      </c>
      <c r="V934" s="4" t="str">
        <f>IF(A934="",IF(COUNTA(B934:O934)&gt;0,"НЕТ ID",""),IF(OR(AND(OR(C934="Оплата клиента",C934="Возврат клиенту"),COUNTIFS(Docs[ID],J934,Docs[Тип долга],"ДЗ")&lt;&gt;1),AND(OR(C934="Оплата поставщику",C934="Возврат поставщика"),COUNTIFS(Docs[ID],J934,Docs[Тип долга],"КЗ",Docs[Вид],"&lt;&gt;Дивиденды")&lt;&gt;1),AND(C934="Дивиденды",COUNTIFS(Docs[ID],J934,Docs[Вид],"Дивиденды")&lt;&gt;1),AND(C934="Проценты",COUNTIFS(Docs[ID],J934,Docs[Вид],"Проценты")&lt;&gt;1),COUNTIF(Cash[ID],A934)&gt;1,NOT(ISNUMBER(B934)),B934&lt;НачалоУчета,YEAR(B934)&lt;&gt;Год,NOT(ISNUMBER(E934)),E934&lt;=0,N934&lt;0,COUNTIF(Типы,C934)&lt;&gt;1,COUNTIF(Категории,D934)&lt;&gt;1,COUNTIF(Счета,F934)&lt;&gt;1,COUNTIF(Проекты,I934)&lt;&gt;1,AND(H934&lt;&gt;"",COUNTIF(Контрагенты,H934)&lt;&gt;1),AND(C934="Перевод",OR(F934=G934,COUNTIF(Счета,G934)&lt;&gt;1)),AND(S934&lt;&gt;0,COUNTIF(Docs[ID],J934)&lt;&gt;1),AND(Форма="ООО",C934="Вывод ИП"),AND(Форма="ИП",C934="Дивиденды"),AND(L934&lt;&gt;"Проведён",L934&lt;&gt;"Черновик")),"ОШИБКА","ОК"))</f>
        <v/>
      </c>
      <c r="W934" s="25" t="str">
        <f>IF(A934="","",SUMIF(Accounts[Счёт],F934,Accounts[Начальный])+SUMIFS($Q$7:Q934,$F$7:F934,F934)+SUMIFS($E$7:E934,$G$7:G934,F934,$C$7:C934,"Перевод",$L$7:L934,"Проведён"))</f>
        <v/>
      </c>
    </row>
    <row r="935" spans="1:23" x14ac:dyDescent="0.25">
      <c r="A935" s="22"/>
      <c r="B935" s="23"/>
      <c r="C935" s="22"/>
      <c r="D935" s="22"/>
      <c r="E935" s="27"/>
      <c r="F935" s="22"/>
      <c r="G935" s="22"/>
      <c r="H935" s="22"/>
      <c r="I935" s="22"/>
      <c r="J935" s="22"/>
      <c r="K935" s="22"/>
      <c r="L935" s="22"/>
      <c r="M935" s="22"/>
      <c r="N935" s="27"/>
      <c r="O935" s="22"/>
      <c r="P935" s="5" t="str">
        <f>IF(A935="","",IF(COUNTIF(Типы,C935)=0,0,VLOOKUP(C935,СПРАВОЧНИКИ!$A$7:$E$22,2,FALSE)))</f>
        <v/>
      </c>
      <c r="Q935" s="25" t="str">
        <f t="shared" si="14"/>
        <v/>
      </c>
      <c r="R935" s="5" t="str">
        <f>IF(A935="","",IF(COUNTIF(Типы,C935)=0,"НЕИЗВЕСТНЫЙ ТИП",VLOOKUP(C935,СПРАВОЧНИКИ!$A$7:$E$22,3,FALSE)))</f>
        <v/>
      </c>
      <c r="S935" s="26" t="str">
        <f>IF(A935="","",IF(L935="Проведён",E935*IF(COUNTIF(Типы,C935)=0,0,VLOOKUP(C935,СПРАВОЧНИКИ!$A$7:$E$22,4,FALSE)),0))</f>
        <v/>
      </c>
      <c r="T935" s="26" t="str">
        <f>IF(A935="","",IF(L935="Проведён",E935*IF(COUNTIF(Типы,C935)=0,0,VLOOKUP(C935,СПРАВОЧНИКИ!$A$7:$E$22,5,FALSE)),0))</f>
        <v/>
      </c>
      <c r="U935" s="5" t="str">
        <f>IF(A935="","",IF(COUNTIF(Контрагенты,H935)=0,"Не задан",VLOOKUP(H935,СПРАВОЧНИКИ!$G$7:$H$66,2,FALSE)))</f>
        <v/>
      </c>
      <c r="V935" s="4" t="str">
        <f>IF(A935="",IF(COUNTA(B935:O935)&gt;0,"НЕТ ID",""),IF(OR(AND(OR(C935="Оплата клиента",C935="Возврат клиенту"),COUNTIFS(Docs[ID],J935,Docs[Тип долга],"ДЗ")&lt;&gt;1),AND(OR(C935="Оплата поставщику",C935="Возврат поставщика"),COUNTIFS(Docs[ID],J935,Docs[Тип долга],"КЗ",Docs[Вид],"&lt;&gt;Дивиденды")&lt;&gt;1),AND(C935="Дивиденды",COUNTIFS(Docs[ID],J935,Docs[Вид],"Дивиденды")&lt;&gt;1),AND(C935="Проценты",COUNTIFS(Docs[ID],J935,Docs[Вид],"Проценты")&lt;&gt;1),COUNTIF(Cash[ID],A935)&gt;1,NOT(ISNUMBER(B935)),B935&lt;НачалоУчета,YEAR(B935)&lt;&gt;Год,NOT(ISNUMBER(E935)),E935&lt;=0,N935&lt;0,COUNTIF(Типы,C935)&lt;&gt;1,COUNTIF(Категории,D935)&lt;&gt;1,COUNTIF(Счета,F935)&lt;&gt;1,COUNTIF(Проекты,I935)&lt;&gt;1,AND(H935&lt;&gt;"",COUNTIF(Контрагенты,H935)&lt;&gt;1),AND(C935="Перевод",OR(F935=G935,COUNTIF(Счета,G935)&lt;&gt;1)),AND(S935&lt;&gt;0,COUNTIF(Docs[ID],J935)&lt;&gt;1),AND(Форма="ООО",C935="Вывод ИП"),AND(Форма="ИП",C935="Дивиденды"),AND(L935&lt;&gt;"Проведён",L935&lt;&gt;"Черновик")),"ОШИБКА","ОК"))</f>
        <v/>
      </c>
      <c r="W935" s="25" t="str">
        <f>IF(A935="","",SUMIF(Accounts[Счёт],F935,Accounts[Начальный])+SUMIFS($Q$7:Q935,$F$7:F935,F935)+SUMIFS($E$7:E935,$G$7:G935,F935,$C$7:C935,"Перевод",$L$7:L935,"Проведён"))</f>
        <v/>
      </c>
    </row>
    <row r="936" spans="1:23" x14ac:dyDescent="0.25">
      <c r="A936" s="22"/>
      <c r="B936" s="23"/>
      <c r="C936" s="22"/>
      <c r="D936" s="22"/>
      <c r="E936" s="27"/>
      <c r="F936" s="22"/>
      <c r="G936" s="22"/>
      <c r="H936" s="22"/>
      <c r="I936" s="22"/>
      <c r="J936" s="22"/>
      <c r="K936" s="22"/>
      <c r="L936" s="22"/>
      <c r="M936" s="22"/>
      <c r="N936" s="27"/>
      <c r="O936" s="22"/>
      <c r="P936" s="5" t="str">
        <f>IF(A936="","",IF(COUNTIF(Типы,C936)=0,0,VLOOKUP(C936,СПРАВОЧНИКИ!$A$7:$E$22,2,FALSE)))</f>
        <v/>
      </c>
      <c r="Q936" s="25" t="str">
        <f t="shared" si="14"/>
        <v/>
      </c>
      <c r="R936" s="5" t="str">
        <f>IF(A936="","",IF(COUNTIF(Типы,C936)=0,"НЕИЗВЕСТНЫЙ ТИП",VLOOKUP(C936,СПРАВОЧНИКИ!$A$7:$E$22,3,FALSE)))</f>
        <v/>
      </c>
      <c r="S936" s="26" t="str">
        <f>IF(A936="","",IF(L936="Проведён",E936*IF(COUNTIF(Типы,C936)=0,0,VLOOKUP(C936,СПРАВОЧНИКИ!$A$7:$E$22,4,FALSE)),0))</f>
        <v/>
      </c>
      <c r="T936" s="26" t="str">
        <f>IF(A936="","",IF(L936="Проведён",E936*IF(COUNTIF(Типы,C936)=0,0,VLOOKUP(C936,СПРАВОЧНИКИ!$A$7:$E$22,5,FALSE)),0))</f>
        <v/>
      </c>
      <c r="U936" s="5" t="str">
        <f>IF(A936="","",IF(COUNTIF(Контрагенты,H936)=0,"Не задан",VLOOKUP(H936,СПРАВОЧНИКИ!$G$7:$H$66,2,FALSE)))</f>
        <v/>
      </c>
      <c r="V936" s="4" t="str">
        <f>IF(A936="",IF(COUNTA(B936:O936)&gt;0,"НЕТ ID",""),IF(OR(AND(OR(C936="Оплата клиента",C936="Возврат клиенту"),COUNTIFS(Docs[ID],J936,Docs[Тип долга],"ДЗ")&lt;&gt;1),AND(OR(C936="Оплата поставщику",C936="Возврат поставщика"),COUNTIFS(Docs[ID],J936,Docs[Тип долга],"КЗ",Docs[Вид],"&lt;&gt;Дивиденды")&lt;&gt;1),AND(C936="Дивиденды",COUNTIFS(Docs[ID],J936,Docs[Вид],"Дивиденды")&lt;&gt;1),AND(C936="Проценты",COUNTIFS(Docs[ID],J936,Docs[Вид],"Проценты")&lt;&gt;1),COUNTIF(Cash[ID],A936)&gt;1,NOT(ISNUMBER(B936)),B936&lt;НачалоУчета,YEAR(B936)&lt;&gt;Год,NOT(ISNUMBER(E936)),E936&lt;=0,N936&lt;0,COUNTIF(Типы,C936)&lt;&gt;1,COUNTIF(Категории,D936)&lt;&gt;1,COUNTIF(Счета,F936)&lt;&gt;1,COUNTIF(Проекты,I936)&lt;&gt;1,AND(H936&lt;&gt;"",COUNTIF(Контрагенты,H936)&lt;&gt;1),AND(C936="Перевод",OR(F936=G936,COUNTIF(Счета,G936)&lt;&gt;1)),AND(S936&lt;&gt;0,COUNTIF(Docs[ID],J936)&lt;&gt;1),AND(Форма="ООО",C936="Вывод ИП"),AND(Форма="ИП",C936="Дивиденды"),AND(L936&lt;&gt;"Проведён",L936&lt;&gt;"Черновик")),"ОШИБКА","ОК"))</f>
        <v/>
      </c>
      <c r="W936" s="25" t="str">
        <f>IF(A936="","",SUMIF(Accounts[Счёт],F936,Accounts[Начальный])+SUMIFS($Q$7:Q936,$F$7:F936,F936)+SUMIFS($E$7:E936,$G$7:G936,F936,$C$7:C936,"Перевод",$L$7:L936,"Проведён"))</f>
        <v/>
      </c>
    </row>
    <row r="937" spans="1:23" x14ac:dyDescent="0.25">
      <c r="A937" s="22"/>
      <c r="B937" s="23"/>
      <c r="C937" s="22"/>
      <c r="D937" s="22"/>
      <c r="E937" s="27"/>
      <c r="F937" s="22"/>
      <c r="G937" s="22"/>
      <c r="H937" s="22"/>
      <c r="I937" s="22"/>
      <c r="J937" s="22"/>
      <c r="K937" s="22"/>
      <c r="L937" s="22"/>
      <c r="M937" s="22"/>
      <c r="N937" s="27"/>
      <c r="O937" s="22"/>
      <c r="P937" s="5" t="str">
        <f>IF(A937="","",IF(COUNTIF(Типы,C937)=0,0,VLOOKUP(C937,СПРАВОЧНИКИ!$A$7:$E$22,2,FALSE)))</f>
        <v/>
      </c>
      <c r="Q937" s="25" t="str">
        <f t="shared" si="14"/>
        <v/>
      </c>
      <c r="R937" s="5" t="str">
        <f>IF(A937="","",IF(COUNTIF(Типы,C937)=0,"НЕИЗВЕСТНЫЙ ТИП",VLOOKUP(C937,СПРАВОЧНИКИ!$A$7:$E$22,3,FALSE)))</f>
        <v/>
      </c>
      <c r="S937" s="26" t="str">
        <f>IF(A937="","",IF(L937="Проведён",E937*IF(COUNTIF(Типы,C937)=0,0,VLOOKUP(C937,СПРАВОЧНИКИ!$A$7:$E$22,4,FALSE)),0))</f>
        <v/>
      </c>
      <c r="T937" s="26" t="str">
        <f>IF(A937="","",IF(L937="Проведён",E937*IF(COUNTIF(Типы,C937)=0,0,VLOOKUP(C937,СПРАВОЧНИКИ!$A$7:$E$22,5,FALSE)),0))</f>
        <v/>
      </c>
      <c r="U937" s="5" t="str">
        <f>IF(A937="","",IF(COUNTIF(Контрагенты,H937)=0,"Не задан",VLOOKUP(H937,СПРАВОЧНИКИ!$G$7:$H$66,2,FALSE)))</f>
        <v/>
      </c>
      <c r="V937" s="4" t="str">
        <f>IF(A937="",IF(COUNTA(B937:O937)&gt;0,"НЕТ ID",""),IF(OR(AND(OR(C937="Оплата клиента",C937="Возврат клиенту"),COUNTIFS(Docs[ID],J937,Docs[Тип долга],"ДЗ")&lt;&gt;1),AND(OR(C937="Оплата поставщику",C937="Возврат поставщика"),COUNTIFS(Docs[ID],J937,Docs[Тип долга],"КЗ",Docs[Вид],"&lt;&gt;Дивиденды")&lt;&gt;1),AND(C937="Дивиденды",COUNTIFS(Docs[ID],J937,Docs[Вид],"Дивиденды")&lt;&gt;1),AND(C937="Проценты",COUNTIFS(Docs[ID],J937,Docs[Вид],"Проценты")&lt;&gt;1),COUNTIF(Cash[ID],A937)&gt;1,NOT(ISNUMBER(B937)),B937&lt;НачалоУчета,YEAR(B937)&lt;&gt;Год,NOT(ISNUMBER(E937)),E937&lt;=0,N937&lt;0,COUNTIF(Типы,C937)&lt;&gt;1,COUNTIF(Категории,D937)&lt;&gt;1,COUNTIF(Счета,F937)&lt;&gt;1,COUNTIF(Проекты,I937)&lt;&gt;1,AND(H937&lt;&gt;"",COUNTIF(Контрагенты,H937)&lt;&gt;1),AND(C937="Перевод",OR(F937=G937,COUNTIF(Счета,G937)&lt;&gt;1)),AND(S937&lt;&gt;0,COUNTIF(Docs[ID],J937)&lt;&gt;1),AND(Форма="ООО",C937="Вывод ИП"),AND(Форма="ИП",C937="Дивиденды"),AND(L937&lt;&gt;"Проведён",L937&lt;&gt;"Черновик")),"ОШИБКА","ОК"))</f>
        <v/>
      </c>
      <c r="W937" s="25" t="str">
        <f>IF(A937="","",SUMIF(Accounts[Счёт],F937,Accounts[Начальный])+SUMIFS($Q$7:Q937,$F$7:F937,F937)+SUMIFS($E$7:E937,$G$7:G937,F937,$C$7:C937,"Перевод",$L$7:L937,"Проведён"))</f>
        <v/>
      </c>
    </row>
    <row r="938" spans="1:23" x14ac:dyDescent="0.25">
      <c r="A938" s="22"/>
      <c r="B938" s="23"/>
      <c r="C938" s="22"/>
      <c r="D938" s="22"/>
      <c r="E938" s="27"/>
      <c r="F938" s="22"/>
      <c r="G938" s="22"/>
      <c r="H938" s="22"/>
      <c r="I938" s="22"/>
      <c r="J938" s="22"/>
      <c r="K938" s="22"/>
      <c r="L938" s="22"/>
      <c r="M938" s="22"/>
      <c r="N938" s="27"/>
      <c r="O938" s="22"/>
      <c r="P938" s="5" t="str">
        <f>IF(A938="","",IF(COUNTIF(Типы,C938)=0,0,VLOOKUP(C938,СПРАВОЧНИКИ!$A$7:$E$22,2,FALSE)))</f>
        <v/>
      </c>
      <c r="Q938" s="25" t="str">
        <f t="shared" si="14"/>
        <v/>
      </c>
      <c r="R938" s="5" t="str">
        <f>IF(A938="","",IF(COUNTIF(Типы,C938)=0,"НЕИЗВЕСТНЫЙ ТИП",VLOOKUP(C938,СПРАВОЧНИКИ!$A$7:$E$22,3,FALSE)))</f>
        <v/>
      </c>
      <c r="S938" s="26" t="str">
        <f>IF(A938="","",IF(L938="Проведён",E938*IF(COUNTIF(Типы,C938)=0,0,VLOOKUP(C938,СПРАВОЧНИКИ!$A$7:$E$22,4,FALSE)),0))</f>
        <v/>
      </c>
      <c r="T938" s="26" t="str">
        <f>IF(A938="","",IF(L938="Проведён",E938*IF(COUNTIF(Типы,C938)=0,0,VLOOKUP(C938,СПРАВОЧНИКИ!$A$7:$E$22,5,FALSE)),0))</f>
        <v/>
      </c>
      <c r="U938" s="5" t="str">
        <f>IF(A938="","",IF(COUNTIF(Контрагенты,H938)=0,"Не задан",VLOOKUP(H938,СПРАВОЧНИКИ!$G$7:$H$66,2,FALSE)))</f>
        <v/>
      </c>
      <c r="V938" s="4" t="str">
        <f>IF(A938="",IF(COUNTA(B938:O938)&gt;0,"НЕТ ID",""),IF(OR(AND(OR(C938="Оплата клиента",C938="Возврат клиенту"),COUNTIFS(Docs[ID],J938,Docs[Тип долга],"ДЗ")&lt;&gt;1),AND(OR(C938="Оплата поставщику",C938="Возврат поставщика"),COUNTIFS(Docs[ID],J938,Docs[Тип долга],"КЗ",Docs[Вид],"&lt;&gt;Дивиденды")&lt;&gt;1),AND(C938="Дивиденды",COUNTIFS(Docs[ID],J938,Docs[Вид],"Дивиденды")&lt;&gt;1),AND(C938="Проценты",COUNTIFS(Docs[ID],J938,Docs[Вид],"Проценты")&lt;&gt;1),COUNTIF(Cash[ID],A938)&gt;1,NOT(ISNUMBER(B938)),B938&lt;НачалоУчета,YEAR(B938)&lt;&gt;Год,NOT(ISNUMBER(E938)),E938&lt;=0,N938&lt;0,COUNTIF(Типы,C938)&lt;&gt;1,COUNTIF(Категории,D938)&lt;&gt;1,COUNTIF(Счета,F938)&lt;&gt;1,COUNTIF(Проекты,I938)&lt;&gt;1,AND(H938&lt;&gt;"",COUNTIF(Контрагенты,H938)&lt;&gt;1),AND(C938="Перевод",OR(F938=G938,COUNTIF(Счета,G938)&lt;&gt;1)),AND(S938&lt;&gt;0,COUNTIF(Docs[ID],J938)&lt;&gt;1),AND(Форма="ООО",C938="Вывод ИП"),AND(Форма="ИП",C938="Дивиденды"),AND(L938&lt;&gt;"Проведён",L938&lt;&gt;"Черновик")),"ОШИБКА","ОК"))</f>
        <v/>
      </c>
      <c r="W938" s="25" t="str">
        <f>IF(A938="","",SUMIF(Accounts[Счёт],F938,Accounts[Начальный])+SUMIFS($Q$7:Q938,$F$7:F938,F938)+SUMIFS($E$7:E938,$G$7:G938,F938,$C$7:C938,"Перевод",$L$7:L938,"Проведён"))</f>
        <v/>
      </c>
    </row>
    <row r="939" spans="1:23" x14ac:dyDescent="0.25">
      <c r="A939" s="22"/>
      <c r="B939" s="23"/>
      <c r="C939" s="22"/>
      <c r="D939" s="22"/>
      <c r="E939" s="27"/>
      <c r="F939" s="22"/>
      <c r="G939" s="22"/>
      <c r="H939" s="22"/>
      <c r="I939" s="22"/>
      <c r="J939" s="22"/>
      <c r="K939" s="22"/>
      <c r="L939" s="22"/>
      <c r="M939" s="22"/>
      <c r="N939" s="27"/>
      <c r="O939" s="22"/>
      <c r="P939" s="5" t="str">
        <f>IF(A939="","",IF(COUNTIF(Типы,C939)=0,0,VLOOKUP(C939,СПРАВОЧНИКИ!$A$7:$E$22,2,FALSE)))</f>
        <v/>
      </c>
      <c r="Q939" s="25" t="str">
        <f t="shared" si="14"/>
        <v/>
      </c>
      <c r="R939" s="5" t="str">
        <f>IF(A939="","",IF(COUNTIF(Типы,C939)=0,"НЕИЗВЕСТНЫЙ ТИП",VLOOKUP(C939,СПРАВОЧНИКИ!$A$7:$E$22,3,FALSE)))</f>
        <v/>
      </c>
      <c r="S939" s="26" t="str">
        <f>IF(A939="","",IF(L939="Проведён",E939*IF(COUNTIF(Типы,C939)=0,0,VLOOKUP(C939,СПРАВОЧНИКИ!$A$7:$E$22,4,FALSE)),0))</f>
        <v/>
      </c>
      <c r="T939" s="26" t="str">
        <f>IF(A939="","",IF(L939="Проведён",E939*IF(COUNTIF(Типы,C939)=0,0,VLOOKUP(C939,СПРАВОЧНИКИ!$A$7:$E$22,5,FALSE)),0))</f>
        <v/>
      </c>
      <c r="U939" s="5" t="str">
        <f>IF(A939="","",IF(COUNTIF(Контрагенты,H939)=0,"Не задан",VLOOKUP(H939,СПРАВОЧНИКИ!$G$7:$H$66,2,FALSE)))</f>
        <v/>
      </c>
      <c r="V939" s="4" t="str">
        <f>IF(A939="",IF(COUNTA(B939:O939)&gt;0,"НЕТ ID",""),IF(OR(AND(OR(C939="Оплата клиента",C939="Возврат клиенту"),COUNTIFS(Docs[ID],J939,Docs[Тип долга],"ДЗ")&lt;&gt;1),AND(OR(C939="Оплата поставщику",C939="Возврат поставщика"),COUNTIFS(Docs[ID],J939,Docs[Тип долга],"КЗ",Docs[Вид],"&lt;&gt;Дивиденды")&lt;&gt;1),AND(C939="Дивиденды",COUNTIFS(Docs[ID],J939,Docs[Вид],"Дивиденды")&lt;&gt;1),AND(C939="Проценты",COUNTIFS(Docs[ID],J939,Docs[Вид],"Проценты")&lt;&gt;1),COUNTIF(Cash[ID],A939)&gt;1,NOT(ISNUMBER(B939)),B939&lt;НачалоУчета,YEAR(B939)&lt;&gt;Год,NOT(ISNUMBER(E939)),E939&lt;=0,N939&lt;0,COUNTIF(Типы,C939)&lt;&gt;1,COUNTIF(Категории,D939)&lt;&gt;1,COUNTIF(Счета,F939)&lt;&gt;1,COUNTIF(Проекты,I939)&lt;&gt;1,AND(H939&lt;&gt;"",COUNTIF(Контрагенты,H939)&lt;&gt;1),AND(C939="Перевод",OR(F939=G939,COUNTIF(Счета,G939)&lt;&gt;1)),AND(S939&lt;&gt;0,COUNTIF(Docs[ID],J939)&lt;&gt;1),AND(Форма="ООО",C939="Вывод ИП"),AND(Форма="ИП",C939="Дивиденды"),AND(L939&lt;&gt;"Проведён",L939&lt;&gt;"Черновик")),"ОШИБКА","ОК"))</f>
        <v/>
      </c>
      <c r="W939" s="25" t="str">
        <f>IF(A939="","",SUMIF(Accounts[Счёт],F939,Accounts[Начальный])+SUMIFS($Q$7:Q939,$F$7:F939,F939)+SUMIFS($E$7:E939,$G$7:G939,F939,$C$7:C939,"Перевод",$L$7:L939,"Проведён"))</f>
        <v/>
      </c>
    </row>
    <row r="940" spans="1:23" x14ac:dyDescent="0.25">
      <c r="A940" s="22"/>
      <c r="B940" s="23"/>
      <c r="C940" s="22"/>
      <c r="D940" s="22"/>
      <c r="E940" s="27"/>
      <c r="F940" s="22"/>
      <c r="G940" s="22"/>
      <c r="H940" s="22"/>
      <c r="I940" s="22"/>
      <c r="J940" s="22"/>
      <c r="K940" s="22"/>
      <c r="L940" s="22"/>
      <c r="M940" s="22"/>
      <c r="N940" s="27"/>
      <c r="O940" s="22"/>
      <c r="P940" s="5" t="str">
        <f>IF(A940="","",IF(COUNTIF(Типы,C940)=0,0,VLOOKUP(C940,СПРАВОЧНИКИ!$A$7:$E$22,2,FALSE)))</f>
        <v/>
      </c>
      <c r="Q940" s="25" t="str">
        <f t="shared" si="14"/>
        <v/>
      </c>
      <c r="R940" s="5" t="str">
        <f>IF(A940="","",IF(COUNTIF(Типы,C940)=0,"НЕИЗВЕСТНЫЙ ТИП",VLOOKUP(C940,СПРАВОЧНИКИ!$A$7:$E$22,3,FALSE)))</f>
        <v/>
      </c>
      <c r="S940" s="26" t="str">
        <f>IF(A940="","",IF(L940="Проведён",E940*IF(COUNTIF(Типы,C940)=0,0,VLOOKUP(C940,СПРАВОЧНИКИ!$A$7:$E$22,4,FALSE)),0))</f>
        <v/>
      </c>
      <c r="T940" s="26" t="str">
        <f>IF(A940="","",IF(L940="Проведён",E940*IF(COUNTIF(Типы,C940)=0,0,VLOOKUP(C940,СПРАВОЧНИКИ!$A$7:$E$22,5,FALSE)),0))</f>
        <v/>
      </c>
      <c r="U940" s="5" t="str">
        <f>IF(A940="","",IF(COUNTIF(Контрагенты,H940)=0,"Не задан",VLOOKUP(H940,СПРАВОЧНИКИ!$G$7:$H$66,2,FALSE)))</f>
        <v/>
      </c>
      <c r="V940" s="4" t="str">
        <f>IF(A940="",IF(COUNTA(B940:O940)&gt;0,"НЕТ ID",""),IF(OR(AND(OR(C940="Оплата клиента",C940="Возврат клиенту"),COUNTIFS(Docs[ID],J940,Docs[Тип долга],"ДЗ")&lt;&gt;1),AND(OR(C940="Оплата поставщику",C940="Возврат поставщика"),COUNTIFS(Docs[ID],J940,Docs[Тип долга],"КЗ",Docs[Вид],"&lt;&gt;Дивиденды")&lt;&gt;1),AND(C940="Дивиденды",COUNTIFS(Docs[ID],J940,Docs[Вид],"Дивиденды")&lt;&gt;1),AND(C940="Проценты",COUNTIFS(Docs[ID],J940,Docs[Вид],"Проценты")&lt;&gt;1),COUNTIF(Cash[ID],A940)&gt;1,NOT(ISNUMBER(B940)),B940&lt;НачалоУчета,YEAR(B940)&lt;&gt;Год,NOT(ISNUMBER(E940)),E940&lt;=0,N940&lt;0,COUNTIF(Типы,C940)&lt;&gt;1,COUNTIF(Категории,D940)&lt;&gt;1,COUNTIF(Счета,F940)&lt;&gt;1,COUNTIF(Проекты,I940)&lt;&gt;1,AND(H940&lt;&gt;"",COUNTIF(Контрагенты,H940)&lt;&gt;1),AND(C940="Перевод",OR(F940=G940,COUNTIF(Счета,G940)&lt;&gt;1)),AND(S940&lt;&gt;0,COUNTIF(Docs[ID],J940)&lt;&gt;1),AND(Форма="ООО",C940="Вывод ИП"),AND(Форма="ИП",C940="Дивиденды"),AND(L940&lt;&gt;"Проведён",L940&lt;&gt;"Черновик")),"ОШИБКА","ОК"))</f>
        <v/>
      </c>
      <c r="W940" s="25" t="str">
        <f>IF(A940="","",SUMIF(Accounts[Счёт],F940,Accounts[Начальный])+SUMIFS($Q$7:Q940,$F$7:F940,F940)+SUMIFS($E$7:E940,$G$7:G940,F940,$C$7:C940,"Перевод",$L$7:L940,"Проведён"))</f>
        <v/>
      </c>
    </row>
    <row r="941" spans="1:23" x14ac:dyDescent="0.25">
      <c r="A941" s="22"/>
      <c r="B941" s="23"/>
      <c r="C941" s="22"/>
      <c r="D941" s="22"/>
      <c r="E941" s="27"/>
      <c r="F941" s="22"/>
      <c r="G941" s="22"/>
      <c r="H941" s="22"/>
      <c r="I941" s="22"/>
      <c r="J941" s="22"/>
      <c r="K941" s="22"/>
      <c r="L941" s="22"/>
      <c r="M941" s="22"/>
      <c r="N941" s="27"/>
      <c r="O941" s="22"/>
      <c r="P941" s="5" t="str">
        <f>IF(A941="","",IF(COUNTIF(Типы,C941)=0,0,VLOOKUP(C941,СПРАВОЧНИКИ!$A$7:$E$22,2,FALSE)))</f>
        <v/>
      </c>
      <c r="Q941" s="25" t="str">
        <f t="shared" si="14"/>
        <v/>
      </c>
      <c r="R941" s="5" t="str">
        <f>IF(A941="","",IF(COUNTIF(Типы,C941)=0,"НЕИЗВЕСТНЫЙ ТИП",VLOOKUP(C941,СПРАВОЧНИКИ!$A$7:$E$22,3,FALSE)))</f>
        <v/>
      </c>
      <c r="S941" s="26" t="str">
        <f>IF(A941="","",IF(L941="Проведён",E941*IF(COUNTIF(Типы,C941)=0,0,VLOOKUP(C941,СПРАВОЧНИКИ!$A$7:$E$22,4,FALSE)),0))</f>
        <v/>
      </c>
      <c r="T941" s="26" t="str">
        <f>IF(A941="","",IF(L941="Проведён",E941*IF(COUNTIF(Типы,C941)=0,0,VLOOKUP(C941,СПРАВОЧНИКИ!$A$7:$E$22,5,FALSE)),0))</f>
        <v/>
      </c>
      <c r="U941" s="5" t="str">
        <f>IF(A941="","",IF(COUNTIF(Контрагенты,H941)=0,"Не задан",VLOOKUP(H941,СПРАВОЧНИКИ!$G$7:$H$66,2,FALSE)))</f>
        <v/>
      </c>
      <c r="V941" s="4" t="str">
        <f>IF(A941="",IF(COUNTA(B941:O941)&gt;0,"НЕТ ID",""),IF(OR(AND(OR(C941="Оплата клиента",C941="Возврат клиенту"),COUNTIFS(Docs[ID],J941,Docs[Тип долга],"ДЗ")&lt;&gt;1),AND(OR(C941="Оплата поставщику",C941="Возврат поставщика"),COUNTIFS(Docs[ID],J941,Docs[Тип долга],"КЗ",Docs[Вид],"&lt;&gt;Дивиденды")&lt;&gt;1),AND(C941="Дивиденды",COUNTIFS(Docs[ID],J941,Docs[Вид],"Дивиденды")&lt;&gt;1),AND(C941="Проценты",COUNTIFS(Docs[ID],J941,Docs[Вид],"Проценты")&lt;&gt;1),COUNTIF(Cash[ID],A941)&gt;1,NOT(ISNUMBER(B941)),B941&lt;НачалоУчета,YEAR(B941)&lt;&gt;Год,NOT(ISNUMBER(E941)),E941&lt;=0,N941&lt;0,COUNTIF(Типы,C941)&lt;&gt;1,COUNTIF(Категории,D941)&lt;&gt;1,COUNTIF(Счета,F941)&lt;&gt;1,COUNTIF(Проекты,I941)&lt;&gt;1,AND(H941&lt;&gt;"",COUNTIF(Контрагенты,H941)&lt;&gt;1),AND(C941="Перевод",OR(F941=G941,COUNTIF(Счета,G941)&lt;&gt;1)),AND(S941&lt;&gt;0,COUNTIF(Docs[ID],J941)&lt;&gt;1),AND(Форма="ООО",C941="Вывод ИП"),AND(Форма="ИП",C941="Дивиденды"),AND(L941&lt;&gt;"Проведён",L941&lt;&gt;"Черновик")),"ОШИБКА","ОК"))</f>
        <v/>
      </c>
      <c r="W941" s="25" t="str">
        <f>IF(A941="","",SUMIF(Accounts[Счёт],F941,Accounts[Начальный])+SUMIFS($Q$7:Q941,$F$7:F941,F941)+SUMIFS($E$7:E941,$G$7:G941,F941,$C$7:C941,"Перевод",$L$7:L941,"Проведён"))</f>
        <v/>
      </c>
    </row>
    <row r="942" spans="1:23" x14ac:dyDescent="0.25">
      <c r="A942" s="22"/>
      <c r="B942" s="23"/>
      <c r="C942" s="22"/>
      <c r="D942" s="22"/>
      <c r="E942" s="27"/>
      <c r="F942" s="22"/>
      <c r="G942" s="22"/>
      <c r="H942" s="22"/>
      <c r="I942" s="22"/>
      <c r="J942" s="22"/>
      <c r="K942" s="22"/>
      <c r="L942" s="22"/>
      <c r="M942" s="22"/>
      <c r="N942" s="27"/>
      <c r="O942" s="22"/>
      <c r="P942" s="5" t="str">
        <f>IF(A942="","",IF(COUNTIF(Типы,C942)=0,0,VLOOKUP(C942,СПРАВОЧНИКИ!$A$7:$E$22,2,FALSE)))</f>
        <v/>
      </c>
      <c r="Q942" s="25" t="str">
        <f t="shared" si="14"/>
        <v/>
      </c>
      <c r="R942" s="5" t="str">
        <f>IF(A942="","",IF(COUNTIF(Типы,C942)=0,"НЕИЗВЕСТНЫЙ ТИП",VLOOKUP(C942,СПРАВОЧНИКИ!$A$7:$E$22,3,FALSE)))</f>
        <v/>
      </c>
      <c r="S942" s="26" t="str">
        <f>IF(A942="","",IF(L942="Проведён",E942*IF(COUNTIF(Типы,C942)=0,0,VLOOKUP(C942,СПРАВОЧНИКИ!$A$7:$E$22,4,FALSE)),0))</f>
        <v/>
      </c>
      <c r="T942" s="26" t="str">
        <f>IF(A942="","",IF(L942="Проведён",E942*IF(COUNTIF(Типы,C942)=0,0,VLOOKUP(C942,СПРАВОЧНИКИ!$A$7:$E$22,5,FALSE)),0))</f>
        <v/>
      </c>
      <c r="U942" s="5" t="str">
        <f>IF(A942="","",IF(COUNTIF(Контрагенты,H942)=0,"Не задан",VLOOKUP(H942,СПРАВОЧНИКИ!$G$7:$H$66,2,FALSE)))</f>
        <v/>
      </c>
      <c r="V942" s="4" t="str">
        <f>IF(A942="",IF(COUNTA(B942:O942)&gt;0,"НЕТ ID",""),IF(OR(AND(OR(C942="Оплата клиента",C942="Возврат клиенту"),COUNTIFS(Docs[ID],J942,Docs[Тип долга],"ДЗ")&lt;&gt;1),AND(OR(C942="Оплата поставщику",C942="Возврат поставщика"),COUNTIFS(Docs[ID],J942,Docs[Тип долга],"КЗ",Docs[Вид],"&lt;&gt;Дивиденды")&lt;&gt;1),AND(C942="Дивиденды",COUNTIFS(Docs[ID],J942,Docs[Вид],"Дивиденды")&lt;&gt;1),AND(C942="Проценты",COUNTIFS(Docs[ID],J942,Docs[Вид],"Проценты")&lt;&gt;1),COUNTIF(Cash[ID],A942)&gt;1,NOT(ISNUMBER(B942)),B942&lt;НачалоУчета,YEAR(B942)&lt;&gt;Год,NOT(ISNUMBER(E942)),E942&lt;=0,N942&lt;0,COUNTIF(Типы,C942)&lt;&gt;1,COUNTIF(Категории,D942)&lt;&gt;1,COUNTIF(Счета,F942)&lt;&gt;1,COUNTIF(Проекты,I942)&lt;&gt;1,AND(H942&lt;&gt;"",COUNTIF(Контрагенты,H942)&lt;&gt;1),AND(C942="Перевод",OR(F942=G942,COUNTIF(Счета,G942)&lt;&gt;1)),AND(S942&lt;&gt;0,COUNTIF(Docs[ID],J942)&lt;&gt;1),AND(Форма="ООО",C942="Вывод ИП"),AND(Форма="ИП",C942="Дивиденды"),AND(L942&lt;&gt;"Проведён",L942&lt;&gt;"Черновик")),"ОШИБКА","ОК"))</f>
        <v/>
      </c>
      <c r="W942" s="25" t="str">
        <f>IF(A942="","",SUMIF(Accounts[Счёт],F942,Accounts[Начальный])+SUMIFS($Q$7:Q942,$F$7:F942,F942)+SUMIFS($E$7:E942,$G$7:G942,F942,$C$7:C942,"Перевод",$L$7:L942,"Проведён"))</f>
        <v/>
      </c>
    </row>
    <row r="943" spans="1:23" x14ac:dyDescent="0.25">
      <c r="A943" s="22"/>
      <c r="B943" s="23"/>
      <c r="C943" s="22"/>
      <c r="D943" s="22"/>
      <c r="E943" s="27"/>
      <c r="F943" s="22"/>
      <c r="G943" s="22"/>
      <c r="H943" s="22"/>
      <c r="I943" s="22"/>
      <c r="J943" s="22"/>
      <c r="K943" s="22"/>
      <c r="L943" s="22"/>
      <c r="M943" s="22"/>
      <c r="N943" s="27"/>
      <c r="O943" s="22"/>
      <c r="P943" s="5" t="str">
        <f>IF(A943="","",IF(COUNTIF(Типы,C943)=0,0,VLOOKUP(C943,СПРАВОЧНИКИ!$A$7:$E$22,2,FALSE)))</f>
        <v/>
      </c>
      <c r="Q943" s="25" t="str">
        <f t="shared" si="14"/>
        <v/>
      </c>
      <c r="R943" s="5" t="str">
        <f>IF(A943="","",IF(COUNTIF(Типы,C943)=0,"НЕИЗВЕСТНЫЙ ТИП",VLOOKUP(C943,СПРАВОЧНИКИ!$A$7:$E$22,3,FALSE)))</f>
        <v/>
      </c>
      <c r="S943" s="26" t="str">
        <f>IF(A943="","",IF(L943="Проведён",E943*IF(COUNTIF(Типы,C943)=0,0,VLOOKUP(C943,СПРАВОЧНИКИ!$A$7:$E$22,4,FALSE)),0))</f>
        <v/>
      </c>
      <c r="T943" s="26" t="str">
        <f>IF(A943="","",IF(L943="Проведён",E943*IF(COUNTIF(Типы,C943)=0,0,VLOOKUP(C943,СПРАВОЧНИКИ!$A$7:$E$22,5,FALSE)),0))</f>
        <v/>
      </c>
      <c r="U943" s="5" t="str">
        <f>IF(A943="","",IF(COUNTIF(Контрагенты,H943)=0,"Не задан",VLOOKUP(H943,СПРАВОЧНИКИ!$G$7:$H$66,2,FALSE)))</f>
        <v/>
      </c>
      <c r="V943" s="4" t="str">
        <f>IF(A943="",IF(COUNTA(B943:O943)&gt;0,"НЕТ ID",""),IF(OR(AND(OR(C943="Оплата клиента",C943="Возврат клиенту"),COUNTIFS(Docs[ID],J943,Docs[Тип долга],"ДЗ")&lt;&gt;1),AND(OR(C943="Оплата поставщику",C943="Возврат поставщика"),COUNTIFS(Docs[ID],J943,Docs[Тип долга],"КЗ",Docs[Вид],"&lt;&gt;Дивиденды")&lt;&gt;1),AND(C943="Дивиденды",COUNTIFS(Docs[ID],J943,Docs[Вид],"Дивиденды")&lt;&gt;1),AND(C943="Проценты",COUNTIFS(Docs[ID],J943,Docs[Вид],"Проценты")&lt;&gt;1),COUNTIF(Cash[ID],A943)&gt;1,NOT(ISNUMBER(B943)),B943&lt;НачалоУчета,YEAR(B943)&lt;&gt;Год,NOT(ISNUMBER(E943)),E943&lt;=0,N943&lt;0,COUNTIF(Типы,C943)&lt;&gt;1,COUNTIF(Категории,D943)&lt;&gt;1,COUNTIF(Счета,F943)&lt;&gt;1,COUNTIF(Проекты,I943)&lt;&gt;1,AND(H943&lt;&gt;"",COUNTIF(Контрагенты,H943)&lt;&gt;1),AND(C943="Перевод",OR(F943=G943,COUNTIF(Счета,G943)&lt;&gt;1)),AND(S943&lt;&gt;0,COUNTIF(Docs[ID],J943)&lt;&gt;1),AND(Форма="ООО",C943="Вывод ИП"),AND(Форма="ИП",C943="Дивиденды"),AND(L943&lt;&gt;"Проведён",L943&lt;&gt;"Черновик")),"ОШИБКА","ОК"))</f>
        <v/>
      </c>
      <c r="W943" s="25" t="str">
        <f>IF(A943="","",SUMIF(Accounts[Счёт],F943,Accounts[Начальный])+SUMIFS($Q$7:Q943,$F$7:F943,F943)+SUMIFS($E$7:E943,$G$7:G943,F943,$C$7:C943,"Перевод",$L$7:L943,"Проведён"))</f>
        <v/>
      </c>
    </row>
    <row r="944" spans="1:23" x14ac:dyDescent="0.25">
      <c r="A944" s="22"/>
      <c r="B944" s="23"/>
      <c r="C944" s="22"/>
      <c r="D944" s="22"/>
      <c r="E944" s="27"/>
      <c r="F944" s="22"/>
      <c r="G944" s="22"/>
      <c r="H944" s="22"/>
      <c r="I944" s="22"/>
      <c r="J944" s="22"/>
      <c r="K944" s="22"/>
      <c r="L944" s="22"/>
      <c r="M944" s="22"/>
      <c r="N944" s="27"/>
      <c r="O944" s="22"/>
      <c r="P944" s="5" t="str">
        <f>IF(A944="","",IF(COUNTIF(Типы,C944)=0,0,VLOOKUP(C944,СПРАВОЧНИКИ!$A$7:$E$22,2,FALSE)))</f>
        <v/>
      </c>
      <c r="Q944" s="25" t="str">
        <f t="shared" si="14"/>
        <v/>
      </c>
      <c r="R944" s="5" t="str">
        <f>IF(A944="","",IF(COUNTIF(Типы,C944)=0,"НЕИЗВЕСТНЫЙ ТИП",VLOOKUP(C944,СПРАВОЧНИКИ!$A$7:$E$22,3,FALSE)))</f>
        <v/>
      </c>
      <c r="S944" s="26" t="str">
        <f>IF(A944="","",IF(L944="Проведён",E944*IF(COUNTIF(Типы,C944)=0,0,VLOOKUP(C944,СПРАВОЧНИКИ!$A$7:$E$22,4,FALSE)),0))</f>
        <v/>
      </c>
      <c r="T944" s="26" t="str">
        <f>IF(A944="","",IF(L944="Проведён",E944*IF(COUNTIF(Типы,C944)=0,0,VLOOKUP(C944,СПРАВОЧНИКИ!$A$7:$E$22,5,FALSE)),0))</f>
        <v/>
      </c>
      <c r="U944" s="5" t="str">
        <f>IF(A944="","",IF(COUNTIF(Контрагенты,H944)=0,"Не задан",VLOOKUP(H944,СПРАВОЧНИКИ!$G$7:$H$66,2,FALSE)))</f>
        <v/>
      </c>
      <c r="V944" s="4" t="str">
        <f>IF(A944="",IF(COUNTA(B944:O944)&gt;0,"НЕТ ID",""),IF(OR(AND(OR(C944="Оплата клиента",C944="Возврат клиенту"),COUNTIFS(Docs[ID],J944,Docs[Тип долга],"ДЗ")&lt;&gt;1),AND(OR(C944="Оплата поставщику",C944="Возврат поставщика"),COUNTIFS(Docs[ID],J944,Docs[Тип долга],"КЗ",Docs[Вид],"&lt;&gt;Дивиденды")&lt;&gt;1),AND(C944="Дивиденды",COUNTIFS(Docs[ID],J944,Docs[Вид],"Дивиденды")&lt;&gt;1),AND(C944="Проценты",COUNTIFS(Docs[ID],J944,Docs[Вид],"Проценты")&lt;&gt;1),COUNTIF(Cash[ID],A944)&gt;1,NOT(ISNUMBER(B944)),B944&lt;НачалоУчета,YEAR(B944)&lt;&gt;Год,NOT(ISNUMBER(E944)),E944&lt;=0,N944&lt;0,COUNTIF(Типы,C944)&lt;&gt;1,COUNTIF(Категории,D944)&lt;&gt;1,COUNTIF(Счета,F944)&lt;&gt;1,COUNTIF(Проекты,I944)&lt;&gt;1,AND(H944&lt;&gt;"",COUNTIF(Контрагенты,H944)&lt;&gt;1),AND(C944="Перевод",OR(F944=G944,COUNTIF(Счета,G944)&lt;&gt;1)),AND(S944&lt;&gt;0,COUNTIF(Docs[ID],J944)&lt;&gt;1),AND(Форма="ООО",C944="Вывод ИП"),AND(Форма="ИП",C944="Дивиденды"),AND(L944&lt;&gt;"Проведён",L944&lt;&gt;"Черновик")),"ОШИБКА","ОК"))</f>
        <v/>
      </c>
      <c r="W944" s="25" t="str">
        <f>IF(A944="","",SUMIF(Accounts[Счёт],F944,Accounts[Начальный])+SUMIFS($Q$7:Q944,$F$7:F944,F944)+SUMIFS($E$7:E944,$G$7:G944,F944,$C$7:C944,"Перевод",$L$7:L944,"Проведён"))</f>
        <v/>
      </c>
    </row>
    <row r="945" spans="1:23" x14ac:dyDescent="0.25">
      <c r="A945" s="22"/>
      <c r="B945" s="23"/>
      <c r="C945" s="22"/>
      <c r="D945" s="22"/>
      <c r="E945" s="27"/>
      <c r="F945" s="22"/>
      <c r="G945" s="22"/>
      <c r="H945" s="22"/>
      <c r="I945" s="22"/>
      <c r="J945" s="22"/>
      <c r="K945" s="22"/>
      <c r="L945" s="22"/>
      <c r="M945" s="22"/>
      <c r="N945" s="27"/>
      <c r="O945" s="22"/>
      <c r="P945" s="5" t="str">
        <f>IF(A945="","",IF(COUNTIF(Типы,C945)=0,0,VLOOKUP(C945,СПРАВОЧНИКИ!$A$7:$E$22,2,FALSE)))</f>
        <v/>
      </c>
      <c r="Q945" s="25" t="str">
        <f t="shared" si="14"/>
        <v/>
      </c>
      <c r="R945" s="5" t="str">
        <f>IF(A945="","",IF(COUNTIF(Типы,C945)=0,"НЕИЗВЕСТНЫЙ ТИП",VLOOKUP(C945,СПРАВОЧНИКИ!$A$7:$E$22,3,FALSE)))</f>
        <v/>
      </c>
      <c r="S945" s="26" t="str">
        <f>IF(A945="","",IF(L945="Проведён",E945*IF(COUNTIF(Типы,C945)=0,0,VLOOKUP(C945,СПРАВОЧНИКИ!$A$7:$E$22,4,FALSE)),0))</f>
        <v/>
      </c>
      <c r="T945" s="26" t="str">
        <f>IF(A945="","",IF(L945="Проведён",E945*IF(COUNTIF(Типы,C945)=0,0,VLOOKUP(C945,СПРАВОЧНИКИ!$A$7:$E$22,5,FALSE)),0))</f>
        <v/>
      </c>
      <c r="U945" s="5" t="str">
        <f>IF(A945="","",IF(COUNTIF(Контрагенты,H945)=0,"Не задан",VLOOKUP(H945,СПРАВОЧНИКИ!$G$7:$H$66,2,FALSE)))</f>
        <v/>
      </c>
      <c r="V945" s="4" t="str">
        <f>IF(A945="",IF(COUNTA(B945:O945)&gt;0,"НЕТ ID",""),IF(OR(AND(OR(C945="Оплата клиента",C945="Возврат клиенту"),COUNTIFS(Docs[ID],J945,Docs[Тип долга],"ДЗ")&lt;&gt;1),AND(OR(C945="Оплата поставщику",C945="Возврат поставщика"),COUNTIFS(Docs[ID],J945,Docs[Тип долга],"КЗ",Docs[Вид],"&lt;&gt;Дивиденды")&lt;&gt;1),AND(C945="Дивиденды",COUNTIFS(Docs[ID],J945,Docs[Вид],"Дивиденды")&lt;&gt;1),AND(C945="Проценты",COUNTIFS(Docs[ID],J945,Docs[Вид],"Проценты")&lt;&gt;1),COUNTIF(Cash[ID],A945)&gt;1,NOT(ISNUMBER(B945)),B945&lt;НачалоУчета,YEAR(B945)&lt;&gt;Год,NOT(ISNUMBER(E945)),E945&lt;=0,N945&lt;0,COUNTIF(Типы,C945)&lt;&gt;1,COUNTIF(Категории,D945)&lt;&gt;1,COUNTIF(Счета,F945)&lt;&gt;1,COUNTIF(Проекты,I945)&lt;&gt;1,AND(H945&lt;&gt;"",COUNTIF(Контрагенты,H945)&lt;&gt;1),AND(C945="Перевод",OR(F945=G945,COUNTIF(Счета,G945)&lt;&gt;1)),AND(S945&lt;&gt;0,COUNTIF(Docs[ID],J945)&lt;&gt;1),AND(Форма="ООО",C945="Вывод ИП"),AND(Форма="ИП",C945="Дивиденды"),AND(L945&lt;&gt;"Проведён",L945&lt;&gt;"Черновик")),"ОШИБКА","ОК"))</f>
        <v/>
      </c>
      <c r="W945" s="25" t="str">
        <f>IF(A945="","",SUMIF(Accounts[Счёт],F945,Accounts[Начальный])+SUMIFS($Q$7:Q945,$F$7:F945,F945)+SUMIFS($E$7:E945,$G$7:G945,F945,$C$7:C945,"Перевод",$L$7:L945,"Проведён"))</f>
        <v/>
      </c>
    </row>
    <row r="946" spans="1:23" x14ac:dyDescent="0.25">
      <c r="A946" s="22"/>
      <c r="B946" s="23"/>
      <c r="C946" s="22"/>
      <c r="D946" s="22"/>
      <c r="E946" s="27"/>
      <c r="F946" s="22"/>
      <c r="G946" s="22"/>
      <c r="H946" s="22"/>
      <c r="I946" s="22"/>
      <c r="J946" s="22"/>
      <c r="K946" s="22"/>
      <c r="L946" s="22"/>
      <c r="M946" s="22"/>
      <c r="N946" s="27"/>
      <c r="O946" s="22"/>
      <c r="P946" s="5" t="str">
        <f>IF(A946="","",IF(COUNTIF(Типы,C946)=0,0,VLOOKUP(C946,СПРАВОЧНИКИ!$A$7:$E$22,2,FALSE)))</f>
        <v/>
      </c>
      <c r="Q946" s="25" t="str">
        <f t="shared" si="14"/>
        <v/>
      </c>
      <c r="R946" s="5" t="str">
        <f>IF(A946="","",IF(COUNTIF(Типы,C946)=0,"НЕИЗВЕСТНЫЙ ТИП",VLOOKUP(C946,СПРАВОЧНИКИ!$A$7:$E$22,3,FALSE)))</f>
        <v/>
      </c>
      <c r="S946" s="26" t="str">
        <f>IF(A946="","",IF(L946="Проведён",E946*IF(COUNTIF(Типы,C946)=0,0,VLOOKUP(C946,СПРАВОЧНИКИ!$A$7:$E$22,4,FALSE)),0))</f>
        <v/>
      </c>
      <c r="T946" s="26" t="str">
        <f>IF(A946="","",IF(L946="Проведён",E946*IF(COUNTIF(Типы,C946)=0,0,VLOOKUP(C946,СПРАВОЧНИКИ!$A$7:$E$22,5,FALSE)),0))</f>
        <v/>
      </c>
      <c r="U946" s="5" t="str">
        <f>IF(A946="","",IF(COUNTIF(Контрагенты,H946)=0,"Не задан",VLOOKUP(H946,СПРАВОЧНИКИ!$G$7:$H$66,2,FALSE)))</f>
        <v/>
      </c>
      <c r="V946" s="4" t="str">
        <f>IF(A946="",IF(COUNTA(B946:O946)&gt;0,"НЕТ ID",""),IF(OR(AND(OR(C946="Оплата клиента",C946="Возврат клиенту"),COUNTIFS(Docs[ID],J946,Docs[Тип долга],"ДЗ")&lt;&gt;1),AND(OR(C946="Оплата поставщику",C946="Возврат поставщика"),COUNTIFS(Docs[ID],J946,Docs[Тип долга],"КЗ",Docs[Вид],"&lt;&gt;Дивиденды")&lt;&gt;1),AND(C946="Дивиденды",COUNTIFS(Docs[ID],J946,Docs[Вид],"Дивиденды")&lt;&gt;1),AND(C946="Проценты",COUNTIFS(Docs[ID],J946,Docs[Вид],"Проценты")&lt;&gt;1),COUNTIF(Cash[ID],A946)&gt;1,NOT(ISNUMBER(B946)),B946&lt;НачалоУчета,YEAR(B946)&lt;&gt;Год,NOT(ISNUMBER(E946)),E946&lt;=0,N946&lt;0,COUNTIF(Типы,C946)&lt;&gt;1,COUNTIF(Категории,D946)&lt;&gt;1,COUNTIF(Счета,F946)&lt;&gt;1,COUNTIF(Проекты,I946)&lt;&gt;1,AND(H946&lt;&gt;"",COUNTIF(Контрагенты,H946)&lt;&gt;1),AND(C946="Перевод",OR(F946=G946,COUNTIF(Счета,G946)&lt;&gt;1)),AND(S946&lt;&gt;0,COUNTIF(Docs[ID],J946)&lt;&gt;1),AND(Форма="ООО",C946="Вывод ИП"),AND(Форма="ИП",C946="Дивиденды"),AND(L946&lt;&gt;"Проведён",L946&lt;&gt;"Черновик")),"ОШИБКА","ОК"))</f>
        <v/>
      </c>
      <c r="W946" s="25" t="str">
        <f>IF(A946="","",SUMIF(Accounts[Счёт],F946,Accounts[Начальный])+SUMIFS($Q$7:Q946,$F$7:F946,F946)+SUMIFS($E$7:E946,$G$7:G946,F946,$C$7:C946,"Перевод",$L$7:L946,"Проведён"))</f>
        <v/>
      </c>
    </row>
    <row r="947" spans="1:23" x14ac:dyDescent="0.25">
      <c r="A947" s="22"/>
      <c r="B947" s="23"/>
      <c r="C947" s="22"/>
      <c r="D947" s="22"/>
      <c r="E947" s="27"/>
      <c r="F947" s="22"/>
      <c r="G947" s="22"/>
      <c r="H947" s="22"/>
      <c r="I947" s="22"/>
      <c r="J947" s="22"/>
      <c r="K947" s="22"/>
      <c r="L947" s="22"/>
      <c r="M947" s="22"/>
      <c r="N947" s="27"/>
      <c r="O947" s="22"/>
      <c r="P947" s="5" t="str">
        <f>IF(A947="","",IF(COUNTIF(Типы,C947)=0,0,VLOOKUP(C947,СПРАВОЧНИКИ!$A$7:$E$22,2,FALSE)))</f>
        <v/>
      </c>
      <c r="Q947" s="25" t="str">
        <f t="shared" si="14"/>
        <v/>
      </c>
      <c r="R947" s="5" t="str">
        <f>IF(A947="","",IF(COUNTIF(Типы,C947)=0,"НЕИЗВЕСТНЫЙ ТИП",VLOOKUP(C947,СПРАВОЧНИКИ!$A$7:$E$22,3,FALSE)))</f>
        <v/>
      </c>
      <c r="S947" s="26" t="str">
        <f>IF(A947="","",IF(L947="Проведён",E947*IF(COUNTIF(Типы,C947)=0,0,VLOOKUP(C947,СПРАВОЧНИКИ!$A$7:$E$22,4,FALSE)),0))</f>
        <v/>
      </c>
      <c r="T947" s="26" t="str">
        <f>IF(A947="","",IF(L947="Проведён",E947*IF(COUNTIF(Типы,C947)=0,0,VLOOKUP(C947,СПРАВОЧНИКИ!$A$7:$E$22,5,FALSE)),0))</f>
        <v/>
      </c>
      <c r="U947" s="5" t="str">
        <f>IF(A947="","",IF(COUNTIF(Контрагенты,H947)=0,"Не задан",VLOOKUP(H947,СПРАВОЧНИКИ!$G$7:$H$66,2,FALSE)))</f>
        <v/>
      </c>
      <c r="V947" s="4" t="str">
        <f>IF(A947="",IF(COUNTA(B947:O947)&gt;0,"НЕТ ID",""),IF(OR(AND(OR(C947="Оплата клиента",C947="Возврат клиенту"),COUNTIFS(Docs[ID],J947,Docs[Тип долга],"ДЗ")&lt;&gt;1),AND(OR(C947="Оплата поставщику",C947="Возврат поставщика"),COUNTIFS(Docs[ID],J947,Docs[Тип долга],"КЗ",Docs[Вид],"&lt;&gt;Дивиденды")&lt;&gt;1),AND(C947="Дивиденды",COUNTIFS(Docs[ID],J947,Docs[Вид],"Дивиденды")&lt;&gt;1),AND(C947="Проценты",COUNTIFS(Docs[ID],J947,Docs[Вид],"Проценты")&lt;&gt;1),COUNTIF(Cash[ID],A947)&gt;1,NOT(ISNUMBER(B947)),B947&lt;НачалоУчета,YEAR(B947)&lt;&gt;Год,NOT(ISNUMBER(E947)),E947&lt;=0,N947&lt;0,COUNTIF(Типы,C947)&lt;&gt;1,COUNTIF(Категории,D947)&lt;&gt;1,COUNTIF(Счета,F947)&lt;&gt;1,COUNTIF(Проекты,I947)&lt;&gt;1,AND(H947&lt;&gt;"",COUNTIF(Контрагенты,H947)&lt;&gt;1),AND(C947="Перевод",OR(F947=G947,COUNTIF(Счета,G947)&lt;&gt;1)),AND(S947&lt;&gt;0,COUNTIF(Docs[ID],J947)&lt;&gt;1),AND(Форма="ООО",C947="Вывод ИП"),AND(Форма="ИП",C947="Дивиденды"),AND(L947&lt;&gt;"Проведён",L947&lt;&gt;"Черновик")),"ОШИБКА","ОК"))</f>
        <v/>
      </c>
      <c r="W947" s="25" t="str">
        <f>IF(A947="","",SUMIF(Accounts[Счёт],F947,Accounts[Начальный])+SUMIFS($Q$7:Q947,$F$7:F947,F947)+SUMIFS($E$7:E947,$G$7:G947,F947,$C$7:C947,"Перевод",$L$7:L947,"Проведён"))</f>
        <v/>
      </c>
    </row>
    <row r="948" spans="1:23" x14ac:dyDescent="0.25">
      <c r="A948" s="22"/>
      <c r="B948" s="23"/>
      <c r="C948" s="22"/>
      <c r="D948" s="22"/>
      <c r="E948" s="27"/>
      <c r="F948" s="22"/>
      <c r="G948" s="22"/>
      <c r="H948" s="22"/>
      <c r="I948" s="22"/>
      <c r="J948" s="22"/>
      <c r="K948" s="22"/>
      <c r="L948" s="22"/>
      <c r="M948" s="22"/>
      <c r="N948" s="27"/>
      <c r="O948" s="22"/>
      <c r="P948" s="5" t="str">
        <f>IF(A948="","",IF(COUNTIF(Типы,C948)=0,0,VLOOKUP(C948,СПРАВОЧНИКИ!$A$7:$E$22,2,FALSE)))</f>
        <v/>
      </c>
      <c r="Q948" s="25" t="str">
        <f t="shared" si="14"/>
        <v/>
      </c>
      <c r="R948" s="5" t="str">
        <f>IF(A948="","",IF(COUNTIF(Типы,C948)=0,"НЕИЗВЕСТНЫЙ ТИП",VLOOKUP(C948,СПРАВОЧНИКИ!$A$7:$E$22,3,FALSE)))</f>
        <v/>
      </c>
      <c r="S948" s="26" t="str">
        <f>IF(A948="","",IF(L948="Проведён",E948*IF(COUNTIF(Типы,C948)=0,0,VLOOKUP(C948,СПРАВОЧНИКИ!$A$7:$E$22,4,FALSE)),0))</f>
        <v/>
      </c>
      <c r="T948" s="26" t="str">
        <f>IF(A948="","",IF(L948="Проведён",E948*IF(COUNTIF(Типы,C948)=0,0,VLOOKUP(C948,СПРАВОЧНИКИ!$A$7:$E$22,5,FALSE)),0))</f>
        <v/>
      </c>
      <c r="U948" s="5" t="str">
        <f>IF(A948="","",IF(COUNTIF(Контрагенты,H948)=0,"Не задан",VLOOKUP(H948,СПРАВОЧНИКИ!$G$7:$H$66,2,FALSE)))</f>
        <v/>
      </c>
      <c r="V948" s="4" t="str">
        <f>IF(A948="",IF(COUNTA(B948:O948)&gt;0,"НЕТ ID",""),IF(OR(AND(OR(C948="Оплата клиента",C948="Возврат клиенту"),COUNTIFS(Docs[ID],J948,Docs[Тип долга],"ДЗ")&lt;&gt;1),AND(OR(C948="Оплата поставщику",C948="Возврат поставщика"),COUNTIFS(Docs[ID],J948,Docs[Тип долга],"КЗ",Docs[Вид],"&lt;&gt;Дивиденды")&lt;&gt;1),AND(C948="Дивиденды",COUNTIFS(Docs[ID],J948,Docs[Вид],"Дивиденды")&lt;&gt;1),AND(C948="Проценты",COUNTIFS(Docs[ID],J948,Docs[Вид],"Проценты")&lt;&gt;1),COUNTIF(Cash[ID],A948)&gt;1,NOT(ISNUMBER(B948)),B948&lt;НачалоУчета,YEAR(B948)&lt;&gt;Год,NOT(ISNUMBER(E948)),E948&lt;=0,N948&lt;0,COUNTIF(Типы,C948)&lt;&gt;1,COUNTIF(Категории,D948)&lt;&gt;1,COUNTIF(Счета,F948)&lt;&gt;1,COUNTIF(Проекты,I948)&lt;&gt;1,AND(H948&lt;&gt;"",COUNTIF(Контрагенты,H948)&lt;&gt;1),AND(C948="Перевод",OR(F948=G948,COUNTIF(Счета,G948)&lt;&gt;1)),AND(S948&lt;&gt;0,COUNTIF(Docs[ID],J948)&lt;&gt;1),AND(Форма="ООО",C948="Вывод ИП"),AND(Форма="ИП",C948="Дивиденды"),AND(L948&lt;&gt;"Проведён",L948&lt;&gt;"Черновик")),"ОШИБКА","ОК"))</f>
        <v/>
      </c>
      <c r="W948" s="25" t="str">
        <f>IF(A948="","",SUMIF(Accounts[Счёт],F948,Accounts[Начальный])+SUMIFS($Q$7:Q948,$F$7:F948,F948)+SUMIFS($E$7:E948,$G$7:G948,F948,$C$7:C948,"Перевод",$L$7:L948,"Проведён"))</f>
        <v/>
      </c>
    </row>
    <row r="949" spans="1:23" x14ac:dyDescent="0.25">
      <c r="A949" s="22"/>
      <c r="B949" s="23"/>
      <c r="C949" s="22"/>
      <c r="D949" s="22"/>
      <c r="E949" s="27"/>
      <c r="F949" s="22"/>
      <c r="G949" s="22"/>
      <c r="H949" s="22"/>
      <c r="I949" s="22"/>
      <c r="J949" s="22"/>
      <c r="K949" s="22"/>
      <c r="L949" s="22"/>
      <c r="M949" s="22"/>
      <c r="N949" s="27"/>
      <c r="O949" s="22"/>
      <c r="P949" s="5" t="str">
        <f>IF(A949="","",IF(COUNTIF(Типы,C949)=0,0,VLOOKUP(C949,СПРАВОЧНИКИ!$A$7:$E$22,2,FALSE)))</f>
        <v/>
      </c>
      <c r="Q949" s="25" t="str">
        <f t="shared" si="14"/>
        <v/>
      </c>
      <c r="R949" s="5" t="str">
        <f>IF(A949="","",IF(COUNTIF(Типы,C949)=0,"НЕИЗВЕСТНЫЙ ТИП",VLOOKUP(C949,СПРАВОЧНИКИ!$A$7:$E$22,3,FALSE)))</f>
        <v/>
      </c>
      <c r="S949" s="26" t="str">
        <f>IF(A949="","",IF(L949="Проведён",E949*IF(COUNTIF(Типы,C949)=0,0,VLOOKUP(C949,СПРАВОЧНИКИ!$A$7:$E$22,4,FALSE)),0))</f>
        <v/>
      </c>
      <c r="T949" s="26" t="str">
        <f>IF(A949="","",IF(L949="Проведён",E949*IF(COUNTIF(Типы,C949)=0,0,VLOOKUP(C949,СПРАВОЧНИКИ!$A$7:$E$22,5,FALSE)),0))</f>
        <v/>
      </c>
      <c r="U949" s="5" t="str">
        <f>IF(A949="","",IF(COUNTIF(Контрагенты,H949)=0,"Не задан",VLOOKUP(H949,СПРАВОЧНИКИ!$G$7:$H$66,2,FALSE)))</f>
        <v/>
      </c>
      <c r="V949" s="4" t="str">
        <f>IF(A949="",IF(COUNTA(B949:O949)&gt;0,"НЕТ ID",""),IF(OR(AND(OR(C949="Оплата клиента",C949="Возврат клиенту"),COUNTIFS(Docs[ID],J949,Docs[Тип долга],"ДЗ")&lt;&gt;1),AND(OR(C949="Оплата поставщику",C949="Возврат поставщика"),COUNTIFS(Docs[ID],J949,Docs[Тип долга],"КЗ",Docs[Вид],"&lt;&gt;Дивиденды")&lt;&gt;1),AND(C949="Дивиденды",COUNTIFS(Docs[ID],J949,Docs[Вид],"Дивиденды")&lt;&gt;1),AND(C949="Проценты",COUNTIFS(Docs[ID],J949,Docs[Вид],"Проценты")&lt;&gt;1),COUNTIF(Cash[ID],A949)&gt;1,NOT(ISNUMBER(B949)),B949&lt;НачалоУчета,YEAR(B949)&lt;&gt;Год,NOT(ISNUMBER(E949)),E949&lt;=0,N949&lt;0,COUNTIF(Типы,C949)&lt;&gt;1,COUNTIF(Категории,D949)&lt;&gt;1,COUNTIF(Счета,F949)&lt;&gt;1,COUNTIF(Проекты,I949)&lt;&gt;1,AND(H949&lt;&gt;"",COUNTIF(Контрагенты,H949)&lt;&gt;1),AND(C949="Перевод",OR(F949=G949,COUNTIF(Счета,G949)&lt;&gt;1)),AND(S949&lt;&gt;0,COUNTIF(Docs[ID],J949)&lt;&gt;1),AND(Форма="ООО",C949="Вывод ИП"),AND(Форма="ИП",C949="Дивиденды"),AND(L949&lt;&gt;"Проведён",L949&lt;&gt;"Черновик")),"ОШИБКА","ОК"))</f>
        <v/>
      </c>
      <c r="W949" s="25" t="str">
        <f>IF(A949="","",SUMIF(Accounts[Счёт],F949,Accounts[Начальный])+SUMIFS($Q$7:Q949,$F$7:F949,F949)+SUMIFS($E$7:E949,$G$7:G949,F949,$C$7:C949,"Перевод",$L$7:L949,"Проведён"))</f>
        <v/>
      </c>
    </row>
    <row r="950" spans="1:23" x14ac:dyDescent="0.25">
      <c r="A950" s="22"/>
      <c r="B950" s="23"/>
      <c r="C950" s="22"/>
      <c r="D950" s="22"/>
      <c r="E950" s="27"/>
      <c r="F950" s="22"/>
      <c r="G950" s="22"/>
      <c r="H950" s="22"/>
      <c r="I950" s="22"/>
      <c r="J950" s="22"/>
      <c r="K950" s="22"/>
      <c r="L950" s="22"/>
      <c r="M950" s="22"/>
      <c r="N950" s="27"/>
      <c r="O950" s="22"/>
      <c r="P950" s="5" t="str">
        <f>IF(A950="","",IF(COUNTIF(Типы,C950)=0,0,VLOOKUP(C950,СПРАВОЧНИКИ!$A$7:$E$22,2,FALSE)))</f>
        <v/>
      </c>
      <c r="Q950" s="25" t="str">
        <f t="shared" si="14"/>
        <v/>
      </c>
      <c r="R950" s="5" t="str">
        <f>IF(A950="","",IF(COUNTIF(Типы,C950)=0,"НЕИЗВЕСТНЫЙ ТИП",VLOOKUP(C950,СПРАВОЧНИКИ!$A$7:$E$22,3,FALSE)))</f>
        <v/>
      </c>
      <c r="S950" s="26" t="str">
        <f>IF(A950="","",IF(L950="Проведён",E950*IF(COUNTIF(Типы,C950)=0,0,VLOOKUP(C950,СПРАВОЧНИКИ!$A$7:$E$22,4,FALSE)),0))</f>
        <v/>
      </c>
      <c r="T950" s="26" t="str">
        <f>IF(A950="","",IF(L950="Проведён",E950*IF(COUNTIF(Типы,C950)=0,0,VLOOKUP(C950,СПРАВОЧНИКИ!$A$7:$E$22,5,FALSE)),0))</f>
        <v/>
      </c>
      <c r="U950" s="5" t="str">
        <f>IF(A950="","",IF(COUNTIF(Контрагенты,H950)=0,"Не задан",VLOOKUP(H950,СПРАВОЧНИКИ!$G$7:$H$66,2,FALSE)))</f>
        <v/>
      </c>
      <c r="V950" s="4" t="str">
        <f>IF(A950="",IF(COUNTA(B950:O950)&gt;0,"НЕТ ID",""),IF(OR(AND(OR(C950="Оплата клиента",C950="Возврат клиенту"),COUNTIFS(Docs[ID],J950,Docs[Тип долга],"ДЗ")&lt;&gt;1),AND(OR(C950="Оплата поставщику",C950="Возврат поставщика"),COUNTIFS(Docs[ID],J950,Docs[Тип долга],"КЗ",Docs[Вид],"&lt;&gt;Дивиденды")&lt;&gt;1),AND(C950="Дивиденды",COUNTIFS(Docs[ID],J950,Docs[Вид],"Дивиденды")&lt;&gt;1),AND(C950="Проценты",COUNTIFS(Docs[ID],J950,Docs[Вид],"Проценты")&lt;&gt;1),COUNTIF(Cash[ID],A950)&gt;1,NOT(ISNUMBER(B950)),B950&lt;НачалоУчета,YEAR(B950)&lt;&gt;Год,NOT(ISNUMBER(E950)),E950&lt;=0,N950&lt;0,COUNTIF(Типы,C950)&lt;&gt;1,COUNTIF(Категории,D950)&lt;&gt;1,COUNTIF(Счета,F950)&lt;&gt;1,COUNTIF(Проекты,I950)&lt;&gt;1,AND(H950&lt;&gt;"",COUNTIF(Контрагенты,H950)&lt;&gt;1),AND(C950="Перевод",OR(F950=G950,COUNTIF(Счета,G950)&lt;&gt;1)),AND(S950&lt;&gt;0,COUNTIF(Docs[ID],J950)&lt;&gt;1),AND(Форма="ООО",C950="Вывод ИП"),AND(Форма="ИП",C950="Дивиденды"),AND(L950&lt;&gt;"Проведён",L950&lt;&gt;"Черновик")),"ОШИБКА","ОК"))</f>
        <v/>
      </c>
      <c r="W950" s="25" t="str">
        <f>IF(A950="","",SUMIF(Accounts[Счёт],F950,Accounts[Начальный])+SUMIFS($Q$7:Q950,$F$7:F950,F950)+SUMIFS($E$7:E950,$G$7:G950,F950,$C$7:C950,"Перевод",$L$7:L950,"Проведён"))</f>
        <v/>
      </c>
    </row>
    <row r="951" spans="1:23" x14ac:dyDescent="0.25">
      <c r="A951" s="22"/>
      <c r="B951" s="23"/>
      <c r="C951" s="22"/>
      <c r="D951" s="22"/>
      <c r="E951" s="27"/>
      <c r="F951" s="22"/>
      <c r="G951" s="22"/>
      <c r="H951" s="22"/>
      <c r="I951" s="22"/>
      <c r="J951" s="22"/>
      <c r="K951" s="22"/>
      <c r="L951" s="22"/>
      <c r="M951" s="22"/>
      <c r="N951" s="27"/>
      <c r="O951" s="22"/>
      <c r="P951" s="5" t="str">
        <f>IF(A951="","",IF(COUNTIF(Типы,C951)=0,0,VLOOKUP(C951,СПРАВОЧНИКИ!$A$7:$E$22,2,FALSE)))</f>
        <v/>
      </c>
      <c r="Q951" s="25" t="str">
        <f t="shared" si="14"/>
        <v/>
      </c>
      <c r="R951" s="5" t="str">
        <f>IF(A951="","",IF(COUNTIF(Типы,C951)=0,"НЕИЗВЕСТНЫЙ ТИП",VLOOKUP(C951,СПРАВОЧНИКИ!$A$7:$E$22,3,FALSE)))</f>
        <v/>
      </c>
      <c r="S951" s="26" t="str">
        <f>IF(A951="","",IF(L951="Проведён",E951*IF(COUNTIF(Типы,C951)=0,0,VLOOKUP(C951,СПРАВОЧНИКИ!$A$7:$E$22,4,FALSE)),0))</f>
        <v/>
      </c>
      <c r="T951" s="26" t="str">
        <f>IF(A951="","",IF(L951="Проведён",E951*IF(COUNTIF(Типы,C951)=0,0,VLOOKUP(C951,СПРАВОЧНИКИ!$A$7:$E$22,5,FALSE)),0))</f>
        <v/>
      </c>
      <c r="U951" s="5" t="str">
        <f>IF(A951="","",IF(COUNTIF(Контрагенты,H951)=0,"Не задан",VLOOKUP(H951,СПРАВОЧНИКИ!$G$7:$H$66,2,FALSE)))</f>
        <v/>
      </c>
      <c r="V951" s="4" t="str">
        <f>IF(A951="",IF(COUNTA(B951:O951)&gt;0,"НЕТ ID",""),IF(OR(AND(OR(C951="Оплата клиента",C951="Возврат клиенту"),COUNTIFS(Docs[ID],J951,Docs[Тип долга],"ДЗ")&lt;&gt;1),AND(OR(C951="Оплата поставщику",C951="Возврат поставщика"),COUNTIFS(Docs[ID],J951,Docs[Тип долга],"КЗ",Docs[Вид],"&lt;&gt;Дивиденды")&lt;&gt;1),AND(C951="Дивиденды",COUNTIFS(Docs[ID],J951,Docs[Вид],"Дивиденды")&lt;&gt;1),AND(C951="Проценты",COUNTIFS(Docs[ID],J951,Docs[Вид],"Проценты")&lt;&gt;1),COUNTIF(Cash[ID],A951)&gt;1,NOT(ISNUMBER(B951)),B951&lt;НачалоУчета,YEAR(B951)&lt;&gt;Год,NOT(ISNUMBER(E951)),E951&lt;=0,N951&lt;0,COUNTIF(Типы,C951)&lt;&gt;1,COUNTIF(Категории,D951)&lt;&gt;1,COUNTIF(Счета,F951)&lt;&gt;1,COUNTIF(Проекты,I951)&lt;&gt;1,AND(H951&lt;&gt;"",COUNTIF(Контрагенты,H951)&lt;&gt;1),AND(C951="Перевод",OR(F951=G951,COUNTIF(Счета,G951)&lt;&gt;1)),AND(S951&lt;&gt;0,COUNTIF(Docs[ID],J951)&lt;&gt;1),AND(Форма="ООО",C951="Вывод ИП"),AND(Форма="ИП",C951="Дивиденды"),AND(L951&lt;&gt;"Проведён",L951&lt;&gt;"Черновик")),"ОШИБКА","ОК"))</f>
        <v/>
      </c>
      <c r="W951" s="25" t="str">
        <f>IF(A951="","",SUMIF(Accounts[Счёт],F951,Accounts[Начальный])+SUMIFS($Q$7:Q951,$F$7:F951,F951)+SUMIFS($E$7:E951,$G$7:G951,F951,$C$7:C951,"Перевод",$L$7:L951,"Проведён"))</f>
        <v/>
      </c>
    </row>
    <row r="952" spans="1:23" x14ac:dyDescent="0.25">
      <c r="A952" s="22"/>
      <c r="B952" s="23"/>
      <c r="C952" s="22"/>
      <c r="D952" s="22"/>
      <c r="E952" s="27"/>
      <c r="F952" s="22"/>
      <c r="G952" s="22"/>
      <c r="H952" s="22"/>
      <c r="I952" s="22"/>
      <c r="J952" s="22"/>
      <c r="K952" s="22"/>
      <c r="L952" s="22"/>
      <c r="M952" s="22"/>
      <c r="N952" s="27"/>
      <c r="O952" s="22"/>
      <c r="P952" s="5" t="str">
        <f>IF(A952="","",IF(COUNTIF(Типы,C952)=0,0,VLOOKUP(C952,СПРАВОЧНИКИ!$A$7:$E$22,2,FALSE)))</f>
        <v/>
      </c>
      <c r="Q952" s="25" t="str">
        <f t="shared" si="14"/>
        <v/>
      </c>
      <c r="R952" s="5" t="str">
        <f>IF(A952="","",IF(COUNTIF(Типы,C952)=0,"НЕИЗВЕСТНЫЙ ТИП",VLOOKUP(C952,СПРАВОЧНИКИ!$A$7:$E$22,3,FALSE)))</f>
        <v/>
      </c>
      <c r="S952" s="26" t="str">
        <f>IF(A952="","",IF(L952="Проведён",E952*IF(COUNTIF(Типы,C952)=0,0,VLOOKUP(C952,СПРАВОЧНИКИ!$A$7:$E$22,4,FALSE)),0))</f>
        <v/>
      </c>
      <c r="T952" s="26" t="str">
        <f>IF(A952="","",IF(L952="Проведён",E952*IF(COUNTIF(Типы,C952)=0,0,VLOOKUP(C952,СПРАВОЧНИКИ!$A$7:$E$22,5,FALSE)),0))</f>
        <v/>
      </c>
      <c r="U952" s="5" t="str">
        <f>IF(A952="","",IF(COUNTIF(Контрагенты,H952)=0,"Не задан",VLOOKUP(H952,СПРАВОЧНИКИ!$G$7:$H$66,2,FALSE)))</f>
        <v/>
      </c>
      <c r="V952" s="4" t="str">
        <f>IF(A952="",IF(COUNTA(B952:O952)&gt;0,"НЕТ ID",""),IF(OR(AND(OR(C952="Оплата клиента",C952="Возврат клиенту"),COUNTIFS(Docs[ID],J952,Docs[Тип долга],"ДЗ")&lt;&gt;1),AND(OR(C952="Оплата поставщику",C952="Возврат поставщика"),COUNTIFS(Docs[ID],J952,Docs[Тип долга],"КЗ",Docs[Вид],"&lt;&gt;Дивиденды")&lt;&gt;1),AND(C952="Дивиденды",COUNTIFS(Docs[ID],J952,Docs[Вид],"Дивиденды")&lt;&gt;1),AND(C952="Проценты",COUNTIFS(Docs[ID],J952,Docs[Вид],"Проценты")&lt;&gt;1),COUNTIF(Cash[ID],A952)&gt;1,NOT(ISNUMBER(B952)),B952&lt;НачалоУчета,YEAR(B952)&lt;&gt;Год,NOT(ISNUMBER(E952)),E952&lt;=0,N952&lt;0,COUNTIF(Типы,C952)&lt;&gt;1,COUNTIF(Категории,D952)&lt;&gt;1,COUNTIF(Счета,F952)&lt;&gt;1,COUNTIF(Проекты,I952)&lt;&gt;1,AND(H952&lt;&gt;"",COUNTIF(Контрагенты,H952)&lt;&gt;1),AND(C952="Перевод",OR(F952=G952,COUNTIF(Счета,G952)&lt;&gt;1)),AND(S952&lt;&gt;0,COUNTIF(Docs[ID],J952)&lt;&gt;1),AND(Форма="ООО",C952="Вывод ИП"),AND(Форма="ИП",C952="Дивиденды"),AND(L952&lt;&gt;"Проведён",L952&lt;&gt;"Черновик")),"ОШИБКА","ОК"))</f>
        <v/>
      </c>
      <c r="W952" s="25" t="str">
        <f>IF(A952="","",SUMIF(Accounts[Счёт],F952,Accounts[Начальный])+SUMIFS($Q$7:Q952,$F$7:F952,F952)+SUMIFS($E$7:E952,$G$7:G952,F952,$C$7:C952,"Перевод",$L$7:L952,"Проведён"))</f>
        <v/>
      </c>
    </row>
    <row r="953" spans="1:23" x14ac:dyDescent="0.25">
      <c r="A953" s="22"/>
      <c r="B953" s="23"/>
      <c r="C953" s="22"/>
      <c r="D953" s="22"/>
      <c r="E953" s="27"/>
      <c r="F953" s="22"/>
      <c r="G953" s="22"/>
      <c r="H953" s="22"/>
      <c r="I953" s="22"/>
      <c r="J953" s="22"/>
      <c r="K953" s="22"/>
      <c r="L953" s="22"/>
      <c r="M953" s="22"/>
      <c r="N953" s="27"/>
      <c r="O953" s="22"/>
      <c r="P953" s="5" t="str">
        <f>IF(A953="","",IF(COUNTIF(Типы,C953)=0,0,VLOOKUP(C953,СПРАВОЧНИКИ!$A$7:$E$22,2,FALSE)))</f>
        <v/>
      </c>
      <c r="Q953" s="25" t="str">
        <f t="shared" si="14"/>
        <v/>
      </c>
      <c r="R953" s="5" t="str">
        <f>IF(A953="","",IF(COUNTIF(Типы,C953)=0,"НЕИЗВЕСТНЫЙ ТИП",VLOOKUP(C953,СПРАВОЧНИКИ!$A$7:$E$22,3,FALSE)))</f>
        <v/>
      </c>
      <c r="S953" s="26" t="str">
        <f>IF(A953="","",IF(L953="Проведён",E953*IF(COUNTIF(Типы,C953)=0,0,VLOOKUP(C953,СПРАВОЧНИКИ!$A$7:$E$22,4,FALSE)),0))</f>
        <v/>
      </c>
      <c r="T953" s="26" t="str">
        <f>IF(A953="","",IF(L953="Проведён",E953*IF(COUNTIF(Типы,C953)=0,0,VLOOKUP(C953,СПРАВОЧНИКИ!$A$7:$E$22,5,FALSE)),0))</f>
        <v/>
      </c>
      <c r="U953" s="5" t="str">
        <f>IF(A953="","",IF(COUNTIF(Контрагенты,H953)=0,"Не задан",VLOOKUP(H953,СПРАВОЧНИКИ!$G$7:$H$66,2,FALSE)))</f>
        <v/>
      </c>
      <c r="V953" s="4" t="str">
        <f>IF(A953="",IF(COUNTA(B953:O953)&gt;0,"НЕТ ID",""),IF(OR(AND(OR(C953="Оплата клиента",C953="Возврат клиенту"),COUNTIFS(Docs[ID],J953,Docs[Тип долга],"ДЗ")&lt;&gt;1),AND(OR(C953="Оплата поставщику",C953="Возврат поставщика"),COUNTIFS(Docs[ID],J953,Docs[Тип долга],"КЗ",Docs[Вид],"&lt;&gt;Дивиденды")&lt;&gt;1),AND(C953="Дивиденды",COUNTIFS(Docs[ID],J953,Docs[Вид],"Дивиденды")&lt;&gt;1),AND(C953="Проценты",COUNTIFS(Docs[ID],J953,Docs[Вид],"Проценты")&lt;&gt;1),COUNTIF(Cash[ID],A953)&gt;1,NOT(ISNUMBER(B953)),B953&lt;НачалоУчета,YEAR(B953)&lt;&gt;Год,NOT(ISNUMBER(E953)),E953&lt;=0,N953&lt;0,COUNTIF(Типы,C953)&lt;&gt;1,COUNTIF(Категории,D953)&lt;&gt;1,COUNTIF(Счета,F953)&lt;&gt;1,COUNTIF(Проекты,I953)&lt;&gt;1,AND(H953&lt;&gt;"",COUNTIF(Контрагенты,H953)&lt;&gt;1),AND(C953="Перевод",OR(F953=G953,COUNTIF(Счета,G953)&lt;&gt;1)),AND(S953&lt;&gt;0,COUNTIF(Docs[ID],J953)&lt;&gt;1),AND(Форма="ООО",C953="Вывод ИП"),AND(Форма="ИП",C953="Дивиденды"),AND(L953&lt;&gt;"Проведён",L953&lt;&gt;"Черновик")),"ОШИБКА","ОК"))</f>
        <v/>
      </c>
      <c r="W953" s="25" t="str">
        <f>IF(A953="","",SUMIF(Accounts[Счёт],F953,Accounts[Начальный])+SUMIFS($Q$7:Q953,$F$7:F953,F953)+SUMIFS($E$7:E953,$G$7:G953,F953,$C$7:C953,"Перевод",$L$7:L953,"Проведён"))</f>
        <v/>
      </c>
    </row>
    <row r="954" spans="1:23" x14ac:dyDescent="0.25">
      <c r="A954" s="22"/>
      <c r="B954" s="23"/>
      <c r="C954" s="22"/>
      <c r="D954" s="22"/>
      <c r="E954" s="27"/>
      <c r="F954" s="22"/>
      <c r="G954" s="22"/>
      <c r="H954" s="22"/>
      <c r="I954" s="22"/>
      <c r="J954" s="22"/>
      <c r="K954" s="22"/>
      <c r="L954" s="22"/>
      <c r="M954" s="22"/>
      <c r="N954" s="27"/>
      <c r="O954" s="22"/>
      <c r="P954" s="5" t="str">
        <f>IF(A954="","",IF(COUNTIF(Типы,C954)=0,0,VLOOKUP(C954,СПРАВОЧНИКИ!$A$7:$E$22,2,FALSE)))</f>
        <v/>
      </c>
      <c r="Q954" s="25" t="str">
        <f t="shared" si="14"/>
        <v/>
      </c>
      <c r="R954" s="5" t="str">
        <f>IF(A954="","",IF(COUNTIF(Типы,C954)=0,"НЕИЗВЕСТНЫЙ ТИП",VLOOKUP(C954,СПРАВОЧНИКИ!$A$7:$E$22,3,FALSE)))</f>
        <v/>
      </c>
      <c r="S954" s="26" t="str">
        <f>IF(A954="","",IF(L954="Проведён",E954*IF(COUNTIF(Типы,C954)=0,0,VLOOKUP(C954,СПРАВОЧНИКИ!$A$7:$E$22,4,FALSE)),0))</f>
        <v/>
      </c>
      <c r="T954" s="26" t="str">
        <f>IF(A954="","",IF(L954="Проведён",E954*IF(COUNTIF(Типы,C954)=0,0,VLOOKUP(C954,СПРАВОЧНИКИ!$A$7:$E$22,5,FALSE)),0))</f>
        <v/>
      </c>
      <c r="U954" s="5" t="str">
        <f>IF(A954="","",IF(COUNTIF(Контрагенты,H954)=0,"Не задан",VLOOKUP(H954,СПРАВОЧНИКИ!$G$7:$H$66,2,FALSE)))</f>
        <v/>
      </c>
      <c r="V954" s="4" t="str">
        <f>IF(A954="",IF(COUNTA(B954:O954)&gt;0,"НЕТ ID",""),IF(OR(AND(OR(C954="Оплата клиента",C954="Возврат клиенту"),COUNTIFS(Docs[ID],J954,Docs[Тип долга],"ДЗ")&lt;&gt;1),AND(OR(C954="Оплата поставщику",C954="Возврат поставщика"),COUNTIFS(Docs[ID],J954,Docs[Тип долга],"КЗ",Docs[Вид],"&lt;&gt;Дивиденды")&lt;&gt;1),AND(C954="Дивиденды",COUNTIFS(Docs[ID],J954,Docs[Вид],"Дивиденды")&lt;&gt;1),AND(C954="Проценты",COUNTIFS(Docs[ID],J954,Docs[Вид],"Проценты")&lt;&gt;1),COUNTIF(Cash[ID],A954)&gt;1,NOT(ISNUMBER(B954)),B954&lt;НачалоУчета,YEAR(B954)&lt;&gt;Год,NOT(ISNUMBER(E954)),E954&lt;=0,N954&lt;0,COUNTIF(Типы,C954)&lt;&gt;1,COUNTIF(Категории,D954)&lt;&gt;1,COUNTIF(Счета,F954)&lt;&gt;1,COUNTIF(Проекты,I954)&lt;&gt;1,AND(H954&lt;&gt;"",COUNTIF(Контрагенты,H954)&lt;&gt;1),AND(C954="Перевод",OR(F954=G954,COUNTIF(Счета,G954)&lt;&gt;1)),AND(S954&lt;&gt;0,COUNTIF(Docs[ID],J954)&lt;&gt;1),AND(Форма="ООО",C954="Вывод ИП"),AND(Форма="ИП",C954="Дивиденды"),AND(L954&lt;&gt;"Проведён",L954&lt;&gt;"Черновик")),"ОШИБКА","ОК"))</f>
        <v/>
      </c>
      <c r="W954" s="25" t="str">
        <f>IF(A954="","",SUMIF(Accounts[Счёт],F954,Accounts[Начальный])+SUMIFS($Q$7:Q954,$F$7:F954,F954)+SUMIFS($E$7:E954,$G$7:G954,F954,$C$7:C954,"Перевод",$L$7:L954,"Проведён"))</f>
        <v/>
      </c>
    </row>
    <row r="955" spans="1:23" x14ac:dyDescent="0.25">
      <c r="A955" s="22"/>
      <c r="B955" s="23"/>
      <c r="C955" s="22"/>
      <c r="D955" s="22"/>
      <c r="E955" s="27"/>
      <c r="F955" s="22"/>
      <c r="G955" s="22"/>
      <c r="H955" s="22"/>
      <c r="I955" s="22"/>
      <c r="J955" s="22"/>
      <c r="K955" s="22"/>
      <c r="L955" s="22"/>
      <c r="M955" s="22"/>
      <c r="N955" s="27"/>
      <c r="O955" s="22"/>
      <c r="P955" s="5" t="str">
        <f>IF(A955="","",IF(COUNTIF(Типы,C955)=0,0,VLOOKUP(C955,СПРАВОЧНИКИ!$A$7:$E$22,2,FALSE)))</f>
        <v/>
      </c>
      <c r="Q955" s="25" t="str">
        <f t="shared" si="14"/>
        <v/>
      </c>
      <c r="R955" s="5" t="str">
        <f>IF(A955="","",IF(COUNTIF(Типы,C955)=0,"НЕИЗВЕСТНЫЙ ТИП",VLOOKUP(C955,СПРАВОЧНИКИ!$A$7:$E$22,3,FALSE)))</f>
        <v/>
      </c>
      <c r="S955" s="26" t="str">
        <f>IF(A955="","",IF(L955="Проведён",E955*IF(COUNTIF(Типы,C955)=0,0,VLOOKUP(C955,СПРАВОЧНИКИ!$A$7:$E$22,4,FALSE)),0))</f>
        <v/>
      </c>
      <c r="T955" s="26" t="str">
        <f>IF(A955="","",IF(L955="Проведён",E955*IF(COUNTIF(Типы,C955)=0,0,VLOOKUP(C955,СПРАВОЧНИКИ!$A$7:$E$22,5,FALSE)),0))</f>
        <v/>
      </c>
      <c r="U955" s="5" t="str">
        <f>IF(A955="","",IF(COUNTIF(Контрагенты,H955)=0,"Не задан",VLOOKUP(H955,СПРАВОЧНИКИ!$G$7:$H$66,2,FALSE)))</f>
        <v/>
      </c>
      <c r="V955" s="4" t="str">
        <f>IF(A955="",IF(COUNTA(B955:O955)&gt;0,"НЕТ ID",""),IF(OR(AND(OR(C955="Оплата клиента",C955="Возврат клиенту"),COUNTIFS(Docs[ID],J955,Docs[Тип долга],"ДЗ")&lt;&gt;1),AND(OR(C955="Оплата поставщику",C955="Возврат поставщика"),COUNTIFS(Docs[ID],J955,Docs[Тип долга],"КЗ",Docs[Вид],"&lt;&gt;Дивиденды")&lt;&gt;1),AND(C955="Дивиденды",COUNTIFS(Docs[ID],J955,Docs[Вид],"Дивиденды")&lt;&gt;1),AND(C955="Проценты",COUNTIFS(Docs[ID],J955,Docs[Вид],"Проценты")&lt;&gt;1),COUNTIF(Cash[ID],A955)&gt;1,NOT(ISNUMBER(B955)),B955&lt;НачалоУчета,YEAR(B955)&lt;&gt;Год,NOT(ISNUMBER(E955)),E955&lt;=0,N955&lt;0,COUNTIF(Типы,C955)&lt;&gt;1,COUNTIF(Категории,D955)&lt;&gt;1,COUNTIF(Счета,F955)&lt;&gt;1,COUNTIF(Проекты,I955)&lt;&gt;1,AND(H955&lt;&gt;"",COUNTIF(Контрагенты,H955)&lt;&gt;1),AND(C955="Перевод",OR(F955=G955,COUNTIF(Счета,G955)&lt;&gt;1)),AND(S955&lt;&gt;0,COUNTIF(Docs[ID],J955)&lt;&gt;1),AND(Форма="ООО",C955="Вывод ИП"),AND(Форма="ИП",C955="Дивиденды"),AND(L955&lt;&gt;"Проведён",L955&lt;&gt;"Черновик")),"ОШИБКА","ОК"))</f>
        <v/>
      </c>
      <c r="W955" s="25" t="str">
        <f>IF(A955="","",SUMIF(Accounts[Счёт],F955,Accounts[Начальный])+SUMIFS($Q$7:Q955,$F$7:F955,F955)+SUMIFS($E$7:E955,$G$7:G955,F955,$C$7:C955,"Перевод",$L$7:L955,"Проведён"))</f>
        <v/>
      </c>
    </row>
    <row r="956" spans="1:23" x14ac:dyDescent="0.25">
      <c r="A956" s="22"/>
      <c r="B956" s="23"/>
      <c r="C956" s="22"/>
      <c r="D956" s="22"/>
      <c r="E956" s="27"/>
      <c r="F956" s="22"/>
      <c r="G956" s="22"/>
      <c r="H956" s="22"/>
      <c r="I956" s="22"/>
      <c r="J956" s="22"/>
      <c r="K956" s="22"/>
      <c r="L956" s="22"/>
      <c r="M956" s="22"/>
      <c r="N956" s="27"/>
      <c r="O956" s="22"/>
      <c r="P956" s="5" t="str">
        <f>IF(A956="","",IF(COUNTIF(Типы,C956)=0,0,VLOOKUP(C956,СПРАВОЧНИКИ!$A$7:$E$22,2,FALSE)))</f>
        <v/>
      </c>
      <c r="Q956" s="25" t="str">
        <f t="shared" si="14"/>
        <v/>
      </c>
      <c r="R956" s="5" t="str">
        <f>IF(A956="","",IF(COUNTIF(Типы,C956)=0,"НЕИЗВЕСТНЫЙ ТИП",VLOOKUP(C956,СПРАВОЧНИКИ!$A$7:$E$22,3,FALSE)))</f>
        <v/>
      </c>
      <c r="S956" s="26" t="str">
        <f>IF(A956="","",IF(L956="Проведён",E956*IF(COUNTIF(Типы,C956)=0,0,VLOOKUP(C956,СПРАВОЧНИКИ!$A$7:$E$22,4,FALSE)),0))</f>
        <v/>
      </c>
      <c r="T956" s="26" t="str">
        <f>IF(A956="","",IF(L956="Проведён",E956*IF(COUNTIF(Типы,C956)=0,0,VLOOKUP(C956,СПРАВОЧНИКИ!$A$7:$E$22,5,FALSE)),0))</f>
        <v/>
      </c>
      <c r="U956" s="5" t="str">
        <f>IF(A956="","",IF(COUNTIF(Контрагенты,H956)=0,"Не задан",VLOOKUP(H956,СПРАВОЧНИКИ!$G$7:$H$66,2,FALSE)))</f>
        <v/>
      </c>
      <c r="V956" s="4" t="str">
        <f>IF(A956="",IF(COUNTA(B956:O956)&gt;0,"НЕТ ID",""),IF(OR(AND(OR(C956="Оплата клиента",C956="Возврат клиенту"),COUNTIFS(Docs[ID],J956,Docs[Тип долга],"ДЗ")&lt;&gt;1),AND(OR(C956="Оплата поставщику",C956="Возврат поставщика"),COUNTIFS(Docs[ID],J956,Docs[Тип долга],"КЗ",Docs[Вид],"&lt;&gt;Дивиденды")&lt;&gt;1),AND(C956="Дивиденды",COUNTIFS(Docs[ID],J956,Docs[Вид],"Дивиденды")&lt;&gt;1),AND(C956="Проценты",COUNTIFS(Docs[ID],J956,Docs[Вид],"Проценты")&lt;&gt;1),COUNTIF(Cash[ID],A956)&gt;1,NOT(ISNUMBER(B956)),B956&lt;НачалоУчета,YEAR(B956)&lt;&gt;Год,NOT(ISNUMBER(E956)),E956&lt;=0,N956&lt;0,COUNTIF(Типы,C956)&lt;&gt;1,COUNTIF(Категории,D956)&lt;&gt;1,COUNTIF(Счета,F956)&lt;&gt;1,COUNTIF(Проекты,I956)&lt;&gt;1,AND(H956&lt;&gt;"",COUNTIF(Контрагенты,H956)&lt;&gt;1),AND(C956="Перевод",OR(F956=G956,COUNTIF(Счета,G956)&lt;&gt;1)),AND(S956&lt;&gt;0,COUNTIF(Docs[ID],J956)&lt;&gt;1),AND(Форма="ООО",C956="Вывод ИП"),AND(Форма="ИП",C956="Дивиденды"),AND(L956&lt;&gt;"Проведён",L956&lt;&gt;"Черновик")),"ОШИБКА","ОК"))</f>
        <v/>
      </c>
      <c r="W956" s="25" t="str">
        <f>IF(A956="","",SUMIF(Accounts[Счёт],F956,Accounts[Начальный])+SUMIFS($Q$7:Q956,$F$7:F956,F956)+SUMIFS($E$7:E956,$G$7:G956,F956,$C$7:C956,"Перевод",$L$7:L956,"Проведён"))</f>
        <v/>
      </c>
    </row>
    <row r="957" spans="1:23" x14ac:dyDescent="0.25">
      <c r="A957" s="22"/>
      <c r="B957" s="23"/>
      <c r="C957" s="22"/>
      <c r="D957" s="22"/>
      <c r="E957" s="27"/>
      <c r="F957" s="22"/>
      <c r="G957" s="22"/>
      <c r="H957" s="22"/>
      <c r="I957" s="22"/>
      <c r="J957" s="22"/>
      <c r="K957" s="22"/>
      <c r="L957" s="22"/>
      <c r="M957" s="22"/>
      <c r="N957" s="27"/>
      <c r="O957" s="22"/>
      <c r="P957" s="5" t="str">
        <f>IF(A957="","",IF(COUNTIF(Типы,C957)=0,0,VLOOKUP(C957,СПРАВОЧНИКИ!$A$7:$E$22,2,FALSE)))</f>
        <v/>
      </c>
      <c r="Q957" s="25" t="str">
        <f t="shared" si="14"/>
        <v/>
      </c>
      <c r="R957" s="5" t="str">
        <f>IF(A957="","",IF(COUNTIF(Типы,C957)=0,"НЕИЗВЕСТНЫЙ ТИП",VLOOKUP(C957,СПРАВОЧНИКИ!$A$7:$E$22,3,FALSE)))</f>
        <v/>
      </c>
      <c r="S957" s="26" t="str">
        <f>IF(A957="","",IF(L957="Проведён",E957*IF(COUNTIF(Типы,C957)=0,0,VLOOKUP(C957,СПРАВОЧНИКИ!$A$7:$E$22,4,FALSE)),0))</f>
        <v/>
      </c>
      <c r="T957" s="26" t="str">
        <f>IF(A957="","",IF(L957="Проведён",E957*IF(COUNTIF(Типы,C957)=0,0,VLOOKUP(C957,СПРАВОЧНИКИ!$A$7:$E$22,5,FALSE)),0))</f>
        <v/>
      </c>
      <c r="U957" s="5" t="str">
        <f>IF(A957="","",IF(COUNTIF(Контрагенты,H957)=0,"Не задан",VLOOKUP(H957,СПРАВОЧНИКИ!$G$7:$H$66,2,FALSE)))</f>
        <v/>
      </c>
      <c r="V957" s="4" t="str">
        <f>IF(A957="",IF(COUNTA(B957:O957)&gt;0,"НЕТ ID",""),IF(OR(AND(OR(C957="Оплата клиента",C957="Возврат клиенту"),COUNTIFS(Docs[ID],J957,Docs[Тип долга],"ДЗ")&lt;&gt;1),AND(OR(C957="Оплата поставщику",C957="Возврат поставщика"),COUNTIFS(Docs[ID],J957,Docs[Тип долга],"КЗ",Docs[Вид],"&lt;&gt;Дивиденды")&lt;&gt;1),AND(C957="Дивиденды",COUNTIFS(Docs[ID],J957,Docs[Вид],"Дивиденды")&lt;&gt;1),AND(C957="Проценты",COUNTIFS(Docs[ID],J957,Docs[Вид],"Проценты")&lt;&gt;1),COUNTIF(Cash[ID],A957)&gt;1,NOT(ISNUMBER(B957)),B957&lt;НачалоУчета,YEAR(B957)&lt;&gt;Год,NOT(ISNUMBER(E957)),E957&lt;=0,N957&lt;0,COUNTIF(Типы,C957)&lt;&gt;1,COUNTIF(Категории,D957)&lt;&gt;1,COUNTIF(Счета,F957)&lt;&gt;1,COUNTIF(Проекты,I957)&lt;&gt;1,AND(H957&lt;&gt;"",COUNTIF(Контрагенты,H957)&lt;&gt;1),AND(C957="Перевод",OR(F957=G957,COUNTIF(Счета,G957)&lt;&gt;1)),AND(S957&lt;&gt;0,COUNTIF(Docs[ID],J957)&lt;&gt;1),AND(Форма="ООО",C957="Вывод ИП"),AND(Форма="ИП",C957="Дивиденды"),AND(L957&lt;&gt;"Проведён",L957&lt;&gt;"Черновик")),"ОШИБКА","ОК"))</f>
        <v/>
      </c>
      <c r="W957" s="25" t="str">
        <f>IF(A957="","",SUMIF(Accounts[Счёт],F957,Accounts[Начальный])+SUMIFS($Q$7:Q957,$F$7:F957,F957)+SUMIFS($E$7:E957,$G$7:G957,F957,$C$7:C957,"Перевод",$L$7:L957,"Проведён"))</f>
        <v/>
      </c>
    </row>
    <row r="958" spans="1:23" x14ac:dyDescent="0.25">
      <c r="A958" s="22"/>
      <c r="B958" s="23"/>
      <c r="C958" s="22"/>
      <c r="D958" s="22"/>
      <c r="E958" s="27"/>
      <c r="F958" s="22"/>
      <c r="G958" s="22"/>
      <c r="H958" s="22"/>
      <c r="I958" s="22"/>
      <c r="J958" s="22"/>
      <c r="K958" s="22"/>
      <c r="L958" s="22"/>
      <c r="M958" s="22"/>
      <c r="N958" s="27"/>
      <c r="O958" s="22"/>
      <c r="P958" s="5" t="str">
        <f>IF(A958="","",IF(COUNTIF(Типы,C958)=0,0,VLOOKUP(C958,СПРАВОЧНИКИ!$A$7:$E$22,2,FALSE)))</f>
        <v/>
      </c>
      <c r="Q958" s="25" t="str">
        <f t="shared" si="14"/>
        <v/>
      </c>
      <c r="R958" s="5" t="str">
        <f>IF(A958="","",IF(COUNTIF(Типы,C958)=0,"НЕИЗВЕСТНЫЙ ТИП",VLOOKUP(C958,СПРАВОЧНИКИ!$A$7:$E$22,3,FALSE)))</f>
        <v/>
      </c>
      <c r="S958" s="26" t="str">
        <f>IF(A958="","",IF(L958="Проведён",E958*IF(COUNTIF(Типы,C958)=0,0,VLOOKUP(C958,СПРАВОЧНИКИ!$A$7:$E$22,4,FALSE)),0))</f>
        <v/>
      </c>
      <c r="T958" s="26" t="str">
        <f>IF(A958="","",IF(L958="Проведён",E958*IF(COUNTIF(Типы,C958)=0,0,VLOOKUP(C958,СПРАВОЧНИКИ!$A$7:$E$22,5,FALSE)),0))</f>
        <v/>
      </c>
      <c r="U958" s="5" t="str">
        <f>IF(A958="","",IF(COUNTIF(Контрагенты,H958)=0,"Не задан",VLOOKUP(H958,СПРАВОЧНИКИ!$G$7:$H$66,2,FALSE)))</f>
        <v/>
      </c>
      <c r="V958" s="4" t="str">
        <f>IF(A958="",IF(COUNTA(B958:O958)&gt;0,"НЕТ ID",""),IF(OR(AND(OR(C958="Оплата клиента",C958="Возврат клиенту"),COUNTIFS(Docs[ID],J958,Docs[Тип долга],"ДЗ")&lt;&gt;1),AND(OR(C958="Оплата поставщику",C958="Возврат поставщика"),COUNTIFS(Docs[ID],J958,Docs[Тип долга],"КЗ",Docs[Вид],"&lt;&gt;Дивиденды")&lt;&gt;1),AND(C958="Дивиденды",COUNTIFS(Docs[ID],J958,Docs[Вид],"Дивиденды")&lt;&gt;1),AND(C958="Проценты",COUNTIFS(Docs[ID],J958,Docs[Вид],"Проценты")&lt;&gt;1),COUNTIF(Cash[ID],A958)&gt;1,NOT(ISNUMBER(B958)),B958&lt;НачалоУчета,YEAR(B958)&lt;&gt;Год,NOT(ISNUMBER(E958)),E958&lt;=0,N958&lt;0,COUNTIF(Типы,C958)&lt;&gt;1,COUNTIF(Категории,D958)&lt;&gt;1,COUNTIF(Счета,F958)&lt;&gt;1,COUNTIF(Проекты,I958)&lt;&gt;1,AND(H958&lt;&gt;"",COUNTIF(Контрагенты,H958)&lt;&gt;1),AND(C958="Перевод",OR(F958=G958,COUNTIF(Счета,G958)&lt;&gt;1)),AND(S958&lt;&gt;0,COUNTIF(Docs[ID],J958)&lt;&gt;1),AND(Форма="ООО",C958="Вывод ИП"),AND(Форма="ИП",C958="Дивиденды"),AND(L958&lt;&gt;"Проведён",L958&lt;&gt;"Черновик")),"ОШИБКА","ОК"))</f>
        <v/>
      </c>
      <c r="W958" s="25" t="str">
        <f>IF(A958="","",SUMIF(Accounts[Счёт],F958,Accounts[Начальный])+SUMIFS($Q$7:Q958,$F$7:F958,F958)+SUMIFS($E$7:E958,$G$7:G958,F958,$C$7:C958,"Перевод",$L$7:L958,"Проведён"))</f>
        <v/>
      </c>
    </row>
    <row r="959" spans="1:23" x14ac:dyDescent="0.25">
      <c r="A959" s="22"/>
      <c r="B959" s="23"/>
      <c r="C959" s="22"/>
      <c r="D959" s="22"/>
      <c r="E959" s="27"/>
      <c r="F959" s="22"/>
      <c r="G959" s="22"/>
      <c r="H959" s="22"/>
      <c r="I959" s="22"/>
      <c r="J959" s="22"/>
      <c r="K959" s="22"/>
      <c r="L959" s="22"/>
      <c r="M959" s="22"/>
      <c r="N959" s="27"/>
      <c r="O959" s="22"/>
      <c r="P959" s="5" t="str">
        <f>IF(A959="","",IF(COUNTIF(Типы,C959)=0,0,VLOOKUP(C959,СПРАВОЧНИКИ!$A$7:$E$22,2,FALSE)))</f>
        <v/>
      </c>
      <c r="Q959" s="25" t="str">
        <f t="shared" si="14"/>
        <v/>
      </c>
      <c r="R959" s="5" t="str">
        <f>IF(A959="","",IF(COUNTIF(Типы,C959)=0,"НЕИЗВЕСТНЫЙ ТИП",VLOOKUP(C959,СПРАВОЧНИКИ!$A$7:$E$22,3,FALSE)))</f>
        <v/>
      </c>
      <c r="S959" s="26" t="str">
        <f>IF(A959="","",IF(L959="Проведён",E959*IF(COUNTIF(Типы,C959)=0,0,VLOOKUP(C959,СПРАВОЧНИКИ!$A$7:$E$22,4,FALSE)),0))</f>
        <v/>
      </c>
      <c r="T959" s="26" t="str">
        <f>IF(A959="","",IF(L959="Проведён",E959*IF(COUNTIF(Типы,C959)=0,0,VLOOKUP(C959,СПРАВОЧНИКИ!$A$7:$E$22,5,FALSE)),0))</f>
        <v/>
      </c>
      <c r="U959" s="5" t="str">
        <f>IF(A959="","",IF(COUNTIF(Контрагенты,H959)=0,"Не задан",VLOOKUP(H959,СПРАВОЧНИКИ!$G$7:$H$66,2,FALSE)))</f>
        <v/>
      </c>
      <c r="V959" s="4" t="str">
        <f>IF(A959="",IF(COUNTA(B959:O959)&gt;0,"НЕТ ID",""),IF(OR(AND(OR(C959="Оплата клиента",C959="Возврат клиенту"),COUNTIFS(Docs[ID],J959,Docs[Тип долга],"ДЗ")&lt;&gt;1),AND(OR(C959="Оплата поставщику",C959="Возврат поставщика"),COUNTIFS(Docs[ID],J959,Docs[Тип долга],"КЗ",Docs[Вид],"&lt;&gt;Дивиденды")&lt;&gt;1),AND(C959="Дивиденды",COUNTIFS(Docs[ID],J959,Docs[Вид],"Дивиденды")&lt;&gt;1),AND(C959="Проценты",COUNTIFS(Docs[ID],J959,Docs[Вид],"Проценты")&lt;&gt;1),COUNTIF(Cash[ID],A959)&gt;1,NOT(ISNUMBER(B959)),B959&lt;НачалоУчета,YEAR(B959)&lt;&gt;Год,NOT(ISNUMBER(E959)),E959&lt;=0,N959&lt;0,COUNTIF(Типы,C959)&lt;&gt;1,COUNTIF(Категории,D959)&lt;&gt;1,COUNTIF(Счета,F959)&lt;&gt;1,COUNTIF(Проекты,I959)&lt;&gt;1,AND(H959&lt;&gt;"",COUNTIF(Контрагенты,H959)&lt;&gt;1),AND(C959="Перевод",OR(F959=G959,COUNTIF(Счета,G959)&lt;&gt;1)),AND(S959&lt;&gt;0,COUNTIF(Docs[ID],J959)&lt;&gt;1),AND(Форма="ООО",C959="Вывод ИП"),AND(Форма="ИП",C959="Дивиденды"),AND(L959&lt;&gt;"Проведён",L959&lt;&gt;"Черновик")),"ОШИБКА","ОК"))</f>
        <v/>
      </c>
      <c r="W959" s="25" t="str">
        <f>IF(A959="","",SUMIF(Accounts[Счёт],F959,Accounts[Начальный])+SUMIFS($Q$7:Q959,$F$7:F959,F959)+SUMIFS($E$7:E959,$G$7:G959,F959,$C$7:C959,"Перевод",$L$7:L959,"Проведён"))</f>
        <v/>
      </c>
    </row>
    <row r="960" spans="1:23" x14ac:dyDescent="0.25">
      <c r="A960" s="22"/>
      <c r="B960" s="23"/>
      <c r="C960" s="22"/>
      <c r="D960" s="22"/>
      <c r="E960" s="27"/>
      <c r="F960" s="22"/>
      <c r="G960" s="22"/>
      <c r="H960" s="22"/>
      <c r="I960" s="22"/>
      <c r="J960" s="22"/>
      <c r="K960" s="22"/>
      <c r="L960" s="22"/>
      <c r="M960" s="22"/>
      <c r="N960" s="27"/>
      <c r="O960" s="22"/>
      <c r="P960" s="5" t="str">
        <f>IF(A960="","",IF(COUNTIF(Типы,C960)=0,0,VLOOKUP(C960,СПРАВОЧНИКИ!$A$7:$E$22,2,FALSE)))</f>
        <v/>
      </c>
      <c r="Q960" s="25" t="str">
        <f t="shared" si="14"/>
        <v/>
      </c>
      <c r="R960" s="5" t="str">
        <f>IF(A960="","",IF(COUNTIF(Типы,C960)=0,"НЕИЗВЕСТНЫЙ ТИП",VLOOKUP(C960,СПРАВОЧНИКИ!$A$7:$E$22,3,FALSE)))</f>
        <v/>
      </c>
      <c r="S960" s="26" t="str">
        <f>IF(A960="","",IF(L960="Проведён",E960*IF(COUNTIF(Типы,C960)=0,0,VLOOKUP(C960,СПРАВОЧНИКИ!$A$7:$E$22,4,FALSE)),0))</f>
        <v/>
      </c>
      <c r="T960" s="26" t="str">
        <f>IF(A960="","",IF(L960="Проведён",E960*IF(COUNTIF(Типы,C960)=0,0,VLOOKUP(C960,СПРАВОЧНИКИ!$A$7:$E$22,5,FALSE)),0))</f>
        <v/>
      </c>
      <c r="U960" s="5" t="str">
        <f>IF(A960="","",IF(COUNTIF(Контрагенты,H960)=0,"Не задан",VLOOKUP(H960,СПРАВОЧНИКИ!$G$7:$H$66,2,FALSE)))</f>
        <v/>
      </c>
      <c r="V960" s="4" t="str">
        <f>IF(A960="",IF(COUNTA(B960:O960)&gt;0,"НЕТ ID",""),IF(OR(AND(OR(C960="Оплата клиента",C960="Возврат клиенту"),COUNTIFS(Docs[ID],J960,Docs[Тип долга],"ДЗ")&lt;&gt;1),AND(OR(C960="Оплата поставщику",C960="Возврат поставщика"),COUNTIFS(Docs[ID],J960,Docs[Тип долга],"КЗ",Docs[Вид],"&lt;&gt;Дивиденды")&lt;&gt;1),AND(C960="Дивиденды",COUNTIFS(Docs[ID],J960,Docs[Вид],"Дивиденды")&lt;&gt;1),AND(C960="Проценты",COUNTIFS(Docs[ID],J960,Docs[Вид],"Проценты")&lt;&gt;1),COUNTIF(Cash[ID],A960)&gt;1,NOT(ISNUMBER(B960)),B960&lt;НачалоУчета,YEAR(B960)&lt;&gt;Год,NOT(ISNUMBER(E960)),E960&lt;=0,N960&lt;0,COUNTIF(Типы,C960)&lt;&gt;1,COUNTIF(Категории,D960)&lt;&gt;1,COUNTIF(Счета,F960)&lt;&gt;1,COUNTIF(Проекты,I960)&lt;&gt;1,AND(H960&lt;&gt;"",COUNTIF(Контрагенты,H960)&lt;&gt;1),AND(C960="Перевод",OR(F960=G960,COUNTIF(Счета,G960)&lt;&gt;1)),AND(S960&lt;&gt;0,COUNTIF(Docs[ID],J960)&lt;&gt;1),AND(Форма="ООО",C960="Вывод ИП"),AND(Форма="ИП",C960="Дивиденды"),AND(L960&lt;&gt;"Проведён",L960&lt;&gt;"Черновик")),"ОШИБКА","ОК"))</f>
        <v/>
      </c>
      <c r="W960" s="25" t="str">
        <f>IF(A960="","",SUMIF(Accounts[Счёт],F960,Accounts[Начальный])+SUMIFS($Q$7:Q960,$F$7:F960,F960)+SUMIFS($E$7:E960,$G$7:G960,F960,$C$7:C960,"Перевод",$L$7:L960,"Проведён"))</f>
        <v/>
      </c>
    </row>
    <row r="961" spans="1:23" x14ac:dyDescent="0.25">
      <c r="A961" s="22"/>
      <c r="B961" s="23"/>
      <c r="C961" s="22"/>
      <c r="D961" s="22"/>
      <c r="E961" s="27"/>
      <c r="F961" s="22"/>
      <c r="G961" s="22"/>
      <c r="H961" s="22"/>
      <c r="I961" s="22"/>
      <c r="J961" s="22"/>
      <c r="K961" s="22"/>
      <c r="L961" s="22"/>
      <c r="M961" s="22"/>
      <c r="N961" s="27"/>
      <c r="O961" s="22"/>
      <c r="P961" s="5" t="str">
        <f>IF(A961="","",IF(COUNTIF(Типы,C961)=0,0,VLOOKUP(C961,СПРАВОЧНИКИ!$A$7:$E$22,2,FALSE)))</f>
        <v/>
      </c>
      <c r="Q961" s="25" t="str">
        <f t="shared" si="14"/>
        <v/>
      </c>
      <c r="R961" s="5" t="str">
        <f>IF(A961="","",IF(COUNTIF(Типы,C961)=0,"НЕИЗВЕСТНЫЙ ТИП",VLOOKUP(C961,СПРАВОЧНИКИ!$A$7:$E$22,3,FALSE)))</f>
        <v/>
      </c>
      <c r="S961" s="26" t="str">
        <f>IF(A961="","",IF(L961="Проведён",E961*IF(COUNTIF(Типы,C961)=0,0,VLOOKUP(C961,СПРАВОЧНИКИ!$A$7:$E$22,4,FALSE)),0))</f>
        <v/>
      </c>
      <c r="T961" s="26" t="str">
        <f>IF(A961="","",IF(L961="Проведён",E961*IF(COUNTIF(Типы,C961)=0,0,VLOOKUP(C961,СПРАВОЧНИКИ!$A$7:$E$22,5,FALSE)),0))</f>
        <v/>
      </c>
      <c r="U961" s="5" t="str">
        <f>IF(A961="","",IF(COUNTIF(Контрагенты,H961)=0,"Не задан",VLOOKUP(H961,СПРАВОЧНИКИ!$G$7:$H$66,2,FALSE)))</f>
        <v/>
      </c>
      <c r="V961" s="4" t="str">
        <f>IF(A961="",IF(COUNTA(B961:O961)&gt;0,"НЕТ ID",""),IF(OR(AND(OR(C961="Оплата клиента",C961="Возврат клиенту"),COUNTIFS(Docs[ID],J961,Docs[Тип долга],"ДЗ")&lt;&gt;1),AND(OR(C961="Оплата поставщику",C961="Возврат поставщика"),COUNTIFS(Docs[ID],J961,Docs[Тип долга],"КЗ",Docs[Вид],"&lt;&gt;Дивиденды")&lt;&gt;1),AND(C961="Дивиденды",COUNTIFS(Docs[ID],J961,Docs[Вид],"Дивиденды")&lt;&gt;1),AND(C961="Проценты",COUNTIFS(Docs[ID],J961,Docs[Вид],"Проценты")&lt;&gt;1),COUNTIF(Cash[ID],A961)&gt;1,NOT(ISNUMBER(B961)),B961&lt;НачалоУчета,YEAR(B961)&lt;&gt;Год,NOT(ISNUMBER(E961)),E961&lt;=0,N961&lt;0,COUNTIF(Типы,C961)&lt;&gt;1,COUNTIF(Категории,D961)&lt;&gt;1,COUNTIF(Счета,F961)&lt;&gt;1,COUNTIF(Проекты,I961)&lt;&gt;1,AND(H961&lt;&gt;"",COUNTIF(Контрагенты,H961)&lt;&gt;1),AND(C961="Перевод",OR(F961=G961,COUNTIF(Счета,G961)&lt;&gt;1)),AND(S961&lt;&gt;0,COUNTIF(Docs[ID],J961)&lt;&gt;1),AND(Форма="ООО",C961="Вывод ИП"),AND(Форма="ИП",C961="Дивиденды"),AND(L961&lt;&gt;"Проведён",L961&lt;&gt;"Черновик")),"ОШИБКА","ОК"))</f>
        <v/>
      </c>
      <c r="W961" s="25" t="str">
        <f>IF(A961="","",SUMIF(Accounts[Счёт],F961,Accounts[Начальный])+SUMIFS($Q$7:Q961,$F$7:F961,F961)+SUMIFS($E$7:E961,$G$7:G961,F961,$C$7:C961,"Перевод",$L$7:L961,"Проведён"))</f>
        <v/>
      </c>
    </row>
    <row r="962" spans="1:23" x14ac:dyDescent="0.25">
      <c r="A962" s="22"/>
      <c r="B962" s="23"/>
      <c r="C962" s="22"/>
      <c r="D962" s="22"/>
      <c r="E962" s="27"/>
      <c r="F962" s="22"/>
      <c r="G962" s="22"/>
      <c r="H962" s="22"/>
      <c r="I962" s="22"/>
      <c r="J962" s="22"/>
      <c r="K962" s="22"/>
      <c r="L962" s="22"/>
      <c r="M962" s="22"/>
      <c r="N962" s="27"/>
      <c r="O962" s="22"/>
      <c r="P962" s="5" t="str">
        <f>IF(A962="","",IF(COUNTIF(Типы,C962)=0,0,VLOOKUP(C962,СПРАВОЧНИКИ!$A$7:$E$22,2,FALSE)))</f>
        <v/>
      </c>
      <c r="Q962" s="25" t="str">
        <f t="shared" si="14"/>
        <v/>
      </c>
      <c r="R962" s="5" t="str">
        <f>IF(A962="","",IF(COUNTIF(Типы,C962)=0,"НЕИЗВЕСТНЫЙ ТИП",VLOOKUP(C962,СПРАВОЧНИКИ!$A$7:$E$22,3,FALSE)))</f>
        <v/>
      </c>
      <c r="S962" s="26" t="str">
        <f>IF(A962="","",IF(L962="Проведён",E962*IF(COUNTIF(Типы,C962)=0,0,VLOOKUP(C962,СПРАВОЧНИКИ!$A$7:$E$22,4,FALSE)),0))</f>
        <v/>
      </c>
      <c r="T962" s="26" t="str">
        <f>IF(A962="","",IF(L962="Проведён",E962*IF(COUNTIF(Типы,C962)=0,0,VLOOKUP(C962,СПРАВОЧНИКИ!$A$7:$E$22,5,FALSE)),0))</f>
        <v/>
      </c>
      <c r="U962" s="5" t="str">
        <f>IF(A962="","",IF(COUNTIF(Контрагенты,H962)=0,"Не задан",VLOOKUP(H962,СПРАВОЧНИКИ!$G$7:$H$66,2,FALSE)))</f>
        <v/>
      </c>
      <c r="V962" s="4" t="str">
        <f>IF(A962="",IF(COUNTA(B962:O962)&gt;0,"НЕТ ID",""),IF(OR(AND(OR(C962="Оплата клиента",C962="Возврат клиенту"),COUNTIFS(Docs[ID],J962,Docs[Тип долга],"ДЗ")&lt;&gt;1),AND(OR(C962="Оплата поставщику",C962="Возврат поставщика"),COUNTIFS(Docs[ID],J962,Docs[Тип долга],"КЗ",Docs[Вид],"&lt;&gt;Дивиденды")&lt;&gt;1),AND(C962="Дивиденды",COUNTIFS(Docs[ID],J962,Docs[Вид],"Дивиденды")&lt;&gt;1),AND(C962="Проценты",COUNTIFS(Docs[ID],J962,Docs[Вид],"Проценты")&lt;&gt;1),COUNTIF(Cash[ID],A962)&gt;1,NOT(ISNUMBER(B962)),B962&lt;НачалоУчета,YEAR(B962)&lt;&gt;Год,NOT(ISNUMBER(E962)),E962&lt;=0,N962&lt;0,COUNTIF(Типы,C962)&lt;&gt;1,COUNTIF(Категории,D962)&lt;&gt;1,COUNTIF(Счета,F962)&lt;&gt;1,COUNTIF(Проекты,I962)&lt;&gt;1,AND(H962&lt;&gt;"",COUNTIF(Контрагенты,H962)&lt;&gt;1),AND(C962="Перевод",OR(F962=G962,COUNTIF(Счета,G962)&lt;&gt;1)),AND(S962&lt;&gt;0,COUNTIF(Docs[ID],J962)&lt;&gt;1),AND(Форма="ООО",C962="Вывод ИП"),AND(Форма="ИП",C962="Дивиденды"),AND(L962&lt;&gt;"Проведён",L962&lt;&gt;"Черновик")),"ОШИБКА","ОК"))</f>
        <v/>
      </c>
      <c r="W962" s="25" t="str">
        <f>IF(A962="","",SUMIF(Accounts[Счёт],F962,Accounts[Начальный])+SUMIFS($Q$7:Q962,$F$7:F962,F962)+SUMIFS($E$7:E962,$G$7:G962,F962,$C$7:C962,"Перевод",$L$7:L962,"Проведён"))</f>
        <v/>
      </c>
    </row>
    <row r="963" spans="1:23" x14ac:dyDescent="0.25">
      <c r="A963" s="22"/>
      <c r="B963" s="23"/>
      <c r="C963" s="22"/>
      <c r="D963" s="22"/>
      <c r="E963" s="27"/>
      <c r="F963" s="22"/>
      <c r="G963" s="22"/>
      <c r="H963" s="22"/>
      <c r="I963" s="22"/>
      <c r="J963" s="22"/>
      <c r="K963" s="22"/>
      <c r="L963" s="22"/>
      <c r="M963" s="22"/>
      <c r="N963" s="27"/>
      <c r="O963" s="22"/>
      <c r="P963" s="5" t="str">
        <f>IF(A963="","",IF(COUNTIF(Типы,C963)=0,0,VLOOKUP(C963,СПРАВОЧНИКИ!$A$7:$E$22,2,FALSE)))</f>
        <v/>
      </c>
      <c r="Q963" s="25" t="str">
        <f t="shared" si="14"/>
        <v/>
      </c>
      <c r="R963" s="5" t="str">
        <f>IF(A963="","",IF(COUNTIF(Типы,C963)=0,"НЕИЗВЕСТНЫЙ ТИП",VLOOKUP(C963,СПРАВОЧНИКИ!$A$7:$E$22,3,FALSE)))</f>
        <v/>
      </c>
      <c r="S963" s="26" t="str">
        <f>IF(A963="","",IF(L963="Проведён",E963*IF(COUNTIF(Типы,C963)=0,0,VLOOKUP(C963,СПРАВОЧНИКИ!$A$7:$E$22,4,FALSE)),0))</f>
        <v/>
      </c>
      <c r="T963" s="26" t="str">
        <f>IF(A963="","",IF(L963="Проведён",E963*IF(COUNTIF(Типы,C963)=0,0,VLOOKUP(C963,СПРАВОЧНИКИ!$A$7:$E$22,5,FALSE)),0))</f>
        <v/>
      </c>
      <c r="U963" s="5" t="str">
        <f>IF(A963="","",IF(COUNTIF(Контрагенты,H963)=0,"Не задан",VLOOKUP(H963,СПРАВОЧНИКИ!$G$7:$H$66,2,FALSE)))</f>
        <v/>
      </c>
      <c r="V963" s="4" t="str">
        <f>IF(A963="",IF(COUNTA(B963:O963)&gt;0,"НЕТ ID",""),IF(OR(AND(OR(C963="Оплата клиента",C963="Возврат клиенту"),COUNTIFS(Docs[ID],J963,Docs[Тип долга],"ДЗ")&lt;&gt;1),AND(OR(C963="Оплата поставщику",C963="Возврат поставщика"),COUNTIFS(Docs[ID],J963,Docs[Тип долга],"КЗ",Docs[Вид],"&lt;&gt;Дивиденды")&lt;&gt;1),AND(C963="Дивиденды",COUNTIFS(Docs[ID],J963,Docs[Вид],"Дивиденды")&lt;&gt;1),AND(C963="Проценты",COUNTIFS(Docs[ID],J963,Docs[Вид],"Проценты")&lt;&gt;1),COUNTIF(Cash[ID],A963)&gt;1,NOT(ISNUMBER(B963)),B963&lt;НачалоУчета,YEAR(B963)&lt;&gt;Год,NOT(ISNUMBER(E963)),E963&lt;=0,N963&lt;0,COUNTIF(Типы,C963)&lt;&gt;1,COUNTIF(Категории,D963)&lt;&gt;1,COUNTIF(Счета,F963)&lt;&gt;1,COUNTIF(Проекты,I963)&lt;&gt;1,AND(H963&lt;&gt;"",COUNTIF(Контрагенты,H963)&lt;&gt;1),AND(C963="Перевод",OR(F963=G963,COUNTIF(Счета,G963)&lt;&gt;1)),AND(S963&lt;&gt;0,COUNTIF(Docs[ID],J963)&lt;&gt;1),AND(Форма="ООО",C963="Вывод ИП"),AND(Форма="ИП",C963="Дивиденды"),AND(L963&lt;&gt;"Проведён",L963&lt;&gt;"Черновик")),"ОШИБКА","ОК"))</f>
        <v/>
      </c>
      <c r="W963" s="25" t="str">
        <f>IF(A963="","",SUMIF(Accounts[Счёт],F963,Accounts[Начальный])+SUMIFS($Q$7:Q963,$F$7:F963,F963)+SUMIFS($E$7:E963,$G$7:G963,F963,$C$7:C963,"Перевод",$L$7:L963,"Проведён"))</f>
        <v/>
      </c>
    </row>
    <row r="964" spans="1:23" x14ac:dyDescent="0.25">
      <c r="A964" s="22"/>
      <c r="B964" s="23"/>
      <c r="C964" s="22"/>
      <c r="D964" s="22"/>
      <c r="E964" s="27"/>
      <c r="F964" s="22"/>
      <c r="G964" s="22"/>
      <c r="H964" s="22"/>
      <c r="I964" s="22"/>
      <c r="J964" s="22"/>
      <c r="K964" s="22"/>
      <c r="L964" s="22"/>
      <c r="M964" s="22"/>
      <c r="N964" s="27"/>
      <c r="O964" s="22"/>
      <c r="P964" s="5" t="str">
        <f>IF(A964="","",IF(COUNTIF(Типы,C964)=0,0,VLOOKUP(C964,СПРАВОЧНИКИ!$A$7:$E$22,2,FALSE)))</f>
        <v/>
      </c>
      <c r="Q964" s="25" t="str">
        <f t="shared" si="14"/>
        <v/>
      </c>
      <c r="R964" s="5" t="str">
        <f>IF(A964="","",IF(COUNTIF(Типы,C964)=0,"НЕИЗВЕСТНЫЙ ТИП",VLOOKUP(C964,СПРАВОЧНИКИ!$A$7:$E$22,3,FALSE)))</f>
        <v/>
      </c>
      <c r="S964" s="26" t="str">
        <f>IF(A964="","",IF(L964="Проведён",E964*IF(COUNTIF(Типы,C964)=0,0,VLOOKUP(C964,СПРАВОЧНИКИ!$A$7:$E$22,4,FALSE)),0))</f>
        <v/>
      </c>
      <c r="T964" s="26" t="str">
        <f>IF(A964="","",IF(L964="Проведён",E964*IF(COUNTIF(Типы,C964)=0,0,VLOOKUP(C964,СПРАВОЧНИКИ!$A$7:$E$22,5,FALSE)),0))</f>
        <v/>
      </c>
      <c r="U964" s="5" t="str">
        <f>IF(A964="","",IF(COUNTIF(Контрагенты,H964)=0,"Не задан",VLOOKUP(H964,СПРАВОЧНИКИ!$G$7:$H$66,2,FALSE)))</f>
        <v/>
      </c>
      <c r="V964" s="4" t="str">
        <f>IF(A964="",IF(COUNTA(B964:O964)&gt;0,"НЕТ ID",""),IF(OR(AND(OR(C964="Оплата клиента",C964="Возврат клиенту"),COUNTIFS(Docs[ID],J964,Docs[Тип долга],"ДЗ")&lt;&gt;1),AND(OR(C964="Оплата поставщику",C964="Возврат поставщика"),COUNTIFS(Docs[ID],J964,Docs[Тип долга],"КЗ",Docs[Вид],"&lt;&gt;Дивиденды")&lt;&gt;1),AND(C964="Дивиденды",COUNTIFS(Docs[ID],J964,Docs[Вид],"Дивиденды")&lt;&gt;1),AND(C964="Проценты",COUNTIFS(Docs[ID],J964,Docs[Вид],"Проценты")&lt;&gt;1),COUNTIF(Cash[ID],A964)&gt;1,NOT(ISNUMBER(B964)),B964&lt;НачалоУчета,YEAR(B964)&lt;&gt;Год,NOT(ISNUMBER(E964)),E964&lt;=0,N964&lt;0,COUNTIF(Типы,C964)&lt;&gt;1,COUNTIF(Категории,D964)&lt;&gt;1,COUNTIF(Счета,F964)&lt;&gt;1,COUNTIF(Проекты,I964)&lt;&gt;1,AND(H964&lt;&gt;"",COUNTIF(Контрагенты,H964)&lt;&gt;1),AND(C964="Перевод",OR(F964=G964,COUNTIF(Счета,G964)&lt;&gt;1)),AND(S964&lt;&gt;0,COUNTIF(Docs[ID],J964)&lt;&gt;1),AND(Форма="ООО",C964="Вывод ИП"),AND(Форма="ИП",C964="Дивиденды"),AND(L964&lt;&gt;"Проведён",L964&lt;&gt;"Черновик")),"ОШИБКА","ОК"))</f>
        <v/>
      </c>
      <c r="W964" s="25" t="str">
        <f>IF(A964="","",SUMIF(Accounts[Счёт],F964,Accounts[Начальный])+SUMIFS($Q$7:Q964,$F$7:F964,F964)+SUMIFS($E$7:E964,$G$7:G964,F964,$C$7:C964,"Перевод",$L$7:L964,"Проведён"))</f>
        <v/>
      </c>
    </row>
    <row r="965" spans="1:23" x14ac:dyDescent="0.25">
      <c r="A965" s="22"/>
      <c r="B965" s="23"/>
      <c r="C965" s="22"/>
      <c r="D965" s="22"/>
      <c r="E965" s="27"/>
      <c r="F965" s="22"/>
      <c r="G965" s="22"/>
      <c r="H965" s="22"/>
      <c r="I965" s="22"/>
      <c r="J965" s="22"/>
      <c r="K965" s="22"/>
      <c r="L965" s="22"/>
      <c r="M965" s="22"/>
      <c r="N965" s="27"/>
      <c r="O965" s="22"/>
      <c r="P965" s="5" t="str">
        <f>IF(A965="","",IF(COUNTIF(Типы,C965)=0,0,VLOOKUP(C965,СПРАВОЧНИКИ!$A$7:$E$22,2,FALSE)))</f>
        <v/>
      </c>
      <c r="Q965" s="25" t="str">
        <f t="shared" si="14"/>
        <v/>
      </c>
      <c r="R965" s="5" t="str">
        <f>IF(A965="","",IF(COUNTIF(Типы,C965)=0,"НЕИЗВЕСТНЫЙ ТИП",VLOOKUP(C965,СПРАВОЧНИКИ!$A$7:$E$22,3,FALSE)))</f>
        <v/>
      </c>
      <c r="S965" s="26" t="str">
        <f>IF(A965="","",IF(L965="Проведён",E965*IF(COUNTIF(Типы,C965)=0,0,VLOOKUP(C965,СПРАВОЧНИКИ!$A$7:$E$22,4,FALSE)),0))</f>
        <v/>
      </c>
      <c r="T965" s="26" t="str">
        <f>IF(A965="","",IF(L965="Проведён",E965*IF(COUNTIF(Типы,C965)=0,0,VLOOKUP(C965,СПРАВОЧНИКИ!$A$7:$E$22,5,FALSE)),0))</f>
        <v/>
      </c>
      <c r="U965" s="5" t="str">
        <f>IF(A965="","",IF(COUNTIF(Контрагенты,H965)=0,"Не задан",VLOOKUP(H965,СПРАВОЧНИКИ!$G$7:$H$66,2,FALSE)))</f>
        <v/>
      </c>
      <c r="V965" s="4" t="str">
        <f>IF(A965="",IF(COUNTA(B965:O965)&gt;0,"НЕТ ID",""),IF(OR(AND(OR(C965="Оплата клиента",C965="Возврат клиенту"),COUNTIFS(Docs[ID],J965,Docs[Тип долга],"ДЗ")&lt;&gt;1),AND(OR(C965="Оплата поставщику",C965="Возврат поставщика"),COUNTIFS(Docs[ID],J965,Docs[Тип долга],"КЗ",Docs[Вид],"&lt;&gt;Дивиденды")&lt;&gt;1),AND(C965="Дивиденды",COUNTIFS(Docs[ID],J965,Docs[Вид],"Дивиденды")&lt;&gt;1),AND(C965="Проценты",COUNTIFS(Docs[ID],J965,Docs[Вид],"Проценты")&lt;&gt;1),COUNTIF(Cash[ID],A965)&gt;1,NOT(ISNUMBER(B965)),B965&lt;НачалоУчета,YEAR(B965)&lt;&gt;Год,NOT(ISNUMBER(E965)),E965&lt;=0,N965&lt;0,COUNTIF(Типы,C965)&lt;&gt;1,COUNTIF(Категории,D965)&lt;&gt;1,COUNTIF(Счета,F965)&lt;&gt;1,COUNTIF(Проекты,I965)&lt;&gt;1,AND(H965&lt;&gt;"",COUNTIF(Контрагенты,H965)&lt;&gt;1),AND(C965="Перевод",OR(F965=G965,COUNTIF(Счета,G965)&lt;&gt;1)),AND(S965&lt;&gt;0,COUNTIF(Docs[ID],J965)&lt;&gt;1),AND(Форма="ООО",C965="Вывод ИП"),AND(Форма="ИП",C965="Дивиденды"),AND(L965&lt;&gt;"Проведён",L965&lt;&gt;"Черновик")),"ОШИБКА","ОК"))</f>
        <v/>
      </c>
      <c r="W965" s="25" t="str">
        <f>IF(A965="","",SUMIF(Accounts[Счёт],F965,Accounts[Начальный])+SUMIFS($Q$7:Q965,$F$7:F965,F965)+SUMIFS($E$7:E965,$G$7:G965,F965,$C$7:C965,"Перевод",$L$7:L965,"Проведён"))</f>
        <v/>
      </c>
    </row>
    <row r="966" spans="1:23" x14ac:dyDescent="0.25">
      <c r="A966" s="22"/>
      <c r="B966" s="23"/>
      <c r="C966" s="22"/>
      <c r="D966" s="22"/>
      <c r="E966" s="27"/>
      <c r="F966" s="22"/>
      <c r="G966" s="22"/>
      <c r="H966" s="22"/>
      <c r="I966" s="22"/>
      <c r="J966" s="22"/>
      <c r="K966" s="22"/>
      <c r="L966" s="22"/>
      <c r="M966" s="22"/>
      <c r="N966" s="27"/>
      <c r="O966" s="22"/>
      <c r="P966" s="5" t="str">
        <f>IF(A966="","",IF(COUNTIF(Типы,C966)=0,0,VLOOKUP(C966,СПРАВОЧНИКИ!$A$7:$E$22,2,FALSE)))</f>
        <v/>
      </c>
      <c r="Q966" s="25" t="str">
        <f t="shared" si="14"/>
        <v/>
      </c>
      <c r="R966" s="5" t="str">
        <f>IF(A966="","",IF(COUNTIF(Типы,C966)=0,"НЕИЗВЕСТНЫЙ ТИП",VLOOKUP(C966,СПРАВОЧНИКИ!$A$7:$E$22,3,FALSE)))</f>
        <v/>
      </c>
      <c r="S966" s="26" t="str">
        <f>IF(A966="","",IF(L966="Проведён",E966*IF(COUNTIF(Типы,C966)=0,0,VLOOKUP(C966,СПРАВОЧНИКИ!$A$7:$E$22,4,FALSE)),0))</f>
        <v/>
      </c>
      <c r="T966" s="26" t="str">
        <f>IF(A966="","",IF(L966="Проведён",E966*IF(COUNTIF(Типы,C966)=0,0,VLOOKUP(C966,СПРАВОЧНИКИ!$A$7:$E$22,5,FALSE)),0))</f>
        <v/>
      </c>
      <c r="U966" s="5" t="str">
        <f>IF(A966="","",IF(COUNTIF(Контрагенты,H966)=0,"Не задан",VLOOKUP(H966,СПРАВОЧНИКИ!$G$7:$H$66,2,FALSE)))</f>
        <v/>
      </c>
      <c r="V966" s="4" t="str">
        <f>IF(A966="",IF(COUNTA(B966:O966)&gt;0,"НЕТ ID",""),IF(OR(AND(OR(C966="Оплата клиента",C966="Возврат клиенту"),COUNTIFS(Docs[ID],J966,Docs[Тип долга],"ДЗ")&lt;&gt;1),AND(OR(C966="Оплата поставщику",C966="Возврат поставщика"),COUNTIFS(Docs[ID],J966,Docs[Тип долга],"КЗ",Docs[Вид],"&lt;&gt;Дивиденды")&lt;&gt;1),AND(C966="Дивиденды",COUNTIFS(Docs[ID],J966,Docs[Вид],"Дивиденды")&lt;&gt;1),AND(C966="Проценты",COUNTIFS(Docs[ID],J966,Docs[Вид],"Проценты")&lt;&gt;1),COUNTIF(Cash[ID],A966)&gt;1,NOT(ISNUMBER(B966)),B966&lt;НачалоУчета,YEAR(B966)&lt;&gt;Год,NOT(ISNUMBER(E966)),E966&lt;=0,N966&lt;0,COUNTIF(Типы,C966)&lt;&gt;1,COUNTIF(Категории,D966)&lt;&gt;1,COUNTIF(Счета,F966)&lt;&gt;1,COUNTIF(Проекты,I966)&lt;&gt;1,AND(H966&lt;&gt;"",COUNTIF(Контрагенты,H966)&lt;&gt;1),AND(C966="Перевод",OR(F966=G966,COUNTIF(Счета,G966)&lt;&gt;1)),AND(S966&lt;&gt;0,COUNTIF(Docs[ID],J966)&lt;&gt;1),AND(Форма="ООО",C966="Вывод ИП"),AND(Форма="ИП",C966="Дивиденды"),AND(L966&lt;&gt;"Проведён",L966&lt;&gt;"Черновик")),"ОШИБКА","ОК"))</f>
        <v/>
      </c>
      <c r="W966" s="25" t="str">
        <f>IF(A966="","",SUMIF(Accounts[Счёт],F966,Accounts[Начальный])+SUMIFS($Q$7:Q966,$F$7:F966,F966)+SUMIFS($E$7:E966,$G$7:G966,F966,$C$7:C966,"Перевод",$L$7:L966,"Проведён"))</f>
        <v/>
      </c>
    </row>
    <row r="967" spans="1:23" x14ac:dyDescent="0.25">
      <c r="A967" s="22"/>
      <c r="B967" s="23"/>
      <c r="C967" s="22"/>
      <c r="D967" s="22"/>
      <c r="E967" s="27"/>
      <c r="F967" s="22"/>
      <c r="G967" s="22"/>
      <c r="H967" s="22"/>
      <c r="I967" s="22"/>
      <c r="J967" s="22"/>
      <c r="K967" s="22"/>
      <c r="L967" s="22"/>
      <c r="M967" s="22"/>
      <c r="N967" s="27"/>
      <c r="O967" s="22"/>
      <c r="P967" s="5" t="str">
        <f>IF(A967="","",IF(COUNTIF(Типы,C967)=0,0,VLOOKUP(C967,СПРАВОЧНИКИ!$A$7:$E$22,2,FALSE)))</f>
        <v/>
      </c>
      <c r="Q967" s="25" t="str">
        <f t="shared" ref="Q967:Q1006" si="15">IF(A967="","",IF(L967="Проведён",E967*P967,0))</f>
        <v/>
      </c>
      <c r="R967" s="5" t="str">
        <f>IF(A967="","",IF(COUNTIF(Типы,C967)=0,"НЕИЗВЕСТНЫЙ ТИП",VLOOKUP(C967,СПРАВОЧНИКИ!$A$7:$E$22,3,FALSE)))</f>
        <v/>
      </c>
      <c r="S967" s="26" t="str">
        <f>IF(A967="","",IF(L967="Проведён",E967*IF(COUNTIF(Типы,C967)=0,0,VLOOKUP(C967,СПРАВОЧНИКИ!$A$7:$E$22,4,FALSE)),0))</f>
        <v/>
      </c>
      <c r="T967" s="26" t="str">
        <f>IF(A967="","",IF(L967="Проведён",E967*IF(COUNTIF(Типы,C967)=0,0,VLOOKUP(C967,СПРАВОЧНИКИ!$A$7:$E$22,5,FALSE)),0))</f>
        <v/>
      </c>
      <c r="U967" s="5" t="str">
        <f>IF(A967="","",IF(COUNTIF(Контрагенты,H967)=0,"Не задан",VLOOKUP(H967,СПРАВОЧНИКИ!$G$7:$H$66,2,FALSE)))</f>
        <v/>
      </c>
      <c r="V967" s="4" t="str">
        <f>IF(A967="",IF(COUNTA(B967:O967)&gt;0,"НЕТ ID",""),IF(OR(AND(OR(C967="Оплата клиента",C967="Возврат клиенту"),COUNTIFS(Docs[ID],J967,Docs[Тип долга],"ДЗ")&lt;&gt;1),AND(OR(C967="Оплата поставщику",C967="Возврат поставщика"),COUNTIFS(Docs[ID],J967,Docs[Тип долга],"КЗ",Docs[Вид],"&lt;&gt;Дивиденды")&lt;&gt;1),AND(C967="Дивиденды",COUNTIFS(Docs[ID],J967,Docs[Вид],"Дивиденды")&lt;&gt;1),AND(C967="Проценты",COUNTIFS(Docs[ID],J967,Docs[Вид],"Проценты")&lt;&gt;1),COUNTIF(Cash[ID],A967)&gt;1,NOT(ISNUMBER(B967)),B967&lt;НачалоУчета,YEAR(B967)&lt;&gt;Год,NOT(ISNUMBER(E967)),E967&lt;=0,N967&lt;0,COUNTIF(Типы,C967)&lt;&gt;1,COUNTIF(Категории,D967)&lt;&gt;1,COUNTIF(Счета,F967)&lt;&gt;1,COUNTIF(Проекты,I967)&lt;&gt;1,AND(H967&lt;&gt;"",COUNTIF(Контрагенты,H967)&lt;&gt;1),AND(C967="Перевод",OR(F967=G967,COUNTIF(Счета,G967)&lt;&gt;1)),AND(S967&lt;&gt;0,COUNTIF(Docs[ID],J967)&lt;&gt;1),AND(Форма="ООО",C967="Вывод ИП"),AND(Форма="ИП",C967="Дивиденды"),AND(L967&lt;&gt;"Проведён",L967&lt;&gt;"Черновик")),"ОШИБКА","ОК"))</f>
        <v/>
      </c>
      <c r="W967" s="25" t="str">
        <f>IF(A967="","",SUMIF(Accounts[Счёт],F967,Accounts[Начальный])+SUMIFS($Q$7:Q967,$F$7:F967,F967)+SUMIFS($E$7:E967,$G$7:G967,F967,$C$7:C967,"Перевод",$L$7:L967,"Проведён"))</f>
        <v/>
      </c>
    </row>
    <row r="968" spans="1:23" x14ac:dyDescent="0.25">
      <c r="A968" s="22"/>
      <c r="B968" s="23"/>
      <c r="C968" s="22"/>
      <c r="D968" s="22"/>
      <c r="E968" s="27"/>
      <c r="F968" s="22"/>
      <c r="G968" s="22"/>
      <c r="H968" s="22"/>
      <c r="I968" s="22"/>
      <c r="J968" s="22"/>
      <c r="K968" s="22"/>
      <c r="L968" s="22"/>
      <c r="M968" s="22"/>
      <c r="N968" s="27"/>
      <c r="O968" s="22"/>
      <c r="P968" s="5" t="str">
        <f>IF(A968="","",IF(COUNTIF(Типы,C968)=0,0,VLOOKUP(C968,СПРАВОЧНИКИ!$A$7:$E$22,2,FALSE)))</f>
        <v/>
      </c>
      <c r="Q968" s="25" t="str">
        <f t="shared" si="15"/>
        <v/>
      </c>
      <c r="R968" s="5" t="str">
        <f>IF(A968="","",IF(COUNTIF(Типы,C968)=0,"НЕИЗВЕСТНЫЙ ТИП",VLOOKUP(C968,СПРАВОЧНИКИ!$A$7:$E$22,3,FALSE)))</f>
        <v/>
      </c>
      <c r="S968" s="26" t="str">
        <f>IF(A968="","",IF(L968="Проведён",E968*IF(COUNTIF(Типы,C968)=0,0,VLOOKUP(C968,СПРАВОЧНИКИ!$A$7:$E$22,4,FALSE)),0))</f>
        <v/>
      </c>
      <c r="T968" s="26" t="str">
        <f>IF(A968="","",IF(L968="Проведён",E968*IF(COUNTIF(Типы,C968)=0,0,VLOOKUP(C968,СПРАВОЧНИКИ!$A$7:$E$22,5,FALSE)),0))</f>
        <v/>
      </c>
      <c r="U968" s="5" t="str">
        <f>IF(A968="","",IF(COUNTIF(Контрагенты,H968)=0,"Не задан",VLOOKUP(H968,СПРАВОЧНИКИ!$G$7:$H$66,2,FALSE)))</f>
        <v/>
      </c>
      <c r="V968" s="4" t="str">
        <f>IF(A968="",IF(COUNTA(B968:O968)&gt;0,"НЕТ ID",""),IF(OR(AND(OR(C968="Оплата клиента",C968="Возврат клиенту"),COUNTIFS(Docs[ID],J968,Docs[Тип долга],"ДЗ")&lt;&gt;1),AND(OR(C968="Оплата поставщику",C968="Возврат поставщика"),COUNTIFS(Docs[ID],J968,Docs[Тип долга],"КЗ",Docs[Вид],"&lt;&gt;Дивиденды")&lt;&gt;1),AND(C968="Дивиденды",COUNTIFS(Docs[ID],J968,Docs[Вид],"Дивиденды")&lt;&gt;1),AND(C968="Проценты",COUNTIFS(Docs[ID],J968,Docs[Вид],"Проценты")&lt;&gt;1),COUNTIF(Cash[ID],A968)&gt;1,NOT(ISNUMBER(B968)),B968&lt;НачалоУчета,YEAR(B968)&lt;&gt;Год,NOT(ISNUMBER(E968)),E968&lt;=0,N968&lt;0,COUNTIF(Типы,C968)&lt;&gt;1,COUNTIF(Категории,D968)&lt;&gt;1,COUNTIF(Счета,F968)&lt;&gt;1,COUNTIF(Проекты,I968)&lt;&gt;1,AND(H968&lt;&gt;"",COUNTIF(Контрагенты,H968)&lt;&gt;1),AND(C968="Перевод",OR(F968=G968,COUNTIF(Счета,G968)&lt;&gt;1)),AND(S968&lt;&gt;0,COUNTIF(Docs[ID],J968)&lt;&gt;1),AND(Форма="ООО",C968="Вывод ИП"),AND(Форма="ИП",C968="Дивиденды"),AND(L968&lt;&gt;"Проведён",L968&lt;&gt;"Черновик")),"ОШИБКА","ОК"))</f>
        <v/>
      </c>
      <c r="W968" s="25" t="str">
        <f>IF(A968="","",SUMIF(Accounts[Счёт],F968,Accounts[Начальный])+SUMIFS($Q$7:Q968,$F$7:F968,F968)+SUMIFS($E$7:E968,$G$7:G968,F968,$C$7:C968,"Перевод",$L$7:L968,"Проведён"))</f>
        <v/>
      </c>
    </row>
    <row r="969" spans="1:23" x14ac:dyDescent="0.25">
      <c r="A969" s="22"/>
      <c r="B969" s="23"/>
      <c r="C969" s="22"/>
      <c r="D969" s="22"/>
      <c r="E969" s="27"/>
      <c r="F969" s="22"/>
      <c r="G969" s="22"/>
      <c r="H969" s="22"/>
      <c r="I969" s="22"/>
      <c r="J969" s="22"/>
      <c r="K969" s="22"/>
      <c r="L969" s="22"/>
      <c r="M969" s="22"/>
      <c r="N969" s="27"/>
      <c r="O969" s="22"/>
      <c r="P969" s="5" t="str">
        <f>IF(A969="","",IF(COUNTIF(Типы,C969)=0,0,VLOOKUP(C969,СПРАВОЧНИКИ!$A$7:$E$22,2,FALSE)))</f>
        <v/>
      </c>
      <c r="Q969" s="25" t="str">
        <f t="shared" si="15"/>
        <v/>
      </c>
      <c r="R969" s="5" t="str">
        <f>IF(A969="","",IF(COUNTIF(Типы,C969)=0,"НЕИЗВЕСТНЫЙ ТИП",VLOOKUP(C969,СПРАВОЧНИКИ!$A$7:$E$22,3,FALSE)))</f>
        <v/>
      </c>
      <c r="S969" s="26" t="str">
        <f>IF(A969="","",IF(L969="Проведён",E969*IF(COUNTIF(Типы,C969)=0,0,VLOOKUP(C969,СПРАВОЧНИКИ!$A$7:$E$22,4,FALSE)),0))</f>
        <v/>
      </c>
      <c r="T969" s="26" t="str">
        <f>IF(A969="","",IF(L969="Проведён",E969*IF(COUNTIF(Типы,C969)=0,0,VLOOKUP(C969,СПРАВОЧНИКИ!$A$7:$E$22,5,FALSE)),0))</f>
        <v/>
      </c>
      <c r="U969" s="5" t="str">
        <f>IF(A969="","",IF(COUNTIF(Контрагенты,H969)=0,"Не задан",VLOOKUP(H969,СПРАВОЧНИКИ!$G$7:$H$66,2,FALSE)))</f>
        <v/>
      </c>
      <c r="V969" s="4" t="str">
        <f>IF(A969="",IF(COUNTA(B969:O969)&gt;0,"НЕТ ID",""),IF(OR(AND(OR(C969="Оплата клиента",C969="Возврат клиенту"),COUNTIFS(Docs[ID],J969,Docs[Тип долга],"ДЗ")&lt;&gt;1),AND(OR(C969="Оплата поставщику",C969="Возврат поставщика"),COUNTIFS(Docs[ID],J969,Docs[Тип долга],"КЗ",Docs[Вид],"&lt;&gt;Дивиденды")&lt;&gt;1),AND(C969="Дивиденды",COUNTIFS(Docs[ID],J969,Docs[Вид],"Дивиденды")&lt;&gt;1),AND(C969="Проценты",COUNTIFS(Docs[ID],J969,Docs[Вид],"Проценты")&lt;&gt;1),COUNTIF(Cash[ID],A969)&gt;1,NOT(ISNUMBER(B969)),B969&lt;НачалоУчета,YEAR(B969)&lt;&gt;Год,NOT(ISNUMBER(E969)),E969&lt;=0,N969&lt;0,COUNTIF(Типы,C969)&lt;&gt;1,COUNTIF(Категории,D969)&lt;&gt;1,COUNTIF(Счета,F969)&lt;&gt;1,COUNTIF(Проекты,I969)&lt;&gt;1,AND(H969&lt;&gt;"",COUNTIF(Контрагенты,H969)&lt;&gt;1),AND(C969="Перевод",OR(F969=G969,COUNTIF(Счета,G969)&lt;&gt;1)),AND(S969&lt;&gt;0,COUNTIF(Docs[ID],J969)&lt;&gt;1),AND(Форма="ООО",C969="Вывод ИП"),AND(Форма="ИП",C969="Дивиденды"),AND(L969&lt;&gt;"Проведён",L969&lt;&gt;"Черновик")),"ОШИБКА","ОК"))</f>
        <v/>
      </c>
      <c r="W969" s="25" t="str">
        <f>IF(A969="","",SUMIF(Accounts[Счёт],F969,Accounts[Начальный])+SUMIFS($Q$7:Q969,$F$7:F969,F969)+SUMIFS($E$7:E969,$G$7:G969,F969,$C$7:C969,"Перевод",$L$7:L969,"Проведён"))</f>
        <v/>
      </c>
    </row>
    <row r="970" spans="1:23" x14ac:dyDescent="0.25">
      <c r="A970" s="22"/>
      <c r="B970" s="23"/>
      <c r="C970" s="22"/>
      <c r="D970" s="22"/>
      <c r="E970" s="27"/>
      <c r="F970" s="22"/>
      <c r="G970" s="22"/>
      <c r="H970" s="22"/>
      <c r="I970" s="22"/>
      <c r="J970" s="22"/>
      <c r="K970" s="22"/>
      <c r="L970" s="22"/>
      <c r="M970" s="22"/>
      <c r="N970" s="27"/>
      <c r="O970" s="22"/>
      <c r="P970" s="5" t="str">
        <f>IF(A970="","",IF(COUNTIF(Типы,C970)=0,0,VLOOKUP(C970,СПРАВОЧНИКИ!$A$7:$E$22,2,FALSE)))</f>
        <v/>
      </c>
      <c r="Q970" s="25" t="str">
        <f t="shared" si="15"/>
        <v/>
      </c>
      <c r="R970" s="5" t="str">
        <f>IF(A970="","",IF(COUNTIF(Типы,C970)=0,"НЕИЗВЕСТНЫЙ ТИП",VLOOKUP(C970,СПРАВОЧНИКИ!$A$7:$E$22,3,FALSE)))</f>
        <v/>
      </c>
      <c r="S970" s="26" t="str">
        <f>IF(A970="","",IF(L970="Проведён",E970*IF(COUNTIF(Типы,C970)=0,0,VLOOKUP(C970,СПРАВОЧНИКИ!$A$7:$E$22,4,FALSE)),0))</f>
        <v/>
      </c>
      <c r="T970" s="26" t="str">
        <f>IF(A970="","",IF(L970="Проведён",E970*IF(COUNTIF(Типы,C970)=0,0,VLOOKUP(C970,СПРАВОЧНИКИ!$A$7:$E$22,5,FALSE)),0))</f>
        <v/>
      </c>
      <c r="U970" s="5" t="str">
        <f>IF(A970="","",IF(COUNTIF(Контрагенты,H970)=0,"Не задан",VLOOKUP(H970,СПРАВОЧНИКИ!$G$7:$H$66,2,FALSE)))</f>
        <v/>
      </c>
      <c r="V970" s="4" t="str">
        <f>IF(A970="",IF(COUNTA(B970:O970)&gt;0,"НЕТ ID",""),IF(OR(AND(OR(C970="Оплата клиента",C970="Возврат клиенту"),COUNTIFS(Docs[ID],J970,Docs[Тип долга],"ДЗ")&lt;&gt;1),AND(OR(C970="Оплата поставщику",C970="Возврат поставщика"),COUNTIFS(Docs[ID],J970,Docs[Тип долга],"КЗ",Docs[Вид],"&lt;&gt;Дивиденды")&lt;&gt;1),AND(C970="Дивиденды",COUNTIFS(Docs[ID],J970,Docs[Вид],"Дивиденды")&lt;&gt;1),AND(C970="Проценты",COUNTIFS(Docs[ID],J970,Docs[Вид],"Проценты")&lt;&gt;1),COUNTIF(Cash[ID],A970)&gt;1,NOT(ISNUMBER(B970)),B970&lt;НачалоУчета,YEAR(B970)&lt;&gt;Год,NOT(ISNUMBER(E970)),E970&lt;=0,N970&lt;0,COUNTIF(Типы,C970)&lt;&gt;1,COUNTIF(Категории,D970)&lt;&gt;1,COUNTIF(Счета,F970)&lt;&gt;1,COUNTIF(Проекты,I970)&lt;&gt;1,AND(H970&lt;&gt;"",COUNTIF(Контрагенты,H970)&lt;&gt;1),AND(C970="Перевод",OR(F970=G970,COUNTIF(Счета,G970)&lt;&gt;1)),AND(S970&lt;&gt;0,COUNTIF(Docs[ID],J970)&lt;&gt;1),AND(Форма="ООО",C970="Вывод ИП"),AND(Форма="ИП",C970="Дивиденды"),AND(L970&lt;&gt;"Проведён",L970&lt;&gt;"Черновик")),"ОШИБКА","ОК"))</f>
        <v/>
      </c>
      <c r="W970" s="25" t="str">
        <f>IF(A970="","",SUMIF(Accounts[Счёт],F970,Accounts[Начальный])+SUMIFS($Q$7:Q970,$F$7:F970,F970)+SUMIFS($E$7:E970,$G$7:G970,F970,$C$7:C970,"Перевод",$L$7:L970,"Проведён"))</f>
        <v/>
      </c>
    </row>
    <row r="971" spans="1:23" x14ac:dyDescent="0.25">
      <c r="A971" s="22"/>
      <c r="B971" s="23"/>
      <c r="C971" s="22"/>
      <c r="D971" s="22"/>
      <c r="E971" s="27"/>
      <c r="F971" s="22"/>
      <c r="G971" s="22"/>
      <c r="H971" s="22"/>
      <c r="I971" s="22"/>
      <c r="J971" s="22"/>
      <c r="K971" s="22"/>
      <c r="L971" s="22"/>
      <c r="M971" s="22"/>
      <c r="N971" s="27"/>
      <c r="O971" s="22"/>
      <c r="P971" s="5" t="str">
        <f>IF(A971="","",IF(COUNTIF(Типы,C971)=0,0,VLOOKUP(C971,СПРАВОЧНИКИ!$A$7:$E$22,2,FALSE)))</f>
        <v/>
      </c>
      <c r="Q971" s="25" t="str">
        <f t="shared" si="15"/>
        <v/>
      </c>
      <c r="R971" s="5" t="str">
        <f>IF(A971="","",IF(COUNTIF(Типы,C971)=0,"НЕИЗВЕСТНЫЙ ТИП",VLOOKUP(C971,СПРАВОЧНИКИ!$A$7:$E$22,3,FALSE)))</f>
        <v/>
      </c>
      <c r="S971" s="26" t="str">
        <f>IF(A971="","",IF(L971="Проведён",E971*IF(COUNTIF(Типы,C971)=0,0,VLOOKUP(C971,СПРАВОЧНИКИ!$A$7:$E$22,4,FALSE)),0))</f>
        <v/>
      </c>
      <c r="T971" s="26" t="str">
        <f>IF(A971="","",IF(L971="Проведён",E971*IF(COUNTIF(Типы,C971)=0,0,VLOOKUP(C971,СПРАВОЧНИКИ!$A$7:$E$22,5,FALSE)),0))</f>
        <v/>
      </c>
      <c r="U971" s="5" t="str">
        <f>IF(A971="","",IF(COUNTIF(Контрагенты,H971)=0,"Не задан",VLOOKUP(H971,СПРАВОЧНИКИ!$G$7:$H$66,2,FALSE)))</f>
        <v/>
      </c>
      <c r="V971" s="4" t="str">
        <f>IF(A971="",IF(COUNTA(B971:O971)&gt;0,"НЕТ ID",""),IF(OR(AND(OR(C971="Оплата клиента",C971="Возврат клиенту"),COUNTIFS(Docs[ID],J971,Docs[Тип долга],"ДЗ")&lt;&gt;1),AND(OR(C971="Оплата поставщику",C971="Возврат поставщика"),COUNTIFS(Docs[ID],J971,Docs[Тип долга],"КЗ",Docs[Вид],"&lt;&gt;Дивиденды")&lt;&gt;1),AND(C971="Дивиденды",COUNTIFS(Docs[ID],J971,Docs[Вид],"Дивиденды")&lt;&gt;1),AND(C971="Проценты",COUNTIFS(Docs[ID],J971,Docs[Вид],"Проценты")&lt;&gt;1),COUNTIF(Cash[ID],A971)&gt;1,NOT(ISNUMBER(B971)),B971&lt;НачалоУчета,YEAR(B971)&lt;&gt;Год,NOT(ISNUMBER(E971)),E971&lt;=0,N971&lt;0,COUNTIF(Типы,C971)&lt;&gt;1,COUNTIF(Категории,D971)&lt;&gt;1,COUNTIF(Счета,F971)&lt;&gt;1,COUNTIF(Проекты,I971)&lt;&gt;1,AND(H971&lt;&gt;"",COUNTIF(Контрагенты,H971)&lt;&gt;1),AND(C971="Перевод",OR(F971=G971,COUNTIF(Счета,G971)&lt;&gt;1)),AND(S971&lt;&gt;0,COUNTIF(Docs[ID],J971)&lt;&gt;1),AND(Форма="ООО",C971="Вывод ИП"),AND(Форма="ИП",C971="Дивиденды"),AND(L971&lt;&gt;"Проведён",L971&lt;&gt;"Черновик")),"ОШИБКА","ОК"))</f>
        <v/>
      </c>
      <c r="W971" s="25" t="str">
        <f>IF(A971="","",SUMIF(Accounts[Счёт],F971,Accounts[Начальный])+SUMIFS($Q$7:Q971,$F$7:F971,F971)+SUMIFS($E$7:E971,$G$7:G971,F971,$C$7:C971,"Перевод",$L$7:L971,"Проведён"))</f>
        <v/>
      </c>
    </row>
    <row r="972" spans="1:23" x14ac:dyDescent="0.25">
      <c r="A972" s="22"/>
      <c r="B972" s="23"/>
      <c r="C972" s="22"/>
      <c r="D972" s="22"/>
      <c r="E972" s="27"/>
      <c r="F972" s="22"/>
      <c r="G972" s="22"/>
      <c r="H972" s="22"/>
      <c r="I972" s="22"/>
      <c r="J972" s="22"/>
      <c r="K972" s="22"/>
      <c r="L972" s="22"/>
      <c r="M972" s="22"/>
      <c r="N972" s="27"/>
      <c r="O972" s="22"/>
      <c r="P972" s="5" t="str">
        <f>IF(A972="","",IF(COUNTIF(Типы,C972)=0,0,VLOOKUP(C972,СПРАВОЧНИКИ!$A$7:$E$22,2,FALSE)))</f>
        <v/>
      </c>
      <c r="Q972" s="25" t="str">
        <f t="shared" si="15"/>
        <v/>
      </c>
      <c r="R972" s="5" t="str">
        <f>IF(A972="","",IF(COUNTIF(Типы,C972)=0,"НЕИЗВЕСТНЫЙ ТИП",VLOOKUP(C972,СПРАВОЧНИКИ!$A$7:$E$22,3,FALSE)))</f>
        <v/>
      </c>
      <c r="S972" s="26" t="str">
        <f>IF(A972="","",IF(L972="Проведён",E972*IF(COUNTIF(Типы,C972)=0,0,VLOOKUP(C972,СПРАВОЧНИКИ!$A$7:$E$22,4,FALSE)),0))</f>
        <v/>
      </c>
      <c r="T972" s="26" t="str">
        <f>IF(A972="","",IF(L972="Проведён",E972*IF(COUNTIF(Типы,C972)=0,0,VLOOKUP(C972,СПРАВОЧНИКИ!$A$7:$E$22,5,FALSE)),0))</f>
        <v/>
      </c>
      <c r="U972" s="5" t="str">
        <f>IF(A972="","",IF(COUNTIF(Контрагенты,H972)=0,"Не задан",VLOOKUP(H972,СПРАВОЧНИКИ!$G$7:$H$66,2,FALSE)))</f>
        <v/>
      </c>
      <c r="V972" s="4" t="str">
        <f>IF(A972="",IF(COUNTA(B972:O972)&gt;0,"НЕТ ID",""),IF(OR(AND(OR(C972="Оплата клиента",C972="Возврат клиенту"),COUNTIFS(Docs[ID],J972,Docs[Тип долга],"ДЗ")&lt;&gt;1),AND(OR(C972="Оплата поставщику",C972="Возврат поставщика"),COUNTIFS(Docs[ID],J972,Docs[Тип долга],"КЗ",Docs[Вид],"&lt;&gt;Дивиденды")&lt;&gt;1),AND(C972="Дивиденды",COUNTIFS(Docs[ID],J972,Docs[Вид],"Дивиденды")&lt;&gt;1),AND(C972="Проценты",COUNTIFS(Docs[ID],J972,Docs[Вид],"Проценты")&lt;&gt;1),COUNTIF(Cash[ID],A972)&gt;1,NOT(ISNUMBER(B972)),B972&lt;НачалоУчета,YEAR(B972)&lt;&gt;Год,NOT(ISNUMBER(E972)),E972&lt;=0,N972&lt;0,COUNTIF(Типы,C972)&lt;&gt;1,COUNTIF(Категории,D972)&lt;&gt;1,COUNTIF(Счета,F972)&lt;&gt;1,COUNTIF(Проекты,I972)&lt;&gt;1,AND(H972&lt;&gt;"",COUNTIF(Контрагенты,H972)&lt;&gt;1),AND(C972="Перевод",OR(F972=G972,COUNTIF(Счета,G972)&lt;&gt;1)),AND(S972&lt;&gt;0,COUNTIF(Docs[ID],J972)&lt;&gt;1),AND(Форма="ООО",C972="Вывод ИП"),AND(Форма="ИП",C972="Дивиденды"),AND(L972&lt;&gt;"Проведён",L972&lt;&gt;"Черновик")),"ОШИБКА","ОК"))</f>
        <v/>
      </c>
      <c r="W972" s="25" t="str">
        <f>IF(A972="","",SUMIF(Accounts[Счёт],F972,Accounts[Начальный])+SUMIFS($Q$7:Q972,$F$7:F972,F972)+SUMIFS($E$7:E972,$G$7:G972,F972,$C$7:C972,"Перевод",$L$7:L972,"Проведён"))</f>
        <v/>
      </c>
    </row>
    <row r="973" spans="1:23" x14ac:dyDescent="0.25">
      <c r="A973" s="22"/>
      <c r="B973" s="23"/>
      <c r="C973" s="22"/>
      <c r="D973" s="22"/>
      <c r="E973" s="27"/>
      <c r="F973" s="22"/>
      <c r="G973" s="22"/>
      <c r="H973" s="22"/>
      <c r="I973" s="22"/>
      <c r="J973" s="22"/>
      <c r="K973" s="22"/>
      <c r="L973" s="22"/>
      <c r="M973" s="22"/>
      <c r="N973" s="27"/>
      <c r="O973" s="22"/>
      <c r="P973" s="5" t="str">
        <f>IF(A973="","",IF(COUNTIF(Типы,C973)=0,0,VLOOKUP(C973,СПРАВОЧНИКИ!$A$7:$E$22,2,FALSE)))</f>
        <v/>
      </c>
      <c r="Q973" s="25" t="str">
        <f t="shared" si="15"/>
        <v/>
      </c>
      <c r="R973" s="5" t="str">
        <f>IF(A973="","",IF(COUNTIF(Типы,C973)=0,"НЕИЗВЕСТНЫЙ ТИП",VLOOKUP(C973,СПРАВОЧНИКИ!$A$7:$E$22,3,FALSE)))</f>
        <v/>
      </c>
      <c r="S973" s="26" t="str">
        <f>IF(A973="","",IF(L973="Проведён",E973*IF(COUNTIF(Типы,C973)=0,0,VLOOKUP(C973,СПРАВОЧНИКИ!$A$7:$E$22,4,FALSE)),0))</f>
        <v/>
      </c>
      <c r="T973" s="26" t="str">
        <f>IF(A973="","",IF(L973="Проведён",E973*IF(COUNTIF(Типы,C973)=0,0,VLOOKUP(C973,СПРАВОЧНИКИ!$A$7:$E$22,5,FALSE)),0))</f>
        <v/>
      </c>
      <c r="U973" s="5" t="str">
        <f>IF(A973="","",IF(COUNTIF(Контрагенты,H973)=0,"Не задан",VLOOKUP(H973,СПРАВОЧНИКИ!$G$7:$H$66,2,FALSE)))</f>
        <v/>
      </c>
      <c r="V973" s="4" t="str">
        <f>IF(A973="",IF(COUNTA(B973:O973)&gt;0,"НЕТ ID",""),IF(OR(AND(OR(C973="Оплата клиента",C973="Возврат клиенту"),COUNTIFS(Docs[ID],J973,Docs[Тип долга],"ДЗ")&lt;&gt;1),AND(OR(C973="Оплата поставщику",C973="Возврат поставщика"),COUNTIFS(Docs[ID],J973,Docs[Тип долга],"КЗ",Docs[Вид],"&lt;&gt;Дивиденды")&lt;&gt;1),AND(C973="Дивиденды",COUNTIFS(Docs[ID],J973,Docs[Вид],"Дивиденды")&lt;&gt;1),AND(C973="Проценты",COUNTIFS(Docs[ID],J973,Docs[Вид],"Проценты")&lt;&gt;1),COUNTIF(Cash[ID],A973)&gt;1,NOT(ISNUMBER(B973)),B973&lt;НачалоУчета,YEAR(B973)&lt;&gt;Год,NOT(ISNUMBER(E973)),E973&lt;=0,N973&lt;0,COUNTIF(Типы,C973)&lt;&gt;1,COUNTIF(Категории,D973)&lt;&gt;1,COUNTIF(Счета,F973)&lt;&gt;1,COUNTIF(Проекты,I973)&lt;&gt;1,AND(H973&lt;&gt;"",COUNTIF(Контрагенты,H973)&lt;&gt;1),AND(C973="Перевод",OR(F973=G973,COUNTIF(Счета,G973)&lt;&gt;1)),AND(S973&lt;&gt;0,COUNTIF(Docs[ID],J973)&lt;&gt;1),AND(Форма="ООО",C973="Вывод ИП"),AND(Форма="ИП",C973="Дивиденды"),AND(L973&lt;&gt;"Проведён",L973&lt;&gt;"Черновик")),"ОШИБКА","ОК"))</f>
        <v/>
      </c>
      <c r="W973" s="25" t="str">
        <f>IF(A973="","",SUMIF(Accounts[Счёт],F973,Accounts[Начальный])+SUMIFS($Q$7:Q973,$F$7:F973,F973)+SUMIFS($E$7:E973,$G$7:G973,F973,$C$7:C973,"Перевод",$L$7:L973,"Проведён"))</f>
        <v/>
      </c>
    </row>
    <row r="974" spans="1:23" x14ac:dyDescent="0.25">
      <c r="A974" s="22"/>
      <c r="B974" s="23"/>
      <c r="C974" s="22"/>
      <c r="D974" s="22"/>
      <c r="E974" s="27"/>
      <c r="F974" s="22"/>
      <c r="G974" s="22"/>
      <c r="H974" s="22"/>
      <c r="I974" s="22"/>
      <c r="J974" s="22"/>
      <c r="K974" s="22"/>
      <c r="L974" s="22"/>
      <c r="M974" s="22"/>
      <c r="N974" s="27"/>
      <c r="O974" s="22"/>
      <c r="P974" s="5" t="str">
        <f>IF(A974="","",IF(COUNTIF(Типы,C974)=0,0,VLOOKUP(C974,СПРАВОЧНИКИ!$A$7:$E$22,2,FALSE)))</f>
        <v/>
      </c>
      <c r="Q974" s="25" t="str">
        <f t="shared" si="15"/>
        <v/>
      </c>
      <c r="R974" s="5" t="str">
        <f>IF(A974="","",IF(COUNTIF(Типы,C974)=0,"НЕИЗВЕСТНЫЙ ТИП",VLOOKUP(C974,СПРАВОЧНИКИ!$A$7:$E$22,3,FALSE)))</f>
        <v/>
      </c>
      <c r="S974" s="26" t="str">
        <f>IF(A974="","",IF(L974="Проведён",E974*IF(COUNTIF(Типы,C974)=0,0,VLOOKUP(C974,СПРАВОЧНИКИ!$A$7:$E$22,4,FALSE)),0))</f>
        <v/>
      </c>
      <c r="T974" s="26" t="str">
        <f>IF(A974="","",IF(L974="Проведён",E974*IF(COUNTIF(Типы,C974)=0,0,VLOOKUP(C974,СПРАВОЧНИКИ!$A$7:$E$22,5,FALSE)),0))</f>
        <v/>
      </c>
      <c r="U974" s="5" t="str">
        <f>IF(A974="","",IF(COUNTIF(Контрагенты,H974)=0,"Не задан",VLOOKUP(H974,СПРАВОЧНИКИ!$G$7:$H$66,2,FALSE)))</f>
        <v/>
      </c>
      <c r="V974" s="4" t="str">
        <f>IF(A974="",IF(COUNTA(B974:O974)&gt;0,"НЕТ ID",""),IF(OR(AND(OR(C974="Оплата клиента",C974="Возврат клиенту"),COUNTIFS(Docs[ID],J974,Docs[Тип долга],"ДЗ")&lt;&gt;1),AND(OR(C974="Оплата поставщику",C974="Возврат поставщика"),COUNTIFS(Docs[ID],J974,Docs[Тип долга],"КЗ",Docs[Вид],"&lt;&gt;Дивиденды")&lt;&gt;1),AND(C974="Дивиденды",COUNTIFS(Docs[ID],J974,Docs[Вид],"Дивиденды")&lt;&gt;1),AND(C974="Проценты",COUNTIFS(Docs[ID],J974,Docs[Вид],"Проценты")&lt;&gt;1),COUNTIF(Cash[ID],A974)&gt;1,NOT(ISNUMBER(B974)),B974&lt;НачалоУчета,YEAR(B974)&lt;&gt;Год,NOT(ISNUMBER(E974)),E974&lt;=0,N974&lt;0,COUNTIF(Типы,C974)&lt;&gt;1,COUNTIF(Категории,D974)&lt;&gt;1,COUNTIF(Счета,F974)&lt;&gt;1,COUNTIF(Проекты,I974)&lt;&gt;1,AND(H974&lt;&gt;"",COUNTIF(Контрагенты,H974)&lt;&gt;1),AND(C974="Перевод",OR(F974=G974,COUNTIF(Счета,G974)&lt;&gt;1)),AND(S974&lt;&gt;0,COUNTIF(Docs[ID],J974)&lt;&gt;1),AND(Форма="ООО",C974="Вывод ИП"),AND(Форма="ИП",C974="Дивиденды"),AND(L974&lt;&gt;"Проведён",L974&lt;&gt;"Черновик")),"ОШИБКА","ОК"))</f>
        <v/>
      </c>
      <c r="W974" s="25" t="str">
        <f>IF(A974="","",SUMIF(Accounts[Счёт],F974,Accounts[Начальный])+SUMIFS($Q$7:Q974,$F$7:F974,F974)+SUMIFS($E$7:E974,$G$7:G974,F974,$C$7:C974,"Перевод",$L$7:L974,"Проведён"))</f>
        <v/>
      </c>
    </row>
    <row r="975" spans="1:23" x14ac:dyDescent="0.25">
      <c r="A975" s="22"/>
      <c r="B975" s="23"/>
      <c r="C975" s="22"/>
      <c r="D975" s="22"/>
      <c r="E975" s="27"/>
      <c r="F975" s="22"/>
      <c r="G975" s="22"/>
      <c r="H975" s="22"/>
      <c r="I975" s="22"/>
      <c r="J975" s="22"/>
      <c r="K975" s="22"/>
      <c r="L975" s="22"/>
      <c r="M975" s="22"/>
      <c r="N975" s="27"/>
      <c r="O975" s="22"/>
      <c r="P975" s="5" t="str">
        <f>IF(A975="","",IF(COUNTIF(Типы,C975)=0,0,VLOOKUP(C975,СПРАВОЧНИКИ!$A$7:$E$22,2,FALSE)))</f>
        <v/>
      </c>
      <c r="Q975" s="25" t="str">
        <f t="shared" si="15"/>
        <v/>
      </c>
      <c r="R975" s="5" t="str">
        <f>IF(A975="","",IF(COUNTIF(Типы,C975)=0,"НЕИЗВЕСТНЫЙ ТИП",VLOOKUP(C975,СПРАВОЧНИКИ!$A$7:$E$22,3,FALSE)))</f>
        <v/>
      </c>
      <c r="S975" s="26" t="str">
        <f>IF(A975="","",IF(L975="Проведён",E975*IF(COUNTIF(Типы,C975)=0,0,VLOOKUP(C975,СПРАВОЧНИКИ!$A$7:$E$22,4,FALSE)),0))</f>
        <v/>
      </c>
      <c r="T975" s="26" t="str">
        <f>IF(A975="","",IF(L975="Проведён",E975*IF(COUNTIF(Типы,C975)=0,0,VLOOKUP(C975,СПРАВОЧНИКИ!$A$7:$E$22,5,FALSE)),0))</f>
        <v/>
      </c>
      <c r="U975" s="5" t="str">
        <f>IF(A975="","",IF(COUNTIF(Контрагенты,H975)=0,"Не задан",VLOOKUP(H975,СПРАВОЧНИКИ!$G$7:$H$66,2,FALSE)))</f>
        <v/>
      </c>
      <c r="V975" s="4" t="str">
        <f>IF(A975="",IF(COUNTA(B975:O975)&gt;0,"НЕТ ID",""),IF(OR(AND(OR(C975="Оплата клиента",C975="Возврат клиенту"),COUNTIFS(Docs[ID],J975,Docs[Тип долга],"ДЗ")&lt;&gt;1),AND(OR(C975="Оплата поставщику",C975="Возврат поставщика"),COUNTIFS(Docs[ID],J975,Docs[Тип долга],"КЗ",Docs[Вид],"&lt;&gt;Дивиденды")&lt;&gt;1),AND(C975="Дивиденды",COUNTIFS(Docs[ID],J975,Docs[Вид],"Дивиденды")&lt;&gt;1),AND(C975="Проценты",COUNTIFS(Docs[ID],J975,Docs[Вид],"Проценты")&lt;&gt;1),COUNTIF(Cash[ID],A975)&gt;1,NOT(ISNUMBER(B975)),B975&lt;НачалоУчета,YEAR(B975)&lt;&gt;Год,NOT(ISNUMBER(E975)),E975&lt;=0,N975&lt;0,COUNTIF(Типы,C975)&lt;&gt;1,COUNTIF(Категории,D975)&lt;&gt;1,COUNTIF(Счета,F975)&lt;&gt;1,COUNTIF(Проекты,I975)&lt;&gt;1,AND(H975&lt;&gt;"",COUNTIF(Контрагенты,H975)&lt;&gt;1),AND(C975="Перевод",OR(F975=G975,COUNTIF(Счета,G975)&lt;&gt;1)),AND(S975&lt;&gt;0,COUNTIF(Docs[ID],J975)&lt;&gt;1),AND(Форма="ООО",C975="Вывод ИП"),AND(Форма="ИП",C975="Дивиденды"),AND(L975&lt;&gt;"Проведён",L975&lt;&gt;"Черновик")),"ОШИБКА","ОК"))</f>
        <v/>
      </c>
      <c r="W975" s="25" t="str">
        <f>IF(A975="","",SUMIF(Accounts[Счёт],F975,Accounts[Начальный])+SUMIFS($Q$7:Q975,$F$7:F975,F975)+SUMIFS($E$7:E975,$G$7:G975,F975,$C$7:C975,"Перевод",$L$7:L975,"Проведён"))</f>
        <v/>
      </c>
    </row>
    <row r="976" spans="1:23" x14ac:dyDescent="0.25">
      <c r="A976" s="22"/>
      <c r="B976" s="23"/>
      <c r="C976" s="22"/>
      <c r="D976" s="22"/>
      <c r="E976" s="27"/>
      <c r="F976" s="22"/>
      <c r="G976" s="22"/>
      <c r="H976" s="22"/>
      <c r="I976" s="22"/>
      <c r="J976" s="22"/>
      <c r="K976" s="22"/>
      <c r="L976" s="22"/>
      <c r="M976" s="22"/>
      <c r="N976" s="27"/>
      <c r="O976" s="22"/>
      <c r="P976" s="5" t="str">
        <f>IF(A976="","",IF(COUNTIF(Типы,C976)=0,0,VLOOKUP(C976,СПРАВОЧНИКИ!$A$7:$E$22,2,FALSE)))</f>
        <v/>
      </c>
      <c r="Q976" s="25" t="str">
        <f t="shared" si="15"/>
        <v/>
      </c>
      <c r="R976" s="5" t="str">
        <f>IF(A976="","",IF(COUNTIF(Типы,C976)=0,"НЕИЗВЕСТНЫЙ ТИП",VLOOKUP(C976,СПРАВОЧНИКИ!$A$7:$E$22,3,FALSE)))</f>
        <v/>
      </c>
      <c r="S976" s="26" t="str">
        <f>IF(A976="","",IF(L976="Проведён",E976*IF(COUNTIF(Типы,C976)=0,0,VLOOKUP(C976,СПРАВОЧНИКИ!$A$7:$E$22,4,FALSE)),0))</f>
        <v/>
      </c>
      <c r="T976" s="26" t="str">
        <f>IF(A976="","",IF(L976="Проведён",E976*IF(COUNTIF(Типы,C976)=0,0,VLOOKUP(C976,СПРАВОЧНИКИ!$A$7:$E$22,5,FALSE)),0))</f>
        <v/>
      </c>
      <c r="U976" s="5" t="str">
        <f>IF(A976="","",IF(COUNTIF(Контрагенты,H976)=0,"Не задан",VLOOKUP(H976,СПРАВОЧНИКИ!$G$7:$H$66,2,FALSE)))</f>
        <v/>
      </c>
      <c r="V976" s="4" t="str">
        <f>IF(A976="",IF(COUNTA(B976:O976)&gt;0,"НЕТ ID",""),IF(OR(AND(OR(C976="Оплата клиента",C976="Возврат клиенту"),COUNTIFS(Docs[ID],J976,Docs[Тип долга],"ДЗ")&lt;&gt;1),AND(OR(C976="Оплата поставщику",C976="Возврат поставщика"),COUNTIFS(Docs[ID],J976,Docs[Тип долга],"КЗ",Docs[Вид],"&lt;&gt;Дивиденды")&lt;&gt;1),AND(C976="Дивиденды",COUNTIFS(Docs[ID],J976,Docs[Вид],"Дивиденды")&lt;&gt;1),AND(C976="Проценты",COUNTIFS(Docs[ID],J976,Docs[Вид],"Проценты")&lt;&gt;1),COUNTIF(Cash[ID],A976)&gt;1,NOT(ISNUMBER(B976)),B976&lt;НачалоУчета,YEAR(B976)&lt;&gt;Год,NOT(ISNUMBER(E976)),E976&lt;=0,N976&lt;0,COUNTIF(Типы,C976)&lt;&gt;1,COUNTIF(Категории,D976)&lt;&gt;1,COUNTIF(Счета,F976)&lt;&gt;1,COUNTIF(Проекты,I976)&lt;&gt;1,AND(H976&lt;&gt;"",COUNTIF(Контрагенты,H976)&lt;&gt;1),AND(C976="Перевод",OR(F976=G976,COUNTIF(Счета,G976)&lt;&gt;1)),AND(S976&lt;&gt;0,COUNTIF(Docs[ID],J976)&lt;&gt;1),AND(Форма="ООО",C976="Вывод ИП"),AND(Форма="ИП",C976="Дивиденды"),AND(L976&lt;&gt;"Проведён",L976&lt;&gt;"Черновик")),"ОШИБКА","ОК"))</f>
        <v/>
      </c>
      <c r="W976" s="25" t="str">
        <f>IF(A976="","",SUMIF(Accounts[Счёт],F976,Accounts[Начальный])+SUMIFS($Q$7:Q976,$F$7:F976,F976)+SUMIFS($E$7:E976,$G$7:G976,F976,$C$7:C976,"Перевод",$L$7:L976,"Проведён"))</f>
        <v/>
      </c>
    </row>
    <row r="977" spans="1:23" x14ac:dyDescent="0.25">
      <c r="A977" s="22"/>
      <c r="B977" s="23"/>
      <c r="C977" s="22"/>
      <c r="D977" s="22"/>
      <c r="E977" s="27"/>
      <c r="F977" s="22"/>
      <c r="G977" s="22"/>
      <c r="H977" s="22"/>
      <c r="I977" s="22"/>
      <c r="J977" s="22"/>
      <c r="K977" s="22"/>
      <c r="L977" s="22"/>
      <c r="M977" s="22"/>
      <c r="N977" s="27"/>
      <c r="O977" s="22"/>
      <c r="P977" s="5" t="str">
        <f>IF(A977="","",IF(COUNTIF(Типы,C977)=0,0,VLOOKUP(C977,СПРАВОЧНИКИ!$A$7:$E$22,2,FALSE)))</f>
        <v/>
      </c>
      <c r="Q977" s="25" t="str">
        <f t="shared" si="15"/>
        <v/>
      </c>
      <c r="R977" s="5" t="str">
        <f>IF(A977="","",IF(COUNTIF(Типы,C977)=0,"НЕИЗВЕСТНЫЙ ТИП",VLOOKUP(C977,СПРАВОЧНИКИ!$A$7:$E$22,3,FALSE)))</f>
        <v/>
      </c>
      <c r="S977" s="26" t="str">
        <f>IF(A977="","",IF(L977="Проведён",E977*IF(COUNTIF(Типы,C977)=0,0,VLOOKUP(C977,СПРАВОЧНИКИ!$A$7:$E$22,4,FALSE)),0))</f>
        <v/>
      </c>
      <c r="T977" s="26" t="str">
        <f>IF(A977="","",IF(L977="Проведён",E977*IF(COUNTIF(Типы,C977)=0,0,VLOOKUP(C977,СПРАВОЧНИКИ!$A$7:$E$22,5,FALSE)),0))</f>
        <v/>
      </c>
      <c r="U977" s="5" t="str">
        <f>IF(A977="","",IF(COUNTIF(Контрагенты,H977)=0,"Не задан",VLOOKUP(H977,СПРАВОЧНИКИ!$G$7:$H$66,2,FALSE)))</f>
        <v/>
      </c>
      <c r="V977" s="4" t="str">
        <f>IF(A977="",IF(COUNTA(B977:O977)&gt;0,"НЕТ ID",""),IF(OR(AND(OR(C977="Оплата клиента",C977="Возврат клиенту"),COUNTIFS(Docs[ID],J977,Docs[Тип долга],"ДЗ")&lt;&gt;1),AND(OR(C977="Оплата поставщику",C977="Возврат поставщика"),COUNTIFS(Docs[ID],J977,Docs[Тип долга],"КЗ",Docs[Вид],"&lt;&gt;Дивиденды")&lt;&gt;1),AND(C977="Дивиденды",COUNTIFS(Docs[ID],J977,Docs[Вид],"Дивиденды")&lt;&gt;1),AND(C977="Проценты",COUNTIFS(Docs[ID],J977,Docs[Вид],"Проценты")&lt;&gt;1),COUNTIF(Cash[ID],A977)&gt;1,NOT(ISNUMBER(B977)),B977&lt;НачалоУчета,YEAR(B977)&lt;&gt;Год,NOT(ISNUMBER(E977)),E977&lt;=0,N977&lt;0,COUNTIF(Типы,C977)&lt;&gt;1,COUNTIF(Категории,D977)&lt;&gt;1,COUNTIF(Счета,F977)&lt;&gt;1,COUNTIF(Проекты,I977)&lt;&gt;1,AND(H977&lt;&gt;"",COUNTIF(Контрагенты,H977)&lt;&gt;1),AND(C977="Перевод",OR(F977=G977,COUNTIF(Счета,G977)&lt;&gt;1)),AND(S977&lt;&gt;0,COUNTIF(Docs[ID],J977)&lt;&gt;1),AND(Форма="ООО",C977="Вывод ИП"),AND(Форма="ИП",C977="Дивиденды"),AND(L977&lt;&gt;"Проведён",L977&lt;&gt;"Черновик")),"ОШИБКА","ОК"))</f>
        <v/>
      </c>
      <c r="W977" s="25" t="str">
        <f>IF(A977="","",SUMIF(Accounts[Счёт],F977,Accounts[Начальный])+SUMIFS($Q$7:Q977,$F$7:F977,F977)+SUMIFS($E$7:E977,$G$7:G977,F977,$C$7:C977,"Перевод",$L$7:L977,"Проведён"))</f>
        <v/>
      </c>
    </row>
    <row r="978" spans="1:23" x14ac:dyDescent="0.25">
      <c r="A978" s="22"/>
      <c r="B978" s="23"/>
      <c r="C978" s="22"/>
      <c r="D978" s="22"/>
      <c r="E978" s="27"/>
      <c r="F978" s="22"/>
      <c r="G978" s="22"/>
      <c r="H978" s="22"/>
      <c r="I978" s="22"/>
      <c r="J978" s="22"/>
      <c r="K978" s="22"/>
      <c r="L978" s="22"/>
      <c r="M978" s="22"/>
      <c r="N978" s="27"/>
      <c r="O978" s="22"/>
      <c r="P978" s="5" t="str">
        <f>IF(A978="","",IF(COUNTIF(Типы,C978)=0,0,VLOOKUP(C978,СПРАВОЧНИКИ!$A$7:$E$22,2,FALSE)))</f>
        <v/>
      </c>
      <c r="Q978" s="25" t="str">
        <f t="shared" si="15"/>
        <v/>
      </c>
      <c r="R978" s="5" t="str">
        <f>IF(A978="","",IF(COUNTIF(Типы,C978)=0,"НЕИЗВЕСТНЫЙ ТИП",VLOOKUP(C978,СПРАВОЧНИКИ!$A$7:$E$22,3,FALSE)))</f>
        <v/>
      </c>
      <c r="S978" s="26" t="str">
        <f>IF(A978="","",IF(L978="Проведён",E978*IF(COUNTIF(Типы,C978)=0,0,VLOOKUP(C978,СПРАВОЧНИКИ!$A$7:$E$22,4,FALSE)),0))</f>
        <v/>
      </c>
      <c r="T978" s="26" t="str">
        <f>IF(A978="","",IF(L978="Проведён",E978*IF(COUNTIF(Типы,C978)=0,0,VLOOKUP(C978,СПРАВОЧНИКИ!$A$7:$E$22,5,FALSE)),0))</f>
        <v/>
      </c>
      <c r="U978" s="5" t="str">
        <f>IF(A978="","",IF(COUNTIF(Контрагенты,H978)=0,"Не задан",VLOOKUP(H978,СПРАВОЧНИКИ!$G$7:$H$66,2,FALSE)))</f>
        <v/>
      </c>
      <c r="V978" s="4" t="str">
        <f>IF(A978="",IF(COUNTA(B978:O978)&gt;0,"НЕТ ID",""),IF(OR(AND(OR(C978="Оплата клиента",C978="Возврат клиенту"),COUNTIFS(Docs[ID],J978,Docs[Тип долга],"ДЗ")&lt;&gt;1),AND(OR(C978="Оплата поставщику",C978="Возврат поставщика"),COUNTIFS(Docs[ID],J978,Docs[Тип долга],"КЗ",Docs[Вид],"&lt;&gt;Дивиденды")&lt;&gt;1),AND(C978="Дивиденды",COUNTIFS(Docs[ID],J978,Docs[Вид],"Дивиденды")&lt;&gt;1),AND(C978="Проценты",COUNTIFS(Docs[ID],J978,Docs[Вид],"Проценты")&lt;&gt;1),COUNTIF(Cash[ID],A978)&gt;1,NOT(ISNUMBER(B978)),B978&lt;НачалоУчета,YEAR(B978)&lt;&gt;Год,NOT(ISNUMBER(E978)),E978&lt;=0,N978&lt;0,COUNTIF(Типы,C978)&lt;&gt;1,COUNTIF(Категории,D978)&lt;&gt;1,COUNTIF(Счета,F978)&lt;&gt;1,COUNTIF(Проекты,I978)&lt;&gt;1,AND(H978&lt;&gt;"",COUNTIF(Контрагенты,H978)&lt;&gt;1),AND(C978="Перевод",OR(F978=G978,COUNTIF(Счета,G978)&lt;&gt;1)),AND(S978&lt;&gt;0,COUNTIF(Docs[ID],J978)&lt;&gt;1),AND(Форма="ООО",C978="Вывод ИП"),AND(Форма="ИП",C978="Дивиденды"),AND(L978&lt;&gt;"Проведён",L978&lt;&gt;"Черновик")),"ОШИБКА","ОК"))</f>
        <v/>
      </c>
      <c r="W978" s="25" t="str">
        <f>IF(A978="","",SUMIF(Accounts[Счёт],F978,Accounts[Начальный])+SUMIFS($Q$7:Q978,$F$7:F978,F978)+SUMIFS($E$7:E978,$G$7:G978,F978,$C$7:C978,"Перевод",$L$7:L978,"Проведён"))</f>
        <v/>
      </c>
    </row>
    <row r="979" spans="1:23" x14ac:dyDescent="0.25">
      <c r="A979" s="22"/>
      <c r="B979" s="23"/>
      <c r="C979" s="22"/>
      <c r="D979" s="22"/>
      <c r="E979" s="27"/>
      <c r="F979" s="22"/>
      <c r="G979" s="22"/>
      <c r="H979" s="22"/>
      <c r="I979" s="22"/>
      <c r="J979" s="22"/>
      <c r="K979" s="22"/>
      <c r="L979" s="22"/>
      <c r="M979" s="22"/>
      <c r="N979" s="27"/>
      <c r="O979" s="22"/>
      <c r="P979" s="5" t="str">
        <f>IF(A979="","",IF(COUNTIF(Типы,C979)=0,0,VLOOKUP(C979,СПРАВОЧНИКИ!$A$7:$E$22,2,FALSE)))</f>
        <v/>
      </c>
      <c r="Q979" s="25" t="str">
        <f t="shared" si="15"/>
        <v/>
      </c>
      <c r="R979" s="5" t="str">
        <f>IF(A979="","",IF(COUNTIF(Типы,C979)=0,"НЕИЗВЕСТНЫЙ ТИП",VLOOKUP(C979,СПРАВОЧНИКИ!$A$7:$E$22,3,FALSE)))</f>
        <v/>
      </c>
      <c r="S979" s="26" t="str">
        <f>IF(A979="","",IF(L979="Проведён",E979*IF(COUNTIF(Типы,C979)=0,0,VLOOKUP(C979,СПРАВОЧНИКИ!$A$7:$E$22,4,FALSE)),0))</f>
        <v/>
      </c>
      <c r="T979" s="26" t="str">
        <f>IF(A979="","",IF(L979="Проведён",E979*IF(COUNTIF(Типы,C979)=0,0,VLOOKUP(C979,СПРАВОЧНИКИ!$A$7:$E$22,5,FALSE)),0))</f>
        <v/>
      </c>
      <c r="U979" s="5" t="str">
        <f>IF(A979="","",IF(COUNTIF(Контрагенты,H979)=0,"Не задан",VLOOKUP(H979,СПРАВОЧНИКИ!$G$7:$H$66,2,FALSE)))</f>
        <v/>
      </c>
      <c r="V979" s="4" t="str">
        <f>IF(A979="",IF(COUNTA(B979:O979)&gt;0,"НЕТ ID",""),IF(OR(AND(OR(C979="Оплата клиента",C979="Возврат клиенту"),COUNTIFS(Docs[ID],J979,Docs[Тип долга],"ДЗ")&lt;&gt;1),AND(OR(C979="Оплата поставщику",C979="Возврат поставщика"),COUNTIFS(Docs[ID],J979,Docs[Тип долга],"КЗ",Docs[Вид],"&lt;&gt;Дивиденды")&lt;&gt;1),AND(C979="Дивиденды",COUNTIFS(Docs[ID],J979,Docs[Вид],"Дивиденды")&lt;&gt;1),AND(C979="Проценты",COUNTIFS(Docs[ID],J979,Docs[Вид],"Проценты")&lt;&gt;1),COUNTIF(Cash[ID],A979)&gt;1,NOT(ISNUMBER(B979)),B979&lt;НачалоУчета,YEAR(B979)&lt;&gt;Год,NOT(ISNUMBER(E979)),E979&lt;=0,N979&lt;0,COUNTIF(Типы,C979)&lt;&gt;1,COUNTIF(Категории,D979)&lt;&gt;1,COUNTIF(Счета,F979)&lt;&gt;1,COUNTIF(Проекты,I979)&lt;&gt;1,AND(H979&lt;&gt;"",COUNTIF(Контрагенты,H979)&lt;&gt;1),AND(C979="Перевод",OR(F979=G979,COUNTIF(Счета,G979)&lt;&gt;1)),AND(S979&lt;&gt;0,COUNTIF(Docs[ID],J979)&lt;&gt;1),AND(Форма="ООО",C979="Вывод ИП"),AND(Форма="ИП",C979="Дивиденды"),AND(L979&lt;&gt;"Проведён",L979&lt;&gt;"Черновик")),"ОШИБКА","ОК"))</f>
        <v/>
      </c>
      <c r="W979" s="25" t="str">
        <f>IF(A979="","",SUMIF(Accounts[Счёт],F979,Accounts[Начальный])+SUMIFS($Q$7:Q979,$F$7:F979,F979)+SUMIFS($E$7:E979,$G$7:G979,F979,$C$7:C979,"Перевод",$L$7:L979,"Проведён"))</f>
        <v/>
      </c>
    </row>
    <row r="980" spans="1:23" x14ac:dyDescent="0.25">
      <c r="A980" s="22"/>
      <c r="B980" s="23"/>
      <c r="C980" s="22"/>
      <c r="D980" s="22"/>
      <c r="E980" s="27"/>
      <c r="F980" s="22"/>
      <c r="G980" s="22"/>
      <c r="H980" s="22"/>
      <c r="I980" s="22"/>
      <c r="J980" s="22"/>
      <c r="K980" s="22"/>
      <c r="L980" s="22"/>
      <c r="M980" s="22"/>
      <c r="N980" s="27"/>
      <c r="O980" s="22"/>
      <c r="P980" s="5" t="str">
        <f>IF(A980="","",IF(COUNTIF(Типы,C980)=0,0,VLOOKUP(C980,СПРАВОЧНИКИ!$A$7:$E$22,2,FALSE)))</f>
        <v/>
      </c>
      <c r="Q980" s="25" t="str">
        <f t="shared" si="15"/>
        <v/>
      </c>
      <c r="R980" s="5" t="str">
        <f>IF(A980="","",IF(COUNTIF(Типы,C980)=0,"НЕИЗВЕСТНЫЙ ТИП",VLOOKUP(C980,СПРАВОЧНИКИ!$A$7:$E$22,3,FALSE)))</f>
        <v/>
      </c>
      <c r="S980" s="26" t="str">
        <f>IF(A980="","",IF(L980="Проведён",E980*IF(COUNTIF(Типы,C980)=0,0,VLOOKUP(C980,СПРАВОЧНИКИ!$A$7:$E$22,4,FALSE)),0))</f>
        <v/>
      </c>
      <c r="T980" s="26" t="str">
        <f>IF(A980="","",IF(L980="Проведён",E980*IF(COUNTIF(Типы,C980)=0,0,VLOOKUP(C980,СПРАВОЧНИКИ!$A$7:$E$22,5,FALSE)),0))</f>
        <v/>
      </c>
      <c r="U980" s="5" t="str">
        <f>IF(A980="","",IF(COUNTIF(Контрагенты,H980)=0,"Не задан",VLOOKUP(H980,СПРАВОЧНИКИ!$G$7:$H$66,2,FALSE)))</f>
        <v/>
      </c>
      <c r="V980" s="4" t="str">
        <f>IF(A980="",IF(COUNTA(B980:O980)&gt;0,"НЕТ ID",""),IF(OR(AND(OR(C980="Оплата клиента",C980="Возврат клиенту"),COUNTIFS(Docs[ID],J980,Docs[Тип долга],"ДЗ")&lt;&gt;1),AND(OR(C980="Оплата поставщику",C980="Возврат поставщика"),COUNTIFS(Docs[ID],J980,Docs[Тип долга],"КЗ",Docs[Вид],"&lt;&gt;Дивиденды")&lt;&gt;1),AND(C980="Дивиденды",COUNTIFS(Docs[ID],J980,Docs[Вид],"Дивиденды")&lt;&gt;1),AND(C980="Проценты",COUNTIFS(Docs[ID],J980,Docs[Вид],"Проценты")&lt;&gt;1),COUNTIF(Cash[ID],A980)&gt;1,NOT(ISNUMBER(B980)),B980&lt;НачалоУчета,YEAR(B980)&lt;&gt;Год,NOT(ISNUMBER(E980)),E980&lt;=0,N980&lt;0,COUNTIF(Типы,C980)&lt;&gt;1,COUNTIF(Категории,D980)&lt;&gt;1,COUNTIF(Счета,F980)&lt;&gt;1,COUNTIF(Проекты,I980)&lt;&gt;1,AND(H980&lt;&gt;"",COUNTIF(Контрагенты,H980)&lt;&gt;1),AND(C980="Перевод",OR(F980=G980,COUNTIF(Счета,G980)&lt;&gt;1)),AND(S980&lt;&gt;0,COUNTIF(Docs[ID],J980)&lt;&gt;1),AND(Форма="ООО",C980="Вывод ИП"),AND(Форма="ИП",C980="Дивиденды"),AND(L980&lt;&gt;"Проведён",L980&lt;&gt;"Черновик")),"ОШИБКА","ОК"))</f>
        <v/>
      </c>
      <c r="W980" s="25" t="str">
        <f>IF(A980="","",SUMIF(Accounts[Счёт],F980,Accounts[Начальный])+SUMIFS($Q$7:Q980,$F$7:F980,F980)+SUMIFS($E$7:E980,$G$7:G980,F980,$C$7:C980,"Перевод",$L$7:L980,"Проведён"))</f>
        <v/>
      </c>
    </row>
    <row r="981" spans="1:23" x14ac:dyDescent="0.25">
      <c r="A981" s="22"/>
      <c r="B981" s="23"/>
      <c r="C981" s="22"/>
      <c r="D981" s="22"/>
      <c r="E981" s="27"/>
      <c r="F981" s="22"/>
      <c r="G981" s="22"/>
      <c r="H981" s="22"/>
      <c r="I981" s="22"/>
      <c r="J981" s="22"/>
      <c r="K981" s="22"/>
      <c r="L981" s="22"/>
      <c r="M981" s="22"/>
      <c r="N981" s="27"/>
      <c r="O981" s="22"/>
      <c r="P981" s="5" t="str">
        <f>IF(A981="","",IF(COUNTIF(Типы,C981)=0,0,VLOOKUP(C981,СПРАВОЧНИКИ!$A$7:$E$22,2,FALSE)))</f>
        <v/>
      </c>
      <c r="Q981" s="25" t="str">
        <f t="shared" si="15"/>
        <v/>
      </c>
      <c r="R981" s="5" t="str">
        <f>IF(A981="","",IF(COUNTIF(Типы,C981)=0,"НЕИЗВЕСТНЫЙ ТИП",VLOOKUP(C981,СПРАВОЧНИКИ!$A$7:$E$22,3,FALSE)))</f>
        <v/>
      </c>
      <c r="S981" s="26" t="str">
        <f>IF(A981="","",IF(L981="Проведён",E981*IF(COUNTIF(Типы,C981)=0,0,VLOOKUP(C981,СПРАВОЧНИКИ!$A$7:$E$22,4,FALSE)),0))</f>
        <v/>
      </c>
      <c r="T981" s="26" t="str">
        <f>IF(A981="","",IF(L981="Проведён",E981*IF(COUNTIF(Типы,C981)=0,0,VLOOKUP(C981,СПРАВОЧНИКИ!$A$7:$E$22,5,FALSE)),0))</f>
        <v/>
      </c>
      <c r="U981" s="5" t="str">
        <f>IF(A981="","",IF(COUNTIF(Контрагенты,H981)=0,"Не задан",VLOOKUP(H981,СПРАВОЧНИКИ!$G$7:$H$66,2,FALSE)))</f>
        <v/>
      </c>
      <c r="V981" s="4" t="str">
        <f>IF(A981="",IF(COUNTA(B981:O981)&gt;0,"НЕТ ID",""),IF(OR(AND(OR(C981="Оплата клиента",C981="Возврат клиенту"),COUNTIFS(Docs[ID],J981,Docs[Тип долга],"ДЗ")&lt;&gt;1),AND(OR(C981="Оплата поставщику",C981="Возврат поставщика"),COUNTIFS(Docs[ID],J981,Docs[Тип долга],"КЗ",Docs[Вид],"&lt;&gt;Дивиденды")&lt;&gt;1),AND(C981="Дивиденды",COUNTIFS(Docs[ID],J981,Docs[Вид],"Дивиденды")&lt;&gt;1),AND(C981="Проценты",COUNTIFS(Docs[ID],J981,Docs[Вид],"Проценты")&lt;&gt;1),COUNTIF(Cash[ID],A981)&gt;1,NOT(ISNUMBER(B981)),B981&lt;НачалоУчета,YEAR(B981)&lt;&gt;Год,NOT(ISNUMBER(E981)),E981&lt;=0,N981&lt;0,COUNTIF(Типы,C981)&lt;&gt;1,COUNTIF(Категории,D981)&lt;&gt;1,COUNTIF(Счета,F981)&lt;&gt;1,COUNTIF(Проекты,I981)&lt;&gt;1,AND(H981&lt;&gt;"",COUNTIF(Контрагенты,H981)&lt;&gt;1),AND(C981="Перевод",OR(F981=G981,COUNTIF(Счета,G981)&lt;&gt;1)),AND(S981&lt;&gt;0,COUNTIF(Docs[ID],J981)&lt;&gt;1),AND(Форма="ООО",C981="Вывод ИП"),AND(Форма="ИП",C981="Дивиденды"),AND(L981&lt;&gt;"Проведён",L981&lt;&gt;"Черновик")),"ОШИБКА","ОК"))</f>
        <v/>
      </c>
      <c r="W981" s="25" t="str">
        <f>IF(A981="","",SUMIF(Accounts[Счёт],F981,Accounts[Начальный])+SUMIFS($Q$7:Q981,$F$7:F981,F981)+SUMIFS($E$7:E981,$G$7:G981,F981,$C$7:C981,"Перевод",$L$7:L981,"Проведён"))</f>
        <v/>
      </c>
    </row>
    <row r="982" spans="1:23" x14ac:dyDescent="0.25">
      <c r="A982" s="22"/>
      <c r="B982" s="23"/>
      <c r="C982" s="22"/>
      <c r="D982" s="22"/>
      <c r="E982" s="27"/>
      <c r="F982" s="22"/>
      <c r="G982" s="22"/>
      <c r="H982" s="22"/>
      <c r="I982" s="22"/>
      <c r="J982" s="22"/>
      <c r="K982" s="22"/>
      <c r="L982" s="22"/>
      <c r="M982" s="22"/>
      <c r="N982" s="27"/>
      <c r="O982" s="22"/>
      <c r="P982" s="5" t="str">
        <f>IF(A982="","",IF(COUNTIF(Типы,C982)=0,0,VLOOKUP(C982,СПРАВОЧНИКИ!$A$7:$E$22,2,FALSE)))</f>
        <v/>
      </c>
      <c r="Q982" s="25" t="str">
        <f t="shared" si="15"/>
        <v/>
      </c>
      <c r="R982" s="5" t="str">
        <f>IF(A982="","",IF(COUNTIF(Типы,C982)=0,"НЕИЗВЕСТНЫЙ ТИП",VLOOKUP(C982,СПРАВОЧНИКИ!$A$7:$E$22,3,FALSE)))</f>
        <v/>
      </c>
      <c r="S982" s="26" t="str">
        <f>IF(A982="","",IF(L982="Проведён",E982*IF(COUNTIF(Типы,C982)=0,0,VLOOKUP(C982,СПРАВОЧНИКИ!$A$7:$E$22,4,FALSE)),0))</f>
        <v/>
      </c>
      <c r="T982" s="26" t="str">
        <f>IF(A982="","",IF(L982="Проведён",E982*IF(COUNTIF(Типы,C982)=0,0,VLOOKUP(C982,СПРАВОЧНИКИ!$A$7:$E$22,5,FALSE)),0))</f>
        <v/>
      </c>
      <c r="U982" s="5" t="str">
        <f>IF(A982="","",IF(COUNTIF(Контрагенты,H982)=0,"Не задан",VLOOKUP(H982,СПРАВОЧНИКИ!$G$7:$H$66,2,FALSE)))</f>
        <v/>
      </c>
      <c r="V982" s="4" t="str">
        <f>IF(A982="",IF(COUNTA(B982:O982)&gt;0,"НЕТ ID",""),IF(OR(AND(OR(C982="Оплата клиента",C982="Возврат клиенту"),COUNTIFS(Docs[ID],J982,Docs[Тип долга],"ДЗ")&lt;&gt;1),AND(OR(C982="Оплата поставщику",C982="Возврат поставщика"),COUNTIFS(Docs[ID],J982,Docs[Тип долга],"КЗ",Docs[Вид],"&lt;&gt;Дивиденды")&lt;&gt;1),AND(C982="Дивиденды",COUNTIFS(Docs[ID],J982,Docs[Вид],"Дивиденды")&lt;&gt;1),AND(C982="Проценты",COUNTIFS(Docs[ID],J982,Docs[Вид],"Проценты")&lt;&gt;1),COUNTIF(Cash[ID],A982)&gt;1,NOT(ISNUMBER(B982)),B982&lt;НачалоУчета,YEAR(B982)&lt;&gt;Год,NOT(ISNUMBER(E982)),E982&lt;=0,N982&lt;0,COUNTIF(Типы,C982)&lt;&gt;1,COUNTIF(Категории,D982)&lt;&gt;1,COUNTIF(Счета,F982)&lt;&gt;1,COUNTIF(Проекты,I982)&lt;&gt;1,AND(H982&lt;&gt;"",COUNTIF(Контрагенты,H982)&lt;&gt;1),AND(C982="Перевод",OR(F982=G982,COUNTIF(Счета,G982)&lt;&gt;1)),AND(S982&lt;&gt;0,COUNTIF(Docs[ID],J982)&lt;&gt;1),AND(Форма="ООО",C982="Вывод ИП"),AND(Форма="ИП",C982="Дивиденды"),AND(L982&lt;&gt;"Проведён",L982&lt;&gt;"Черновик")),"ОШИБКА","ОК"))</f>
        <v/>
      </c>
      <c r="W982" s="25" t="str">
        <f>IF(A982="","",SUMIF(Accounts[Счёт],F982,Accounts[Начальный])+SUMIFS($Q$7:Q982,$F$7:F982,F982)+SUMIFS($E$7:E982,$G$7:G982,F982,$C$7:C982,"Перевод",$L$7:L982,"Проведён"))</f>
        <v/>
      </c>
    </row>
    <row r="983" spans="1:23" x14ac:dyDescent="0.25">
      <c r="A983" s="22"/>
      <c r="B983" s="23"/>
      <c r="C983" s="22"/>
      <c r="D983" s="22"/>
      <c r="E983" s="27"/>
      <c r="F983" s="22"/>
      <c r="G983" s="22"/>
      <c r="H983" s="22"/>
      <c r="I983" s="22"/>
      <c r="J983" s="22"/>
      <c r="K983" s="22"/>
      <c r="L983" s="22"/>
      <c r="M983" s="22"/>
      <c r="N983" s="27"/>
      <c r="O983" s="22"/>
      <c r="P983" s="5" t="str">
        <f>IF(A983="","",IF(COUNTIF(Типы,C983)=0,0,VLOOKUP(C983,СПРАВОЧНИКИ!$A$7:$E$22,2,FALSE)))</f>
        <v/>
      </c>
      <c r="Q983" s="25" t="str">
        <f t="shared" si="15"/>
        <v/>
      </c>
      <c r="R983" s="5" t="str">
        <f>IF(A983="","",IF(COUNTIF(Типы,C983)=0,"НЕИЗВЕСТНЫЙ ТИП",VLOOKUP(C983,СПРАВОЧНИКИ!$A$7:$E$22,3,FALSE)))</f>
        <v/>
      </c>
      <c r="S983" s="26" t="str">
        <f>IF(A983="","",IF(L983="Проведён",E983*IF(COUNTIF(Типы,C983)=0,0,VLOOKUP(C983,СПРАВОЧНИКИ!$A$7:$E$22,4,FALSE)),0))</f>
        <v/>
      </c>
      <c r="T983" s="26" t="str">
        <f>IF(A983="","",IF(L983="Проведён",E983*IF(COUNTIF(Типы,C983)=0,0,VLOOKUP(C983,СПРАВОЧНИКИ!$A$7:$E$22,5,FALSE)),0))</f>
        <v/>
      </c>
      <c r="U983" s="5" t="str">
        <f>IF(A983="","",IF(COUNTIF(Контрагенты,H983)=0,"Не задан",VLOOKUP(H983,СПРАВОЧНИКИ!$G$7:$H$66,2,FALSE)))</f>
        <v/>
      </c>
      <c r="V983" s="4" t="str">
        <f>IF(A983="",IF(COUNTA(B983:O983)&gt;0,"НЕТ ID",""),IF(OR(AND(OR(C983="Оплата клиента",C983="Возврат клиенту"),COUNTIFS(Docs[ID],J983,Docs[Тип долга],"ДЗ")&lt;&gt;1),AND(OR(C983="Оплата поставщику",C983="Возврат поставщика"),COUNTIFS(Docs[ID],J983,Docs[Тип долга],"КЗ",Docs[Вид],"&lt;&gt;Дивиденды")&lt;&gt;1),AND(C983="Дивиденды",COUNTIFS(Docs[ID],J983,Docs[Вид],"Дивиденды")&lt;&gt;1),AND(C983="Проценты",COUNTIFS(Docs[ID],J983,Docs[Вид],"Проценты")&lt;&gt;1),COUNTIF(Cash[ID],A983)&gt;1,NOT(ISNUMBER(B983)),B983&lt;НачалоУчета,YEAR(B983)&lt;&gt;Год,NOT(ISNUMBER(E983)),E983&lt;=0,N983&lt;0,COUNTIF(Типы,C983)&lt;&gt;1,COUNTIF(Категории,D983)&lt;&gt;1,COUNTIF(Счета,F983)&lt;&gt;1,COUNTIF(Проекты,I983)&lt;&gt;1,AND(H983&lt;&gt;"",COUNTIF(Контрагенты,H983)&lt;&gt;1),AND(C983="Перевод",OR(F983=G983,COUNTIF(Счета,G983)&lt;&gt;1)),AND(S983&lt;&gt;0,COUNTIF(Docs[ID],J983)&lt;&gt;1),AND(Форма="ООО",C983="Вывод ИП"),AND(Форма="ИП",C983="Дивиденды"),AND(L983&lt;&gt;"Проведён",L983&lt;&gt;"Черновик")),"ОШИБКА","ОК"))</f>
        <v/>
      </c>
      <c r="W983" s="25" t="str">
        <f>IF(A983="","",SUMIF(Accounts[Счёт],F983,Accounts[Начальный])+SUMIFS($Q$7:Q983,$F$7:F983,F983)+SUMIFS($E$7:E983,$G$7:G983,F983,$C$7:C983,"Перевод",$L$7:L983,"Проведён"))</f>
        <v/>
      </c>
    </row>
    <row r="984" spans="1:23" x14ac:dyDescent="0.25">
      <c r="A984" s="22"/>
      <c r="B984" s="23"/>
      <c r="C984" s="22"/>
      <c r="D984" s="22"/>
      <c r="E984" s="27"/>
      <c r="F984" s="22"/>
      <c r="G984" s="22"/>
      <c r="H984" s="22"/>
      <c r="I984" s="22"/>
      <c r="J984" s="22"/>
      <c r="K984" s="22"/>
      <c r="L984" s="22"/>
      <c r="M984" s="22"/>
      <c r="N984" s="27"/>
      <c r="O984" s="22"/>
      <c r="P984" s="5" t="str">
        <f>IF(A984="","",IF(COUNTIF(Типы,C984)=0,0,VLOOKUP(C984,СПРАВОЧНИКИ!$A$7:$E$22,2,FALSE)))</f>
        <v/>
      </c>
      <c r="Q984" s="25" t="str">
        <f t="shared" si="15"/>
        <v/>
      </c>
      <c r="R984" s="5" t="str">
        <f>IF(A984="","",IF(COUNTIF(Типы,C984)=0,"НЕИЗВЕСТНЫЙ ТИП",VLOOKUP(C984,СПРАВОЧНИКИ!$A$7:$E$22,3,FALSE)))</f>
        <v/>
      </c>
      <c r="S984" s="26" t="str">
        <f>IF(A984="","",IF(L984="Проведён",E984*IF(COUNTIF(Типы,C984)=0,0,VLOOKUP(C984,СПРАВОЧНИКИ!$A$7:$E$22,4,FALSE)),0))</f>
        <v/>
      </c>
      <c r="T984" s="26" t="str">
        <f>IF(A984="","",IF(L984="Проведён",E984*IF(COUNTIF(Типы,C984)=0,0,VLOOKUP(C984,СПРАВОЧНИКИ!$A$7:$E$22,5,FALSE)),0))</f>
        <v/>
      </c>
      <c r="U984" s="5" t="str">
        <f>IF(A984="","",IF(COUNTIF(Контрагенты,H984)=0,"Не задан",VLOOKUP(H984,СПРАВОЧНИКИ!$G$7:$H$66,2,FALSE)))</f>
        <v/>
      </c>
      <c r="V984" s="4" t="str">
        <f>IF(A984="",IF(COUNTA(B984:O984)&gt;0,"НЕТ ID",""),IF(OR(AND(OR(C984="Оплата клиента",C984="Возврат клиенту"),COUNTIFS(Docs[ID],J984,Docs[Тип долга],"ДЗ")&lt;&gt;1),AND(OR(C984="Оплата поставщику",C984="Возврат поставщика"),COUNTIFS(Docs[ID],J984,Docs[Тип долга],"КЗ",Docs[Вид],"&lt;&gt;Дивиденды")&lt;&gt;1),AND(C984="Дивиденды",COUNTIFS(Docs[ID],J984,Docs[Вид],"Дивиденды")&lt;&gt;1),AND(C984="Проценты",COUNTIFS(Docs[ID],J984,Docs[Вид],"Проценты")&lt;&gt;1),COUNTIF(Cash[ID],A984)&gt;1,NOT(ISNUMBER(B984)),B984&lt;НачалоУчета,YEAR(B984)&lt;&gt;Год,NOT(ISNUMBER(E984)),E984&lt;=0,N984&lt;0,COUNTIF(Типы,C984)&lt;&gt;1,COUNTIF(Категории,D984)&lt;&gt;1,COUNTIF(Счета,F984)&lt;&gt;1,COUNTIF(Проекты,I984)&lt;&gt;1,AND(H984&lt;&gt;"",COUNTIF(Контрагенты,H984)&lt;&gt;1),AND(C984="Перевод",OR(F984=G984,COUNTIF(Счета,G984)&lt;&gt;1)),AND(S984&lt;&gt;0,COUNTIF(Docs[ID],J984)&lt;&gt;1),AND(Форма="ООО",C984="Вывод ИП"),AND(Форма="ИП",C984="Дивиденды"),AND(L984&lt;&gt;"Проведён",L984&lt;&gt;"Черновик")),"ОШИБКА","ОК"))</f>
        <v/>
      </c>
      <c r="W984" s="25" t="str">
        <f>IF(A984="","",SUMIF(Accounts[Счёт],F984,Accounts[Начальный])+SUMIFS($Q$7:Q984,$F$7:F984,F984)+SUMIFS($E$7:E984,$G$7:G984,F984,$C$7:C984,"Перевод",$L$7:L984,"Проведён"))</f>
        <v/>
      </c>
    </row>
    <row r="985" spans="1:23" x14ac:dyDescent="0.25">
      <c r="A985" s="22"/>
      <c r="B985" s="23"/>
      <c r="C985" s="22"/>
      <c r="D985" s="22"/>
      <c r="E985" s="27"/>
      <c r="F985" s="22"/>
      <c r="G985" s="22"/>
      <c r="H985" s="22"/>
      <c r="I985" s="22"/>
      <c r="J985" s="22"/>
      <c r="K985" s="22"/>
      <c r="L985" s="22"/>
      <c r="M985" s="22"/>
      <c r="N985" s="27"/>
      <c r="O985" s="22"/>
      <c r="P985" s="5" t="str">
        <f>IF(A985="","",IF(COUNTIF(Типы,C985)=0,0,VLOOKUP(C985,СПРАВОЧНИКИ!$A$7:$E$22,2,FALSE)))</f>
        <v/>
      </c>
      <c r="Q985" s="25" t="str">
        <f t="shared" si="15"/>
        <v/>
      </c>
      <c r="R985" s="5" t="str">
        <f>IF(A985="","",IF(COUNTIF(Типы,C985)=0,"НЕИЗВЕСТНЫЙ ТИП",VLOOKUP(C985,СПРАВОЧНИКИ!$A$7:$E$22,3,FALSE)))</f>
        <v/>
      </c>
      <c r="S985" s="26" t="str">
        <f>IF(A985="","",IF(L985="Проведён",E985*IF(COUNTIF(Типы,C985)=0,0,VLOOKUP(C985,СПРАВОЧНИКИ!$A$7:$E$22,4,FALSE)),0))</f>
        <v/>
      </c>
      <c r="T985" s="26" t="str">
        <f>IF(A985="","",IF(L985="Проведён",E985*IF(COUNTIF(Типы,C985)=0,0,VLOOKUP(C985,СПРАВОЧНИКИ!$A$7:$E$22,5,FALSE)),0))</f>
        <v/>
      </c>
      <c r="U985" s="5" t="str">
        <f>IF(A985="","",IF(COUNTIF(Контрагенты,H985)=0,"Не задан",VLOOKUP(H985,СПРАВОЧНИКИ!$G$7:$H$66,2,FALSE)))</f>
        <v/>
      </c>
      <c r="V985" s="4" t="str">
        <f>IF(A985="",IF(COUNTA(B985:O985)&gt;0,"НЕТ ID",""),IF(OR(AND(OR(C985="Оплата клиента",C985="Возврат клиенту"),COUNTIFS(Docs[ID],J985,Docs[Тип долга],"ДЗ")&lt;&gt;1),AND(OR(C985="Оплата поставщику",C985="Возврат поставщика"),COUNTIFS(Docs[ID],J985,Docs[Тип долга],"КЗ",Docs[Вид],"&lt;&gt;Дивиденды")&lt;&gt;1),AND(C985="Дивиденды",COUNTIFS(Docs[ID],J985,Docs[Вид],"Дивиденды")&lt;&gt;1),AND(C985="Проценты",COUNTIFS(Docs[ID],J985,Docs[Вид],"Проценты")&lt;&gt;1),COUNTIF(Cash[ID],A985)&gt;1,NOT(ISNUMBER(B985)),B985&lt;НачалоУчета,YEAR(B985)&lt;&gt;Год,NOT(ISNUMBER(E985)),E985&lt;=0,N985&lt;0,COUNTIF(Типы,C985)&lt;&gt;1,COUNTIF(Категории,D985)&lt;&gt;1,COUNTIF(Счета,F985)&lt;&gt;1,COUNTIF(Проекты,I985)&lt;&gt;1,AND(H985&lt;&gt;"",COUNTIF(Контрагенты,H985)&lt;&gt;1),AND(C985="Перевод",OR(F985=G985,COUNTIF(Счета,G985)&lt;&gt;1)),AND(S985&lt;&gt;0,COUNTIF(Docs[ID],J985)&lt;&gt;1),AND(Форма="ООО",C985="Вывод ИП"),AND(Форма="ИП",C985="Дивиденды"),AND(L985&lt;&gt;"Проведён",L985&lt;&gt;"Черновик")),"ОШИБКА","ОК"))</f>
        <v/>
      </c>
      <c r="W985" s="25" t="str">
        <f>IF(A985="","",SUMIF(Accounts[Счёт],F985,Accounts[Начальный])+SUMIFS($Q$7:Q985,$F$7:F985,F985)+SUMIFS($E$7:E985,$G$7:G985,F985,$C$7:C985,"Перевод",$L$7:L985,"Проведён"))</f>
        <v/>
      </c>
    </row>
    <row r="986" spans="1:23" x14ac:dyDescent="0.25">
      <c r="A986" s="22"/>
      <c r="B986" s="23"/>
      <c r="C986" s="22"/>
      <c r="D986" s="22"/>
      <c r="E986" s="27"/>
      <c r="F986" s="22"/>
      <c r="G986" s="22"/>
      <c r="H986" s="22"/>
      <c r="I986" s="22"/>
      <c r="J986" s="22"/>
      <c r="K986" s="22"/>
      <c r="L986" s="22"/>
      <c r="M986" s="22"/>
      <c r="N986" s="27"/>
      <c r="O986" s="22"/>
      <c r="P986" s="5" t="str">
        <f>IF(A986="","",IF(COUNTIF(Типы,C986)=0,0,VLOOKUP(C986,СПРАВОЧНИКИ!$A$7:$E$22,2,FALSE)))</f>
        <v/>
      </c>
      <c r="Q986" s="25" t="str">
        <f t="shared" si="15"/>
        <v/>
      </c>
      <c r="R986" s="5" t="str">
        <f>IF(A986="","",IF(COUNTIF(Типы,C986)=0,"НЕИЗВЕСТНЫЙ ТИП",VLOOKUP(C986,СПРАВОЧНИКИ!$A$7:$E$22,3,FALSE)))</f>
        <v/>
      </c>
      <c r="S986" s="26" t="str">
        <f>IF(A986="","",IF(L986="Проведён",E986*IF(COUNTIF(Типы,C986)=0,0,VLOOKUP(C986,СПРАВОЧНИКИ!$A$7:$E$22,4,FALSE)),0))</f>
        <v/>
      </c>
      <c r="T986" s="26" t="str">
        <f>IF(A986="","",IF(L986="Проведён",E986*IF(COUNTIF(Типы,C986)=0,0,VLOOKUP(C986,СПРАВОЧНИКИ!$A$7:$E$22,5,FALSE)),0))</f>
        <v/>
      </c>
      <c r="U986" s="5" t="str">
        <f>IF(A986="","",IF(COUNTIF(Контрагенты,H986)=0,"Не задан",VLOOKUP(H986,СПРАВОЧНИКИ!$G$7:$H$66,2,FALSE)))</f>
        <v/>
      </c>
      <c r="V986" s="4" t="str">
        <f>IF(A986="",IF(COUNTA(B986:O986)&gt;0,"НЕТ ID",""),IF(OR(AND(OR(C986="Оплата клиента",C986="Возврат клиенту"),COUNTIFS(Docs[ID],J986,Docs[Тип долга],"ДЗ")&lt;&gt;1),AND(OR(C986="Оплата поставщику",C986="Возврат поставщика"),COUNTIFS(Docs[ID],J986,Docs[Тип долга],"КЗ",Docs[Вид],"&lt;&gt;Дивиденды")&lt;&gt;1),AND(C986="Дивиденды",COUNTIFS(Docs[ID],J986,Docs[Вид],"Дивиденды")&lt;&gt;1),AND(C986="Проценты",COUNTIFS(Docs[ID],J986,Docs[Вид],"Проценты")&lt;&gt;1),COUNTIF(Cash[ID],A986)&gt;1,NOT(ISNUMBER(B986)),B986&lt;НачалоУчета,YEAR(B986)&lt;&gt;Год,NOT(ISNUMBER(E986)),E986&lt;=0,N986&lt;0,COUNTIF(Типы,C986)&lt;&gt;1,COUNTIF(Категории,D986)&lt;&gt;1,COUNTIF(Счета,F986)&lt;&gt;1,COUNTIF(Проекты,I986)&lt;&gt;1,AND(H986&lt;&gt;"",COUNTIF(Контрагенты,H986)&lt;&gt;1),AND(C986="Перевод",OR(F986=G986,COUNTIF(Счета,G986)&lt;&gt;1)),AND(S986&lt;&gt;0,COUNTIF(Docs[ID],J986)&lt;&gt;1),AND(Форма="ООО",C986="Вывод ИП"),AND(Форма="ИП",C986="Дивиденды"),AND(L986&lt;&gt;"Проведён",L986&lt;&gt;"Черновик")),"ОШИБКА","ОК"))</f>
        <v/>
      </c>
      <c r="W986" s="25" t="str">
        <f>IF(A986="","",SUMIF(Accounts[Счёт],F986,Accounts[Начальный])+SUMIFS($Q$7:Q986,$F$7:F986,F986)+SUMIFS($E$7:E986,$G$7:G986,F986,$C$7:C986,"Перевод",$L$7:L986,"Проведён"))</f>
        <v/>
      </c>
    </row>
    <row r="987" spans="1:23" x14ac:dyDescent="0.25">
      <c r="A987" s="22"/>
      <c r="B987" s="23"/>
      <c r="C987" s="22"/>
      <c r="D987" s="22"/>
      <c r="E987" s="27"/>
      <c r="F987" s="22"/>
      <c r="G987" s="22"/>
      <c r="H987" s="22"/>
      <c r="I987" s="22"/>
      <c r="J987" s="22"/>
      <c r="K987" s="22"/>
      <c r="L987" s="22"/>
      <c r="M987" s="22"/>
      <c r="N987" s="27"/>
      <c r="O987" s="22"/>
      <c r="P987" s="5" t="str">
        <f>IF(A987="","",IF(COUNTIF(Типы,C987)=0,0,VLOOKUP(C987,СПРАВОЧНИКИ!$A$7:$E$22,2,FALSE)))</f>
        <v/>
      </c>
      <c r="Q987" s="25" t="str">
        <f t="shared" si="15"/>
        <v/>
      </c>
      <c r="R987" s="5" t="str">
        <f>IF(A987="","",IF(COUNTIF(Типы,C987)=0,"НЕИЗВЕСТНЫЙ ТИП",VLOOKUP(C987,СПРАВОЧНИКИ!$A$7:$E$22,3,FALSE)))</f>
        <v/>
      </c>
      <c r="S987" s="26" t="str">
        <f>IF(A987="","",IF(L987="Проведён",E987*IF(COUNTIF(Типы,C987)=0,0,VLOOKUP(C987,СПРАВОЧНИКИ!$A$7:$E$22,4,FALSE)),0))</f>
        <v/>
      </c>
      <c r="T987" s="26" t="str">
        <f>IF(A987="","",IF(L987="Проведён",E987*IF(COUNTIF(Типы,C987)=0,0,VLOOKUP(C987,СПРАВОЧНИКИ!$A$7:$E$22,5,FALSE)),0))</f>
        <v/>
      </c>
      <c r="U987" s="5" t="str">
        <f>IF(A987="","",IF(COUNTIF(Контрагенты,H987)=0,"Не задан",VLOOKUP(H987,СПРАВОЧНИКИ!$G$7:$H$66,2,FALSE)))</f>
        <v/>
      </c>
      <c r="V987" s="4" t="str">
        <f>IF(A987="",IF(COUNTA(B987:O987)&gt;0,"НЕТ ID",""),IF(OR(AND(OR(C987="Оплата клиента",C987="Возврат клиенту"),COUNTIFS(Docs[ID],J987,Docs[Тип долга],"ДЗ")&lt;&gt;1),AND(OR(C987="Оплата поставщику",C987="Возврат поставщика"),COUNTIFS(Docs[ID],J987,Docs[Тип долга],"КЗ",Docs[Вид],"&lt;&gt;Дивиденды")&lt;&gt;1),AND(C987="Дивиденды",COUNTIFS(Docs[ID],J987,Docs[Вид],"Дивиденды")&lt;&gt;1),AND(C987="Проценты",COUNTIFS(Docs[ID],J987,Docs[Вид],"Проценты")&lt;&gt;1),COUNTIF(Cash[ID],A987)&gt;1,NOT(ISNUMBER(B987)),B987&lt;НачалоУчета,YEAR(B987)&lt;&gt;Год,NOT(ISNUMBER(E987)),E987&lt;=0,N987&lt;0,COUNTIF(Типы,C987)&lt;&gt;1,COUNTIF(Категории,D987)&lt;&gt;1,COUNTIF(Счета,F987)&lt;&gt;1,COUNTIF(Проекты,I987)&lt;&gt;1,AND(H987&lt;&gt;"",COUNTIF(Контрагенты,H987)&lt;&gt;1),AND(C987="Перевод",OR(F987=G987,COUNTIF(Счета,G987)&lt;&gt;1)),AND(S987&lt;&gt;0,COUNTIF(Docs[ID],J987)&lt;&gt;1),AND(Форма="ООО",C987="Вывод ИП"),AND(Форма="ИП",C987="Дивиденды"),AND(L987&lt;&gt;"Проведён",L987&lt;&gt;"Черновик")),"ОШИБКА","ОК"))</f>
        <v/>
      </c>
      <c r="W987" s="25" t="str">
        <f>IF(A987="","",SUMIF(Accounts[Счёт],F987,Accounts[Начальный])+SUMIFS($Q$7:Q987,$F$7:F987,F987)+SUMIFS($E$7:E987,$G$7:G987,F987,$C$7:C987,"Перевод",$L$7:L987,"Проведён"))</f>
        <v/>
      </c>
    </row>
    <row r="988" spans="1:23" x14ac:dyDescent="0.25">
      <c r="A988" s="22"/>
      <c r="B988" s="23"/>
      <c r="C988" s="22"/>
      <c r="D988" s="22"/>
      <c r="E988" s="27"/>
      <c r="F988" s="22"/>
      <c r="G988" s="22"/>
      <c r="H988" s="22"/>
      <c r="I988" s="22"/>
      <c r="J988" s="22"/>
      <c r="K988" s="22"/>
      <c r="L988" s="22"/>
      <c r="M988" s="22"/>
      <c r="N988" s="27"/>
      <c r="O988" s="22"/>
      <c r="P988" s="5" t="str">
        <f>IF(A988="","",IF(COUNTIF(Типы,C988)=0,0,VLOOKUP(C988,СПРАВОЧНИКИ!$A$7:$E$22,2,FALSE)))</f>
        <v/>
      </c>
      <c r="Q988" s="25" t="str">
        <f t="shared" si="15"/>
        <v/>
      </c>
      <c r="R988" s="5" t="str">
        <f>IF(A988="","",IF(COUNTIF(Типы,C988)=0,"НЕИЗВЕСТНЫЙ ТИП",VLOOKUP(C988,СПРАВОЧНИКИ!$A$7:$E$22,3,FALSE)))</f>
        <v/>
      </c>
      <c r="S988" s="26" t="str">
        <f>IF(A988="","",IF(L988="Проведён",E988*IF(COUNTIF(Типы,C988)=0,0,VLOOKUP(C988,СПРАВОЧНИКИ!$A$7:$E$22,4,FALSE)),0))</f>
        <v/>
      </c>
      <c r="T988" s="26" t="str">
        <f>IF(A988="","",IF(L988="Проведён",E988*IF(COUNTIF(Типы,C988)=0,0,VLOOKUP(C988,СПРАВОЧНИКИ!$A$7:$E$22,5,FALSE)),0))</f>
        <v/>
      </c>
      <c r="U988" s="5" t="str">
        <f>IF(A988="","",IF(COUNTIF(Контрагенты,H988)=0,"Не задан",VLOOKUP(H988,СПРАВОЧНИКИ!$G$7:$H$66,2,FALSE)))</f>
        <v/>
      </c>
      <c r="V988" s="4" t="str">
        <f>IF(A988="",IF(COUNTA(B988:O988)&gt;0,"НЕТ ID",""),IF(OR(AND(OR(C988="Оплата клиента",C988="Возврат клиенту"),COUNTIFS(Docs[ID],J988,Docs[Тип долга],"ДЗ")&lt;&gt;1),AND(OR(C988="Оплата поставщику",C988="Возврат поставщика"),COUNTIFS(Docs[ID],J988,Docs[Тип долга],"КЗ",Docs[Вид],"&lt;&gt;Дивиденды")&lt;&gt;1),AND(C988="Дивиденды",COUNTIFS(Docs[ID],J988,Docs[Вид],"Дивиденды")&lt;&gt;1),AND(C988="Проценты",COUNTIFS(Docs[ID],J988,Docs[Вид],"Проценты")&lt;&gt;1),COUNTIF(Cash[ID],A988)&gt;1,NOT(ISNUMBER(B988)),B988&lt;НачалоУчета,YEAR(B988)&lt;&gt;Год,NOT(ISNUMBER(E988)),E988&lt;=0,N988&lt;0,COUNTIF(Типы,C988)&lt;&gt;1,COUNTIF(Категории,D988)&lt;&gt;1,COUNTIF(Счета,F988)&lt;&gt;1,COUNTIF(Проекты,I988)&lt;&gt;1,AND(H988&lt;&gt;"",COUNTIF(Контрагенты,H988)&lt;&gt;1),AND(C988="Перевод",OR(F988=G988,COUNTIF(Счета,G988)&lt;&gt;1)),AND(S988&lt;&gt;0,COUNTIF(Docs[ID],J988)&lt;&gt;1),AND(Форма="ООО",C988="Вывод ИП"),AND(Форма="ИП",C988="Дивиденды"),AND(L988&lt;&gt;"Проведён",L988&lt;&gt;"Черновик")),"ОШИБКА","ОК"))</f>
        <v/>
      </c>
      <c r="W988" s="25" t="str">
        <f>IF(A988="","",SUMIF(Accounts[Счёт],F988,Accounts[Начальный])+SUMIFS($Q$7:Q988,$F$7:F988,F988)+SUMIFS($E$7:E988,$G$7:G988,F988,$C$7:C988,"Перевод",$L$7:L988,"Проведён"))</f>
        <v/>
      </c>
    </row>
    <row r="989" spans="1:23" x14ac:dyDescent="0.25">
      <c r="A989" s="22"/>
      <c r="B989" s="23"/>
      <c r="C989" s="22"/>
      <c r="D989" s="22"/>
      <c r="E989" s="27"/>
      <c r="F989" s="22"/>
      <c r="G989" s="22"/>
      <c r="H989" s="22"/>
      <c r="I989" s="22"/>
      <c r="J989" s="22"/>
      <c r="K989" s="22"/>
      <c r="L989" s="22"/>
      <c r="M989" s="22"/>
      <c r="N989" s="27"/>
      <c r="O989" s="22"/>
      <c r="P989" s="5" t="str">
        <f>IF(A989="","",IF(COUNTIF(Типы,C989)=0,0,VLOOKUP(C989,СПРАВОЧНИКИ!$A$7:$E$22,2,FALSE)))</f>
        <v/>
      </c>
      <c r="Q989" s="25" t="str">
        <f t="shared" si="15"/>
        <v/>
      </c>
      <c r="R989" s="5" t="str">
        <f>IF(A989="","",IF(COUNTIF(Типы,C989)=0,"НЕИЗВЕСТНЫЙ ТИП",VLOOKUP(C989,СПРАВОЧНИКИ!$A$7:$E$22,3,FALSE)))</f>
        <v/>
      </c>
      <c r="S989" s="26" t="str">
        <f>IF(A989="","",IF(L989="Проведён",E989*IF(COUNTIF(Типы,C989)=0,0,VLOOKUP(C989,СПРАВОЧНИКИ!$A$7:$E$22,4,FALSE)),0))</f>
        <v/>
      </c>
      <c r="T989" s="26" t="str">
        <f>IF(A989="","",IF(L989="Проведён",E989*IF(COUNTIF(Типы,C989)=0,0,VLOOKUP(C989,СПРАВОЧНИКИ!$A$7:$E$22,5,FALSE)),0))</f>
        <v/>
      </c>
      <c r="U989" s="5" t="str">
        <f>IF(A989="","",IF(COUNTIF(Контрагенты,H989)=0,"Не задан",VLOOKUP(H989,СПРАВОЧНИКИ!$G$7:$H$66,2,FALSE)))</f>
        <v/>
      </c>
      <c r="V989" s="4" t="str">
        <f>IF(A989="",IF(COUNTA(B989:O989)&gt;0,"НЕТ ID",""),IF(OR(AND(OR(C989="Оплата клиента",C989="Возврат клиенту"),COUNTIFS(Docs[ID],J989,Docs[Тип долга],"ДЗ")&lt;&gt;1),AND(OR(C989="Оплата поставщику",C989="Возврат поставщика"),COUNTIFS(Docs[ID],J989,Docs[Тип долга],"КЗ",Docs[Вид],"&lt;&gt;Дивиденды")&lt;&gt;1),AND(C989="Дивиденды",COUNTIFS(Docs[ID],J989,Docs[Вид],"Дивиденды")&lt;&gt;1),AND(C989="Проценты",COUNTIFS(Docs[ID],J989,Docs[Вид],"Проценты")&lt;&gt;1),COUNTIF(Cash[ID],A989)&gt;1,NOT(ISNUMBER(B989)),B989&lt;НачалоУчета,YEAR(B989)&lt;&gt;Год,NOT(ISNUMBER(E989)),E989&lt;=0,N989&lt;0,COUNTIF(Типы,C989)&lt;&gt;1,COUNTIF(Категории,D989)&lt;&gt;1,COUNTIF(Счета,F989)&lt;&gt;1,COUNTIF(Проекты,I989)&lt;&gt;1,AND(H989&lt;&gt;"",COUNTIF(Контрагенты,H989)&lt;&gt;1),AND(C989="Перевод",OR(F989=G989,COUNTIF(Счета,G989)&lt;&gt;1)),AND(S989&lt;&gt;0,COUNTIF(Docs[ID],J989)&lt;&gt;1),AND(Форма="ООО",C989="Вывод ИП"),AND(Форма="ИП",C989="Дивиденды"),AND(L989&lt;&gt;"Проведён",L989&lt;&gt;"Черновик")),"ОШИБКА","ОК"))</f>
        <v/>
      </c>
      <c r="W989" s="25" t="str">
        <f>IF(A989="","",SUMIF(Accounts[Счёт],F989,Accounts[Начальный])+SUMIFS($Q$7:Q989,$F$7:F989,F989)+SUMIFS($E$7:E989,$G$7:G989,F989,$C$7:C989,"Перевод",$L$7:L989,"Проведён"))</f>
        <v/>
      </c>
    </row>
    <row r="990" spans="1:23" x14ac:dyDescent="0.25">
      <c r="A990" s="22"/>
      <c r="B990" s="23"/>
      <c r="C990" s="22"/>
      <c r="D990" s="22"/>
      <c r="E990" s="27"/>
      <c r="F990" s="22"/>
      <c r="G990" s="22"/>
      <c r="H990" s="22"/>
      <c r="I990" s="22"/>
      <c r="J990" s="22"/>
      <c r="K990" s="22"/>
      <c r="L990" s="22"/>
      <c r="M990" s="22"/>
      <c r="N990" s="27"/>
      <c r="O990" s="22"/>
      <c r="P990" s="5" t="str">
        <f>IF(A990="","",IF(COUNTIF(Типы,C990)=0,0,VLOOKUP(C990,СПРАВОЧНИКИ!$A$7:$E$22,2,FALSE)))</f>
        <v/>
      </c>
      <c r="Q990" s="25" t="str">
        <f t="shared" si="15"/>
        <v/>
      </c>
      <c r="R990" s="5" t="str">
        <f>IF(A990="","",IF(COUNTIF(Типы,C990)=0,"НЕИЗВЕСТНЫЙ ТИП",VLOOKUP(C990,СПРАВОЧНИКИ!$A$7:$E$22,3,FALSE)))</f>
        <v/>
      </c>
      <c r="S990" s="26" t="str">
        <f>IF(A990="","",IF(L990="Проведён",E990*IF(COUNTIF(Типы,C990)=0,0,VLOOKUP(C990,СПРАВОЧНИКИ!$A$7:$E$22,4,FALSE)),0))</f>
        <v/>
      </c>
      <c r="T990" s="26" t="str">
        <f>IF(A990="","",IF(L990="Проведён",E990*IF(COUNTIF(Типы,C990)=0,0,VLOOKUP(C990,СПРАВОЧНИКИ!$A$7:$E$22,5,FALSE)),0))</f>
        <v/>
      </c>
      <c r="U990" s="5" t="str">
        <f>IF(A990="","",IF(COUNTIF(Контрагенты,H990)=0,"Не задан",VLOOKUP(H990,СПРАВОЧНИКИ!$G$7:$H$66,2,FALSE)))</f>
        <v/>
      </c>
      <c r="V990" s="4" t="str">
        <f>IF(A990="",IF(COUNTA(B990:O990)&gt;0,"НЕТ ID",""),IF(OR(AND(OR(C990="Оплата клиента",C990="Возврат клиенту"),COUNTIFS(Docs[ID],J990,Docs[Тип долга],"ДЗ")&lt;&gt;1),AND(OR(C990="Оплата поставщику",C990="Возврат поставщика"),COUNTIFS(Docs[ID],J990,Docs[Тип долга],"КЗ",Docs[Вид],"&lt;&gt;Дивиденды")&lt;&gt;1),AND(C990="Дивиденды",COUNTIFS(Docs[ID],J990,Docs[Вид],"Дивиденды")&lt;&gt;1),AND(C990="Проценты",COUNTIFS(Docs[ID],J990,Docs[Вид],"Проценты")&lt;&gt;1),COUNTIF(Cash[ID],A990)&gt;1,NOT(ISNUMBER(B990)),B990&lt;НачалоУчета,YEAR(B990)&lt;&gt;Год,NOT(ISNUMBER(E990)),E990&lt;=0,N990&lt;0,COUNTIF(Типы,C990)&lt;&gt;1,COUNTIF(Категории,D990)&lt;&gt;1,COUNTIF(Счета,F990)&lt;&gt;1,COUNTIF(Проекты,I990)&lt;&gt;1,AND(H990&lt;&gt;"",COUNTIF(Контрагенты,H990)&lt;&gt;1),AND(C990="Перевод",OR(F990=G990,COUNTIF(Счета,G990)&lt;&gt;1)),AND(S990&lt;&gt;0,COUNTIF(Docs[ID],J990)&lt;&gt;1),AND(Форма="ООО",C990="Вывод ИП"),AND(Форма="ИП",C990="Дивиденды"),AND(L990&lt;&gt;"Проведён",L990&lt;&gt;"Черновик")),"ОШИБКА","ОК"))</f>
        <v/>
      </c>
      <c r="W990" s="25" t="str">
        <f>IF(A990="","",SUMIF(Accounts[Счёт],F990,Accounts[Начальный])+SUMIFS($Q$7:Q990,$F$7:F990,F990)+SUMIFS($E$7:E990,$G$7:G990,F990,$C$7:C990,"Перевод",$L$7:L990,"Проведён"))</f>
        <v/>
      </c>
    </row>
    <row r="991" spans="1:23" x14ac:dyDescent="0.25">
      <c r="A991" s="22"/>
      <c r="B991" s="23"/>
      <c r="C991" s="22"/>
      <c r="D991" s="22"/>
      <c r="E991" s="27"/>
      <c r="F991" s="22"/>
      <c r="G991" s="22"/>
      <c r="H991" s="22"/>
      <c r="I991" s="22"/>
      <c r="J991" s="22"/>
      <c r="K991" s="22"/>
      <c r="L991" s="22"/>
      <c r="M991" s="22"/>
      <c r="N991" s="27"/>
      <c r="O991" s="22"/>
      <c r="P991" s="5" t="str">
        <f>IF(A991="","",IF(COUNTIF(Типы,C991)=0,0,VLOOKUP(C991,СПРАВОЧНИКИ!$A$7:$E$22,2,FALSE)))</f>
        <v/>
      </c>
      <c r="Q991" s="25" t="str">
        <f t="shared" si="15"/>
        <v/>
      </c>
      <c r="R991" s="5" t="str">
        <f>IF(A991="","",IF(COUNTIF(Типы,C991)=0,"НЕИЗВЕСТНЫЙ ТИП",VLOOKUP(C991,СПРАВОЧНИКИ!$A$7:$E$22,3,FALSE)))</f>
        <v/>
      </c>
      <c r="S991" s="26" t="str">
        <f>IF(A991="","",IF(L991="Проведён",E991*IF(COUNTIF(Типы,C991)=0,0,VLOOKUP(C991,СПРАВОЧНИКИ!$A$7:$E$22,4,FALSE)),0))</f>
        <v/>
      </c>
      <c r="T991" s="26" t="str">
        <f>IF(A991="","",IF(L991="Проведён",E991*IF(COUNTIF(Типы,C991)=0,0,VLOOKUP(C991,СПРАВОЧНИКИ!$A$7:$E$22,5,FALSE)),0))</f>
        <v/>
      </c>
      <c r="U991" s="5" t="str">
        <f>IF(A991="","",IF(COUNTIF(Контрагенты,H991)=0,"Не задан",VLOOKUP(H991,СПРАВОЧНИКИ!$G$7:$H$66,2,FALSE)))</f>
        <v/>
      </c>
      <c r="V991" s="4" t="str">
        <f>IF(A991="",IF(COUNTA(B991:O991)&gt;0,"НЕТ ID",""),IF(OR(AND(OR(C991="Оплата клиента",C991="Возврат клиенту"),COUNTIFS(Docs[ID],J991,Docs[Тип долга],"ДЗ")&lt;&gt;1),AND(OR(C991="Оплата поставщику",C991="Возврат поставщика"),COUNTIFS(Docs[ID],J991,Docs[Тип долга],"КЗ",Docs[Вид],"&lt;&gt;Дивиденды")&lt;&gt;1),AND(C991="Дивиденды",COUNTIFS(Docs[ID],J991,Docs[Вид],"Дивиденды")&lt;&gt;1),AND(C991="Проценты",COUNTIFS(Docs[ID],J991,Docs[Вид],"Проценты")&lt;&gt;1),COUNTIF(Cash[ID],A991)&gt;1,NOT(ISNUMBER(B991)),B991&lt;НачалоУчета,YEAR(B991)&lt;&gt;Год,NOT(ISNUMBER(E991)),E991&lt;=0,N991&lt;0,COUNTIF(Типы,C991)&lt;&gt;1,COUNTIF(Категории,D991)&lt;&gt;1,COUNTIF(Счета,F991)&lt;&gt;1,COUNTIF(Проекты,I991)&lt;&gt;1,AND(H991&lt;&gt;"",COUNTIF(Контрагенты,H991)&lt;&gt;1),AND(C991="Перевод",OR(F991=G991,COUNTIF(Счета,G991)&lt;&gt;1)),AND(S991&lt;&gt;0,COUNTIF(Docs[ID],J991)&lt;&gt;1),AND(Форма="ООО",C991="Вывод ИП"),AND(Форма="ИП",C991="Дивиденды"),AND(L991&lt;&gt;"Проведён",L991&lt;&gt;"Черновик")),"ОШИБКА","ОК"))</f>
        <v/>
      </c>
      <c r="W991" s="25" t="str">
        <f>IF(A991="","",SUMIF(Accounts[Счёт],F991,Accounts[Начальный])+SUMIFS($Q$7:Q991,$F$7:F991,F991)+SUMIFS($E$7:E991,$G$7:G991,F991,$C$7:C991,"Перевод",$L$7:L991,"Проведён"))</f>
        <v/>
      </c>
    </row>
    <row r="992" spans="1:23" x14ac:dyDescent="0.25">
      <c r="A992" s="22"/>
      <c r="B992" s="23"/>
      <c r="C992" s="22"/>
      <c r="D992" s="22"/>
      <c r="E992" s="27"/>
      <c r="F992" s="22"/>
      <c r="G992" s="22"/>
      <c r="H992" s="22"/>
      <c r="I992" s="22"/>
      <c r="J992" s="22"/>
      <c r="K992" s="22"/>
      <c r="L992" s="22"/>
      <c r="M992" s="22"/>
      <c r="N992" s="27"/>
      <c r="O992" s="22"/>
      <c r="P992" s="5" t="str">
        <f>IF(A992="","",IF(COUNTIF(Типы,C992)=0,0,VLOOKUP(C992,СПРАВОЧНИКИ!$A$7:$E$22,2,FALSE)))</f>
        <v/>
      </c>
      <c r="Q992" s="25" t="str">
        <f t="shared" si="15"/>
        <v/>
      </c>
      <c r="R992" s="5" t="str">
        <f>IF(A992="","",IF(COUNTIF(Типы,C992)=0,"НЕИЗВЕСТНЫЙ ТИП",VLOOKUP(C992,СПРАВОЧНИКИ!$A$7:$E$22,3,FALSE)))</f>
        <v/>
      </c>
      <c r="S992" s="26" t="str">
        <f>IF(A992="","",IF(L992="Проведён",E992*IF(COUNTIF(Типы,C992)=0,0,VLOOKUP(C992,СПРАВОЧНИКИ!$A$7:$E$22,4,FALSE)),0))</f>
        <v/>
      </c>
      <c r="T992" s="26" t="str">
        <f>IF(A992="","",IF(L992="Проведён",E992*IF(COUNTIF(Типы,C992)=0,0,VLOOKUP(C992,СПРАВОЧНИКИ!$A$7:$E$22,5,FALSE)),0))</f>
        <v/>
      </c>
      <c r="U992" s="5" t="str">
        <f>IF(A992="","",IF(COUNTIF(Контрагенты,H992)=0,"Не задан",VLOOKUP(H992,СПРАВОЧНИКИ!$G$7:$H$66,2,FALSE)))</f>
        <v/>
      </c>
      <c r="V992" s="4" t="str">
        <f>IF(A992="",IF(COUNTA(B992:O992)&gt;0,"НЕТ ID",""),IF(OR(AND(OR(C992="Оплата клиента",C992="Возврат клиенту"),COUNTIFS(Docs[ID],J992,Docs[Тип долга],"ДЗ")&lt;&gt;1),AND(OR(C992="Оплата поставщику",C992="Возврат поставщика"),COUNTIFS(Docs[ID],J992,Docs[Тип долга],"КЗ",Docs[Вид],"&lt;&gt;Дивиденды")&lt;&gt;1),AND(C992="Дивиденды",COUNTIFS(Docs[ID],J992,Docs[Вид],"Дивиденды")&lt;&gt;1),AND(C992="Проценты",COUNTIFS(Docs[ID],J992,Docs[Вид],"Проценты")&lt;&gt;1),COUNTIF(Cash[ID],A992)&gt;1,NOT(ISNUMBER(B992)),B992&lt;НачалоУчета,YEAR(B992)&lt;&gt;Год,NOT(ISNUMBER(E992)),E992&lt;=0,N992&lt;0,COUNTIF(Типы,C992)&lt;&gt;1,COUNTIF(Категории,D992)&lt;&gt;1,COUNTIF(Счета,F992)&lt;&gt;1,COUNTIF(Проекты,I992)&lt;&gt;1,AND(H992&lt;&gt;"",COUNTIF(Контрагенты,H992)&lt;&gt;1),AND(C992="Перевод",OR(F992=G992,COUNTIF(Счета,G992)&lt;&gt;1)),AND(S992&lt;&gt;0,COUNTIF(Docs[ID],J992)&lt;&gt;1),AND(Форма="ООО",C992="Вывод ИП"),AND(Форма="ИП",C992="Дивиденды"),AND(L992&lt;&gt;"Проведён",L992&lt;&gt;"Черновик")),"ОШИБКА","ОК"))</f>
        <v/>
      </c>
      <c r="W992" s="25" t="str">
        <f>IF(A992="","",SUMIF(Accounts[Счёт],F992,Accounts[Начальный])+SUMIFS($Q$7:Q992,$F$7:F992,F992)+SUMIFS($E$7:E992,$G$7:G992,F992,$C$7:C992,"Перевод",$L$7:L992,"Проведён"))</f>
        <v/>
      </c>
    </row>
    <row r="993" spans="1:23" x14ac:dyDescent="0.25">
      <c r="A993" s="22"/>
      <c r="B993" s="23"/>
      <c r="C993" s="22"/>
      <c r="D993" s="22"/>
      <c r="E993" s="27"/>
      <c r="F993" s="22"/>
      <c r="G993" s="22"/>
      <c r="H993" s="22"/>
      <c r="I993" s="22"/>
      <c r="J993" s="22"/>
      <c r="K993" s="22"/>
      <c r="L993" s="22"/>
      <c r="M993" s="22"/>
      <c r="N993" s="27"/>
      <c r="O993" s="22"/>
      <c r="P993" s="5" t="str">
        <f>IF(A993="","",IF(COUNTIF(Типы,C993)=0,0,VLOOKUP(C993,СПРАВОЧНИКИ!$A$7:$E$22,2,FALSE)))</f>
        <v/>
      </c>
      <c r="Q993" s="25" t="str">
        <f t="shared" si="15"/>
        <v/>
      </c>
      <c r="R993" s="5" t="str">
        <f>IF(A993="","",IF(COUNTIF(Типы,C993)=0,"НЕИЗВЕСТНЫЙ ТИП",VLOOKUP(C993,СПРАВОЧНИКИ!$A$7:$E$22,3,FALSE)))</f>
        <v/>
      </c>
      <c r="S993" s="26" t="str">
        <f>IF(A993="","",IF(L993="Проведён",E993*IF(COUNTIF(Типы,C993)=0,0,VLOOKUP(C993,СПРАВОЧНИКИ!$A$7:$E$22,4,FALSE)),0))</f>
        <v/>
      </c>
      <c r="T993" s="26" t="str">
        <f>IF(A993="","",IF(L993="Проведён",E993*IF(COUNTIF(Типы,C993)=0,0,VLOOKUP(C993,СПРАВОЧНИКИ!$A$7:$E$22,5,FALSE)),0))</f>
        <v/>
      </c>
      <c r="U993" s="5" t="str">
        <f>IF(A993="","",IF(COUNTIF(Контрагенты,H993)=0,"Не задан",VLOOKUP(H993,СПРАВОЧНИКИ!$G$7:$H$66,2,FALSE)))</f>
        <v/>
      </c>
      <c r="V993" s="4" t="str">
        <f>IF(A993="",IF(COUNTA(B993:O993)&gt;0,"НЕТ ID",""),IF(OR(AND(OR(C993="Оплата клиента",C993="Возврат клиенту"),COUNTIFS(Docs[ID],J993,Docs[Тип долга],"ДЗ")&lt;&gt;1),AND(OR(C993="Оплата поставщику",C993="Возврат поставщика"),COUNTIFS(Docs[ID],J993,Docs[Тип долга],"КЗ",Docs[Вид],"&lt;&gt;Дивиденды")&lt;&gt;1),AND(C993="Дивиденды",COUNTIFS(Docs[ID],J993,Docs[Вид],"Дивиденды")&lt;&gt;1),AND(C993="Проценты",COUNTIFS(Docs[ID],J993,Docs[Вид],"Проценты")&lt;&gt;1),COUNTIF(Cash[ID],A993)&gt;1,NOT(ISNUMBER(B993)),B993&lt;НачалоУчета,YEAR(B993)&lt;&gt;Год,NOT(ISNUMBER(E993)),E993&lt;=0,N993&lt;0,COUNTIF(Типы,C993)&lt;&gt;1,COUNTIF(Категории,D993)&lt;&gt;1,COUNTIF(Счета,F993)&lt;&gt;1,COUNTIF(Проекты,I993)&lt;&gt;1,AND(H993&lt;&gt;"",COUNTIF(Контрагенты,H993)&lt;&gt;1),AND(C993="Перевод",OR(F993=G993,COUNTIF(Счета,G993)&lt;&gt;1)),AND(S993&lt;&gt;0,COUNTIF(Docs[ID],J993)&lt;&gt;1),AND(Форма="ООО",C993="Вывод ИП"),AND(Форма="ИП",C993="Дивиденды"),AND(L993&lt;&gt;"Проведён",L993&lt;&gt;"Черновик")),"ОШИБКА","ОК"))</f>
        <v/>
      </c>
      <c r="W993" s="25" t="str">
        <f>IF(A993="","",SUMIF(Accounts[Счёт],F993,Accounts[Начальный])+SUMIFS($Q$7:Q993,$F$7:F993,F993)+SUMIFS($E$7:E993,$G$7:G993,F993,$C$7:C993,"Перевод",$L$7:L993,"Проведён"))</f>
        <v/>
      </c>
    </row>
    <row r="994" spans="1:23" x14ac:dyDescent="0.25">
      <c r="A994" s="22"/>
      <c r="B994" s="23"/>
      <c r="C994" s="22"/>
      <c r="D994" s="22"/>
      <c r="E994" s="27"/>
      <c r="F994" s="22"/>
      <c r="G994" s="22"/>
      <c r="H994" s="22"/>
      <c r="I994" s="22"/>
      <c r="J994" s="22"/>
      <c r="K994" s="22"/>
      <c r="L994" s="22"/>
      <c r="M994" s="22"/>
      <c r="N994" s="27"/>
      <c r="O994" s="22"/>
      <c r="P994" s="5" t="str">
        <f>IF(A994="","",IF(COUNTIF(Типы,C994)=0,0,VLOOKUP(C994,СПРАВОЧНИКИ!$A$7:$E$22,2,FALSE)))</f>
        <v/>
      </c>
      <c r="Q994" s="25" t="str">
        <f t="shared" si="15"/>
        <v/>
      </c>
      <c r="R994" s="5" t="str">
        <f>IF(A994="","",IF(COUNTIF(Типы,C994)=0,"НЕИЗВЕСТНЫЙ ТИП",VLOOKUP(C994,СПРАВОЧНИКИ!$A$7:$E$22,3,FALSE)))</f>
        <v/>
      </c>
      <c r="S994" s="26" t="str">
        <f>IF(A994="","",IF(L994="Проведён",E994*IF(COUNTIF(Типы,C994)=0,0,VLOOKUP(C994,СПРАВОЧНИКИ!$A$7:$E$22,4,FALSE)),0))</f>
        <v/>
      </c>
      <c r="T994" s="26" t="str">
        <f>IF(A994="","",IF(L994="Проведён",E994*IF(COUNTIF(Типы,C994)=0,0,VLOOKUP(C994,СПРАВОЧНИКИ!$A$7:$E$22,5,FALSE)),0))</f>
        <v/>
      </c>
      <c r="U994" s="5" t="str">
        <f>IF(A994="","",IF(COUNTIF(Контрагенты,H994)=0,"Не задан",VLOOKUP(H994,СПРАВОЧНИКИ!$G$7:$H$66,2,FALSE)))</f>
        <v/>
      </c>
      <c r="V994" s="4" t="str">
        <f>IF(A994="",IF(COUNTA(B994:O994)&gt;0,"НЕТ ID",""),IF(OR(AND(OR(C994="Оплата клиента",C994="Возврат клиенту"),COUNTIFS(Docs[ID],J994,Docs[Тип долга],"ДЗ")&lt;&gt;1),AND(OR(C994="Оплата поставщику",C994="Возврат поставщика"),COUNTIFS(Docs[ID],J994,Docs[Тип долга],"КЗ",Docs[Вид],"&lt;&gt;Дивиденды")&lt;&gt;1),AND(C994="Дивиденды",COUNTIFS(Docs[ID],J994,Docs[Вид],"Дивиденды")&lt;&gt;1),AND(C994="Проценты",COUNTIFS(Docs[ID],J994,Docs[Вид],"Проценты")&lt;&gt;1),COUNTIF(Cash[ID],A994)&gt;1,NOT(ISNUMBER(B994)),B994&lt;НачалоУчета,YEAR(B994)&lt;&gt;Год,NOT(ISNUMBER(E994)),E994&lt;=0,N994&lt;0,COUNTIF(Типы,C994)&lt;&gt;1,COUNTIF(Категории,D994)&lt;&gt;1,COUNTIF(Счета,F994)&lt;&gt;1,COUNTIF(Проекты,I994)&lt;&gt;1,AND(H994&lt;&gt;"",COUNTIF(Контрагенты,H994)&lt;&gt;1),AND(C994="Перевод",OR(F994=G994,COUNTIF(Счета,G994)&lt;&gt;1)),AND(S994&lt;&gt;0,COUNTIF(Docs[ID],J994)&lt;&gt;1),AND(Форма="ООО",C994="Вывод ИП"),AND(Форма="ИП",C994="Дивиденды"),AND(L994&lt;&gt;"Проведён",L994&lt;&gt;"Черновик")),"ОШИБКА","ОК"))</f>
        <v/>
      </c>
      <c r="W994" s="25" t="str">
        <f>IF(A994="","",SUMIF(Accounts[Счёт],F994,Accounts[Начальный])+SUMIFS($Q$7:Q994,$F$7:F994,F994)+SUMIFS($E$7:E994,$G$7:G994,F994,$C$7:C994,"Перевод",$L$7:L994,"Проведён"))</f>
        <v/>
      </c>
    </row>
    <row r="995" spans="1:23" x14ac:dyDescent="0.25">
      <c r="A995" s="22"/>
      <c r="B995" s="23"/>
      <c r="C995" s="22"/>
      <c r="D995" s="22"/>
      <c r="E995" s="27"/>
      <c r="F995" s="22"/>
      <c r="G995" s="22"/>
      <c r="H995" s="22"/>
      <c r="I995" s="22"/>
      <c r="J995" s="22"/>
      <c r="K995" s="22"/>
      <c r="L995" s="22"/>
      <c r="M995" s="22"/>
      <c r="N995" s="27"/>
      <c r="O995" s="22"/>
      <c r="P995" s="5" t="str">
        <f>IF(A995="","",IF(COUNTIF(Типы,C995)=0,0,VLOOKUP(C995,СПРАВОЧНИКИ!$A$7:$E$22,2,FALSE)))</f>
        <v/>
      </c>
      <c r="Q995" s="25" t="str">
        <f t="shared" si="15"/>
        <v/>
      </c>
      <c r="R995" s="5" t="str">
        <f>IF(A995="","",IF(COUNTIF(Типы,C995)=0,"НЕИЗВЕСТНЫЙ ТИП",VLOOKUP(C995,СПРАВОЧНИКИ!$A$7:$E$22,3,FALSE)))</f>
        <v/>
      </c>
      <c r="S995" s="26" t="str">
        <f>IF(A995="","",IF(L995="Проведён",E995*IF(COUNTIF(Типы,C995)=0,0,VLOOKUP(C995,СПРАВОЧНИКИ!$A$7:$E$22,4,FALSE)),0))</f>
        <v/>
      </c>
      <c r="T995" s="26" t="str">
        <f>IF(A995="","",IF(L995="Проведён",E995*IF(COUNTIF(Типы,C995)=0,0,VLOOKUP(C995,СПРАВОЧНИКИ!$A$7:$E$22,5,FALSE)),0))</f>
        <v/>
      </c>
      <c r="U995" s="5" t="str">
        <f>IF(A995="","",IF(COUNTIF(Контрагенты,H995)=0,"Не задан",VLOOKUP(H995,СПРАВОЧНИКИ!$G$7:$H$66,2,FALSE)))</f>
        <v/>
      </c>
      <c r="V995" s="4" t="str">
        <f>IF(A995="",IF(COUNTA(B995:O995)&gt;0,"НЕТ ID",""),IF(OR(AND(OR(C995="Оплата клиента",C995="Возврат клиенту"),COUNTIFS(Docs[ID],J995,Docs[Тип долга],"ДЗ")&lt;&gt;1),AND(OR(C995="Оплата поставщику",C995="Возврат поставщика"),COUNTIFS(Docs[ID],J995,Docs[Тип долга],"КЗ",Docs[Вид],"&lt;&gt;Дивиденды")&lt;&gt;1),AND(C995="Дивиденды",COUNTIFS(Docs[ID],J995,Docs[Вид],"Дивиденды")&lt;&gt;1),AND(C995="Проценты",COUNTIFS(Docs[ID],J995,Docs[Вид],"Проценты")&lt;&gt;1),COUNTIF(Cash[ID],A995)&gt;1,NOT(ISNUMBER(B995)),B995&lt;НачалоУчета,YEAR(B995)&lt;&gt;Год,NOT(ISNUMBER(E995)),E995&lt;=0,N995&lt;0,COUNTIF(Типы,C995)&lt;&gt;1,COUNTIF(Категории,D995)&lt;&gt;1,COUNTIF(Счета,F995)&lt;&gt;1,COUNTIF(Проекты,I995)&lt;&gt;1,AND(H995&lt;&gt;"",COUNTIF(Контрагенты,H995)&lt;&gt;1),AND(C995="Перевод",OR(F995=G995,COUNTIF(Счета,G995)&lt;&gt;1)),AND(S995&lt;&gt;0,COUNTIF(Docs[ID],J995)&lt;&gt;1),AND(Форма="ООО",C995="Вывод ИП"),AND(Форма="ИП",C995="Дивиденды"),AND(L995&lt;&gt;"Проведён",L995&lt;&gt;"Черновик")),"ОШИБКА","ОК"))</f>
        <v/>
      </c>
      <c r="W995" s="25" t="str">
        <f>IF(A995="","",SUMIF(Accounts[Счёт],F995,Accounts[Начальный])+SUMIFS($Q$7:Q995,$F$7:F995,F995)+SUMIFS($E$7:E995,$G$7:G995,F995,$C$7:C995,"Перевод",$L$7:L995,"Проведён"))</f>
        <v/>
      </c>
    </row>
    <row r="996" spans="1:23" x14ac:dyDescent="0.25">
      <c r="A996" s="22"/>
      <c r="B996" s="23"/>
      <c r="C996" s="22"/>
      <c r="D996" s="22"/>
      <c r="E996" s="27"/>
      <c r="F996" s="22"/>
      <c r="G996" s="22"/>
      <c r="H996" s="22"/>
      <c r="I996" s="22"/>
      <c r="J996" s="22"/>
      <c r="K996" s="22"/>
      <c r="L996" s="22"/>
      <c r="M996" s="22"/>
      <c r="N996" s="27"/>
      <c r="O996" s="22"/>
      <c r="P996" s="5" t="str">
        <f>IF(A996="","",IF(COUNTIF(Типы,C996)=0,0,VLOOKUP(C996,СПРАВОЧНИКИ!$A$7:$E$22,2,FALSE)))</f>
        <v/>
      </c>
      <c r="Q996" s="25" t="str">
        <f t="shared" si="15"/>
        <v/>
      </c>
      <c r="R996" s="5" t="str">
        <f>IF(A996="","",IF(COUNTIF(Типы,C996)=0,"НЕИЗВЕСТНЫЙ ТИП",VLOOKUP(C996,СПРАВОЧНИКИ!$A$7:$E$22,3,FALSE)))</f>
        <v/>
      </c>
      <c r="S996" s="26" t="str">
        <f>IF(A996="","",IF(L996="Проведён",E996*IF(COUNTIF(Типы,C996)=0,0,VLOOKUP(C996,СПРАВОЧНИКИ!$A$7:$E$22,4,FALSE)),0))</f>
        <v/>
      </c>
      <c r="T996" s="26" t="str">
        <f>IF(A996="","",IF(L996="Проведён",E996*IF(COUNTIF(Типы,C996)=0,0,VLOOKUP(C996,СПРАВОЧНИКИ!$A$7:$E$22,5,FALSE)),0))</f>
        <v/>
      </c>
      <c r="U996" s="5" t="str">
        <f>IF(A996="","",IF(COUNTIF(Контрагенты,H996)=0,"Не задан",VLOOKUP(H996,СПРАВОЧНИКИ!$G$7:$H$66,2,FALSE)))</f>
        <v/>
      </c>
      <c r="V996" s="4" t="str">
        <f>IF(A996="",IF(COUNTA(B996:O996)&gt;0,"НЕТ ID",""),IF(OR(AND(OR(C996="Оплата клиента",C996="Возврат клиенту"),COUNTIFS(Docs[ID],J996,Docs[Тип долга],"ДЗ")&lt;&gt;1),AND(OR(C996="Оплата поставщику",C996="Возврат поставщика"),COUNTIFS(Docs[ID],J996,Docs[Тип долга],"КЗ",Docs[Вид],"&lt;&gt;Дивиденды")&lt;&gt;1),AND(C996="Дивиденды",COUNTIFS(Docs[ID],J996,Docs[Вид],"Дивиденды")&lt;&gt;1),AND(C996="Проценты",COUNTIFS(Docs[ID],J996,Docs[Вид],"Проценты")&lt;&gt;1),COUNTIF(Cash[ID],A996)&gt;1,NOT(ISNUMBER(B996)),B996&lt;НачалоУчета,YEAR(B996)&lt;&gt;Год,NOT(ISNUMBER(E996)),E996&lt;=0,N996&lt;0,COUNTIF(Типы,C996)&lt;&gt;1,COUNTIF(Категории,D996)&lt;&gt;1,COUNTIF(Счета,F996)&lt;&gt;1,COUNTIF(Проекты,I996)&lt;&gt;1,AND(H996&lt;&gt;"",COUNTIF(Контрагенты,H996)&lt;&gt;1),AND(C996="Перевод",OR(F996=G996,COUNTIF(Счета,G996)&lt;&gt;1)),AND(S996&lt;&gt;0,COUNTIF(Docs[ID],J996)&lt;&gt;1),AND(Форма="ООО",C996="Вывод ИП"),AND(Форма="ИП",C996="Дивиденды"),AND(L996&lt;&gt;"Проведён",L996&lt;&gt;"Черновик")),"ОШИБКА","ОК"))</f>
        <v/>
      </c>
      <c r="W996" s="25" t="str">
        <f>IF(A996="","",SUMIF(Accounts[Счёт],F996,Accounts[Начальный])+SUMIFS($Q$7:Q996,$F$7:F996,F996)+SUMIFS($E$7:E996,$G$7:G996,F996,$C$7:C996,"Перевод",$L$7:L996,"Проведён"))</f>
        <v/>
      </c>
    </row>
    <row r="997" spans="1:23" x14ac:dyDescent="0.25">
      <c r="A997" s="22"/>
      <c r="B997" s="23"/>
      <c r="C997" s="22"/>
      <c r="D997" s="22"/>
      <c r="E997" s="27"/>
      <c r="F997" s="22"/>
      <c r="G997" s="22"/>
      <c r="H997" s="22"/>
      <c r="I997" s="22"/>
      <c r="J997" s="22"/>
      <c r="K997" s="22"/>
      <c r="L997" s="22"/>
      <c r="M997" s="22"/>
      <c r="N997" s="27"/>
      <c r="O997" s="22"/>
      <c r="P997" s="5" t="str">
        <f>IF(A997="","",IF(COUNTIF(Типы,C997)=0,0,VLOOKUP(C997,СПРАВОЧНИКИ!$A$7:$E$22,2,FALSE)))</f>
        <v/>
      </c>
      <c r="Q997" s="25" t="str">
        <f t="shared" si="15"/>
        <v/>
      </c>
      <c r="R997" s="5" t="str">
        <f>IF(A997="","",IF(COUNTIF(Типы,C997)=0,"НЕИЗВЕСТНЫЙ ТИП",VLOOKUP(C997,СПРАВОЧНИКИ!$A$7:$E$22,3,FALSE)))</f>
        <v/>
      </c>
      <c r="S997" s="26" t="str">
        <f>IF(A997="","",IF(L997="Проведён",E997*IF(COUNTIF(Типы,C997)=0,0,VLOOKUP(C997,СПРАВОЧНИКИ!$A$7:$E$22,4,FALSE)),0))</f>
        <v/>
      </c>
      <c r="T997" s="26" t="str">
        <f>IF(A997="","",IF(L997="Проведён",E997*IF(COUNTIF(Типы,C997)=0,0,VLOOKUP(C997,СПРАВОЧНИКИ!$A$7:$E$22,5,FALSE)),0))</f>
        <v/>
      </c>
      <c r="U997" s="5" t="str">
        <f>IF(A997="","",IF(COUNTIF(Контрагенты,H997)=0,"Не задан",VLOOKUP(H997,СПРАВОЧНИКИ!$G$7:$H$66,2,FALSE)))</f>
        <v/>
      </c>
      <c r="V997" s="4" t="str">
        <f>IF(A997="",IF(COUNTA(B997:O997)&gt;0,"НЕТ ID",""),IF(OR(AND(OR(C997="Оплата клиента",C997="Возврат клиенту"),COUNTIFS(Docs[ID],J997,Docs[Тип долга],"ДЗ")&lt;&gt;1),AND(OR(C997="Оплата поставщику",C997="Возврат поставщика"),COUNTIFS(Docs[ID],J997,Docs[Тип долга],"КЗ",Docs[Вид],"&lt;&gt;Дивиденды")&lt;&gt;1),AND(C997="Дивиденды",COUNTIFS(Docs[ID],J997,Docs[Вид],"Дивиденды")&lt;&gt;1),AND(C997="Проценты",COUNTIFS(Docs[ID],J997,Docs[Вид],"Проценты")&lt;&gt;1),COUNTIF(Cash[ID],A997)&gt;1,NOT(ISNUMBER(B997)),B997&lt;НачалоУчета,YEAR(B997)&lt;&gt;Год,NOT(ISNUMBER(E997)),E997&lt;=0,N997&lt;0,COUNTIF(Типы,C997)&lt;&gt;1,COUNTIF(Категории,D997)&lt;&gt;1,COUNTIF(Счета,F997)&lt;&gt;1,COUNTIF(Проекты,I997)&lt;&gt;1,AND(H997&lt;&gt;"",COUNTIF(Контрагенты,H997)&lt;&gt;1),AND(C997="Перевод",OR(F997=G997,COUNTIF(Счета,G997)&lt;&gt;1)),AND(S997&lt;&gt;0,COUNTIF(Docs[ID],J997)&lt;&gt;1),AND(Форма="ООО",C997="Вывод ИП"),AND(Форма="ИП",C997="Дивиденды"),AND(L997&lt;&gt;"Проведён",L997&lt;&gt;"Черновик")),"ОШИБКА","ОК"))</f>
        <v/>
      </c>
      <c r="W997" s="25" t="str">
        <f>IF(A997="","",SUMIF(Accounts[Счёт],F997,Accounts[Начальный])+SUMIFS($Q$7:Q997,$F$7:F997,F997)+SUMIFS($E$7:E997,$G$7:G997,F997,$C$7:C997,"Перевод",$L$7:L997,"Проведён"))</f>
        <v/>
      </c>
    </row>
    <row r="998" spans="1:23" x14ac:dyDescent="0.25">
      <c r="A998" s="22"/>
      <c r="B998" s="23"/>
      <c r="C998" s="22"/>
      <c r="D998" s="22"/>
      <c r="E998" s="27"/>
      <c r="F998" s="22"/>
      <c r="G998" s="22"/>
      <c r="H998" s="22"/>
      <c r="I998" s="22"/>
      <c r="J998" s="22"/>
      <c r="K998" s="22"/>
      <c r="L998" s="22"/>
      <c r="M998" s="22"/>
      <c r="N998" s="27"/>
      <c r="O998" s="22"/>
      <c r="P998" s="5" t="str">
        <f>IF(A998="","",IF(COUNTIF(Типы,C998)=0,0,VLOOKUP(C998,СПРАВОЧНИКИ!$A$7:$E$22,2,FALSE)))</f>
        <v/>
      </c>
      <c r="Q998" s="25" t="str">
        <f t="shared" si="15"/>
        <v/>
      </c>
      <c r="R998" s="5" t="str">
        <f>IF(A998="","",IF(COUNTIF(Типы,C998)=0,"НЕИЗВЕСТНЫЙ ТИП",VLOOKUP(C998,СПРАВОЧНИКИ!$A$7:$E$22,3,FALSE)))</f>
        <v/>
      </c>
      <c r="S998" s="26" t="str">
        <f>IF(A998="","",IF(L998="Проведён",E998*IF(COUNTIF(Типы,C998)=0,0,VLOOKUP(C998,СПРАВОЧНИКИ!$A$7:$E$22,4,FALSE)),0))</f>
        <v/>
      </c>
      <c r="T998" s="26" t="str">
        <f>IF(A998="","",IF(L998="Проведён",E998*IF(COUNTIF(Типы,C998)=0,0,VLOOKUP(C998,СПРАВОЧНИКИ!$A$7:$E$22,5,FALSE)),0))</f>
        <v/>
      </c>
      <c r="U998" s="5" t="str">
        <f>IF(A998="","",IF(COUNTIF(Контрагенты,H998)=0,"Не задан",VLOOKUP(H998,СПРАВОЧНИКИ!$G$7:$H$66,2,FALSE)))</f>
        <v/>
      </c>
      <c r="V998" s="4" t="str">
        <f>IF(A998="",IF(COUNTA(B998:O998)&gt;0,"НЕТ ID",""),IF(OR(AND(OR(C998="Оплата клиента",C998="Возврат клиенту"),COUNTIFS(Docs[ID],J998,Docs[Тип долга],"ДЗ")&lt;&gt;1),AND(OR(C998="Оплата поставщику",C998="Возврат поставщика"),COUNTIFS(Docs[ID],J998,Docs[Тип долга],"КЗ",Docs[Вид],"&lt;&gt;Дивиденды")&lt;&gt;1),AND(C998="Дивиденды",COUNTIFS(Docs[ID],J998,Docs[Вид],"Дивиденды")&lt;&gt;1),AND(C998="Проценты",COUNTIFS(Docs[ID],J998,Docs[Вид],"Проценты")&lt;&gt;1),COUNTIF(Cash[ID],A998)&gt;1,NOT(ISNUMBER(B998)),B998&lt;НачалоУчета,YEAR(B998)&lt;&gt;Год,NOT(ISNUMBER(E998)),E998&lt;=0,N998&lt;0,COUNTIF(Типы,C998)&lt;&gt;1,COUNTIF(Категории,D998)&lt;&gt;1,COUNTIF(Счета,F998)&lt;&gt;1,COUNTIF(Проекты,I998)&lt;&gt;1,AND(H998&lt;&gt;"",COUNTIF(Контрагенты,H998)&lt;&gt;1),AND(C998="Перевод",OR(F998=G998,COUNTIF(Счета,G998)&lt;&gt;1)),AND(S998&lt;&gt;0,COUNTIF(Docs[ID],J998)&lt;&gt;1),AND(Форма="ООО",C998="Вывод ИП"),AND(Форма="ИП",C998="Дивиденды"),AND(L998&lt;&gt;"Проведён",L998&lt;&gt;"Черновик")),"ОШИБКА","ОК"))</f>
        <v/>
      </c>
      <c r="W998" s="25" t="str">
        <f>IF(A998="","",SUMIF(Accounts[Счёт],F998,Accounts[Начальный])+SUMIFS($Q$7:Q998,$F$7:F998,F998)+SUMIFS($E$7:E998,$G$7:G998,F998,$C$7:C998,"Перевод",$L$7:L998,"Проведён"))</f>
        <v/>
      </c>
    </row>
    <row r="999" spans="1:23" x14ac:dyDescent="0.25">
      <c r="A999" s="22"/>
      <c r="B999" s="23"/>
      <c r="C999" s="22"/>
      <c r="D999" s="22"/>
      <c r="E999" s="27"/>
      <c r="F999" s="22"/>
      <c r="G999" s="22"/>
      <c r="H999" s="22"/>
      <c r="I999" s="22"/>
      <c r="J999" s="22"/>
      <c r="K999" s="22"/>
      <c r="L999" s="22"/>
      <c r="M999" s="22"/>
      <c r="N999" s="27"/>
      <c r="O999" s="22"/>
      <c r="P999" s="5" t="str">
        <f>IF(A999="","",IF(COUNTIF(Типы,C999)=0,0,VLOOKUP(C999,СПРАВОЧНИКИ!$A$7:$E$22,2,FALSE)))</f>
        <v/>
      </c>
      <c r="Q999" s="25" t="str">
        <f t="shared" si="15"/>
        <v/>
      </c>
      <c r="R999" s="5" t="str">
        <f>IF(A999="","",IF(COUNTIF(Типы,C999)=0,"НЕИЗВЕСТНЫЙ ТИП",VLOOKUP(C999,СПРАВОЧНИКИ!$A$7:$E$22,3,FALSE)))</f>
        <v/>
      </c>
      <c r="S999" s="26" t="str">
        <f>IF(A999="","",IF(L999="Проведён",E999*IF(COUNTIF(Типы,C999)=0,0,VLOOKUP(C999,СПРАВОЧНИКИ!$A$7:$E$22,4,FALSE)),0))</f>
        <v/>
      </c>
      <c r="T999" s="26" t="str">
        <f>IF(A999="","",IF(L999="Проведён",E999*IF(COUNTIF(Типы,C999)=0,0,VLOOKUP(C999,СПРАВОЧНИКИ!$A$7:$E$22,5,FALSE)),0))</f>
        <v/>
      </c>
      <c r="U999" s="5" t="str">
        <f>IF(A999="","",IF(COUNTIF(Контрагенты,H999)=0,"Не задан",VLOOKUP(H999,СПРАВОЧНИКИ!$G$7:$H$66,2,FALSE)))</f>
        <v/>
      </c>
      <c r="V999" s="4" t="str">
        <f>IF(A999="",IF(COUNTA(B999:O999)&gt;0,"НЕТ ID",""),IF(OR(AND(OR(C999="Оплата клиента",C999="Возврат клиенту"),COUNTIFS(Docs[ID],J999,Docs[Тип долга],"ДЗ")&lt;&gt;1),AND(OR(C999="Оплата поставщику",C999="Возврат поставщика"),COUNTIFS(Docs[ID],J999,Docs[Тип долга],"КЗ",Docs[Вид],"&lt;&gt;Дивиденды")&lt;&gt;1),AND(C999="Дивиденды",COUNTIFS(Docs[ID],J999,Docs[Вид],"Дивиденды")&lt;&gt;1),AND(C999="Проценты",COUNTIFS(Docs[ID],J999,Docs[Вид],"Проценты")&lt;&gt;1),COUNTIF(Cash[ID],A999)&gt;1,NOT(ISNUMBER(B999)),B999&lt;НачалоУчета,YEAR(B999)&lt;&gt;Год,NOT(ISNUMBER(E999)),E999&lt;=0,N999&lt;0,COUNTIF(Типы,C999)&lt;&gt;1,COUNTIF(Категории,D999)&lt;&gt;1,COUNTIF(Счета,F999)&lt;&gt;1,COUNTIF(Проекты,I999)&lt;&gt;1,AND(H999&lt;&gt;"",COUNTIF(Контрагенты,H999)&lt;&gt;1),AND(C999="Перевод",OR(F999=G999,COUNTIF(Счета,G999)&lt;&gt;1)),AND(S999&lt;&gt;0,COUNTIF(Docs[ID],J999)&lt;&gt;1),AND(Форма="ООО",C999="Вывод ИП"),AND(Форма="ИП",C999="Дивиденды"),AND(L999&lt;&gt;"Проведён",L999&lt;&gt;"Черновик")),"ОШИБКА","ОК"))</f>
        <v/>
      </c>
      <c r="W999" s="25" t="str">
        <f>IF(A999="","",SUMIF(Accounts[Счёт],F999,Accounts[Начальный])+SUMIFS($Q$7:Q999,$F$7:F999,F999)+SUMIFS($E$7:E999,$G$7:G999,F999,$C$7:C999,"Перевод",$L$7:L999,"Проведён"))</f>
        <v/>
      </c>
    </row>
    <row r="1000" spans="1:23" x14ac:dyDescent="0.25">
      <c r="A1000" s="22"/>
      <c r="B1000" s="23"/>
      <c r="C1000" s="22"/>
      <c r="D1000" s="22"/>
      <c r="E1000" s="27"/>
      <c r="F1000" s="22"/>
      <c r="G1000" s="22"/>
      <c r="H1000" s="22"/>
      <c r="I1000" s="22"/>
      <c r="J1000" s="22"/>
      <c r="K1000" s="22"/>
      <c r="L1000" s="22"/>
      <c r="M1000" s="22"/>
      <c r="N1000" s="27"/>
      <c r="O1000" s="22"/>
      <c r="P1000" s="5" t="str">
        <f>IF(A1000="","",IF(COUNTIF(Типы,C1000)=0,0,VLOOKUP(C1000,СПРАВОЧНИКИ!$A$7:$E$22,2,FALSE)))</f>
        <v/>
      </c>
      <c r="Q1000" s="25" t="str">
        <f t="shared" si="15"/>
        <v/>
      </c>
      <c r="R1000" s="5" t="str">
        <f>IF(A1000="","",IF(COUNTIF(Типы,C1000)=0,"НЕИЗВЕСТНЫЙ ТИП",VLOOKUP(C1000,СПРАВОЧНИКИ!$A$7:$E$22,3,FALSE)))</f>
        <v/>
      </c>
      <c r="S1000" s="26" t="str">
        <f>IF(A1000="","",IF(L1000="Проведён",E1000*IF(COUNTIF(Типы,C1000)=0,0,VLOOKUP(C1000,СПРАВОЧНИКИ!$A$7:$E$22,4,FALSE)),0))</f>
        <v/>
      </c>
      <c r="T1000" s="26" t="str">
        <f>IF(A1000="","",IF(L1000="Проведён",E1000*IF(COUNTIF(Типы,C1000)=0,0,VLOOKUP(C1000,СПРАВОЧНИКИ!$A$7:$E$22,5,FALSE)),0))</f>
        <v/>
      </c>
      <c r="U1000" s="5" t="str">
        <f>IF(A1000="","",IF(COUNTIF(Контрагенты,H1000)=0,"Не задан",VLOOKUP(H1000,СПРАВОЧНИКИ!$G$7:$H$66,2,FALSE)))</f>
        <v/>
      </c>
      <c r="V1000" s="4" t="str">
        <f>IF(A1000="",IF(COUNTA(B1000:O1000)&gt;0,"НЕТ ID",""),IF(OR(AND(OR(C1000="Оплата клиента",C1000="Возврат клиенту"),COUNTIFS(Docs[ID],J1000,Docs[Тип долга],"ДЗ")&lt;&gt;1),AND(OR(C1000="Оплата поставщику",C1000="Возврат поставщика"),COUNTIFS(Docs[ID],J1000,Docs[Тип долга],"КЗ",Docs[Вид],"&lt;&gt;Дивиденды")&lt;&gt;1),AND(C1000="Дивиденды",COUNTIFS(Docs[ID],J1000,Docs[Вид],"Дивиденды")&lt;&gt;1),AND(C1000="Проценты",COUNTIFS(Docs[ID],J1000,Docs[Вид],"Проценты")&lt;&gt;1),COUNTIF(Cash[ID],A1000)&gt;1,NOT(ISNUMBER(B1000)),B1000&lt;НачалоУчета,YEAR(B1000)&lt;&gt;Год,NOT(ISNUMBER(E1000)),E1000&lt;=0,N1000&lt;0,COUNTIF(Типы,C1000)&lt;&gt;1,COUNTIF(Категории,D1000)&lt;&gt;1,COUNTIF(Счета,F1000)&lt;&gt;1,COUNTIF(Проекты,I1000)&lt;&gt;1,AND(H1000&lt;&gt;"",COUNTIF(Контрагенты,H1000)&lt;&gt;1),AND(C1000="Перевод",OR(F1000=G1000,COUNTIF(Счета,G1000)&lt;&gt;1)),AND(S1000&lt;&gt;0,COUNTIF(Docs[ID],J1000)&lt;&gt;1),AND(Форма="ООО",C1000="Вывод ИП"),AND(Форма="ИП",C1000="Дивиденды"),AND(L1000&lt;&gt;"Проведён",L1000&lt;&gt;"Черновик")),"ОШИБКА","ОК"))</f>
        <v/>
      </c>
      <c r="W1000" s="25" t="str">
        <f>IF(A1000="","",SUMIF(Accounts[Счёт],F1000,Accounts[Начальный])+SUMIFS($Q$7:Q1000,$F$7:F1000,F1000)+SUMIFS($E$7:E1000,$G$7:G1000,F1000,$C$7:C1000,"Перевод",$L$7:L1000,"Проведён"))</f>
        <v/>
      </c>
    </row>
    <row r="1001" spans="1:23" x14ac:dyDescent="0.25">
      <c r="A1001" s="22"/>
      <c r="B1001" s="23"/>
      <c r="C1001" s="22"/>
      <c r="D1001" s="22"/>
      <c r="E1001" s="27"/>
      <c r="F1001" s="22"/>
      <c r="G1001" s="22"/>
      <c r="H1001" s="22"/>
      <c r="I1001" s="22"/>
      <c r="J1001" s="22"/>
      <c r="K1001" s="22"/>
      <c r="L1001" s="22"/>
      <c r="M1001" s="22"/>
      <c r="N1001" s="27"/>
      <c r="O1001" s="22"/>
      <c r="P1001" s="5" t="str">
        <f>IF(A1001="","",IF(COUNTIF(Типы,C1001)=0,0,VLOOKUP(C1001,СПРАВОЧНИКИ!$A$7:$E$22,2,FALSE)))</f>
        <v/>
      </c>
      <c r="Q1001" s="25" t="str">
        <f t="shared" si="15"/>
        <v/>
      </c>
      <c r="R1001" s="5" t="str">
        <f>IF(A1001="","",IF(COUNTIF(Типы,C1001)=0,"НЕИЗВЕСТНЫЙ ТИП",VLOOKUP(C1001,СПРАВОЧНИКИ!$A$7:$E$22,3,FALSE)))</f>
        <v/>
      </c>
      <c r="S1001" s="26" t="str">
        <f>IF(A1001="","",IF(L1001="Проведён",E1001*IF(COUNTIF(Типы,C1001)=0,0,VLOOKUP(C1001,СПРАВОЧНИКИ!$A$7:$E$22,4,FALSE)),0))</f>
        <v/>
      </c>
      <c r="T1001" s="26" t="str">
        <f>IF(A1001="","",IF(L1001="Проведён",E1001*IF(COUNTIF(Типы,C1001)=0,0,VLOOKUP(C1001,СПРАВОЧНИКИ!$A$7:$E$22,5,FALSE)),0))</f>
        <v/>
      </c>
      <c r="U1001" s="5" t="str">
        <f>IF(A1001="","",IF(COUNTIF(Контрагенты,H1001)=0,"Не задан",VLOOKUP(H1001,СПРАВОЧНИКИ!$G$7:$H$66,2,FALSE)))</f>
        <v/>
      </c>
      <c r="V1001" s="4" t="str">
        <f>IF(A1001="",IF(COUNTA(B1001:O1001)&gt;0,"НЕТ ID",""),IF(OR(AND(OR(C1001="Оплата клиента",C1001="Возврат клиенту"),COUNTIFS(Docs[ID],J1001,Docs[Тип долга],"ДЗ")&lt;&gt;1),AND(OR(C1001="Оплата поставщику",C1001="Возврат поставщика"),COUNTIFS(Docs[ID],J1001,Docs[Тип долга],"КЗ",Docs[Вид],"&lt;&gt;Дивиденды")&lt;&gt;1),AND(C1001="Дивиденды",COUNTIFS(Docs[ID],J1001,Docs[Вид],"Дивиденды")&lt;&gt;1),AND(C1001="Проценты",COUNTIFS(Docs[ID],J1001,Docs[Вид],"Проценты")&lt;&gt;1),COUNTIF(Cash[ID],A1001)&gt;1,NOT(ISNUMBER(B1001)),B1001&lt;НачалоУчета,YEAR(B1001)&lt;&gt;Год,NOT(ISNUMBER(E1001)),E1001&lt;=0,N1001&lt;0,COUNTIF(Типы,C1001)&lt;&gt;1,COUNTIF(Категории,D1001)&lt;&gt;1,COUNTIF(Счета,F1001)&lt;&gt;1,COUNTIF(Проекты,I1001)&lt;&gt;1,AND(H1001&lt;&gt;"",COUNTIF(Контрагенты,H1001)&lt;&gt;1),AND(C1001="Перевод",OR(F1001=G1001,COUNTIF(Счета,G1001)&lt;&gt;1)),AND(S1001&lt;&gt;0,COUNTIF(Docs[ID],J1001)&lt;&gt;1),AND(Форма="ООО",C1001="Вывод ИП"),AND(Форма="ИП",C1001="Дивиденды"),AND(L1001&lt;&gt;"Проведён",L1001&lt;&gt;"Черновик")),"ОШИБКА","ОК"))</f>
        <v/>
      </c>
      <c r="W1001" s="25" t="str">
        <f>IF(A1001="","",SUMIF(Accounts[Счёт],F1001,Accounts[Начальный])+SUMIFS($Q$7:Q1001,$F$7:F1001,F1001)+SUMIFS($E$7:E1001,$G$7:G1001,F1001,$C$7:C1001,"Перевод",$L$7:L1001,"Проведён"))</f>
        <v/>
      </c>
    </row>
    <row r="1002" spans="1:23" x14ac:dyDescent="0.25">
      <c r="A1002" s="22"/>
      <c r="B1002" s="23"/>
      <c r="C1002" s="22"/>
      <c r="D1002" s="22"/>
      <c r="E1002" s="27"/>
      <c r="F1002" s="22"/>
      <c r="G1002" s="22"/>
      <c r="H1002" s="22"/>
      <c r="I1002" s="22"/>
      <c r="J1002" s="22"/>
      <c r="K1002" s="22"/>
      <c r="L1002" s="22"/>
      <c r="M1002" s="22"/>
      <c r="N1002" s="27"/>
      <c r="O1002" s="22"/>
      <c r="P1002" s="5" t="str">
        <f>IF(A1002="","",IF(COUNTIF(Типы,C1002)=0,0,VLOOKUP(C1002,СПРАВОЧНИКИ!$A$7:$E$22,2,FALSE)))</f>
        <v/>
      </c>
      <c r="Q1002" s="25" t="str">
        <f t="shared" si="15"/>
        <v/>
      </c>
      <c r="R1002" s="5" t="str">
        <f>IF(A1002="","",IF(COUNTIF(Типы,C1002)=0,"НЕИЗВЕСТНЫЙ ТИП",VLOOKUP(C1002,СПРАВОЧНИКИ!$A$7:$E$22,3,FALSE)))</f>
        <v/>
      </c>
      <c r="S1002" s="26" t="str">
        <f>IF(A1002="","",IF(L1002="Проведён",E1002*IF(COUNTIF(Типы,C1002)=0,0,VLOOKUP(C1002,СПРАВОЧНИКИ!$A$7:$E$22,4,FALSE)),0))</f>
        <v/>
      </c>
      <c r="T1002" s="26" t="str">
        <f>IF(A1002="","",IF(L1002="Проведён",E1002*IF(COUNTIF(Типы,C1002)=0,0,VLOOKUP(C1002,СПРАВОЧНИКИ!$A$7:$E$22,5,FALSE)),0))</f>
        <v/>
      </c>
      <c r="U1002" s="5" t="str">
        <f>IF(A1002="","",IF(COUNTIF(Контрагенты,H1002)=0,"Не задан",VLOOKUP(H1002,СПРАВОЧНИКИ!$G$7:$H$66,2,FALSE)))</f>
        <v/>
      </c>
      <c r="V1002" s="4" t="str">
        <f>IF(A1002="",IF(COUNTA(B1002:O1002)&gt;0,"НЕТ ID",""),IF(OR(AND(OR(C1002="Оплата клиента",C1002="Возврат клиенту"),COUNTIFS(Docs[ID],J1002,Docs[Тип долга],"ДЗ")&lt;&gt;1),AND(OR(C1002="Оплата поставщику",C1002="Возврат поставщика"),COUNTIFS(Docs[ID],J1002,Docs[Тип долга],"КЗ",Docs[Вид],"&lt;&gt;Дивиденды")&lt;&gt;1),AND(C1002="Дивиденды",COUNTIFS(Docs[ID],J1002,Docs[Вид],"Дивиденды")&lt;&gt;1),AND(C1002="Проценты",COUNTIFS(Docs[ID],J1002,Docs[Вид],"Проценты")&lt;&gt;1),COUNTIF(Cash[ID],A1002)&gt;1,NOT(ISNUMBER(B1002)),B1002&lt;НачалоУчета,YEAR(B1002)&lt;&gt;Год,NOT(ISNUMBER(E1002)),E1002&lt;=0,N1002&lt;0,COUNTIF(Типы,C1002)&lt;&gt;1,COUNTIF(Категории,D1002)&lt;&gt;1,COUNTIF(Счета,F1002)&lt;&gt;1,COUNTIF(Проекты,I1002)&lt;&gt;1,AND(H1002&lt;&gt;"",COUNTIF(Контрагенты,H1002)&lt;&gt;1),AND(C1002="Перевод",OR(F1002=G1002,COUNTIF(Счета,G1002)&lt;&gt;1)),AND(S1002&lt;&gt;0,COUNTIF(Docs[ID],J1002)&lt;&gt;1),AND(Форма="ООО",C1002="Вывод ИП"),AND(Форма="ИП",C1002="Дивиденды"),AND(L1002&lt;&gt;"Проведён",L1002&lt;&gt;"Черновик")),"ОШИБКА","ОК"))</f>
        <v/>
      </c>
      <c r="W1002" s="25" t="str">
        <f>IF(A1002="","",SUMIF(Accounts[Счёт],F1002,Accounts[Начальный])+SUMIFS($Q$7:Q1002,$F$7:F1002,F1002)+SUMIFS($E$7:E1002,$G$7:G1002,F1002,$C$7:C1002,"Перевод",$L$7:L1002,"Проведён"))</f>
        <v/>
      </c>
    </row>
    <row r="1003" spans="1:23" x14ac:dyDescent="0.25">
      <c r="A1003" s="22"/>
      <c r="B1003" s="23"/>
      <c r="C1003" s="22"/>
      <c r="D1003" s="22"/>
      <c r="E1003" s="27"/>
      <c r="F1003" s="22"/>
      <c r="G1003" s="22"/>
      <c r="H1003" s="22"/>
      <c r="I1003" s="22"/>
      <c r="J1003" s="22"/>
      <c r="K1003" s="22"/>
      <c r="L1003" s="22"/>
      <c r="M1003" s="22"/>
      <c r="N1003" s="27"/>
      <c r="O1003" s="22"/>
      <c r="P1003" s="5" t="str">
        <f>IF(A1003="","",IF(COUNTIF(Типы,C1003)=0,0,VLOOKUP(C1003,СПРАВОЧНИКИ!$A$7:$E$22,2,FALSE)))</f>
        <v/>
      </c>
      <c r="Q1003" s="25" t="str">
        <f t="shared" si="15"/>
        <v/>
      </c>
      <c r="R1003" s="5" t="str">
        <f>IF(A1003="","",IF(COUNTIF(Типы,C1003)=0,"НЕИЗВЕСТНЫЙ ТИП",VLOOKUP(C1003,СПРАВОЧНИКИ!$A$7:$E$22,3,FALSE)))</f>
        <v/>
      </c>
      <c r="S1003" s="26" t="str">
        <f>IF(A1003="","",IF(L1003="Проведён",E1003*IF(COUNTIF(Типы,C1003)=0,0,VLOOKUP(C1003,СПРАВОЧНИКИ!$A$7:$E$22,4,FALSE)),0))</f>
        <v/>
      </c>
      <c r="T1003" s="26" t="str">
        <f>IF(A1003="","",IF(L1003="Проведён",E1003*IF(COUNTIF(Типы,C1003)=0,0,VLOOKUP(C1003,СПРАВОЧНИКИ!$A$7:$E$22,5,FALSE)),0))</f>
        <v/>
      </c>
      <c r="U1003" s="5" t="str">
        <f>IF(A1003="","",IF(COUNTIF(Контрагенты,H1003)=0,"Не задан",VLOOKUP(H1003,СПРАВОЧНИКИ!$G$7:$H$66,2,FALSE)))</f>
        <v/>
      </c>
      <c r="V1003" s="4" t="str">
        <f>IF(A1003="",IF(COUNTA(B1003:O1003)&gt;0,"НЕТ ID",""),IF(OR(AND(OR(C1003="Оплата клиента",C1003="Возврат клиенту"),COUNTIFS(Docs[ID],J1003,Docs[Тип долга],"ДЗ")&lt;&gt;1),AND(OR(C1003="Оплата поставщику",C1003="Возврат поставщика"),COUNTIFS(Docs[ID],J1003,Docs[Тип долга],"КЗ",Docs[Вид],"&lt;&gt;Дивиденды")&lt;&gt;1),AND(C1003="Дивиденды",COUNTIFS(Docs[ID],J1003,Docs[Вид],"Дивиденды")&lt;&gt;1),AND(C1003="Проценты",COUNTIFS(Docs[ID],J1003,Docs[Вид],"Проценты")&lt;&gt;1),COUNTIF(Cash[ID],A1003)&gt;1,NOT(ISNUMBER(B1003)),B1003&lt;НачалоУчета,YEAR(B1003)&lt;&gt;Год,NOT(ISNUMBER(E1003)),E1003&lt;=0,N1003&lt;0,COUNTIF(Типы,C1003)&lt;&gt;1,COUNTIF(Категории,D1003)&lt;&gt;1,COUNTIF(Счета,F1003)&lt;&gt;1,COUNTIF(Проекты,I1003)&lt;&gt;1,AND(H1003&lt;&gt;"",COUNTIF(Контрагенты,H1003)&lt;&gt;1),AND(C1003="Перевод",OR(F1003=G1003,COUNTIF(Счета,G1003)&lt;&gt;1)),AND(S1003&lt;&gt;0,COUNTIF(Docs[ID],J1003)&lt;&gt;1),AND(Форма="ООО",C1003="Вывод ИП"),AND(Форма="ИП",C1003="Дивиденды"),AND(L1003&lt;&gt;"Проведён",L1003&lt;&gt;"Черновик")),"ОШИБКА","ОК"))</f>
        <v/>
      </c>
      <c r="W1003" s="25" t="str">
        <f>IF(A1003="","",SUMIF(Accounts[Счёт],F1003,Accounts[Начальный])+SUMIFS($Q$7:Q1003,$F$7:F1003,F1003)+SUMIFS($E$7:E1003,$G$7:G1003,F1003,$C$7:C1003,"Перевод",$L$7:L1003,"Проведён"))</f>
        <v/>
      </c>
    </row>
    <row r="1004" spans="1:23" x14ac:dyDescent="0.25">
      <c r="A1004" s="22"/>
      <c r="B1004" s="23"/>
      <c r="C1004" s="22"/>
      <c r="D1004" s="22"/>
      <c r="E1004" s="27"/>
      <c r="F1004" s="22"/>
      <c r="G1004" s="22"/>
      <c r="H1004" s="22"/>
      <c r="I1004" s="22"/>
      <c r="J1004" s="22"/>
      <c r="K1004" s="22"/>
      <c r="L1004" s="22"/>
      <c r="M1004" s="22"/>
      <c r="N1004" s="27"/>
      <c r="O1004" s="22"/>
      <c r="P1004" s="5" t="str">
        <f>IF(A1004="","",IF(COUNTIF(Типы,C1004)=0,0,VLOOKUP(C1004,СПРАВОЧНИКИ!$A$7:$E$22,2,FALSE)))</f>
        <v/>
      </c>
      <c r="Q1004" s="25" t="str">
        <f t="shared" si="15"/>
        <v/>
      </c>
      <c r="R1004" s="5" t="str">
        <f>IF(A1004="","",IF(COUNTIF(Типы,C1004)=0,"НЕИЗВЕСТНЫЙ ТИП",VLOOKUP(C1004,СПРАВОЧНИКИ!$A$7:$E$22,3,FALSE)))</f>
        <v/>
      </c>
      <c r="S1004" s="26" t="str">
        <f>IF(A1004="","",IF(L1004="Проведён",E1004*IF(COUNTIF(Типы,C1004)=0,0,VLOOKUP(C1004,СПРАВОЧНИКИ!$A$7:$E$22,4,FALSE)),0))</f>
        <v/>
      </c>
      <c r="T1004" s="26" t="str">
        <f>IF(A1004="","",IF(L1004="Проведён",E1004*IF(COUNTIF(Типы,C1004)=0,0,VLOOKUP(C1004,СПРАВОЧНИКИ!$A$7:$E$22,5,FALSE)),0))</f>
        <v/>
      </c>
      <c r="U1004" s="5" t="str">
        <f>IF(A1004="","",IF(COUNTIF(Контрагенты,H1004)=0,"Не задан",VLOOKUP(H1004,СПРАВОЧНИКИ!$G$7:$H$66,2,FALSE)))</f>
        <v/>
      </c>
      <c r="V1004" s="4" t="str">
        <f>IF(A1004="",IF(COUNTA(B1004:O1004)&gt;0,"НЕТ ID",""),IF(OR(AND(OR(C1004="Оплата клиента",C1004="Возврат клиенту"),COUNTIFS(Docs[ID],J1004,Docs[Тип долга],"ДЗ")&lt;&gt;1),AND(OR(C1004="Оплата поставщику",C1004="Возврат поставщика"),COUNTIFS(Docs[ID],J1004,Docs[Тип долга],"КЗ",Docs[Вид],"&lt;&gt;Дивиденды")&lt;&gt;1),AND(C1004="Дивиденды",COUNTIFS(Docs[ID],J1004,Docs[Вид],"Дивиденды")&lt;&gt;1),AND(C1004="Проценты",COUNTIFS(Docs[ID],J1004,Docs[Вид],"Проценты")&lt;&gt;1),COUNTIF(Cash[ID],A1004)&gt;1,NOT(ISNUMBER(B1004)),B1004&lt;НачалоУчета,YEAR(B1004)&lt;&gt;Год,NOT(ISNUMBER(E1004)),E1004&lt;=0,N1004&lt;0,COUNTIF(Типы,C1004)&lt;&gt;1,COUNTIF(Категории,D1004)&lt;&gt;1,COUNTIF(Счета,F1004)&lt;&gt;1,COUNTIF(Проекты,I1004)&lt;&gt;1,AND(H1004&lt;&gt;"",COUNTIF(Контрагенты,H1004)&lt;&gt;1),AND(C1004="Перевод",OR(F1004=G1004,COUNTIF(Счета,G1004)&lt;&gt;1)),AND(S1004&lt;&gt;0,COUNTIF(Docs[ID],J1004)&lt;&gt;1),AND(Форма="ООО",C1004="Вывод ИП"),AND(Форма="ИП",C1004="Дивиденды"),AND(L1004&lt;&gt;"Проведён",L1004&lt;&gt;"Черновик")),"ОШИБКА","ОК"))</f>
        <v/>
      </c>
      <c r="W1004" s="25" t="str">
        <f>IF(A1004="","",SUMIF(Accounts[Счёт],F1004,Accounts[Начальный])+SUMIFS($Q$7:Q1004,$F$7:F1004,F1004)+SUMIFS($E$7:E1004,$G$7:G1004,F1004,$C$7:C1004,"Перевод",$L$7:L1004,"Проведён"))</f>
        <v/>
      </c>
    </row>
    <row r="1005" spans="1:23" x14ac:dyDescent="0.25">
      <c r="A1005" s="22"/>
      <c r="B1005" s="23"/>
      <c r="C1005" s="22"/>
      <c r="D1005" s="22"/>
      <c r="E1005" s="27"/>
      <c r="F1005" s="22"/>
      <c r="G1005" s="22"/>
      <c r="H1005" s="22"/>
      <c r="I1005" s="22"/>
      <c r="J1005" s="22"/>
      <c r="K1005" s="22"/>
      <c r="L1005" s="22"/>
      <c r="M1005" s="22"/>
      <c r="N1005" s="27"/>
      <c r="O1005" s="22"/>
      <c r="P1005" s="5" t="str">
        <f>IF(A1005="","",IF(COUNTIF(Типы,C1005)=0,0,VLOOKUP(C1005,СПРАВОЧНИКИ!$A$7:$E$22,2,FALSE)))</f>
        <v/>
      </c>
      <c r="Q1005" s="25" t="str">
        <f t="shared" si="15"/>
        <v/>
      </c>
      <c r="R1005" s="5" t="str">
        <f>IF(A1005="","",IF(COUNTIF(Типы,C1005)=0,"НЕИЗВЕСТНЫЙ ТИП",VLOOKUP(C1005,СПРАВОЧНИКИ!$A$7:$E$22,3,FALSE)))</f>
        <v/>
      </c>
      <c r="S1005" s="26" t="str">
        <f>IF(A1005="","",IF(L1005="Проведён",E1005*IF(COUNTIF(Типы,C1005)=0,0,VLOOKUP(C1005,СПРАВОЧНИКИ!$A$7:$E$22,4,FALSE)),0))</f>
        <v/>
      </c>
      <c r="T1005" s="26" t="str">
        <f>IF(A1005="","",IF(L1005="Проведён",E1005*IF(COUNTIF(Типы,C1005)=0,0,VLOOKUP(C1005,СПРАВОЧНИКИ!$A$7:$E$22,5,FALSE)),0))</f>
        <v/>
      </c>
      <c r="U1005" s="5" t="str">
        <f>IF(A1005="","",IF(COUNTIF(Контрагенты,H1005)=0,"Не задан",VLOOKUP(H1005,СПРАВОЧНИКИ!$G$7:$H$66,2,FALSE)))</f>
        <v/>
      </c>
      <c r="V1005" s="4" t="str">
        <f>IF(A1005="",IF(COUNTA(B1005:O1005)&gt;0,"НЕТ ID",""),IF(OR(AND(OR(C1005="Оплата клиента",C1005="Возврат клиенту"),COUNTIFS(Docs[ID],J1005,Docs[Тип долга],"ДЗ")&lt;&gt;1),AND(OR(C1005="Оплата поставщику",C1005="Возврат поставщика"),COUNTIFS(Docs[ID],J1005,Docs[Тип долга],"КЗ",Docs[Вид],"&lt;&gt;Дивиденды")&lt;&gt;1),AND(C1005="Дивиденды",COUNTIFS(Docs[ID],J1005,Docs[Вид],"Дивиденды")&lt;&gt;1),AND(C1005="Проценты",COUNTIFS(Docs[ID],J1005,Docs[Вид],"Проценты")&lt;&gt;1),COUNTIF(Cash[ID],A1005)&gt;1,NOT(ISNUMBER(B1005)),B1005&lt;НачалоУчета,YEAR(B1005)&lt;&gt;Год,NOT(ISNUMBER(E1005)),E1005&lt;=0,N1005&lt;0,COUNTIF(Типы,C1005)&lt;&gt;1,COUNTIF(Категории,D1005)&lt;&gt;1,COUNTIF(Счета,F1005)&lt;&gt;1,COUNTIF(Проекты,I1005)&lt;&gt;1,AND(H1005&lt;&gt;"",COUNTIF(Контрагенты,H1005)&lt;&gt;1),AND(C1005="Перевод",OR(F1005=G1005,COUNTIF(Счета,G1005)&lt;&gt;1)),AND(S1005&lt;&gt;0,COUNTIF(Docs[ID],J1005)&lt;&gt;1),AND(Форма="ООО",C1005="Вывод ИП"),AND(Форма="ИП",C1005="Дивиденды"),AND(L1005&lt;&gt;"Проведён",L1005&lt;&gt;"Черновик")),"ОШИБКА","ОК"))</f>
        <v/>
      </c>
      <c r="W1005" s="25" t="str">
        <f>IF(A1005="","",SUMIF(Accounts[Счёт],F1005,Accounts[Начальный])+SUMIFS($Q$7:Q1005,$F$7:F1005,F1005)+SUMIFS($E$7:E1005,$G$7:G1005,F1005,$C$7:C1005,"Перевод",$L$7:L1005,"Проведён"))</f>
        <v/>
      </c>
    </row>
    <row r="1006" spans="1:23" x14ac:dyDescent="0.25">
      <c r="A1006" s="22"/>
      <c r="B1006" s="23"/>
      <c r="C1006" s="22"/>
      <c r="D1006" s="22"/>
      <c r="E1006" s="27"/>
      <c r="F1006" s="22"/>
      <c r="G1006" s="22"/>
      <c r="H1006" s="22"/>
      <c r="I1006" s="22"/>
      <c r="J1006" s="22"/>
      <c r="K1006" s="22"/>
      <c r="L1006" s="22"/>
      <c r="M1006" s="22"/>
      <c r="N1006" s="27"/>
      <c r="O1006" s="22"/>
      <c r="P1006" s="5" t="str">
        <f>IF(A1006="","",IF(COUNTIF(Типы,C1006)=0,0,VLOOKUP(C1006,СПРАВОЧНИКИ!$A$7:$E$22,2,FALSE)))</f>
        <v/>
      </c>
      <c r="Q1006" s="25" t="str">
        <f t="shared" si="15"/>
        <v/>
      </c>
      <c r="R1006" s="5" t="str">
        <f>IF(A1006="","",IF(COUNTIF(Типы,C1006)=0,"НЕИЗВЕСТНЫЙ ТИП",VLOOKUP(C1006,СПРАВОЧНИКИ!$A$7:$E$22,3,FALSE)))</f>
        <v/>
      </c>
      <c r="S1006" s="26" t="str">
        <f>IF(A1006="","",IF(L1006="Проведён",E1006*IF(COUNTIF(Типы,C1006)=0,0,VLOOKUP(C1006,СПРАВОЧНИКИ!$A$7:$E$22,4,FALSE)),0))</f>
        <v/>
      </c>
      <c r="T1006" s="26" t="str">
        <f>IF(A1006="","",IF(L1006="Проведён",E1006*IF(COUNTIF(Типы,C1006)=0,0,VLOOKUP(C1006,СПРАВОЧНИКИ!$A$7:$E$22,5,FALSE)),0))</f>
        <v/>
      </c>
      <c r="U1006" s="5" t="str">
        <f>IF(A1006="","",IF(COUNTIF(Контрагенты,H1006)=0,"Не задан",VLOOKUP(H1006,СПРАВОЧНИКИ!$G$7:$H$66,2,FALSE)))</f>
        <v/>
      </c>
      <c r="V1006" s="4" t="str">
        <f>IF(A1006="",IF(COUNTA(B1006:O1006)&gt;0,"НЕТ ID",""),IF(OR(AND(OR(C1006="Оплата клиента",C1006="Возврат клиенту"),COUNTIFS(Docs[ID],J1006,Docs[Тип долга],"ДЗ")&lt;&gt;1),AND(OR(C1006="Оплата поставщику",C1006="Возврат поставщика"),COUNTIFS(Docs[ID],J1006,Docs[Тип долга],"КЗ",Docs[Вид],"&lt;&gt;Дивиденды")&lt;&gt;1),AND(C1006="Дивиденды",COUNTIFS(Docs[ID],J1006,Docs[Вид],"Дивиденды")&lt;&gt;1),AND(C1006="Проценты",COUNTIFS(Docs[ID],J1006,Docs[Вид],"Проценты")&lt;&gt;1),COUNTIF(Cash[ID],A1006)&gt;1,NOT(ISNUMBER(B1006)),B1006&lt;НачалоУчета,YEAR(B1006)&lt;&gt;Год,NOT(ISNUMBER(E1006)),E1006&lt;=0,N1006&lt;0,COUNTIF(Типы,C1006)&lt;&gt;1,COUNTIF(Категории,D1006)&lt;&gt;1,COUNTIF(Счета,F1006)&lt;&gt;1,COUNTIF(Проекты,I1006)&lt;&gt;1,AND(H1006&lt;&gt;"",COUNTIF(Контрагенты,H1006)&lt;&gt;1),AND(C1006="Перевод",OR(F1006=G1006,COUNTIF(Счета,G1006)&lt;&gt;1)),AND(S1006&lt;&gt;0,COUNTIF(Docs[ID],J1006)&lt;&gt;1),AND(Форма="ООО",C1006="Вывод ИП"),AND(Форма="ИП",C1006="Дивиденды"),AND(L1006&lt;&gt;"Проведён",L1006&lt;&gt;"Черновик")),"ОШИБКА","ОК"))</f>
        <v/>
      </c>
      <c r="W1006" s="25" t="str">
        <f>IF(A1006="","",SUMIF(Accounts[Счёт],F1006,Accounts[Начальный])+SUMIFS($Q$7:Q1006,$F$7:F1006,F1006)+SUMIFS($E$7:E1006,$G$7:G1006,F1006,$C$7:C1006,"Перевод",$L$7:L1006,"Проведён"))</f>
        <v/>
      </c>
    </row>
  </sheetData>
  <conditionalFormatting sqref="A7:W1006">
    <cfRule type="expression" dxfId="4" priority="1">
      <formula>$V7="ОШИБКА"</formula>
    </cfRule>
  </conditionalFormatting>
  <conditionalFormatting sqref="W7:W1006">
    <cfRule type="cellIs" dxfId="3" priority="2" operator="lessThan">
      <formula>0</formula>
    </cfRule>
  </conditionalFormatting>
  <dataValidations count="8">
    <dataValidation type="list" allowBlank="1" showErrorMessage="1" errorTitle="Проверьте ввод" error="Выберите значение из списка или исправьте число." sqref="C7:C1006" xr:uid="{00000000-0002-0000-1000-000000000000}">
      <formula1>Типы</formula1>
    </dataValidation>
    <dataValidation type="list" allowBlank="1" showErrorMessage="1" errorTitle="Проверьте ввод" error="Выберите значение из списка или исправьте число." sqref="D7:D1006" xr:uid="{00000000-0002-0000-1000-000001000000}">
      <formula1>Категории</formula1>
    </dataValidation>
    <dataValidation type="list" allowBlank="1" showErrorMessage="1" errorTitle="Проверьте ввод" error="Выберите значение из списка или исправьте число." sqref="F7:G1006" xr:uid="{00000000-0002-0000-1000-000002000000}">
      <formula1>Счета</formula1>
    </dataValidation>
    <dataValidation type="list" allowBlank="1" showErrorMessage="1" errorTitle="Проверьте ввод" error="Выберите значение из списка или исправьте число." sqref="H7:H1006" xr:uid="{00000000-0002-0000-1000-000003000000}">
      <formula1>Контрагенты</formula1>
    </dataValidation>
    <dataValidation type="list" allowBlank="1" showErrorMessage="1" errorTitle="Проверьте ввод" error="Выберите значение из списка или исправьте число." sqref="I7:I1006" xr:uid="{00000000-0002-0000-1000-000004000000}">
      <formula1>Проекты</formula1>
    </dataValidation>
    <dataValidation type="list" allowBlank="1" showErrorMessage="1" errorTitle="Проверьте ввод" error="Выберите значение из списка или исправьте число." sqref="L7:L1006" xr:uid="{00000000-0002-0000-1000-000005000000}">
      <formula1>"Проведён,Черновик"</formula1>
    </dataValidation>
    <dataValidation type="decimal" allowBlank="1" showErrorMessage="1" errorTitle="Проверьте ввод" error="Выберите значение из списка или исправьте число." sqref="E7:E1006" xr:uid="{00000000-0002-0000-1000-000006000000}">
      <formula1>0.01</formula1>
      <formula2>100000000000</formula2>
    </dataValidation>
    <dataValidation type="decimal" allowBlank="1" showErrorMessage="1" errorTitle="Проверьте ввод" error="Выберите значение из списка или исправьте число." sqref="N7:N1006" xr:uid="{00000000-0002-0000-1000-000007000000}">
      <formula1>0</formula1>
      <formula2>100000000000</formula2>
    </dataValidation>
  </dataValidations>
  <hyperlinks>
    <hyperlink ref="A1" location="'ПАНЕЛЬ'!A1" display="Главная панель" xr:uid="{00000000-0004-0000-1000-000000000000}"/>
    <hyperlink ref="D1" location="'НАСТРОЙКИ'!A1" display="Настройки" xr:uid="{00000000-0004-0000-1000-000001000000}"/>
    <hyperlink ref="F1" location="'КОНТРОЛЬ'!A1" display="Контроль" xr:uid="{00000000-0004-0000-10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Right="0"/>
    <pageSetUpPr fitToPage="1"/>
  </sheetPr>
  <dimension ref="A1:Q606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3" customWidth="1"/>
    <col min="2" max="5" width="17" customWidth="1"/>
    <col min="6" max="6" width="27" customWidth="1"/>
    <col min="7" max="13" width="17" customWidth="1"/>
    <col min="14" max="14" width="21" customWidth="1"/>
    <col min="15" max="15" width="23" customWidth="1"/>
  </cols>
  <sheetData>
    <row r="1" spans="1:17" x14ac:dyDescent="0.25">
      <c r="A1" s="1" t="s">
        <v>0</v>
      </c>
      <c r="D1" s="2" t="s">
        <v>1</v>
      </c>
      <c r="F1" s="2" t="s">
        <v>2</v>
      </c>
    </row>
    <row r="2" spans="1:17" ht="30" customHeight="1" x14ac:dyDescent="0.25">
      <c r="A2" s="9" t="s">
        <v>28</v>
      </c>
    </row>
    <row r="3" spans="1:17" x14ac:dyDescent="0.25">
      <c r="A3" s="10" t="s">
        <v>36</v>
      </c>
    </row>
    <row r="6" spans="1:17" ht="35.1" customHeight="1" x14ac:dyDescent="0.25">
      <c r="A6" s="7" t="s">
        <v>423</v>
      </c>
      <c r="B6" s="7" t="s">
        <v>455</v>
      </c>
      <c r="C6" s="7" t="s">
        <v>953</v>
      </c>
      <c r="D6" s="7" t="s">
        <v>457</v>
      </c>
      <c r="E6" s="7" t="s">
        <v>137</v>
      </c>
      <c r="F6" s="7" t="s">
        <v>372</v>
      </c>
      <c r="G6" s="7" t="s">
        <v>438</v>
      </c>
      <c r="H6" s="7" t="s">
        <v>954</v>
      </c>
      <c r="I6" s="7" t="s">
        <v>277</v>
      </c>
      <c r="J6" s="7" t="s">
        <v>219</v>
      </c>
      <c r="K6" s="7" t="s">
        <v>431</v>
      </c>
      <c r="L6" s="7" t="s">
        <v>955</v>
      </c>
      <c r="M6" s="7" t="s">
        <v>956</v>
      </c>
      <c r="N6" s="7" t="s">
        <v>957</v>
      </c>
      <c r="O6" s="7" t="s">
        <v>164</v>
      </c>
      <c r="P6" s="7" t="s">
        <v>432</v>
      </c>
      <c r="Q6" s="7" t="s">
        <v>958</v>
      </c>
    </row>
    <row r="7" spans="1:17" x14ac:dyDescent="0.25">
      <c r="A7" s="3" t="s">
        <v>487</v>
      </c>
      <c r="B7" s="19">
        <v>46027</v>
      </c>
      <c r="C7" s="3" t="s">
        <v>5</v>
      </c>
      <c r="D7" s="3" t="s">
        <v>485</v>
      </c>
      <c r="E7" s="12">
        <v>117600</v>
      </c>
      <c r="F7" s="3" t="s">
        <v>486</v>
      </c>
      <c r="G7" s="3" t="s">
        <v>381</v>
      </c>
      <c r="H7" s="19">
        <v>46042</v>
      </c>
      <c r="I7" s="3" t="s">
        <v>476</v>
      </c>
      <c r="J7" s="3"/>
      <c r="K7" s="4">
        <f>IF(A7="","",SUMIFS(Cash[Оплата],Cash[Документ],A7,Cash[Дата],"&lt;="&amp;ДатаОтчета))</f>
        <v>117600</v>
      </c>
      <c r="L7" s="4">
        <f t="shared" ref="L7:L70" si="0">IF(A7="","",IF(AND(I7="Проведён",B7&lt;=ДатаОтчета),E7-K7,0))</f>
        <v>0</v>
      </c>
      <c r="M7" s="4">
        <f t="shared" ref="M7:M70" si="1">IF(A7="","",IF(L7&gt;0.01,MAX(0,ДатаОтчета-H7),0))</f>
        <v>0</v>
      </c>
      <c r="N7" s="4" t="str">
        <f t="shared" ref="N7:N70" si="2">IF(A7="","",IF(L7&lt;=0.01,"Закрыта",IF(M7=0,"Не просрочена",IF(M7&lt;=30,"1–30 дней",IF(M7&lt;=60,"31–60 дней",IF(M7&lt;=90,"61–90 дней","Более 90 дней"))))))</f>
        <v>Закрыта</v>
      </c>
      <c r="O7" s="4" t="str">
        <f t="shared" ref="O7:O70" si="3">IF(A7="","",IF(L7&lt;-0.01,"Переплата",IF(L7&lt;=0.01,"Оплачено",IF(M7&gt;0,"Просрочено",IF(H7&lt;=ДатаОтчета+7,"Оплата в 7 дней","Открыто")))))</f>
        <v>Оплачено</v>
      </c>
      <c r="P7" s="4" t="str">
        <f>IF(A7="",IF(COUNTA(B7:J7)&gt;0,"НЕТ ID",""),IF(OR(NOT(ISNUMBER(E7)),AND(Форма="ИП",C7="Дивиденды"),COUNTIF(Docs[ID],A7)&lt;&gt;1,NOT(ISNUMBER(B7)),B7&lt;НачалоУчета,YEAR(B7)&lt;&gt;Год,NOT(ISNUMBER(H7)),H7&lt;B7,E7&lt;0,COUNTIF(Виды,C7)&lt;&gt;1,COUNTIF(Категории,D7)&lt;&gt;1,COUNTIF(Контрагенты,F7)&lt;&gt;1,COUNTIF(Проекты,G7)&lt;&gt;1,L7&lt;-0.01,AND(I7&lt;&gt;"Проведён",I7&lt;&gt;"Черновик")),"ОШИБКА","ОК"))</f>
        <v>ОК</v>
      </c>
      <c r="Q7" s="4" t="str">
        <f t="shared" ref="Q7:Q70" si="4">IF(A7="","",IF(OR(C7="Выручка",C7="Начальная ДЗ"),"ДЗ","КЗ"))</f>
        <v>ДЗ</v>
      </c>
    </row>
    <row r="8" spans="1:17" x14ac:dyDescent="0.25">
      <c r="A8" s="3" t="s">
        <v>490</v>
      </c>
      <c r="B8" s="19">
        <v>46028</v>
      </c>
      <c r="C8" s="3" t="s">
        <v>5</v>
      </c>
      <c r="D8" s="3" t="s">
        <v>485</v>
      </c>
      <c r="E8" s="12">
        <v>92400</v>
      </c>
      <c r="F8" s="3" t="s">
        <v>489</v>
      </c>
      <c r="G8" s="3" t="s">
        <v>298</v>
      </c>
      <c r="H8" s="19">
        <v>46043</v>
      </c>
      <c r="I8" s="3" t="s">
        <v>476</v>
      </c>
      <c r="J8" s="3"/>
      <c r="K8" s="4">
        <f>IF(A8="","",SUMIFS(Cash[Оплата],Cash[Документ],A8,Cash[Дата],"&lt;="&amp;ДатаОтчета))</f>
        <v>92400</v>
      </c>
      <c r="L8" s="4">
        <f t="shared" si="0"/>
        <v>0</v>
      </c>
      <c r="M8" s="4">
        <f t="shared" si="1"/>
        <v>0</v>
      </c>
      <c r="N8" s="4" t="str">
        <f t="shared" si="2"/>
        <v>Закрыта</v>
      </c>
      <c r="O8" s="4" t="str">
        <f t="shared" si="3"/>
        <v>Оплачено</v>
      </c>
      <c r="P8" s="4" t="str">
        <f>IF(A8="",IF(COUNTA(B8:J8)&gt;0,"НЕТ ID",""),IF(OR(NOT(ISNUMBER(E8)),AND(Форма="ИП",C8="Дивиденды"),COUNTIF(Docs[ID],A8)&lt;&gt;1,NOT(ISNUMBER(B8)),B8&lt;НачалоУчета,YEAR(B8)&lt;&gt;Год,NOT(ISNUMBER(H8)),H8&lt;B8,E8&lt;0,COUNTIF(Виды,C8)&lt;&gt;1,COUNTIF(Категории,D8)&lt;&gt;1,COUNTIF(Контрагенты,F8)&lt;&gt;1,COUNTIF(Проекты,G8)&lt;&gt;1,L8&lt;-0.01,AND(I8&lt;&gt;"Проведён",I8&lt;&gt;"Черновик")),"ОШИБКА","ОК"))</f>
        <v>ОК</v>
      </c>
      <c r="Q8" s="4" t="str">
        <f t="shared" si="4"/>
        <v>ДЗ</v>
      </c>
    </row>
    <row r="9" spans="1:17" x14ac:dyDescent="0.25">
      <c r="A9" s="3" t="s">
        <v>493</v>
      </c>
      <c r="B9" s="19">
        <v>46029</v>
      </c>
      <c r="C9" s="3" t="s">
        <v>5</v>
      </c>
      <c r="D9" s="3" t="s">
        <v>485</v>
      </c>
      <c r="E9" s="12">
        <v>75600</v>
      </c>
      <c r="F9" s="3" t="s">
        <v>492</v>
      </c>
      <c r="G9" s="3" t="s">
        <v>382</v>
      </c>
      <c r="H9" s="19">
        <v>46044</v>
      </c>
      <c r="I9" s="3" t="s">
        <v>476</v>
      </c>
      <c r="J9" s="3"/>
      <c r="K9" s="4">
        <f>IF(A9="","",SUMIFS(Cash[Оплата],Cash[Документ],A9,Cash[Дата],"&lt;="&amp;ДатаОтчета))</f>
        <v>75600</v>
      </c>
      <c r="L9" s="4">
        <f t="shared" si="0"/>
        <v>0</v>
      </c>
      <c r="M9" s="4">
        <f t="shared" si="1"/>
        <v>0</v>
      </c>
      <c r="N9" s="4" t="str">
        <f t="shared" si="2"/>
        <v>Закрыта</v>
      </c>
      <c r="O9" s="4" t="str">
        <f t="shared" si="3"/>
        <v>Оплачено</v>
      </c>
      <c r="P9" s="4" t="str">
        <f>IF(A9="",IF(COUNTA(B9:J9)&gt;0,"НЕТ ID",""),IF(OR(NOT(ISNUMBER(E9)),AND(Форма="ИП",C9="Дивиденды"),COUNTIF(Docs[ID],A9)&lt;&gt;1,NOT(ISNUMBER(B9)),B9&lt;НачалоУчета,YEAR(B9)&lt;&gt;Год,NOT(ISNUMBER(H9)),H9&lt;B9,E9&lt;0,COUNTIF(Виды,C9)&lt;&gt;1,COUNTIF(Категории,D9)&lt;&gt;1,COUNTIF(Контрагенты,F9)&lt;&gt;1,COUNTIF(Проекты,G9)&lt;&gt;1,L9&lt;-0.01,AND(I9&lt;&gt;"Проведён",I9&lt;&gt;"Черновик")),"ОШИБКА","ОК"))</f>
        <v>ОК</v>
      </c>
      <c r="Q9" s="4" t="str">
        <f t="shared" si="4"/>
        <v>ДЗ</v>
      </c>
    </row>
    <row r="10" spans="1:17" x14ac:dyDescent="0.25">
      <c r="A10" s="3" t="s">
        <v>496</v>
      </c>
      <c r="B10" s="19">
        <v>46030</v>
      </c>
      <c r="C10" s="3" t="s">
        <v>5</v>
      </c>
      <c r="D10" s="3" t="s">
        <v>485</v>
      </c>
      <c r="E10" s="12">
        <v>58800</v>
      </c>
      <c r="F10" s="3" t="s">
        <v>495</v>
      </c>
      <c r="G10" s="3" t="s">
        <v>381</v>
      </c>
      <c r="H10" s="19">
        <v>46045</v>
      </c>
      <c r="I10" s="3" t="s">
        <v>476</v>
      </c>
      <c r="J10" s="3"/>
      <c r="K10" s="4">
        <f>IF(A10="","",SUMIFS(Cash[Оплата],Cash[Документ],A10,Cash[Дата],"&lt;="&amp;ДатаОтчета))</f>
        <v>58800</v>
      </c>
      <c r="L10" s="4">
        <f t="shared" si="0"/>
        <v>0</v>
      </c>
      <c r="M10" s="4">
        <f t="shared" si="1"/>
        <v>0</v>
      </c>
      <c r="N10" s="4" t="str">
        <f t="shared" si="2"/>
        <v>Закрыта</v>
      </c>
      <c r="O10" s="4" t="str">
        <f t="shared" si="3"/>
        <v>Оплачено</v>
      </c>
      <c r="P10" s="4" t="str">
        <f>IF(A10="",IF(COUNTA(B10:J10)&gt;0,"НЕТ ID",""),IF(OR(NOT(ISNUMBER(E10)),AND(Форма="ИП",C10="Дивиденды"),COUNTIF(Docs[ID],A10)&lt;&gt;1,NOT(ISNUMBER(B10)),B10&lt;НачалоУчета,YEAR(B10)&lt;&gt;Год,NOT(ISNUMBER(H10)),H10&lt;B10,E10&lt;0,COUNTIF(Виды,C10)&lt;&gt;1,COUNTIF(Категории,D10)&lt;&gt;1,COUNTIF(Контрагенты,F10)&lt;&gt;1,COUNTIF(Проекты,G10)&lt;&gt;1,L10&lt;-0.01,AND(I10&lt;&gt;"Проведён",I10&lt;&gt;"Черновик")),"ОШИБКА","ОК"))</f>
        <v>ОК</v>
      </c>
      <c r="Q10" s="4" t="str">
        <f t="shared" si="4"/>
        <v>ДЗ</v>
      </c>
    </row>
    <row r="11" spans="1:17" x14ac:dyDescent="0.25">
      <c r="A11" s="3" t="s">
        <v>499</v>
      </c>
      <c r="B11" s="19">
        <v>46031</v>
      </c>
      <c r="C11" s="3" t="s">
        <v>5</v>
      </c>
      <c r="D11" s="3" t="s">
        <v>485</v>
      </c>
      <c r="E11" s="12">
        <v>42000</v>
      </c>
      <c r="F11" s="3" t="s">
        <v>498</v>
      </c>
      <c r="G11" s="3" t="s">
        <v>298</v>
      </c>
      <c r="H11" s="19">
        <v>46046</v>
      </c>
      <c r="I11" s="3" t="s">
        <v>476</v>
      </c>
      <c r="J11" s="3"/>
      <c r="K11" s="4">
        <f>IF(A11="","",SUMIFS(Cash[Оплата],Cash[Документ],A11,Cash[Дата],"&lt;="&amp;ДатаОтчета))</f>
        <v>42000</v>
      </c>
      <c r="L11" s="4">
        <f t="shared" si="0"/>
        <v>0</v>
      </c>
      <c r="M11" s="4">
        <f t="shared" si="1"/>
        <v>0</v>
      </c>
      <c r="N11" s="4" t="str">
        <f t="shared" si="2"/>
        <v>Закрыта</v>
      </c>
      <c r="O11" s="4" t="str">
        <f t="shared" si="3"/>
        <v>Оплачено</v>
      </c>
      <c r="P11" s="4" t="str">
        <f>IF(A11="",IF(COUNTA(B11:J11)&gt;0,"НЕТ ID",""),IF(OR(NOT(ISNUMBER(E11)),AND(Форма="ИП",C11="Дивиденды"),COUNTIF(Docs[ID],A11)&lt;&gt;1,NOT(ISNUMBER(B11)),B11&lt;НачалоУчета,YEAR(B11)&lt;&gt;Год,NOT(ISNUMBER(H11)),H11&lt;B11,E11&lt;0,COUNTIF(Виды,C11)&lt;&gt;1,COUNTIF(Категории,D11)&lt;&gt;1,COUNTIF(Контрагенты,F11)&lt;&gt;1,COUNTIF(Проекты,G11)&lt;&gt;1,L11&lt;-0.01,AND(I11&lt;&gt;"Проведён",I11&lt;&gt;"Черновик")),"ОШИБКА","ОК"))</f>
        <v>ОК</v>
      </c>
      <c r="Q11" s="4" t="str">
        <f t="shared" si="4"/>
        <v>ДЗ</v>
      </c>
    </row>
    <row r="12" spans="1:17" x14ac:dyDescent="0.25">
      <c r="A12" s="3" t="s">
        <v>502</v>
      </c>
      <c r="B12" s="19">
        <v>46032</v>
      </c>
      <c r="C12" s="3" t="s">
        <v>5</v>
      </c>
      <c r="D12" s="3" t="s">
        <v>485</v>
      </c>
      <c r="E12" s="12">
        <v>33600</v>
      </c>
      <c r="F12" s="3" t="s">
        <v>501</v>
      </c>
      <c r="G12" s="3" t="s">
        <v>382</v>
      </c>
      <c r="H12" s="19">
        <v>46047</v>
      </c>
      <c r="I12" s="3" t="s">
        <v>476</v>
      </c>
      <c r="J12" s="3"/>
      <c r="K12" s="4">
        <f>IF(A12="","",SUMIFS(Cash[Оплата],Cash[Документ],A12,Cash[Дата],"&lt;="&amp;ДатаОтчета))</f>
        <v>33600</v>
      </c>
      <c r="L12" s="4">
        <f t="shared" si="0"/>
        <v>0</v>
      </c>
      <c r="M12" s="4">
        <f t="shared" si="1"/>
        <v>0</v>
      </c>
      <c r="N12" s="4" t="str">
        <f t="shared" si="2"/>
        <v>Закрыта</v>
      </c>
      <c r="O12" s="4" t="str">
        <f t="shared" si="3"/>
        <v>Оплачено</v>
      </c>
      <c r="P12" s="4" t="str">
        <f>IF(A12="",IF(COUNTA(B12:J12)&gt;0,"НЕТ ID",""),IF(OR(NOT(ISNUMBER(E12)),AND(Форма="ИП",C12="Дивиденды"),COUNTIF(Docs[ID],A12)&lt;&gt;1,NOT(ISNUMBER(B12)),B12&lt;НачалоУчета,YEAR(B12)&lt;&gt;Год,NOT(ISNUMBER(H12)),H12&lt;B12,E12&lt;0,COUNTIF(Виды,C12)&lt;&gt;1,COUNTIF(Категории,D12)&lt;&gt;1,COUNTIF(Контрагенты,F12)&lt;&gt;1,COUNTIF(Проекты,G12)&lt;&gt;1,L12&lt;-0.01,AND(I12&lt;&gt;"Проведён",I12&lt;&gt;"Черновик")),"ОШИБКА","ОК"))</f>
        <v>ОК</v>
      </c>
      <c r="Q12" s="4" t="str">
        <f t="shared" si="4"/>
        <v>ДЗ</v>
      </c>
    </row>
    <row r="13" spans="1:17" x14ac:dyDescent="0.25">
      <c r="A13" s="3" t="s">
        <v>507</v>
      </c>
      <c r="B13" s="19">
        <v>46032</v>
      </c>
      <c r="C13" s="3" t="s">
        <v>125</v>
      </c>
      <c r="D13" s="3" t="s">
        <v>505</v>
      </c>
      <c r="E13" s="12">
        <v>134400</v>
      </c>
      <c r="F13" s="3" t="s">
        <v>506</v>
      </c>
      <c r="G13" s="3" t="s">
        <v>298</v>
      </c>
      <c r="H13" s="19">
        <v>46044</v>
      </c>
      <c r="I13" s="3" t="s">
        <v>476</v>
      </c>
      <c r="J13" s="3"/>
      <c r="K13" s="4">
        <f>IF(A13="","",SUMIFS(Cash[Оплата],Cash[Документ],A13,Cash[Дата],"&lt;="&amp;ДатаОтчета))</f>
        <v>134400</v>
      </c>
      <c r="L13" s="4">
        <f t="shared" si="0"/>
        <v>0</v>
      </c>
      <c r="M13" s="4">
        <f t="shared" si="1"/>
        <v>0</v>
      </c>
      <c r="N13" s="4" t="str">
        <f t="shared" si="2"/>
        <v>Закрыта</v>
      </c>
      <c r="O13" s="4" t="str">
        <f t="shared" si="3"/>
        <v>Оплачено</v>
      </c>
      <c r="P13" s="4" t="str">
        <f>IF(A13="",IF(COUNTA(B13:J13)&gt;0,"НЕТ ID",""),IF(OR(NOT(ISNUMBER(E13)),AND(Форма="ИП",C13="Дивиденды"),COUNTIF(Docs[ID],A13)&lt;&gt;1,NOT(ISNUMBER(B13)),B13&lt;НачалоУчета,YEAR(B13)&lt;&gt;Год,NOT(ISNUMBER(H13)),H13&lt;B13,E13&lt;0,COUNTIF(Виды,C13)&lt;&gt;1,COUNTIF(Категории,D13)&lt;&gt;1,COUNTIF(Контрагенты,F13)&lt;&gt;1,COUNTIF(Проекты,G13)&lt;&gt;1,L13&lt;-0.01,AND(I13&lt;&gt;"Проведён",I13&lt;&gt;"Черновик")),"ОШИБКА","ОК"))</f>
        <v>ОК</v>
      </c>
      <c r="Q13" s="4" t="str">
        <f t="shared" si="4"/>
        <v>КЗ</v>
      </c>
    </row>
    <row r="14" spans="1:17" x14ac:dyDescent="0.25">
      <c r="A14" s="3" t="s">
        <v>511</v>
      </c>
      <c r="B14" s="19">
        <v>46033</v>
      </c>
      <c r="C14" s="3" t="s">
        <v>959</v>
      </c>
      <c r="D14" s="3" t="s">
        <v>509</v>
      </c>
      <c r="E14" s="12">
        <v>65000</v>
      </c>
      <c r="F14" s="3" t="s">
        <v>510</v>
      </c>
      <c r="G14" s="3" t="s">
        <v>383</v>
      </c>
      <c r="H14" s="19">
        <v>46045</v>
      </c>
      <c r="I14" s="3" t="s">
        <v>476</v>
      </c>
      <c r="J14" s="3"/>
      <c r="K14" s="4">
        <f>IF(A14="","",SUMIFS(Cash[Оплата],Cash[Документ],A14,Cash[Дата],"&lt;="&amp;ДатаОтчета))</f>
        <v>65000</v>
      </c>
      <c r="L14" s="4">
        <f t="shared" si="0"/>
        <v>0</v>
      </c>
      <c r="M14" s="4">
        <f t="shared" si="1"/>
        <v>0</v>
      </c>
      <c r="N14" s="4" t="str">
        <f t="shared" si="2"/>
        <v>Закрыта</v>
      </c>
      <c r="O14" s="4" t="str">
        <f t="shared" si="3"/>
        <v>Оплачено</v>
      </c>
      <c r="P14" s="4" t="str">
        <f>IF(A14="",IF(COUNTA(B14:J14)&gt;0,"НЕТ ID",""),IF(OR(NOT(ISNUMBER(E14)),AND(Форма="ИП",C14="Дивиденды"),COUNTIF(Docs[ID],A14)&lt;&gt;1,NOT(ISNUMBER(B14)),B14&lt;НачалоУчета,YEAR(B14)&lt;&gt;Год,NOT(ISNUMBER(H14)),H14&lt;B14,E14&lt;0,COUNTIF(Виды,C14)&lt;&gt;1,COUNTIF(Категории,D14)&lt;&gt;1,COUNTIF(Контрагенты,F14)&lt;&gt;1,COUNTIF(Проекты,G14)&lt;&gt;1,L14&lt;-0.01,AND(I14&lt;&gt;"Проведён",I14&lt;&gt;"Черновик")),"ОШИБКА","ОК"))</f>
        <v>ОК</v>
      </c>
      <c r="Q14" s="4" t="str">
        <f t="shared" si="4"/>
        <v>КЗ</v>
      </c>
    </row>
    <row r="15" spans="1:17" x14ac:dyDescent="0.25">
      <c r="A15" s="3" t="s">
        <v>515</v>
      </c>
      <c r="B15" s="19">
        <v>46034</v>
      </c>
      <c r="C15" s="3" t="s">
        <v>959</v>
      </c>
      <c r="D15" s="3" t="s">
        <v>295</v>
      </c>
      <c r="E15" s="12">
        <v>45000</v>
      </c>
      <c r="F15" s="3" t="s">
        <v>514</v>
      </c>
      <c r="G15" s="3" t="s">
        <v>381</v>
      </c>
      <c r="H15" s="19">
        <v>46046</v>
      </c>
      <c r="I15" s="3" t="s">
        <v>476</v>
      </c>
      <c r="J15" s="3"/>
      <c r="K15" s="4">
        <f>IF(A15="","",SUMIFS(Cash[Оплата],Cash[Документ],A15,Cash[Дата],"&lt;="&amp;ДатаОтчета))</f>
        <v>45000</v>
      </c>
      <c r="L15" s="4">
        <f t="shared" si="0"/>
        <v>0</v>
      </c>
      <c r="M15" s="4">
        <f t="shared" si="1"/>
        <v>0</v>
      </c>
      <c r="N15" s="4" t="str">
        <f t="shared" si="2"/>
        <v>Закрыта</v>
      </c>
      <c r="O15" s="4" t="str">
        <f t="shared" si="3"/>
        <v>Оплачено</v>
      </c>
      <c r="P15" s="4" t="str">
        <f>IF(A15="",IF(COUNTA(B15:J15)&gt;0,"НЕТ ID",""),IF(OR(NOT(ISNUMBER(E15)),AND(Форма="ИП",C15="Дивиденды"),COUNTIF(Docs[ID],A15)&lt;&gt;1,NOT(ISNUMBER(B15)),B15&lt;НачалоУчета,YEAR(B15)&lt;&gt;Год,NOT(ISNUMBER(H15)),H15&lt;B15,E15&lt;0,COUNTIF(Виды,C15)&lt;&gt;1,COUNTIF(Категории,D15)&lt;&gt;1,COUNTIF(Контрагенты,F15)&lt;&gt;1,COUNTIF(Проекты,G15)&lt;&gt;1,L15&lt;-0.01,AND(I15&lt;&gt;"Проведён",I15&lt;&gt;"Черновик")),"ОШИБКА","ОК"))</f>
        <v>ОК</v>
      </c>
      <c r="Q15" s="4" t="str">
        <f t="shared" si="4"/>
        <v>КЗ</v>
      </c>
    </row>
    <row r="16" spans="1:17" x14ac:dyDescent="0.25">
      <c r="A16" s="3" t="s">
        <v>520</v>
      </c>
      <c r="B16" s="19">
        <v>46035</v>
      </c>
      <c r="C16" s="3" t="s">
        <v>959</v>
      </c>
      <c r="D16" s="3" t="s">
        <v>518</v>
      </c>
      <c r="E16" s="12">
        <v>18000</v>
      </c>
      <c r="F16" s="3" t="s">
        <v>519</v>
      </c>
      <c r="G16" s="3" t="s">
        <v>383</v>
      </c>
      <c r="H16" s="19">
        <v>46047</v>
      </c>
      <c r="I16" s="3" t="s">
        <v>476</v>
      </c>
      <c r="J16" s="3"/>
      <c r="K16" s="4">
        <f>IF(A16="","",SUMIFS(Cash[Оплата],Cash[Документ],A16,Cash[Дата],"&lt;="&amp;ДатаОтчета))</f>
        <v>18000</v>
      </c>
      <c r="L16" s="4">
        <f t="shared" si="0"/>
        <v>0</v>
      </c>
      <c r="M16" s="4">
        <f t="shared" si="1"/>
        <v>0</v>
      </c>
      <c r="N16" s="4" t="str">
        <f t="shared" si="2"/>
        <v>Закрыта</v>
      </c>
      <c r="O16" s="4" t="str">
        <f t="shared" si="3"/>
        <v>Оплачено</v>
      </c>
      <c r="P16" s="4" t="str">
        <f>IF(A16="",IF(COUNTA(B16:J16)&gt;0,"НЕТ ID",""),IF(OR(NOT(ISNUMBER(E16)),AND(Форма="ИП",C16="Дивиденды"),COUNTIF(Docs[ID],A16)&lt;&gt;1,NOT(ISNUMBER(B16)),B16&lt;НачалоУчета,YEAR(B16)&lt;&gt;Год,NOT(ISNUMBER(H16)),H16&lt;B16,E16&lt;0,COUNTIF(Виды,C16)&lt;&gt;1,COUNTIF(Категории,D16)&lt;&gt;1,COUNTIF(Контрагенты,F16)&lt;&gt;1,COUNTIF(Проекты,G16)&lt;&gt;1,L16&lt;-0.01,AND(I16&lt;&gt;"Проведён",I16&lt;&gt;"Черновик")),"ОШИБКА","ОК"))</f>
        <v>ОК</v>
      </c>
      <c r="Q16" s="4" t="str">
        <f t="shared" si="4"/>
        <v>КЗ</v>
      </c>
    </row>
    <row r="17" spans="1:17" x14ac:dyDescent="0.25">
      <c r="A17" s="3" t="s">
        <v>524</v>
      </c>
      <c r="B17" s="19">
        <v>46036</v>
      </c>
      <c r="C17" s="3" t="s">
        <v>959</v>
      </c>
      <c r="D17" s="3" t="s">
        <v>523</v>
      </c>
      <c r="E17" s="12">
        <v>78300</v>
      </c>
      <c r="F17" s="3" t="s">
        <v>52</v>
      </c>
      <c r="G17" s="3" t="s">
        <v>383</v>
      </c>
      <c r="H17" s="19">
        <v>46048</v>
      </c>
      <c r="I17" s="3" t="s">
        <v>476</v>
      </c>
      <c r="J17" s="3"/>
      <c r="K17" s="4">
        <f>IF(A17="","",SUMIFS(Cash[Оплата],Cash[Документ],A17,Cash[Дата],"&lt;="&amp;ДатаОтчета))</f>
        <v>78300</v>
      </c>
      <c r="L17" s="4">
        <f t="shared" si="0"/>
        <v>0</v>
      </c>
      <c r="M17" s="4">
        <f t="shared" si="1"/>
        <v>0</v>
      </c>
      <c r="N17" s="4" t="str">
        <f t="shared" si="2"/>
        <v>Закрыта</v>
      </c>
      <c r="O17" s="4" t="str">
        <f t="shared" si="3"/>
        <v>Оплачено</v>
      </c>
      <c r="P17" s="4" t="str">
        <f>IF(A17="",IF(COUNTA(B17:J17)&gt;0,"НЕТ ID",""),IF(OR(NOT(ISNUMBER(E17)),AND(Форма="ИП",C17="Дивиденды"),COUNTIF(Docs[ID],A17)&lt;&gt;1,NOT(ISNUMBER(B17)),B17&lt;НачалоУчета,YEAR(B17)&lt;&gt;Год,NOT(ISNUMBER(H17)),H17&lt;B17,E17&lt;0,COUNTIF(Виды,C17)&lt;&gt;1,COUNTIF(Категории,D17)&lt;&gt;1,COUNTIF(Контрагенты,F17)&lt;&gt;1,COUNTIF(Проекты,G17)&lt;&gt;1,L17&lt;-0.01,AND(I17&lt;&gt;"Проведён",I17&lt;&gt;"Черновик")),"ОШИБКА","ОК"))</f>
        <v>ОК</v>
      </c>
      <c r="Q17" s="4" t="str">
        <f t="shared" si="4"/>
        <v>КЗ</v>
      </c>
    </row>
    <row r="18" spans="1:17" x14ac:dyDescent="0.25">
      <c r="A18" s="3" t="s">
        <v>529</v>
      </c>
      <c r="B18" s="19">
        <v>46037</v>
      </c>
      <c r="C18" s="3" t="s">
        <v>959</v>
      </c>
      <c r="D18" s="3" t="s">
        <v>527</v>
      </c>
      <c r="E18" s="12">
        <v>11700</v>
      </c>
      <c r="F18" s="3" t="s">
        <v>528</v>
      </c>
      <c r="G18" s="3" t="s">
        <v>383</v>
      </c>
      <c r="H18" s="19">
        <v>46049</v>
      </c>
      <c r="I18" s="3" t="s">
        <v>476</v>
      </c>
      <c r="J18" s="3"/>
      <c r="K18" s="4">
        <f>IF(A18="","",SUMIFS(Cash[Оплата],Cash[Документ],A18,Cash[Дата],"&lt;="&amp;ДатаОтчета))</f>
        <v>11700</v>
      </c>
      <c r="L18" s="4">
        <f t="shared" si="0"/>
        <v>0</v>
      </c>
      <c r="M18" s="4">
        <f t="shared" si="1"/>
        <v>0</v>
      </c>
      <c r="N18" s="4" t="str">
        <f t="shared" si="2"/>
        <v>Закрыта</v>
      </c>
      <c r="O18" s="4" t="str">
        <f t="shared" si="3"/>
        <v>Оплачено</v>
      </c>
      <c r="P18" s="4" t="str">
        <f>IF(A18="",IF(COUNTA(B18:J18)&gt;0,"НЕТ ID",""),IF(OR(NOT(ISNUMBER(E18)),AND(Форма="ИП",C18="Дивиденды"),COUNTIF(Docs[ID],A18)&lt;&gt;1,NOT(ISNUMBER(B18)),B18&lt;НачалоУчета,YEAR(B18)&lt;&gt;Год,NOT(ISNUMBER(H18)),H18&lt;B18,E18&lt;0,COUNTIF(Виды,C18)&lt;&gt;1,COUNTIF(Категории,D18)&lt;&gt;1,COUNTIF(Контрагенты,F18)&lt;&gt;1,COUNTIF(Проекты,G18)&lt;&gt;1,L18&lt;-0.01,AND(I18&lt;&gt;"Проведён",I18&lt;&gt;"Черновик")),"ОШИБКА","ОК"))</f>
        <v>ОК</v>
      </c>
      <c r="Q18" s="4" t="str">
        <f t="shared" si="4"/>
        <v>КЗ</v>
      </c>
    </row>
    <row r="19" spans="1:17" x14ac:dyDescent="0.25">
      <c r="A19" s="3" t="s">
        <v>533</v>
      </c>
      <c r="B19" s="19">
        <v>46038</v>
      </c>
      <c r="C19" s="3" t="s">
        <v>959</v>
      </c>
      <c r="D19" s="3" t="s">
        <v>532</v>
      </c>
      <c r="E19" s="12">
        <v>27000</v>
      </c>
      <c r="F19" s="3" t="s">
        <v>528</v>
      </c>
      <c r="G19" s="3" t="s">
        <v>383</v>
      </c>
      <c r="H19" s="19">
        <v>46050</v>
      </c>
      <c r="I19" s="3" t="s">
        <v>476</v>
      </c>
      <c r="J19" s="3"/>
      <c r="K19" s="4">
        <f>IF(A19="","",SUMIFS(Cash[Оплата],Cash[Документ],A19,Cash[Дата],"&lt;="&amp;ДатаОтчета))</f>
        <v>27000</v>
      </c>
      <c r="L19" s="4">
        <f t="shared" si="0"/>
        <v>0</v>
      </c>
      <c r="M19" s="4">
        <f t="shared" si="1"/>
        <v>0</v>
      </c>
      <c r="N19" s="4" t="str">
        <f t="shared" si="2"/>
        <v>Закрыта</v>
      </c>
      <c r="O19" s="4" t="str">
        <f t="shared" si="3"/>
        <v>Оплачено</v>
      </c>
      <c r="P19" s="4" t="str">
        <f>IF(A19="",IF(COUNTA(B19:J19)&gt;0,"НЕТ ID",""),IF(OR(NOT(ISNUMBER(E19)),AND(Форма="ИП",C19="Дивиденды"),COUNTIF(Docs[ID],A19)&lt;&gt;1,NOT(ISNUMBER(B19)),B19&lt;НачалоУчета,YEAR(B19)&lt;&gt;Год,NOT(ISNUMBER(H19)),H19&lt;B19,E19&lt;0,COUNTIF(Виды,C19)&lt;&gt;1,COUNTIF(Категории,D19)&lt;&gt;1,COUNTIF(Контрагенты,F19)&lt;&gt;1,COUNTIF(Проекты,G19)&lt;&gt;1,L19&lt;-0.01,AND(I19&lt;&gt;"Проведён",I19&lt;&gt;"Черновик")),"ОШИБКА","ОК"))</f>
        <v>ОК</v>
      </c>
      <c r="Q19" s="4" t="str">
        <f t="shared" si="4"/>
        <v>КЗ</v>
      </c>
    </row>
    <row r="20" spans="1:17" x14ac:dyDescent="0.25">
      <c r="A20" s="3" t="s">
        <v>535</v>
      </c>
      <c r="B20" s="19">
        <v>46049</v>
      </c>
      <c r="C20" s="3" t="s">
        <v>130</v>
      </c>
      <c r="D20" s="3" t="s">
        <v>130</v>
      </c>
      <c r="E20" s="12">
        <v>4500</v>
      </c>
      <c r="F20" s="3" t="s">
        <v>397</v>
      </c>
      <c r="G20" s="3" t="s">
        <v>383</v>
      </c>
      <c r="H20" s="19">
        <v>46050</v>
      </c>
      <c r="I20" s="3" t="s">
        <v>476</v>
      </c>
      <c r="J20" s="3"/>
      <c r="K20" s="4">
        <f>IF(A20="","",SUMIFS(Cash[Оплата],Cash[Документ],A20,Cash[Дата],"&lt;="&amp;ДатаОтчета))</f>
        <v>4500</v>
      </c>
      <c r="L20" s="4">
        <f t="shared" si="0"/>
        <v>0</v>
      </c>
      <c r="M20" s="4">
        <f t="shared" si="1"/>
        <v>0</v>
      </c>
      <c r="N20" s="4" t="str">
        <f t="shared" si="2"/>
        <v>Закрыта</v>
      </c>
      <c r="O20" s="4" t="str">
        <f t="shared" si="3"/>
        <v>Оплачено</v>
      </c>
      <c r="P20" s="4" t="str">
        <f>IF(A20="",IF(COUNTA(B20:J20)&gt;0,"НЕТ ID",""),IF(OR(NOT(ISNUMBER(E20)),AND(Форма="ИП",C20="Дивиденды"),COUNTIF(Docs[ID],A20)&lt;&gt;1,NOT(ISNUMBER(B20)),B20&lt;НачалоУчета,YEAR(B20)&lt;&gt;Год,NOT(ISNUMBER(H20)),H20&lt;B20,E20&lt;0,COUNTIF(Виды,C20)&lt;&gt;1,COUNTIF(Категории,D20)&lt;&gt;1,COUNTIF(Контрагенты,F20)&lt;&gt;1,COUNTIF(Проекты,G20)&lt;&gt;1,L20&lt;-0.01,AND(I20&lt;&gt;"Проведён",I20&lt;&gt;"Черновик")),"ОШИБКА","ОК"))</f>
        <v>ОК</v>
      </c>
      <c r="Q20" s="4" t="str">
        <f t="shared" si="4"/>
        <v>КЗ</v>
      </c>
    </row>
    <row r="21" spans="1:17" x14ac:dyDescent="0.25">
      <c r="A21" s="3" t="s">
        <v>542</v>
      </c>
      <c r="B21" s="19">
        <v>46058</v>
      </c>
      <c r="C21" s="3" t="s">
        <v>5</v>
      </c>
      <c r="D21" s="3" t="s">
        <v>485</v>
      </c>
      <c r="E21" s="12">
        <v>50400</v>
      </c>
      <c r="F21" s="3" t="s">
        <v>486</v>
      </c>
      <c r="G21" s="3" t="s">
        <v>381</v>
      </c>
      <c r="H21" s="19">
        <v>46073</v>
      </c>
      <c r="I21" s="3" t="s">
        <v>476</v>
      </c>
      <c r="J21" s="3"/>
      <c r="K21" s="4">
        <f>IF(A21="","",SUMIFS(Cash[Оплата],Cash[Документ],A21,Cash[Дата],"&lt;="&amp;ДатаОтчета))</f>
        <v>50400</v>
      </c>
      <c r="L21" s="4">
        <f t="shared" si="0"/>
        <v>0</v>
      </c>
      <c r="M21" s="4">
        <f t="shared" si="1"/>
        <v>0</v>
      </c>
      <c r="N21" s="4" t="str">
        <f t="shared" si="2"/>
        <v>Закрыта</v>
      </c>
      <c r="O21" s="4" t="str">
        <f t="shared" si="3"/>
        <v>Оплачено</v>
      </c>
      <c r="P21" s="4" t="str">
        <f>IF(A21="",IF(COUNTA(B21:J21)&gt;0,"НЕТ ID",""),IF(OR(NOT(ISNUMBER(E21)),AND(Форма="ИП",C21="Дивиденды"),COUNTIF(Docs[ID],A21)&lt;&gt;1,NOT(ISNUMBER(B21)),B21&lt;НачалоУчета,YEAR(B21)&lt;&gt;Год,NOT(ISNUMBER(H21)),H21&lt;B21,E21&lt;0,COUNTIF(Виды,C21)&lt;&gt;1,COUNTIF(Категории,D21)&lt;&gt;1,COUNTIF(Контрагенты,F21)&lt;&gt;1,COUNTIF(Проекты,G21)&lt;&gt;1,L21&lt;-0.01,AND(I21&lt;&gt;"Проведён",I21&lt;&gt;"Черновик")),"ОШИБКА","ОК"))</f>
        <v>ОК</v>
      </c>
      <c r="Q21" s="4" t="str">
        <f t="shared" si="4"/>
        <v>ДЗ</v>
      </c>
    </row>
    <row r="22" spans="1:17" x14ac:dyDescent="0.25">
      <c r="A22" s="3" t="s">
        <v>544</v>
      </c>
      <c r="B22" s="19">
        <v>46059</v>
      </c>
      <c r="C22" s="3" t="s">
        <v>5</v>
      </c>
      <c r="D22" s="3" t="s">
        <v>485</v>
      </c>
      <c r="E22" s="12">
        <v>39600</v>
      </c>
      <c r="F22" s="3" t="s">
        <v>489</v>
      </c>
      <c r="G22" s="3" t="s">
        <v>298</v>
      </c>
      <c r="H22" s="19">
        <v>46074</v>
      </c>
      <c r="I22" s="3" t="s">
        <v>476</v>
      </c>
      <c r="J22" s="3"/>
      <c r="K22" s="4">
        <f>IF(A22="","",SUMIFS(Cash[Оплата],Cash[Документ],A22,Cash[Дата],"&lt;="&amp;ДатаОтчета))</f>
        <v>39600</v>
      </c>
      <c r="L22" s="4">
        <f t="shared" si="0"/>
        <v>0</v>
      </c>
      <c r="M22" s="4">
        <f t="shared" si="1"/>
        <v>0</v>
      </c>
      <c r="N22" s="4" t="str">
        <f t="shared" si="2"/>
        <v>Закрыта</v>
      </c>
      <c r="O22" s="4" t="str">
        <f t="shared" si="3"/>
        <v>Оплачено</v>
      </c>
      <c r="P22" s="4" t="str">
        <f>IF(A22="",IF(COUNTA(B22:J22)&gt;0,"НЕТ ID",""),IF(OR(NOT(ISNUMBER(E22)),AND(Форма="ИП",C22="Дивиденды"),COUNTIF(Docs[ID],A22)&lt;&gt;1,NOT(ISNUMBER(B22)),B22&lt;НачалоУчета,YEAR(B22)&lt;&gt;Год,NOT(ISNUMBER(H22)),H22&lt;B22,E22&lt;0,COUNTIF(Виды,C22)&lt;&gt;1,COUNTIF(Категории,D22)&lt;&gt;1,COUNTIF(Контрагенты,F22)&lt;&gt;1,COUNTIF(Проекты,G22)&lt;&gt;1,L22&lt;-0.01,AND(I22&lt;&gt;"Проведён",I22&lt;&gt;"Черновик")),"ОШИБКА","ОК"))</f>
        <v>ОК</v>
      </c>
      <c r="Q22" s="4" t="str">
        <f t="shared" si="4"/>
        <v>ДЗ</v>
      </c>
    </row>
    <row r="23" spans="1:17" x14ac:dyDescent="0.25">
      <c r="A23" s="3" t="s">
        <v>546</v>
      </c>
      <c r="B23" s="19">
        <v>46060</v>
      </c>
      <c r="C23" s="3" t="s">
        <v>5</v>
      </c>
      <c r="D23" s="3" t="s">
        <v>485</v>
      </c>
      <c r="E23" s="12">
        <v>32400</v>
      </c>
      <c r="F23" s="3" t="s">
        <v>492</v>
      </c>
      <c r="G23" s="3" t="s">
        <v>382</v>
      </c>
      <c r="H23" s="19">
        <v>46075</v>
      </c>
      <c r="I23" s="3" t="s">
        <v>476</v>
      </c>
      <c r="J23" s="3"/>
      <c r="K23" s="4">
        <f>IF(A23="","",SUMIFS(Cash[Оплата],Cash[Документ],A23,Cash[Дата],"&lt;="&amp;ДатаОтчета))</f>
        <v>32400</v>
      </c>
      <c r="L23" s="4">
        <f t="shared" si="0"/>
        <v>0</v>
      </c>
      <c r="M23" s="4">
        <f t="shared" si="1"/>
        <v>0</v>
      </c>
      <c r="N23" s="4" t="str">
        <f t="shared" si="2"/>
        <v>Закрыта</v>
      </c>
      <c r="O23" s="4" t="str">
        <f t="shared" si="3"/>
        <v>Оплачено</v>
      </c>
      <c r="P23" s="4" t="str">
        <f>IF(A23="",IF(COUNTA(B23:J23)&gt;0,"НЕТ ID",""),IF(OR(NOT(ISNUMBER(E23)),AND(Форма="ИП",C23="Дивиденды"),COUNTIF(Docs[ID],A23)&lt;&gt;1,NOT(ISNUMBER(B23)),B23&lt;НачалоУчета,YEAR(B23)&lt;&gt;Год,NOT(ISNUMBER(H23)),H23&lt;B23,E23&lt;0,COUNTIF(Виды,C23)&lt;&gt;1,COUNTIF(Категории,D23)&lt;&gt;1,COUNTIF(Контрагенты,F23)&lt;&gt;1,COUNTIF(Проекты,G23)&lt;&gt;1,L23&lt;-0.01,AND(I23&lt;&gt;"Проведён",I23&lt;&gt;"Черновик")),"ОШИБКА","ОК"))</f>
        <v>ОК</v>
      </c>
      <c r="Q23" s="4" t="str">
        <f t="shared" si="4"/>
        <v>ДЗ</v>
      </c>
    </row>
    <row r="24" spans="1:17" x14ac:dyDescent="0.25">
      <c r="A24" s="3" t="s">
        <v>548</v>
      </c>
      <c r="B24" s="19">
        <v>46061</v>
      </c>
      <c r="C24" s="3" t="s">
        <v>5</v>
      </c>
      <c r="D24" s="3" t="s">
        <v>485</v>
      </c>
      <c r="E24" s="12">
        <v>25200</v>
      </c>
      <c r="F24" s="3" t="s">
        <v>495</v>
      </c>
      <c r="G24" s="3" t="s">
        <v>381</v>
      </c>
      <c r="H24" s="19">
        <v>46076</v>
      </c>
      <c r="I24" s="3" t="s">
        <v>476</v>
      </c>
      <c r="J24" s="3"/>
      <c r="K24" s="4">
        <f>IF(A24="","",SUMIFS(Cash[Оплата],Cash[Документ],A24,Cash[Дата],"&lt;="&amp;ДатаОтчета))</f>
        <v>25200</v>
      </c>
      <c r="L24" s="4">
        <f t="shared" si="0"/>
        <v>0</v>
      </c>
      <c r="M24" s="4">
        <f t="shared" si="1"/>
        <v>0</v>
      </c>
      <c r="N24" s="4" t="str">
        <f t="shared" si="2"/>
        <v>Закрыта</v>
      </c>
      <c r="O24" s="4" t="str">
        <f t="shared" si="3"/>
        <v>Оплачено</v>
      </c>
      <c r="P24" s="4" t="str">
        <f>IF(A24="",IF(COUNTA(B24:J24)&gt;0,"НЕТ ID",""),IF(OR(NOT(ISNUMBER(E24)),AND(Форма="ИП",C24="Дивиденды"),COUNTIF(Docs[ID],A24)&lt;&gt;1,NOT(ISNUMBER(B24)),B24&lt;НачалоУчета,YEAR(B24)&lt;&gt;Год,NOT(ISNUMBER(H24)),H24&lt;B24,E24&lt;0,COUNTIF(Виды,C24)&lt;&gt;1,COUNTIF(Категории,D24)&lt;&gt;1,COUNTIF(Контрагенты,F24)&lt;&gt;1,COUNTIF(Проекты,G24)&lt;&gt;1,L24&lt;-0.01,AND(I24&lt;&gt;"Проведён",I24&lt;&gt;"Черновик")),"ОШИБКА","ОК"))</f>
        <v>ОК</v>
      </c>
      <c r="Q24" s="4" t="str">
        <f t="shared" si="4"/>
        <v>ДЗ</v>
      </c>
    </row>
    <row r="25" spans="1:17" x14ac:dyDescent="0.25">
      <c r="A25" s="3" t="s">
        <v>550</v>
      </c>
      <c r="B25" s="19">
        <v>46062</v>
      </c>
      <c r="C25" s="3" t="s">
        <v>5</v>
      </c>
      <c r="D25" s="3" t="s">
        <v>485</v>
      </c>
      <c r="E25" s="12">
        <v>18000</v>
      </c>
      <c r="F25" s="3" t="s">
        <v>498</v>
      </c>
      <c r="G25" s="3" t="s">
        <v>298</v>
      </c>
      <c r="H25" s="19">
        <v>46077</v>
      </c>
      <c r="I25" s="3" t="s">
        <v>476</v>
      </c>
      <c r="J25" s="3"/>
      <c r="K25" s="4">
        <f>IF(A25="","",SUMIFS(Cash[Оплата],Cash[Документ],A25,Cash[Дата],"&lt;="&amp;ДатаОтчета))</f>
        <v>18000</v>
      </c>
      <c r="L25" s="4">
        <f t="shared" si="0"/>
        <v>0</v>
      </c>
      <c r="M25" s="4">
        <f t="shared" si="1"/>
        <v>0</v>
      </c>
      <c r="N25" s="4" t="str">
        <f t="shared" si="2"/>
        <v>Закрыта</v>
      </c>
      <c r="O25" s="4" t="str">
        <f t="shared" si="3"/>
        <v>Оплачено</v>
      </c>
      <c r="P25" s="4" t="str">
        <f>IF(A25="",IF(COUNTA(B25:J25)&gt;0,"НЕТ ID",""),IF(OR(NOT(ISNUMBER(E25)),AND(Форма="ИП",C25="Дивиденды"),COUNTIF(Docs[ID],A25)&lt;&gt;1,NOT(ISNUMBER(B25)),B25&lt;НачалоУчета,YEAR(B25)&lt;&gt;Год,NOT(ISNUMBER(H25)),H25&lt;B25,E25&lt;0,COUNTIF(Виды,C25)&lt;&gt;1,COUNTIF(Категории,D25)&lt;&gt;1,COUNTIF(Контрагенты,F25)&lt;&gt;1,COUNTIF(Проекты,G25)&lt;&gt;1,L25&lt;-0.01,AND(I25&lt;&gt;"Проведён",I25&lt;&gt;"Черновик")),"ОШИБКА","ОК"))</f>
        <v>ОК</v>
      </c>
      <c r="Q25" s="4" t="str">
        <f t="shared" si="4"/>
        <v>ДЗ</v>
      </c>
    </row>
    <row r="26" spans="1:17" x14ac:dyDescent="0.25">
      <c r="A26" s="3" t="s">
        <v>552</v>
      </c>
      <c r="B26" s="19">
        <v>46063</v>
      </c>
      <c r="C26" s="3" t="s">
        <v>5</v>
      </c>
      <c r="D26" s="3" t="s">
        <v>485</v>
      </c>
      <c r="E26" s="12">
        <v>14400</v>
      </c>
      <c r="F26" s="3" t="s">
        <v>501</v>
      </c>
      <c r="G26" s="3" t="s">
        <v>382</v>
      </c>
      <c r="H26" s="19">
        <v>46078</v>
      </c>
      <c r="I26" s="3" t="s">
        <v>476</v>
      </c>
      <c r="J26" s="3"/>
      <c r="K26" s="4">
        <f>IF(A26="","",SUMIFS(Cash[Оплата],Cash[Документ],A26,Cash[Дата],"&lt;="&amp;ДатаОтчета))</f>
        <v>14400</v>
      </c>
      <c r="L26" s="4">
        <f t="shared" si="0"/>
        <v>0</v>
      </c>
      <c r="M26" s="4">
        <f t="shared" si="1"/>
        <v>0</v>
      </c>
      <c r="N26" s="4" t="str">
        <f t="shared" si="2"/>
        <v>Закрыта</v>
      </c>
      <c r="O26" s="4" t="str">
        <f t="shared" si="3"/>
        <v>Оплачено</v>
      </c>
      <c r="P26" s="4" t="str">
        <f>IF(A26="",IF(COUNTA(B26:J26)&gt;0,"НЕТ ID",""),IF(OR(NOT(ISNUMBER(E26)),AND(Форма="ИП",C26="Дивиденды"),COUNTIF(Docs[ID],A26)&lt;&gt;1,NOT(ISNUMBER(B26)),B26&lt;НачалоУчета,YEAR(B26)&lt;&gt;Год,NOT(ISNUMBER(H26)),H26&lt;B26,E26&lt;0,COUNTIF(Виды,C26)&lt;&gt;1,COUNTIF(Категории,D26)&lt;&gt;1,COUNTIF(Контрагенты,F26)&lt;&gt;1,COUNTIF(Проекты,G26)&lt;&gt;1,L26&lt;-0.01,AND(I26&lt;&gt;"Проведён",I26&lt;&gt;"Черновик")),"ОШИБКА","ОК"))</f>
        <v>ОК</v>
      </c>
      <c r="Q26" s="4" t="str">
        <f t="shared" si="4"/>
        <v>ДЗ</v>
      </c>
    </row>
    <row r="27" spans="1:17" x14ac:dyDescent="0.25">
      <c r="A27" s="3" t="s">
        <v>554</v>
      </c>
      <c r="B27" s="19">
        <v>46063</v>
      </c>
      <c r="C27" s="3" t="s">
        <v>125</v>
      </c>
      <c r="D27" s="3" t="s">
        <v>505</v>
      </c>
      <c r="E27" s="12">
        <v>57600</v>
      </c>
      <c r="F27" s="3" t="s">
        <v>506</v>
      </c>
      <c r="G27" s="3" t="s">
        <v>298</v>
      </c>
      <c r="H27" s="19">
        <v>46075</v>
      </c>
      <c r="I27" s="3" t="s">
        <v>476</v>
      </c>
      <c r="J27" s="3"/>
      <c r="K27" s="4">
        <f>IF(A27="","",SUMIFS(Cash[Оплата],Cash[Документ],A27,Cash[Дата],"&lt;="&amp;ДатаОтчета))</f>
        <v>57600</v>
      </c>
      <c r="L27" s="4">
        <f t="shared" si="0"/>
        <v>0</v>
      </c>
      <c r="M27" s="4">
        <f t="shared" si="1"/>
        <v>0</v>
      </c>
      <c r="N27" s="4" t="str">
        <f t="shared" si="2"/>
        <v>Закрыта</v>
      </c>
      <c r="O27" s="4" t="str">
        <f t="shared" si="3"/>
        <v>Оплачено</v>
      </c>
      <c r="P27" s="4" t="str">
        <f>IF(A27="",IF(COUNTA(B27:J27)&gt;0,"НЕТ ID",""),IF(OR(NOT(ISNUMBER(E27)),AND(Форма="ИП",C27="Дивиденды"),COUNTIF(Docs[ID],A27)&lt;&gt;1,NOT(ISNUMBER(B27)),B27&lt;НачалоУчета,YEAR(B27)&lt;&gt;Год,NOT(ISNUMBER(H27)),H27&lt;B27,E27&lt;0,COUNTIF(Виды,C27)&lt;&gt;1,COUNTIF(Категории,D27)&lt;&gt;1,COUNTIF(Контрагенты,F27)&lt;&gt;1,COUNTIF(Проекты,G27)&lt;&gt;1,L27&lt;-0.01,AND(I27&lt;&gt;"Проведён",I27&lt;&gt;"Черновик")),"ОШИБКА","ОК"))</f>
        <v>ОК</v>
      </c>
      <c r="Q27" s="4" t="str">
        <f t="shared" si="4"/>
        <v>КЗ</v>
      </c>
    </row>
    <row r="28" spans="1:17" x14ac:dyDescent="0.25">
      <c r="A28" s="3" t="s">
        <v>556</v>
      </c>
      <c r="B28" s="19">
        <v>46064</v>
      </c>
      <c r="C28" s="3" t="s">
        <v>959</v>
      </c>
      <c r="D28" s="3" t="s">
        <v>509</v>
      </c>
      <c r="E28" s="12">
        <v>65000</v>
      </c>
      <c r="F28" s="3" t="s">
        <v>510</v>
      </c>
      <c r="G28" s="3" t="s">
        <v>383</v>
      </c>
      <c r="H28" s="19">
        <v>46076</v>
      </c>
      <c r="I28" s="3" t="s">
        <v>476</v>
      </c>
      <c r="J28" s="3"/>
      <c r="K28" s="4">
        <f>IF(A28="","",SUMIFS(Cash[Оплата],Cash[Документ],A28,Cash[Дата],"&lt;="&amp;ДатаОтчета))</f>
        <v>65000</v>
      </c>
      <c r="L28" s="4">
        <f t="shared" si="0"/>
        <v>0</v>
      </c>
      <c r="M28" s="4">
        <f t="shared" si="1"/>
        <v>0</v>
      </c>
      <c r="N28" s="4" t="str">
        <f t="shared" si="2"/>
        <v>Закрыта</v>
      </c>
      <c r="O28" s="4" t="str">
        <f t="shared" si="3"/>
        <v>Оплачено</v>
      </c>
      <c r="P28" s="4" t="str">
        <f>IF(A28="",IF(COUNTA(B28:J28)&gt;0,"НЕТ ID",""),IF(OR(NOT(ISNUMBER(E28)),AND(Форма="ИП",C28="Дивиденды"),COUNTIF(Docs[ID],A28)&lt;&gt;1,NOT(ISNUMBER(B28)),B28&lt;НачалоУчета,YEAR(B28)&lt;&gt;Год,NOT(ISNUMBER(H28)),H28&lt;B28,E28&lt;0,COUNTIF(Виды,C28)&lt;&gt;1,COUNTIF(Категории,D28)&lt;&gt;1,COUNTIF(Контрагенты,F28)&lt;&gt;1,COUNTIF(Проекты,G28)&lt;&gt;1,L28&lt;-0.01,AND(I28&lt;&gt;"Проведён",I28&lt;&gt;"Черновик")),"ОШИБКА","ОК"))</f>
        <v>ОК</v>
      </c>
      <c r="Q28" s="4" t="str">
        <f t="shared" si="4"/>
        <v>КЗ</v>
      </c>
    </row>
    <row r="29" spans="1:17" x14ac:dyDescent="0.25">
      <c r="A29" s="3" t="s">
        <v>559</v>
      </c>
      <c r="B29" s="19">
        <v>46065</v>
      </c>
      <c r="C29" s="3" t="s">
        <v>959</v>
      </c>
      <c r="D29" s="3" t="s">
        <v>295</v>
      </c>
      <c r="E29" s="12">
        <v>45000</v>
      </c>
      <c r="F29" s="3" t="s">
        <v>514</v>
      </c>
      <c r="G29" s="3" t="s">
        <v>381</v>
      </c>
      <c r="H29" s="19">
        <v>46077</v>
      </c>
      <c r="I29" s="3" t="s">
        <v>476</v>
      </c>
      <c r="J29" s="3"/>
      <c r="K29" s="4">
        <f>IF(A29="","",SUMIFS(Cash[Оплата],Cash[Документ],A29,Cash[Дата],"&lt;="&amp;ДатаОтчета))</f>
        <v>45000</v>
      </c>
      <c r="L29" s="4">
        <f t="shared" si="0"/>
        <v>0</v>
      </c>
      <c r="M29" s="4">
        <f t="shared" si="1"/>
        <v>0</v>
      </c>
      <c r="N29" s="4" t="str">
        <f t="shared" si="2"/>
        <v>Закрыта</v>
      </c>
      <c r="O29" s="4" t="str">
        <f t="shared" si="3"/>
        <v>Оплачено</v>
      </c>
      <c r="P29" s="4" t="str">
        <f>IF(A29="",IF(COUNTA(B29:J29)&gt;0,"НЕТ ID",""),IF(OR(NOT(ISNUMBER(E29)),AND(Форма="ИП",C29="Дивиденды"),COUNTIF(Docs[ID],A29)&lt;&gt;1,NOT(ISNUMBER(B29)),B29&lt;НачалоУчета,YEAR(B29)&lt;&gt;Год,NOT(ISNUMBER(H29)),H29&lt;B29,E29&lt;0,COUNTIF(Виды,C29)&lt;&gt;1,COUNTIF(Категории,D29)&lt;&gt;1,COUNTIF(Контрагенты,F29)&lt;&gt;1,COUNTIF(Проекты,G29)&lt;&gt;1,L29&lt;-0.01,AND(I29&lt;&gt;"Проведён",I29&lt;&gt;"Черновик")),"ОШИБКА","ОК"))</f>
        <v>ОК</v>
      </c>
      <c r="Q29" s="4" t="str">
        <f t="shared" si="4"/>
        <v>КЗ</v>
      </c>
    </row>
    <row r="30" spans="1:17" x14ac:dyDescent="0.25">
      <c r="A30" s="3" t="s">
        <v>562</v>
      </c>
      <c r="B30" s="19">
        <v>46066</v>
      </c>
      <c r="C30" s="3" t="s">
        <v>959</v>
      </c>
      <c r="D30" s="3" t="s">
        <v>518</v>
      </c>
      <c r="E30" s="12">
        <v>18000</v>
      </c>
      <c r="F30" s="3" t="s">
        <v>519</v>
      </c>
      <c r="G30" s="3" t="s">
        <v>383</v>
      </c>
      <c r="H30" s="19">
        <v>46078</v>
      </c>
      <c r="I30" s="3" t="s">
        <v>476</v>
      </c>
      <c r="J30" s="3"/>
      <c r="K30" s="4">
        <f>IF(A30="","",SUMIFS(Cash[Оплата],Cash[Документ],A30,Cash[Дата],"&lt;="&amp;ДатаОтчета))</f>
        <v>18000</v>
      </c>
      <c r="L30" s="4">
        <f t="shared" si="0"/>
        <v>0</v>
      </c>
      <c r="M30" s="4">
        <f t="shared" si="1"/>
        <v>0</v>
      </c>
      <c r="N30" s="4" t="str">
        <f t="shared" si="2"/>
        <v>Закрыта</v>
      </c>
      <c r="O30" s="4" t="str">
        <f t="shared" si="3"/>
        <v>Оплачено</v>
      </c>
      <c r="P30" s="4" t="str">
        <f>IF(A30="",IF(COUNTA(B30:J30)&gt;0,"НЕТ ID",""),IF(OR(NOT(ISNUMBER(E30)),AND(Форма="ИП",C30="Дивиденды"),COUNTIF(Docs[ID],A30)&lt;&gt;1,NOT(ISNUMBER(B30)),B30&lt;НачалоУчета,YEAR(B30)&lt;&gt;Год,NOT(ISNUMBER(H30)),H30&lt;B30,E30&lt;0,COUNTIF(Виды,C30)&lt;&gt;1,COUNTIF(Категории,D30)&lt;&gt;1,COUNTIF(Контрагенты,F30)&lt;&gt;1,COUNTIF(Проекты,G30)&lt;&gt;1,L30&lt;-0.01,AND(I30&lt;&gt;"Проведён",I30&lt;&gt;"Черновик")),"ОШИБКА","ОК"))</f>
        <v>ОК</v>
      </c>
      <c r="Q30" s="4" t="str">
        <f t="shared" si="4"/>
        <v>КЗ</v>
      </c>
    </row>
    <row r="31" spans="1:17" x14ac:dyDescent="0.25">
      <c r="A31" s="3" t="s">
        <v>565</v>
      </c>
      <c r="B31" s="19">
        <v>46067</v>
      </c>
      <c r="C31" s="3" t="s">
        <v>959</v>
      </c>
      <c r="D31" s="3" t="s">
        <v>523</v>
      </c>
      <c r="E31" s="12">
        <v>78300</v>
      </c>
      <c r="F31" s="3" t="s">
        <v>52</v>
      </c>
      <c r="G31" s="3" t="s">
        <v>383</v>
      </c>
      <c r="H31" s="19">
        <v>46079</v>
      </c>
      <c r="I31" s="3" t="s">
        <v>476</v>
      </c>
      <c r="J31" s="3"/>
      <c r="K31" s="4">
        <f>IF(A31="","",SUMIFS(Cash[Оплата],Cash[Документ],A31,Cash[Дата],"&lt;="&amp;ДатаОтчета))</f>
        <v>78300</v>
      </c>
      <c r="L31" s="4">
        <f t="shared" si="0"/>
        <v>0</v>
      </c>
      <c r="M31" s="4">
        <f t="shared" si="1"/>
        <v>0</v>
      </c>
      <c r="N31" s="4" t="str">
        <f t="shared" si="2"/>
        <v>Закрыта</v>
      </c>
      <c r="O31" s="4" t="str">
        <f t="shared" si="3"/>
        <v>Оплачено</v>
      </c>
      <c r="P31" s="4" t="str">
        <f>IF(A31="",IF(COUNTA(B31:J31)&gt;0,"НЕТ ID",""),IF(OR(NOT(ISNUMBER(E31)),AND(Форма="ИП",C31="Дивиденды"),COUNTIF(Docs[ID],A31)&lt;&gt;1,NOT(ISNUMBER(B31)),B31&lt;НачалоУчета,YEAR(B31)&lt;&gt;Год,NOT(ISNUMBER(H31)),H31&lt;B31,E31&lt;0,COUNTIF(Виды,C31)&lt;&gt;1,COUNTIF(Категории,D31)&lt;&gt;1,COUNTIF(Контрагенты,F31)&lt;&gt;1,COUNTIF(Проекты,G31)&lt;&gt;1,L31&lt;-0.01,AND(I31&lt;&gt;"Проведён",I31&lt;&gt;"Черновик")),"ОШИБКА","ОК"))</f>
        <v>ОК</v>
      </c>
      <c r="Q31" s="4" t="str">
        <f t="shared" si="4"/>
        <v>КЗ</v>
      </c>
    </row>
    <row r="32" spans="1:17" x14ac:dyDescent="0.25">
      <c r="A32" s="3" t="s">
        <v>568</v>
      </c>
      <c r="B32" s="19">
        <v>46068</v>
      </c>
      <c r="C32" s="3" t="s">
        <v>959</v>
      </c>
      <c r="D32" s="3" t="s">
        <v>527</v>
      </c>
      <c r="E32" s="12">
        <v>11700</v>
      </c>
      <c r="F32" s="3" t="s">
        <v>528</v>
      </c>
      <c r="G32" s="3" t="s">
        <v>383</v>
      </c>
      <c r="H32" s="19">
        <v>46080</v>
      </c>
      <c r="I32" s="3" t="s">
        <v>476</v>
      </c>
      <c r="J32" s="3"/>
      <c r="K32" s="4">
        <f>IF(A32="","",SUMIFS(Cash[Оплата],Cash[Документ],A32,Cash[Дата],"&lt;="&amp;ДатаОтчета))</f>
        <v>11700</v>
      </c>
      <c r="L32" s="4">
        <f t="shared" si="0"/>
        <v>0</v>
      </c>
      <c r="M32" s="4">
        <f t="shared" si="1"/>
        <v>0</v>
      </c>
      <c r="N32" s="4" t="str">
        <f t="shared" si="2"/>
        <v>Закрыта</v>
      </c>
      <c r="O32" s="4" t="str">
        <f t="shared" si="3"/>
        <v>Оплачено</v>
      </c>
      <c r="P32" s="4" t="str">
        <f>IF(A32="",IF(COUNTA(B32:J32)&gt;0,"НЕТ ID",""),IF(OR(NOT(ISNUMBER(E32)),AND(Форма="ИП",C32="Дивиденды"),COUNTIF(Docs[ID],A32)&lt;&gt;1,NOT(ISNUMBER(B32)),B32&lt;НачалоУчета,YEAR(B32)&lt;&gt;Год,NOT(ISNUMBER(H32)),H32&lt;B32,E32&lt;0,COUNTIF(Виды,C32)&lt;&gt;1,COUNTIF(Категории,D32)&lt;&gt;1,COUNTIF(Контрагенты,F32)&lt;&gt;1,COUNTIF(Проекты,G32)&lt;&gt;1,L32&lt;-0.01,AND(I32&lt;&gt;"Проведён",I32&lt;&gt;"Черновик")),"ОШИБКА","ОК"))</f>
        <v>ОК</v>
      </c>
      <c r="Q32" s="4" t="str">
        <f t="shared" si="4"/>
        <v>КЗ</v>
      </c>
    </row>
    <row r="33" spans="1:17" x14ac:dyDescent="0.25">
      <c r="A33" s="3" t="s">
        <v>572</v>
      </c>
      <c r="B33" s="19">
        <v>46069</v>
      </c>
      <c r="C33" s="3" t="s">
        <v>959</v>
      </c>
      <c r="D33" s="3" t="s">
        <v>532</v>
      </c>
      <c r="E33" s="12">
        <v>27000</v>
      </c>
      <c r="F33" s="3" t="s">
        <v>528</v>
      </c>
      <c r="G33" s="3" t="s">
        <v>383</v>
      </c>
      <c r="H33" s="19">
        <v>46081</v>
      </c>
      <c r="I33" s="3" t="s">
        <v>476</v>
      </c>
      <c r="J33" s="3"/>
      <c r="K33" s="4">
        <f>IF(A33="","",SUMIFS(Cash[Оплата],Cash[Документ],A33,Cash[Дата],"&lt;="&amp;ДатаОтчета))</f>
        <v>27000</v>
      </c>
      <c r="L33" s="4">
        <f t="shared" si="0"/>
        <v>0</v>
      </c>
      <c r="M33" s="4">
        <f t="shared" si="1"/>
        <v>0</v>
      </c>
      <c r="N33" s="4" t="str">
        <f t="shared" si="2"/>
        <v>Закрыта</v>
      </c>
      <c r="O33" s="4" t="str">
        <f t="shared" si="3"/>
        <v>Оплачено</v>
      </c>
      <c r="P33" s="4" t="str">
        <f>IF(A33="",IF(COUNTA(B33:J33)&gt;0,"НЕТ ID",""),IF(OR(NOT(ISNUMBER(E33)),AND(Форма="ИП",C33="Дивиденды"),COUNTIF(Docs[ID],A33)&lt;&gt;1,NOT(ISNUMBER(B33)),B33&lt;НачалоУчета,YEAR(B33)&lt;&gt;Год,NOT(ISNUMBER(H33)),H33&lt;B33,E33&lt;0,COUNTIF(Виды,C33)&lt;&gt;1,COUNTIF(Категории,D33)&lt;&gt;1,COUNTIF(Контрагенты,F33)&lt;&gt;1,COUNTIF(Проекты,G33)&lt;&gt;1,L33&lt;-0.01,AND(I33&lt;&gt;"Проведён",I33&lt;&gt;"Черновик")),"ОШИБКА","ОК"))</f>
        <v>ОК</v>
      </c>
      <c r="Q33" s="4" t="str">
        <f t="shared" si="4"/>
        <v>КЗ</v>
      </c>
    </row>
    <row r="34" spans="1:17" x14ac:dyDescent="0.25">
      <c r="A34" s="3" t="s">
        <v>574</v>
      </c>
      <c r="B34" s="19">
        <v>46080</v>
      </c>
      <c r="C34" s="3" t="s">
        <v>130</v>
      </c>
      <c r="D34" s="3" t="s">
        <v>130</v>
      </c>
      <c r="E34" s="12">
        <v>4342.84</v>
      </c>
      <c r="F34" s="3" t="s">
        <v>397</v>
      </c>
      <c r="G34" s="3" t="s">
        <v>383</v>
      </c>
      <c r="H34" s="19">
        <v>46081</v>
      </c>
      <c r="I34" s="3" t="s">
        <v>476</v>
      </c>
      <c r="J34" s="3"/>
      <c r="K34" s="4">
        <f>IF(A34="","",SUMIFS(Cash[Оплата],Cash[Документ],A34,Cash[Дата],"&lt;="&amp;ДатаОтчета))</f>
        <v>4342.84</v>
      </c>
      <c r="L34" s="4">
        <f t="shared" si="0"/>
        <v>0</v>
      </c>
      <c r="M34" s="4">
        <f t="shared" si="1"/>
        <v>0</v>
      </c>
      <c r="N34" s="4" t="str">
        <f t="shared" si="2"/>
        <v>Закрыта</v>
      </c>
      <c r="O34" s="4" t="str">
        <f t="shared" si="3"/>
        <v>Оплачено</v>
      </c>
      <c r="P34" s="4" t="str">
        <f>IF(A34="",IF(COUNTA(B34:J34)&gt;0,"НЕТ ID",""),IF(OR(NOT(ISNUMBER(E34)),AND(Форма="ИП",C34="Дивиденды"),COUNTIF(Docs[ID],A34)&lt;&gt;1,NOT(ISNUMBER(B34)),B34&lt;НачалоУчета,YEAR(B34)&lt;&gt;Год,NOT(ISNUMBER(H34)),H34&lt;B34,E34&lt;0,COUNTIF(Виды,C34)&lt;&gt;1,COUNTIF(Категории,D34)&lt;&gt;1,COUNTIF(Контрагенты,F34)&lt;&gt;1,COUNTIF(Проекты,G34)&lt;&gt;1,L34&lt;-0.01,AND(I34&lt;&gt;"Проведён",I34&lt;&gt;"Черновик")),"ОШИБКА","ОК"))</f>
        <v>ОК</v>
      </c>
      <c r="Q34" s="4" t="str">
        <f t="shared" si="4"/>
        <v>КЗ</v>
      </c>
    </row>
    <row r="35" spans="1:17" x14ac:dyDescent="0.25">
      <c r="A35" s="3" t="s">
        <v>578</v>
      </c>
      <c r="B35" s="19">
        <v>46086</v>
      </c>
      <c r="C35" s="3" t="s">
        <v>5</v>
      </c>
      <c r="D35" s="3" t="s">
        <v>485</v>
      </c>
      <c r="E35" s="12">
        <v>139800</v>
      </c>
      <c r="F35" s="3" t="s">
        <v>486</v>
      </c>
      <c r="G35" s="3" t="s">
        <v>381</v>
      </c>
      <c r="H35" s="19">
        <v>46101</v>
      </c>
      <c r="I35" s="3" t="s">
        <v>476</v>
      </c>
      <c r="J35" s="3"/>
      <c r="K35" s="4">
        <f>IF(A35="","",SUMIFS(Cash[Оплата],Cash[Документ],A35,Cash[Дата],"&lt;="&amp;ДатаОтчета))</f>
        <v>139800</v>
      </c>
      <c r="L35" s="4">
        <f t="shared" si="0"/>
        <v>0</v>
      </c>
      <c r="M35" s="4">
        <f t="shared" si="1"/>
        <v>0</v>
      </c>
      <c r="N35" s="4" t="str">
        <f t="shared" si="2"/>
        <v>Закрыта</v>
      </c>
      <c r="O35" s="4" t="str">
        <f t="shared" si="3"/>
        <v>Оплачено</v>
      </c>
      <c r="P35" s="4" t="str">
        <f>IF(A35="",IF(COUNTA(B35:J35)&gt;0,"НЕТ ID",""),IF(OR(NOT(ISNUMBER(E35)),AND(Форма="ИП",C35="Дивиденды"),COUNTIF(Docs[ID],A35)&lt;&gt;1,NOT(ISNUMBER(B35)),B35&lt;НачалоУчета,YEAR(B35)&lt;&gt;Год,NOT(ISNUMBER(H35)),H35&lt;B35,E35&lt;0,COUNTIF(Виды,C35)&lt;&gt;1,COUNTIF(Категории,D35)&lt;&gt;1,COUNTIF(Контрагенты,F35)&lt;&gt;1,COUNTIF(Проекты,G35)&lt;&gt;1,L35&lt;-0.01,AND(I35&lt;&gt;"Проведён",I35&lt;&gt;"Черновик")),"ОШИБКА","ОК"))</f>
        <v>ОК</v>
      </c>
      <c r="Q35" s="4" t="str">
        <f t="shared" si="4"/>
        <v>ДЗ</v>
      </c>
    </row>
    <row r="36" spans="1:17" x14ac:dyDescent="0.25">
      <c r="A36" s="3" t="s">
        <v>580</v>
      </c>
      <c r="B36" s="19">
        <v>46087</v>
      </c>
      <c r="C36" s="3" t="s">
        <v>5</v>
      </c>
      <c r="D36" s="3" t="s">
        <v>485</v>
      </c>
      <c r="E36" s="12">
        <v>112200</v>
      </c>
      <c r="F36" s="3" t="s">
        <v>489</v>
      </c>
      <c r="G36" s="3" t="s">
        <v>298</v>
      </c>
      <c r="H36" s="19">
        <v>46102</v>
      </c>
      <c r="I36" s="3" t="s">
        <v>476</v>
      </c>
      <c r="J36" s="3"/>
      <c r="K36" s="4">
        <f>IF(A36="","",SUMIFS(Cash[Оплата],Cash[Документ],A36,Cash[Дата],"&lt;="&amp;ДатаОтчета))</f>
        <v>112200</v>
      </c>
      <c r="L36" s="4">
        <f t="shared" si="0"/>
        <v>0</v>
      </c>
      <c r="M36" s="4">
        <f t="shared" si="1"/>
        <v>0</v>
      </c>
      <c r="N36" s="4" t="str">
        <f t="shared" si="2"/>
        <v>Закрыта</v>
      </c>
      <c r="O36" s="4" t="str">
        <f t="shared" si="3"/>
        <v>Оплачено</v>
      </c>
      <c r="P36" s="4" t="str">
        <f>IF(A36="",IF(COUNTA(B36:J36)&gt;0,"НЕТ ID",""),IF(OR(NOT(ISNUMBER(E36)),AND(Форма="ИП",C36="Дивиденды"),COUNTIF(Docs[ID],A36)&lt;&gt;1,NOT(ISNUMBER(B36)),B36&lt;НачалоУчета,YEAR(B36)&lt;&gt;Год,NOT(ISNUMBER(H36)),H36&lt;B36,E36&lt;0,COUNTIF(Виды,C36)&lt;&gt;1,COUNTIF(Категории,D36)&lt;&gt;1,COUNTIF(Контрагенты,F36)&lt;&gt;1,COUNTIF(Проекты,G36)&lt;&gt;1,L36&lt;-0.01,AND(I36&lt;&gt;"Проведён",I36&lt;&gt;"Черновик")),"ОШИБКА","ОК"))</f>
        <v>ОК</v>
      </c>
      <c r="Q36" s="4" t="str">
        <f t="shared" si="4"/>
        <v>ДЗ</v>
      </c>
    </row>
    <row r="37" spans="1:17" x14ac:dyDescent="0.25">
      <c r="A37" s="3" t="s">
        <v>582</v>
      </c>
      <c r="B37" s="19">
        <v>46088</v>
      </c>
      <c r="C37" s="3" t="s">
        <v>5</v>
      </c>
      <c r="D37" s="3" t="s">
        <v>485</v>
      </c>
      <c r="E37" s="12">
        <v>91800</v>
      </c>
      <c r="F37" s="3" t="s">
        <v>492</v>
      </c>
      <c r="G37" s="3" t="s">
        <v>382</v>
      </c>
      <c r="H37" s="19">
        <v>46103</v>
      </c>
      <c r="I37" s="3" t="s">
        <v>476</v>
      </c>
      <c r="J37" s="3"/>
      <c r="K37" s="4">
        <f>IF(A37="","",SUMIFS(Cash[Оплата],Cash[Документ],A37,Cash[Дата],"&lt;="&amp;ДатаОтчета))</f>
        <v>91800</v>
      </c>
      <c r="L37" s="4">
        <f t="shared" si="0"/>
        <v>0</v>
      </c>
      <c r="M37" s="4">
        <f t="shared" si="1"/>
        <v>0</v>
      </c>
      <c r="N37" s="4" t="str">
        <f t="shared" si="2"/>
        <v>Закрыта</v>
      </c>
      <c r="O37" s="4" t="str">
        <f t="shared" si="3"/>
        <v>Оплачено</v>
      </c>
      <c r="P37" s="4" t="str">
        <f>IF(A37="",IF(COUNTA(B37:J37)&gt;0,"НЕТ ID",""),IF(OR(NOT(ISNUMBER(E37)),AND(Форма="ИП",C37="Дивиденды"),COUNTIF(Docs[ID],A37)&lt;&gt;1,NOT(ISNUMBER(B37)),B37&lt;НачалоУчета,YEAR(B37)&lt;&gt;Год,NOT(ISNUMBER(H37)),H37&lt;B37,E37&lt;0,COUNTIF(Виды,C37)&lt;&gt;1,COUNTIF(Категории,D37)&lt;&gt;1,COUNTIF(Контрагенты,F37)&lt;&gt;1,COUNTIF(Проекты,G37)&lt;&gt;1,L37&lt;-0.01,AND(I37&lt;&gt;"Проведён",I37&lt;&gt;"Черновик")),"ОШИБКА","ОК"))</f>
        <v>ОК</v>
      </c>
      <c r="Q37" s="4" t="str">
        <f t="shared" si="4"/>
        <v>ДЗ</v>
      </c>
    </row>
    <row r="38" spans="1:17" x14ac:dyDescent="0.25">
      <c r="A38" s="3" t="s">
        <v>584</v>
      </c>
      <c r="B38" s="19">
        <v>46089</v>
      </c>
      <c r="C38" s="3" t="s">
        <v>5</v>
      </c>
      <c r="D38" s="3" t="s">
        <v>485</v>
      </c>
      <c r="E38" s="12">
        <v>71400</v>
      </c>
      <c r="F38" s="3" t="s">
        <v>495</v>
      </c>
      <c r="G38" s="3" t="s">
        <v>381</v>
      </c>
      <c r="H38" s="19">
        <v>46104</v>
      </c>
      <c r="I38" s="3" t="s">
        <v>476</v>
      </c>
      <c r="J38" s="3"/>
      <c r="K38" s="4">
        <f>IF(A38="","",SUMIFS(Cash[Оплата],Cash[Документ],A38,Cash[Дата],"&lt;="&amp;ДатаОтчета))</f>
        <v>71400</v>
      </c>
      <c r="L38" s="4">
        <f t="shared" si="0"/>
        <v>0</v>
      </c>
      <c r="M38" s="4">
        <f t="shared" si="1"/>
        <v>0</v>
      </c>
      <c r="N38" s="4" t="str">
        <f t="shared" si="2"/>
        <v>Закрыта</v>
      </c>
      <c r="O38" s="4" t="str">
        <f t="shared" si="3"/>
        <v>Оплачено</v>
      </c>
      <c r="P38" s="4" t="str">
        <f>IF(A38="",IF(COUNTA(B38:J38)&gt;0,"НЕТ ID",""),IF(OR(NOT(ISNUMBER(E38)),AND(Форма="ИП",C38="Дивиденды"),COUNTIF(Docs[ID],A38)&lt;&gt;1,NOT(ISNUMBER(B38)),B38&lt;НачалоУчета,YEAR(B38)&lt;&gt;Год,NOT(ISNUMBER(H38)),H38&lt;B38,E38&lt;0,COUNTIF(Виды,C38)&lt;&gt;1,COUNTIF(Категории,D38)&lt;&gt;1,COUNTIF(Контрагенты,F38)&lt;&gt;1,COUNTIF(Проекты,G38)&lt;&gt;1,L38&lt;-0.01,AND(I38&lt;&gt;"Проведён",I38&lt;&gt;"Черновик")),"ОШИБКА","ОК"))</f>
        <v>ОК</v>
      </c>
      <c r="Q38" s="4" t="str">
        <f t="shared" si="4"/>
        <v>ДЗ</v>
      </c>
    </row>
    <row r="39" spans="1:17" x14ac:dyDescent="0.25">
      <c r="A39" s="3" t="s">
        <v>586</v>
      </c>
      <c r="B39" s="19">
        <v>46090</v>
      </c>
      <c r="C39" s="3" t="s">
        <v>5</v>
      </c>
      <c r="D39" s="3" t="s">
        <v>485</v>
      </c>
      <c r="E39" s="12">
        <v>51000</v>
      </c>
      <c r="F39" s="3" t="s">
        <v>498</v>
      </c>
      <c r="G39" s="3" t="s">
        <v>298</v>
      </c>
      <c r="H39" s="19">
        <v>46105</v>
      </c>
      <c r="I39" s="3" t="s">
        <v>476</v>
      </c>
      <c r="J39" s="3"/>
      <c r="K39" s="4">
        <f>IF(A39="","",SUMIFS(Cash[Оплата],Cash[Документ],A39,Cash[Дата],"&lt;="&amp;ДатаОтчета))</f>
        <v>51000</v>
      </c>
      <c r="L39" s="4">
        <f t="shared" si="0"/>
        <v>0</v>
      </c>
      <c r="M39" s="4">
        <f t="shared" si="1"/>
        <v>0</v>
      </c>
      <c r="N39" s="4" t="str">
        <f t="shared" si="2"/>
        <v>Закрыта</v>
      </c>
      <c r="O39" s="4" t="str">
        <f t="shared" si="3"/>
        <v>Оплачено</v>
      </c>
      <c r="P39" s="4" t="str">
        <f>IF(A39="",IF(COUNTA(B39:J39)&gt;0,"НЕТ ID",""),IF(OR(NOT(ISNUMBER(E39)),AND(Форма="ИП",C39="Дивиденды"),COUNTIF(Docs[ID],A39)&lt;&gt;1,NOT(ISNUMBER(B39)),B39&lt;НачалоУчета,YEAR(B39)&lt;&gt;Год,NOT(ISNUMBER(H39)),H39&lt;B39,E39&lt;0,COUNTIF(Виды,C39)&lt;&gt;1,COUNTIF(Категории,D39)&lt;&gt;1,COUNTIF(Контрагенты,F39)&lt;&gt;1,COUNTIF(Проекты,G39)&lt;&gt;1,L39&lt;-0.01,AND(I39&lt;&gt;"Проведён",I39&lt;&gt;"Черновик")),"ОШИБКА","ОК"))</f>
        <v>ОК</v>
      </c>
      <c r="Q39" s="4" t="str">
        <f t="shared" si="4"/>
        <v>ДЗ</v>
      </c>
    </row>
    <row r="40" spans="1:17" x14ac:dyDescent="0.25">
      <c r="A40" s="3" t="s">
        <v>588</v>
      </c>
      <c r="B40" s="19">
        <v>46091</v>
      </c>
      <c r="C40" s="3" t="s">
        <v>5</v>
      </c>
      <c r="D40" s="3" t="s">
        <v>485</v>
      </c>
      <c r="E40" s="12">
        <v>40800</v>
      </c>
      <c r="F40" s="3" t="s">
        <v>501</v>
      </c>
      <c r="G40" s="3" t="s">
        <v>382</v>
      </c>
      <c r="H40" s="19">
        <v>46106</v>
      </c>
      <c r="I40" s="3" t="s">
        <v>476</v>
      </c>
      <c r="J40" s="3"/>
      <c r="K40" s="4">
        <f>IF(A40="","",SUMIFS(Cash[Оплата],Cash[Документ],A40,Cash[Дата],"&lt;="&amp;ДатаОтчета))</f>
        <v>40800</v>
      </c>
      <c r="L40" s="4">
        <f t="shared" si="0"/>
        <v>0</v>
      </c>
      <c r="M40" s="4">
        <f t="shared" si="1"/>
        <v>0</v>
      </c>
      <c r="N40" s="4" t="str">
        <f t="shared" si="2"/>
        <v>Закрыта</v>
      </c>
      <c r="O40" s="4" t="str">
        <f t="shared" si="3"/>
        <v>Оплачено</v>
      </c>
      <c r="P40" s="4" t="str">
        <f>IF(A40="",IF(COUNTA(B40:J40)&gt;0,"НЕТ ID",""),IF(OR(NOT(ISNUMBER(E40)),AND(Форма="ИП",C40="Дивиденды"),COUNTIF(Docs[ID],A40)&lt;&gt;1,NOT(ISNUMBER(B40)),B40&lt;НачалоУчета,YEAR(B40)&lt;&gt;Год,NOT(ISNUMBER(H40)),H40&lt;B40,E40&lt;0,COUNTIF(Виды,C40)&lt;&gt;1,COUNTIF(Категории,D40)&lt;&gt;1,COUNTIF(Контрагенты,F40)&lt;&gt;1,COUNTIF(Проекты,G40)&lt;&gt;1,L40&lt;-0.01,AND(I40&lt;&gt;"Проведён",I40&lt;&gt;"Черновик")),"ОШИБКА","ОК"))</f>
        <v>ОК</v>
      </c>
      <c r="Q40" s="4" t="str">
        <f t="shared" si="4"/>
        <v>ДЗ</v>
      </c>
    </row>
    <row r="41" spans="1:17" x14ac:dyDescent="0.25">
      <c r="A41" s="3" t="s">
        <v>590</v>
      </c>
      <c r="B41" s="19">
        <v>46091</v>
      </c>
      <c r="C41" s="3" t="s">
        <v>125</v>
      </c>
      <c r="D41" s="3" t="s">
        <v>505</v>
      </c>
      <c r="E41" s="12">
        <v>163200</v>
      </c>
      <c r="F41" s="3" t="s">
        <v>506</v>
      </c>
      <c r="G41" s="3" t="s">
        <v>298</v>
      </c>
      <c r="H41" s="19">
        <v>46103</v>
      </c>
      <c r="I41" s="3" t="s">
        <v>476</v>
      </c>
      <c r="J41" s="3"/>
      <c r="K41" s="4">
        <f>IF(A41="","",SUMIFS(Cash[Оплата],Cash[Документ],A41,Cash[Дата],"&lt;="&amp;ДатаОтчета))</f>
        <v>163200</v>
      </c>
      <c r="L41" s="4">
        <f t="shared" si="0"/>
        <v>0</v>
      </c>
      <c r="M41" s="4">
        <f t="shared" si="1"/>
        <v>0</v>
      </c>
      <c r="N41" s="4" t="str">
        <f t="shared" si="2"/>
        <v>Закрыта</v>
      </c>
      <c r="O41" s="4" t="str">
        <f t="shared" si="3"/>
        <v>Оплачено</v>
      </c>
      <c r="P41" s="4" t="str">
        <f>IF(A41="",IF(COUNTA(B41:J41)&gt;0,"НЕТ ID",""),IF(OR(NOT(ISNUMBER(E41)),AND(Форма="ИП",C41="Дивиденды"),COUNTIF(Docs[ID],A41)&lt;&gt;1,NOT(ISNUMBER(B41)),B41&lt;НачалоУчета,YEAR(B41)&lt;&gt;Год,NOT(ISNUMBER(H41)),H41&lt;B41,E41&lt;0,COUNTIF(Виды,C41)&lt;&gt;1,COUNTIF(Категории,D41)&lt;&gt;1,COUNTIF(Контрагенты,F41)&lt;&gt;1,COUNTIF(Проекты,G41)&lt;&gt;1,L41&lt;-0.01,AND(I41&lt;&gt;"Проведён",I41&lt;&gt;"Черновик")),"ОШИБКА","ОК"))</f>
        <v>ОК</v>
      </c>
      <c r="Q41" s="4" t="str">
        <f t="shared" si="4"/>
        <v>КЗ</v>
      </c>
    </row>
    <row r="42" spans="1:17" x14ac:dyDescent="0.25">
      <c r="A42" s="3" t="s">
        <v>592</v>
      </c>
      <c r="B42" s="19">
        <v>46092</v>
      </c>
      <c r="C42" s="3" t="s">
        <v>959</v>
      </c>
      <c r="D42" s="3" t="s">
        <v>509</v>
      </c>
      <c r="E42" s="12">
        <v>65000</v>
      </c>
      <c r="F42" s="3" t="s">
        <v>510</v>
      </c>
      <c r="G42" s="3" t="s">
        <v>383</v>
      </c>
      <c r="H42" s="19">
        <v>46104</v>
      </c>
      <c r="I42" s="3" t="s">
        <v>476</v>
      </c>
      <c r="J42" s="3"/>
      <c r="K42" s="4">
        <f>IF(A42="","",SUMIFS(Cash[Оплата],Cash[Документ],A42,Cash[Дата],"&lt;="&amp;ДатаОтчета))</f>
        <v>65000</v>
      </c>
      <c r="L42" s="4">
        <f t="shared" si="0"/>
        <v>0</v>
      </c>
      <c r="M42" s="4">
        <f t="shared" si="1"/>
        <v>0</v>
      </c>
      <c r="N42" s="4" t="str">
        <f t="shared" si="2"/>
        <v>Закрыта</v>
      </c>
      <c r="O42" s="4" t="str">
        <f t="shared" si="3"/>
        <v>Оплачено</v>
      </c>
      <c r="P42" s="4" t="str">
        <f>IF(A42="",IF(COUNTA(B42:J42)&gt;0,"НЕТ ID",""),IF(OR(NOT(ISNUMBER(E42)),AND(Форма="ИП",C42="Дивиденды"),COUNTIF(Docs[ID],A42)&lt;&gt;1,NOT(ISNUMBER(B42)),B42&lt;НачалоУчета,YEAR(B42)&lt;&gt;Год,NOT(ISNUMBER(H42)),H42&lt;B42,E42&lt;0,COUNTIF(Виды,C42)&lt;&gt;1,COUNTIF(Категории,D42)&lt;&gt;1,COUNTIF(Контрагенты,F42)&lt;&gt;1,COUNTIF(Проекты,G42)&lt;&gt;1,L42&lt;-0.01,AND(I42&lt;&gt;"Проведён",I42&lt;&gt;"Черновик")),"ОШИБКА","ОК"))</f>
        <v>ОК</v>
      </c>
      <c r="Q42" s="4" t="str">
        <f t="shared" si="4"/>
        <v>КЗ</v>
      </c>
    </row>
    <row r="43" spans="1:17" x14ac:dyDescent="0.25">
      <c r="A43" s="3" t="s">
        <v>595</v>
      </c>
      <c r="B43" s="19">
        <v>46093</v>
      </c>
      <c r="C43" s="3" t="s">
        <v>959</v>
      </c>
      <c r="D43" s="3" t="s">
        <v>295</v>
      </c>
      <c r="E43" s="12">
        <v>45000</v>
      </c>
      <c r="F43" s="3" t="s">
        <v>514</v>
      </c>
      <c r="G43" s="3" t="s">
        <v>381</v>
      </c>
      <c r="H43" s="19">
        <v>46105</v>
      </c>
      <c r="I43" s="3" t="s">
        <v>476</v>
      </c>
      <c r="J43" s="3"/>
      <c r="K43" s="4">
        <f>IF(A43="","",SUMIFS(Cash[Оплата],Cash[Документ],A43,Cash[Дата],"&lt;="&amp;ДатаОтчета))</f>
        <v>45000</v>
      </c>
      <c r="L43" s="4">
        <f t="shared" si="0"/>
        <v>0</v>
      </c>
      <c r="M43" s="4">
        <f t="shared" si="1"/>
        <v>0</v>
      </c>
      <c r="N43" s="4" t="str">
        <f t="shared" si="2"/>
        <v>Закрыта</v>
      </c>
      <c r="O43" s="4" t="str">
        <f t="shared" si="3"/>
        <v>Оплачено</v>
      </c>
      <c r="P43" s="4" t="str">
        <f>IF(A43="",IF(COUNTA(B43:J43)&gt;0,"НЕТ ID",""),IF(OR(NOT(ISNUMBER(E43)),AND(Форма="ИП",C43="Дивиденды"),COUNTIF(Docs[ID],A43)&lt;&gt;1,NOT(ISNUMBER(B43)),B43&lt;НачалоУчета,YEAR(B43)&lt;&gt;Год,NOT(ISNUMBER(H43)),H43&lt;B43,E43&lt;0,COUNTIF(Виды,C43)&lt;&gt;1,COUNTIF(Категории,D43)&lt;&gt;1,COUNTIF(Контрагенты,F43)&lt;&gt;1,COUNTIF(Проекты,G43)&lt;&gt;1,L43&lt;-0.01,AND(I43&lt;&gt;"Проведён",I43&lt;&gt;"Черновик")),"ОШИБКА","ОК"))</f>
        <v>ОК</v>
      </c>
      <c r="Q43" s="4" t="str">
        <f t="shared" si="4"/>
        <v>КЗ</v>
      </c>
    </row>
    <row r="44" spans="1:17" x14ac:dyDescent="0.25">
      <c r="A44" s="3" t="s">
        <v>598</v>
      </c>
      <c r="B44" s="19">
        <v>46094</v>
      </c>
      <c r="C44" s="3" t="s">
        <v>959</v>
      </c>
      <c r="D44" s="3" t="s">
        <v>518</v>
      </c>
      <c r="E44" s="12">
        <v>18000</v>
      </c>
      <c r="F44" s="3" t="s">
        <v>519</v>
      </c>
      <c r="G44" s="3" t="s">
        <v>383</v>
      </c>
      <c r="H44" s="19">
        <v>46106</v>
      </c>
      <c r="I44" s="3" t="s">
        <v>476</v>
      </c>
      <c r="J44" s="3"/>
      <c r="K44" s="4">
        <f>IF(A44="","",SUMIFS(Cash[Оплата],Cash[Документ],A44,Cash[Дата],"&lt;="&amp;ДатаОтчета))</f>
        <v>18000</v>
      </c>
      <c r="L44" s="4">
        <f t="shared" si="0"/>
        <v>0</v>
      </c>
      <c r="M44" s="4">
        <f t="shared" si="1"/>
        <v>0</v>
      </c>
      <c r="N44" s="4" t="str">
        <f t="shared" si="2"/>
        <v>Закрыта</v>
      </c>
      <c r="O44" s="4" t="str">
        <f t="shared" si="3"/>
        <v>Оплачено</v>
      </c>
      <c r="P44" s="4" t="str">
        <f>IF(A44="",IF(COUNTA(B44:J44)&gt;0,"НЕТ ID",""),IF(OR(NOT(ISNUMBER(E44)),AND(Форма="ИП",C44="Дивиденды"),COUNTIF(Docs[ID],A44)&lt;&gt;1,NOT(ISNUMBER(B44)),B44&lt;НачалоУчета,YEAR(B44)&lt;&gt;Год,NOT(ISNUMBER(H44)),H44&lt;B44,E44&lt;0,COUNTIF(Виды,C44)&lt;&gt;1,COUNTIF(Категории,D44)&lt;&gt;1,COUNTIF(Контрагенты,F44)&lt;&gt;1,COUNTIF(Проекты,G44)&lt;&gt;1,L44&lt;-0.01,AND(I44&lt;&gt;"Проведён",I44&lt;&gt;"Черновик")),"ОШИБКА","ОК"))</f>
        <v>ОК</v>
      </c>
      <c r="Q44" s="4" t="str">
        <f t="shared" si="4"/>
        <v>КЗ</v>
      </c>
    </row>
    <row r="45" spans="1:17" x14ac:dyDescent="0.25">
      <c r="A45" s="3" t="s">
        <v>601</v>
      </c>
      <c r="B45" s="19">
        <v>46095</v>
      </c>
      <c r="C45" s="3" t="s">
        <v>959</v>
      </c>
      <c r="D45" s="3" t="s">
        <v>523</v>
      </c>
      <c r="E45" s="12">
        <v>78300</v>
      </c>
      <c r="F45" s="3" t="s">
        <v>52</v>
      </c>
      <c r="G45" s="3" t="s">
        <v>383</v>
      </c>
      <c r="H45" s="19">
        <v>46107</v>
      </c>
      <c r="I45" s="3" t="s">
        <v>476</v>
      </c>
      <c r="J45" s="3"/>
      <c r="K45" s="4">
        <f>IF(A45="","",SUMIFS(Cash[Оплата],Cash[Документ],A45,Cash[Дата],"&lt;="&amp;ДатаОтчета))</f>
        <v>78300</v>
      </c>
      <c r="L45" s="4">
        <f t="shared" si="0"/>
        <v>0</v>
      </c>
      <c r="M45" s="4">
        <f t="shared" si="1"/>
        <v>0</v>
      </c>
      <c r="N45" s="4" t="str">
        <f t="shared" si="2"/>
        <v>Закрыта</v>
      </c>
      <c r="O45" s="4" t="str">
        <f t="shared" si="3"/>
        <v>Оплачено</v>
      </c>
      <c r="P45" s="4" t="str">
        <f>IF(A45="",IF(COUNTA(B45:J45)&gt;0,"НЕТ ID",""),IF(OR(NOT(ISNUMBER(E45)),AND(Форма="ИП",C45="Дивиденды"),COUNTIF(Docs[ID],A45)&lt;&gt;1,NOT(ISNUMBER(B45)),B45&lt;НачалоУчета,YEAR(B45)&lt;&gt;Год,NOT(ISNUMBER(H45)),H45&lt;B45,E45&lt;0,COUNTIF(Виды,C45)&lt;&gt;1,COUNTIF(Категории,D45)&lt;&gt;1,COUNTIF(Контрагенты,F45)&lt;&gt;1,COUNTIF(Проекты,G45)&lt;&gt;1,L45&lt;-0.01,AND(I45&lt;&gt;"Проведён",I45&lt;&gt;"Черновик")),"ОШИБКА","ОК"))</f>
        <v>ОК</v>
      </c>
      <c r="Q45" s="4" t="str">
        <f t="shared" si="4"/>
        <v>КЗ</v>
      </c>
    </row>
    <row r="46" spans="1:17" x14ac:dyDescent="0.25">
      <c r="A46" s="3" t="s">
        <v>604</v>
      </c>
      <c r="B46" s="19">
        <v>46096</v>
      </c>
      <c r="C46" s="3" t="s">
        <v>959</v>
      </c>
      <c r="D46" s="3" t="s">
        <v>527</v>
      </c>
      <c r="E46" s="12">
        <v>11700</v>
      </c>
      <c r="F46" s="3" t="s">
        <v>528</v>
      </c>
      <c r="G46" s="3" t="s">
        <v>383</v>
      </c>
      <c r="H46" s="19">
        <v>46108</v>
      </c>
      <c r="I46" s="3" t="s">
        <v>476</v>
      </c>
      <c r="J46" s="3"/>
      <c r="K46" s="4">
        <f>IF(A46="","",SUMIFS(Cash[Оплата],Cash[Документ],A46,Cash[Дата],"&lt;="&amp;ДатаОтчета))</f>
        <v>11700</v>
      </c>
      <c r="L46" s="4">
        <f t="shared" si="0"/>
        <v>0</v>
      </c>
      <c r="M46" s="4">
        <f t="shared" si="1"/>
        <v>0</v>
      </c>
      <c r="N46" s="4" t="str">
        <f t="shared" si="2"/>
        <v>Закрыта</v>
      </c>
      <c r="O46" s="4" t="str">
        <f t="shared" si="3"/>
        <v>Оплачено</v>
      </c>
      <c r="P46" s="4" t="str">
        <f>IF(A46="",IF(COUNTA(B46:J46)&gt;0,"НЕТ ID",""),IF(OR(NOT(ISNUMBER(E46)),AND(Форма="ИП",C46="Дивиденды"),COUNTIF(Docs[ID],A46)&lt;&gt;1,NOT(ISNUMBER(B46)),B46&lt;НачалоУчета,YEAR(B46)&lt;&gt;Год,NOT(ISNUMBER(H46)),H46&lt;B46,E46&lt;0,COUNTIF(Виды,C46)&lt;&gt;1,COUNTIF(Категории,D46)&lt;&gt;1,COUNTIF(Контрагенты,F46)&lt;&gt;1,COUNTIF(Проекты,G46)&lt;&gt;1,L46&lt;-0.01,AND(I46&lt;&gt;"Проведён",I46&lt;&gt;"Черновик")),"ОШИБКА","ОК"))</f>
        <v>ОК</v>
      </c>
      <c r="Q46" s="4" t="str">
        <f t="shared" si="4"/>
        <v>КЗ</v>
      </c>
    </row>
    <row r="47" spans="1:17" x14ac:dyDescent="0.25">
      <c r="A47" s="3" t="s">
        <v>607</v>
      </c>
      <c r="B47" s="19">
        <v>46097</v>
      </c>
      <c r="C47" s="3" t="s">
        <v>959</v>
      </c>
      <c r="D47" s="3" t="s">
        <v>532</v>
      </c>
      <c r="E47" s="12">
        <v>27000</v>
      </c>
      <c r="F47" s="3" t="s">
        <v>528</v>
      </c>
      <c r="G47" s="3" t="s">
        <v>383</v>
      </c>
      <c r="H47" s="19">
        <v>46109</v>
      </c>
      <c r="I47" s="3" t="s">
        <v>476</v>
      </c>
      <c r="J47" s="3"/>
      <c r="K47" s="4">
        <f>IF(A47="","",SUMIFS(Cash[Оплата],Cash[Документ],A47,Cash[Дата],"&lt;="&amp;ДатаОтчета))</f>
        <v>27000</v>
      </c>
      <c r="L47" s="4">
        <f t="shared" si="0"/>
        <v>0</v>
      </c>
      <c r="M47" s="4">
        <f t="shared" si="1"/>
        <v>0</v>
      </c>
      <c r="N47" s="4" t="str">
        <f t="shared" si="2"/>
        <v>Закрыта</v>
      </c>
      <c r="O47" s="4" t="str">
        <f t="shared" si="3"/>
        <v>Оплачено</v>
      </c>
      <c r="P47" s="4" t="str">
        <f>IF(A47="",IF(COUNTA(B47:J47)&gt;0,"НЕТ ID",""),IF(OR(NOT(ISNUMBER(E47)),AND(Форма="ИП",C47="Дивиденды"),COUNTIF(Docs[ID],A47)&lt;&gt;1,NOT(ISNUMBER(B47)),B47&lt;НачалоУчета,YEAR(B47)&lt;&gt;Год,NOT(ISNUMBER(H47)),H47&lt;B47,E47&lt;0,COUNTIF(Виды,C47)&lt;&gt;1,COUNTIF(Категории,D47)&lt;&gt;1,COUNTIF(Контрагенты,F47)&lt;&gt;1,COUNTIF(Проекты,G47)&lt;&gt;1,L47&lt;-0.01,AND(I47&lt;&gt;"Проведён",I47&lt;&gt;"Черновик")),"ОШИБКА","ОК"))</f>
        <v>ОК</v>
      </c>
      <c r="Q47" s="4" t="str">
        <f t="shared" si="4"/>
        <v>КЗ</v>
      </c>
    </row>
    <row r="48" spans="1:17" x14ac:dyDescent="0.25">
      <c r="A48" s="3" t="s">
        <v>609</v>
      </c>
      <c r="B48" s="19">
        <v>46108</v>
      </c>
      <c r="C48" s="3" t="s">
        <v>130</v>
      </c>
      <c r="D48" s="3" t="s">
        <v>130</v>
      </c>
      <c r="E48" s="12">
        <v>4183.33</v>
      </c>
      <c r="F48" s="3" t="s">
        <v>397</v>
      </c>
      <c r="G48" s="3" t="s">
        <v>383</v>
      </c>
      <c r="H48" s="19">
        <v>46109</v>
      </c>
      <c r="I48" s="3" t="s">
        <v>476</v>
      </c>
      <c r="J48" s="3"/>
      <c r="K48" s="4">
        <f>IF(A48="","",SUMIFS(Cash[Оплата],Cash[Документ],A48,Cash[Дата],"&lt;="&amp;ДатаОтчета))</f>
        <v>4183.33</v>
      </c>
      <c r="L48" s="4">
        <f t="shared" si="0"/>
        <v>0</v>
      </c>
      <c r="M48" s="4">
        <f t="shared" si="1"/>
        <v>0</v>
      </c>
      <c r="N48" s="4" t="str">
        <f t="shared" si="2"/>
        <v>Закрыта</v>
      </c>
      <c r="O48" s="4" t="str">
        <f t="shared" si="3"/>
        <v>Оплачено</v>
      </c>
      <c r="P48" s="4" t="str">
        <f>IF(A48="",IF(COUNTA(B48:J48)&gt;0,"НЕТ ID",""),IF(OR(NOT(ISNUMBER(E48)),AND(Форма="ИП",C48="Дивиденды"),COUNTIF(Docs[ID],A48)&lt;&gt;1,NOT(ISNUMBER(B48)),B48&lt;НачалоУчета,YEAR(B48)&lt;&gt;Год,NOT(ISNUMBER(H48)),H48&lt;B48,E48&lt;0,COUNTIF(Виды,C48)&lt;&gt;1,COUNTIF(Категории,D48)&lt;&gt;1,COUNTIF(Контрагенты,F48)&lt;&gt;1,COUNTIF(Проекты,G48)&lt;&gt;1,L48&lt;-0.01,AND(I48&lt;&gt;"Проведён",I48&lt;&gt;"Черновик")),"ОШИБКА","ОК"))</f>
        <v>ОК</v>
      </c>
      <c r="Q48" s="4" t="str">
        <f t="shared" si="4"/>
        <v>КЗ</v>
      </c>
    </row>
    <row r="49" spans="1:17" x14ac:dyDescent="0.25">
      <c r="A49" s="3" t="s">
        <v>618</v>
      </c>
      <c r="B49" s="19">
        <v>46117</v>
      </c>
      <c r="C49" s="3" t="s">
        <v>5</v>
      </c>
      <c r="D49" s="3" t="s">
        <v>485</v>
      </c>
      <c r="E49" s="12">
        <v>154000</v>
      </c>
      <c r="F49" s="3" t="s">
        <v>486</v>
      </c>
      <c r="G49" s="3" t="s">
        <v>381</v>
      </c>
      <c r="H49" s="19">
        <v>46132</v>
      </c>
      <c r="I49" s="3" t="s">
        <v>476</v>
      </c>
      <c r="J49" s="3"/>
      <c r="K49" s="4">
        <f>IF(A49="","",SUMIFS(Cash[Оплата],Cash[Документ],A49,Cash[Дата],"&lt;="&amp;ДатаОтчета))</f>
        <v>154000</v>
      </c>
      <c r="L49" s="4">
        <f t="shared" si="0"/>
        <v>0</v>
      </c>
      <c r="M49" s="4">
        <f t="shared" si="1"/>
        <v>0</v>
      </c>
      <c r="N49" s="4" t="str">
        <f t="shared" si="2"/>
        <v>Закрыта</v>
      </c>
      <c r="O49" s="4" t="str">
        <f t="shared" si="3"/>
        <v>Оплачено</v>
      </c>
      <c r="P49" s="4" t="str">
        <f>IF(A49="",IF(COUNTA(B49:J49)&gt;0,"НЕТ ID",""),IF(OR(NOT(ISNUMBER(E49)),AND(Форма="ИП",C49="Дивиденды"),COUNTIF(Docs[ID],A49)&lt;&gt;1,NOT(ISNUMBER(B49)),B49&lt;НачалоУчета,YEAR(B49)&lt;&gt;Год,NOT(ISNUMBER(H49)),H49&lt;B49,E49&lt;0,COUNTIF(Виды,C49)&lt;&gt;1,COUNTIF(Категории,D49)&lt;&gt;1,COUNTIF(Контрагенты,F49)&lt;&gt;1,COUNTIF(Проекты,G49)&lt;&gt;1,L49&lt;-0.01,AND(I49&lt;&gt;"Проведён",I49&lt;&gt;"Черновик")),"ОШИБКА","ОК"))</f>
        <v>ОК</v>
      </c>
      <c r="Q49" s="4" t="str">
        <f t="shared" si="4"/>
        <v>ДЗ</v>
      </c>
    </row>
    <row r="50" spans="1:17" x14ac:dyDescent="0.25">
      <c r="A50" s="3" t="s">
        <v>620</v>
      </c>
      <c r="B50" s="19">
        <v>46118</v>
      </c>
      <c r="C50" s="3" t="s">
        <v>5</v>
      </c>
      <c r="D50" s="3" t="s">
        <v>485</v>
      </c>
      <c r="E50" s="12">
        <v>121000</v>
      </c>
      <c r="F50" s="3" t="s">
        <v>489</v>
      </c>
      <c r="G50" s="3" t="s">
        <v>298</v>
      </c>
      <c r="H50" s="19">
        <v>46133</v>
      </c>
      <c r="I50" s="3" t="s">
        <v>476</v>
      </c>
      <c r="J50" s="3"/>
      <c r="K50" s="4">
        <f>IF(A50="","",SUMIFS(Cash[Оплата],Cash[Документ],A50,Cash[Дата],"&lt;="&amp;ДатаОтчета))</f>
        <v>121000</v>
      </c>
      <c r="L50" s="4">
        <f t="shared" si="0"/>
        <v>0</v>
      </c>
      <c r="M50" s="4">
        <f t="shared" si="1"/>
        <v>0</v>
      </c>
      <c r="N50" s="4" t="str">
        <f t="shared" si="2"/>
        <v>Закрыта</v>
      </c>
      <c r="O50" s="4" t="str">
        <f t="shared" si="3"/>
        <v>Оплачено</v>
      </c>
      <c r="P50" s="4" t="str">
        <f>IF(A50="",IF(COUNTA(B50:J50)&gt;0,"НЕТ ID",""),IF(OR(NOT(ISNUMBER(E50)),AND(Форма="ИП",C50="Дивиденды"),COUNTIF(Docs[ID],A50)&lt;&gt;1,NOT(ISNUMBER(B50)),B50&lt;НачалоУчета,YEAR(B50)&lt;&gt;Год,NOT(ISNUMBER(H50)),H50&lt;B50,E50&lt;0,COUNTIF(Виды,C50)&lt;&gt;1,COUNTIF(Категории,D50)&lt;&gt;1,COUNTIF(Контрагенты,F50)&lt;&gt;1,COUNTIF(Проекты,G50)&lt;&gt;1,L50&lt;-0.01,AND(I50&lt;&gt;"Проведён",I50&lt;&gt;"Черновик")),"ОШИБКА","ОК"))</f>
        <v>ОК</v>
      </c>
      <c r="Q50" s="4" t="str">
        <f t="shared" si="4"/>
        <v>ДЗ</v>
      </c>
    </row>
    <row r="51" spans="1:17" x14ac:dyDescent="0.25">
      <c r="A51" s="3" t="s">
        <v>622</v>
      </c>
      <c r="B51" s="19">
        <v>46119</v>
      </c>
      <c r="C51" s="3" t="s">
        <v>5</v>
      </c>
      <c r="D51" s="3" t="s">
        <v>485</v>
      </c>
      <c r="E51" s="12">
        <v>99000</v>
      </c>
      <c r="F51" s="3" t="s">
        <v>492</v>
      </c>
      <c r="G51" s="3" t="s">
        <v>382</v>
      </c>
      <c r="H51" s="19">
        <v>46134</v>
      </c>
      <c r="I51" s="3" t="s">
        <v>476</v>
      </c>
      <c r="J51" s="3"/>
      <c r="K51" s="4">
        <f>IF(A51="","",SUMIFS(Cash[Оплата],Cash[Документ],A51,Cash[Дата],"&lt;="&amp;ДатаОтчета))</f>
        <v>99000</v>
      </c>
      <c r="L51" s="4">
        <f t="shared" si="0"/>
        <v>0</v>
      </c>
      <c r="M51" s="4">
        <f t="shared" si="1"/>
        <v>0</v>
      </c>
      <c r="N51" s="4" t="str">
        <f t="shared" si="2"/>
        <v>Закрыта</v>
      </c>
      <c r="O51" s="4" t="str">
        <f t="shared" si="3"/>
        <v>Оплачено</v>
      </c>
      <c r="P51" s="4" t="str">
        <f>IF(A51="",IF(COUNTA(B51:J51)&gt;0,"НЕТ ID",""),IF(OR(NOT(ISNUMBER(E51)),AND(Форма="ИП",C51="Дивиденды"),COUNTIF(Docs[ID],A51)&lt;&gt;1,NOT(ISNUMBER(B51)),B51&lt;НачалоУчета,YEAR(B51)&lt;&gt;Год,NOT(ISNUMBER(H51)),H51&lt;B51,E51&lt;0,COUNTIF(Виды,C51)&lt;&gt;1,COUNTIF(Категории,D51)&lt;&gt;1,COUNTIF(Контрагенты,F51)&lt;&gt;1,COUNTIF(Проекты,G51)&lt;&gt;1,L51&lt;-0.01,AND(I51&lt;&gt;"Проведён",I51&lt;&gt;"Черновик")),"ОШИБКА","ОК"))</f>
        <v>ОК</v>
      </c>
      <c r="Q51" s="4" t="str">
        <f t="shared" si="4"/>
        <v>ДЗ</v>
      </c>
    </row>
    <row r="52" spans="1:17" x14ac:dyDescent="0.25">
      <c r="A52" s="3" t="s">
        <v>624</v>
      </c>
      <c r="B52" s="19">
        <v>46120</v>
      </c>
      <c r="C52" s="3" t="s">
        <v>5</v>
      </c>
      <c r="D52" s="3" t="s">
        <v>485</v>
      </c>
      <c r="E52" s="12">
        <v>77000</v>
      </c>
      <c r="F52" s="3" t="s">
        <v>495</v>
      </c>
      <c r="G52" s="3" t="s">
        <v>381</v>
      </c>
      <c r="H52" s="19">
        <v>46135</v>
      </c>
      <c r="I52" s="3" t="s">
        <v>476</v>
      </c>
      <c r="J52" s="3"/>
      <c r="K52" s="4">
        <f>IF(A52="","",SUMIFS(Cash[Оплата],Cash[Документ],A52,Cash[Дата],"&lt;="&amp;ДатаОтчета))</f>
        <v>77000</v>
      </c>
      <c r="L52" s="4">
        <f t="shared" si="0"/>
        <v>0</v>
      </c>
      <c r="M52" s="4">
        <f t="shared" si="1"/>
        <v>0</v>
      </c>
      <c r="N52" s="4" t="str">
        <f t="shared" si="2"/>
        <v>Закрыта</v>
      </c>
      <c r="O52" s="4" t="str">
        <f t="shared" si="3"/>
        <v>Оплачено</v>
      </c>
      <c r="P52" s="4" t="str">
        <f>IF(A52="",IF(COUNTA(B52:J52)&gt;0,"НЕТ ID",""),IF(OR(NOT(ISNUMBER(E52)),AND(Форма="ИП",C52="Дивиденды"),COUNTIF(Docs[ID],A52)&lt;&gt;1,NOT(ISNUMBER(B52)),B52&lt;НачалоУчета,YEAR(B52)&lt;&gt;Год,NOT(ISNUMBER(H52)),H52&lt;B52,E52&lt;0,COUNTIF(Виды,C52)&lt;&gt;1,COUNTIF(Категории,D52)&lt;&gt;1,COUNTIF(Контрагенты,F52)&lt;&gt;1,COUNTIF(Проекты,G52)&lt;&gt;1,L52&lt;-0.01,AND(I52&lt;&gt;"Проведён",I52&lt;&gt;"Черновик")),"ОШИБКА","ОК"))</f>
        <v>ОК</v>
      </c>
      <c r="Q52" s="4" t="str">
        <f t="shared" si="4"/>
        <v>ДЗ</v>
      </c>
    </row>
    <row r="53" spans="1:17" x14ac:dyDescent="0.25">
      <c r="A53" s="3" t="s">
        <v>626</v>
      </c>
      <c r="B53" s="19">
        <v>46121</v>
      </c>
      <c r="C53" s="3" t="s">
        <v>5</v>
      </c>
      <c r="D53" s="3" t="s">
        <v>485</v>
      </c>
      <c r="E53" s="12">
        <v>55000</v>
      </c>
      <c r="F53" s="3" t="s">
        <v>498</v>
      </c>
      <c r="G53" s="3" t="s">
        <v>298</v>
      </c>
      <c r="H53" s="19">
        <v>46136</v>
      </c>
      <c r="I53" s="3" t="s">
        <v>476</v>
      </c>
      <c r="J53" s="3"/>
      <c r="K53" s="4">
        <f>IF(A53="","",SUMIFS(Cash[Оплата],Cash[Документ],A53,Cash[Дата],"&lt;="&amp;ДатаОтчета))</f>
        <v>55000</v>
      </c>
      <c r="L53" s="4">
        <f t="shared" si="0"/>
        <v>0</v>
      </c>
      <c r="M53" s="4">
        <f t="shared" si="1"/>
        <v>0</v>
      </c>
      <c r="N53" s="4" t="str">
        <f t="shared" si="2"/>
        <v>Закрыта</v>
      </c>
      <c r="O53" s="4" t="str">
        <f t="shared" si="3"/>
        <v>Оплачено</v>
      </c>
      <c r="P53" s="4" t="str">
        <f>IF(A53="",IF(COUNTA(B53:J53)&gt;0,"НЕТ ID",""),IF(OR(NOT(ISNUMBER(E53)),AND(Форма="ИП",C53="Дивиденды"),COUNTIF(Docs[ID],A53)&lt;&gt;1,NOT(ISNUMBER(B53)),B53&lt;НачалоУчета,YEAR(B53)&lt;&gt;Год,NOT(ISNUMBER(H53)),H53&lt;B53,E53&lt;0,COUNTIF(Виды,C53)&lt;&gt;1,COUNTIF(Категории,D53)&lt;&gt;1,COUNTIF(Контрагенты,F53)&lt;&gt;1,COUNTIF(Проекты,G53)&lt;&gt;1,L53&lt;-0.01,AND(I53&lt;&gt;"Проведён",I53&lt;&gt;"Черновик")),"ОШИБКА","ОК"))</f>
        <v>ОК</v>
      </c>
      <c r="Q53" s="4" t="str">
        <f t="shared" si="4"/>
        <v>ДЗ</v>
      </c>
    </row>
    <row r="54" spans="1:17" x14ac:dyDescent="0.25">
      <c r="A54" s="3" t="s">
        <v>628</v>
      </c>
      <c r="B54" s="19">
        <v>46122</v>
      </c>
      <c r="C54" s="3" t="s">
        <v>5</v>
      </c>
      <c r="D54" s="3" t="s">
        <v>485</v>
      </c>
      <c r="E54" s="12">
        <v>44000</v>
      </c>
      <c r="F54" s="3" t="s">
        <v>501</v>
      </c>
      <c r="G54" s="3" t="s">
        <v>382</v>
      </c>
      <c r="H54" s="19">
        <v>46137</v>
      </c>
      <c r="I54" s="3" t="s">
        <v>476</v>
      </c>
      <c r="J54" s="3"/>
      <c r="K54" s="4">
        <f>IF(A54="","",SUMIFS(Cash[Оплата],Cash[Документ],A54,Cash[Дата],"&lt;="&amp;ДатаОтчета))</f>
        <v>44000</v>
      </c>
      <c r="L54" s="4">
        <f t="shared" si="0"/>
        <v>0</v>
      </c>
      <c r="M54" s="4">
        <f t="shared" si="1"/>
        <v>0</v>
      </c>
      <c r="N54" s="4" t="str">
        <f t="shared" si="2"/>
        <v>Закрыта</v>
      </c>
      <c r="O54" s="4" t="str">
        <f t="shared" si="3"/>
        <v>Оплачено</v>
      </c>
      <c r="P54" s="4" t="str">
        <f>IF(A54="",IF(COUNTA(B54:J54)&gt;0,"НЕТ ID",""),IF(OR(NOT(ISNUMBER(E54)),AND(Форма="ИП",C54="Дивиденды"),COUNTIF(Docs[ID],A54)&lt;&gt;1,NOT(ISNUMBER(B54)),B54&lt;НачалоУчета,YEAR(B54)&lt;&gt;Год,NOT(ISNUMBER(H54)),H54&lt;B54,E54&lt;0,COUNTIF(Виды,C54)&lt;&gt;1,COUNTIF(Категории,D54)&lt;&gt;1,COUNTIF(Контрагенты,F54)&lt;&gt;1,COUNTIF(Проекты,G54)&lt;&gt;1,L54&lt;-0.01,AND(I54&lt;&gt;"Проведён",I54&lt;&gt;"Черновик")),"ОШИБКА","ОК"))</f>
        <v>ОК</v>
      </c>
      <c r="Q54" s="4" t="str">
        <f t="shared" si="4"/>
        <v>ДЗ</v>
      </c>
    </row>
    <row r="55" spans="1:17" x14ac:dyDescent="0.25">
      <c r="A55" s="3" t="s">
        <v>630</v>
      </c>
      <c r="B55" s="19">
        <v>46122</v>
      </c>
      <c r="C55" s="3" t="s">
        <v>125</v>
      </c>
      <c r="D55" s="3" t="s">
        <v>505</v>
      </c>
      <c r="E55" s="12">
        <v>176000</v>
      </c>
      <c r="F55" s="3" t="s">
        <v>506</v>
      </c>
      <c r="G55" s="3" t="s">
        <v>298</v>
      </c>
      <c r="H55" s="19">
        <v>46134</v>
      </c>
      <c r="I55" s="3" t="s">
        <v>476</v>
      </c>
      <c r="J55" s="3"/>
      <c r="K55" s="4">
        <f>IF(A55="","",SUMIFS(Cash[Оплата],Cash[Документ],A55,Cash[Дата],"&lt;="&amp;ДатаОтчета))</f>
        <v>176000</v>
      </c>
      <c r="L55" s="4">
        <f t="shared" si="0"/>
        <v>0</v>
      </c>
      <c r="M55" s="4">
        <f t="shared" si="1"/>
        <v>0</v>
      </c>
      <c r="N55" s="4" t="str">
        <f t="shared" si="2"/>
        <v>Закрыта</v>
      </c>
      <c r="O55" s="4" t="str">
        <f t="shared" si="3"/>
        <v>Оплачено</v>
      </c>
      <c r="P55" s="4" t="str">
        <f>IF(A55="",IF(COUNTA(B55:J55)&gt;0,"НЕТ ID",""),IF(OR(NOT(ISNUMBER(E55)),AND(Форма="ИП",C55="Дивиденды"),COUNTIF(Docs[ID],A55)&lt;&gt;1,NOT(ISNUMBER(B55)),B55&lt;НачалоУчета,YEAR(B55)&lt;&gt;Год,NOT(ISNUMBER(H55)),H55&lt;B55,E55&lt;0,COUNTIF(Виды,C55)&lt;&gt;1,COUNTIF(Категории,D55)&lt;&gt;1,COUNTIF(Контрагенты,F55)&lt;&gt;1,COUNTIF(Проекты,G55)&lt;&gt;1,L55&lt;-0.01,AND(I55&lt;&gt;"Проведён",I55&lt;&gt;"Черновик")),"ОШИБКА","ОК"))</f>
        <v>ОК</v>
      </c>
      <c r="Q55" s="4" t="str">
        <f t="shared" si="4"/>
        <v>КЗ</v>
      </c>
    </row>
    <row r="56" spans="1:17" x14ac:dyDescent="0.25">
      <c r="A56" s="3" t="s">
        <v>632</v>
      </c>
      <c r="B56" s="19">
        <v>46123</v>
      </c>
      <c r="C56" s="3" t="s">
        <v>959</v>
      </c>
      <c r="D56" s="3" t="s">
        <v>509</v>
      </c>
      <c r="E56" s="12">
        <v>65000</v>
      </c>
      <c r="F56" s="3" t="s">
        <v>510</v>
      </c>
      <c r="G56" s="3" t="s">
        <v>383</v>
      </c>
      <c r="H56" s="19">
        <v>46135</v>
      </c>
      <c r="I56" s="3" t="s">
        <v>476</v>
      </c>
      <c r="J56" s="3"/>
      <c r="K56" s="4">
        <f>IF(A56="","",SUMIFS(Cash[Оплата],Cash[Документ],A56,Cash[Дата],"&lt;="&amp;ДатаОтчета))</f>
        <v>65000</v>
      </c>
      <c r="L56" s="4">
        <f t="shared" si="0"/>
        <v>0</v>
      </c>
      <c r="M56" s="4">
        <f t="shared" si="1"/>
        <v>0</v>
      </c>
      <c r="N56" s="4" t="str">
        <f t="shared" si="2"/>
        <v>Закрыта</v>
      </c>
      <c r="O56" s="4" t="str">
        <f t="shared" si="3"/>
        <v>Оплачено</v>
      </c>
      <c r="P56" s="4" t="str">
        <f>IF(A56="",IF(COUNTA(B56:J56)&gt;0,"НЕТ ID",""),IF(OR(NOT(ISNUMBER(E56)),AND(Форма="ИП",C56="Дивиденды"),COUNTIF(Docs[ID],A56)&lt;&gt;1,NOT(ISNUMBER(B56)),B56&lt;НачалоУчета,YEAR(B56)&lt;&gt;Год,NOT(ISNUMBER(H56)),H56&lt;B56,E56&lt;0,COUNTIF(Виды,C56)&lt;&gt;1,COUNTIF(Категории,D56)&lt;&gt;1,COUNTIF(Контрагенты,F56)&lt;&gt;1,COUNTIF(Проекты,G56)&lt;&gt;1,L56&lt;-0.01,AND(I56&lt;&gt;"Проведён",I56&lt;&gt;"Черновик")),"ОШИБКА","ОК"))</f>
        <v>ОК</v>
      </c>
      <c r="Q56" s="4" t="str">
        <f t="shared" si="4"/>
        <v>КЗ</v>
      </c>
    </row>
    <row r="57" spans="1:17" x14ac:dyDescent="0.25">
      <c r="A57" s="3" t="s">
        <v>635</v>
      </c>
      <c r="B57" s="19">
        <v>46124</v>
      </c>
      <c r="C57" s="3" t="s">
        <v>959</v>
      </c>
      <c r="D57" s="3" t="s">
        <v>295</v>
      </c>
      <c r="E57" s="12">
        <v>45000</v>
      </c>
      <c r="F57" s="3" t="s">
        <v>514</v>
      </c>
      <c r="G57" s="3" t="s">
        <v>381</v>
      </c>
      <c r="H57" s="19">
        <v>46136</v>
      </c>
      <c r="I57" s="3" t="s">
        <v>476</v>
      </c>
      <c r="J57" s="3"/>
      <c r="K57" s="4">
        <f>IF(A57="","",SUMIFS(Cash[Оплата],Cash[Документ],A57,Cash[Дата],"&lt;="&amp;ДатаОтчета))</f>
        <v>45000</v>
      </c>
      <c r="L57" s="4">
        <f t="shared" si="0"/>
        <v>0</v>
      </c>
      <c r="M57" s="4">
        <f t="shared" si="1"/>
        <v>0</v>
      </c>
      <c r="N57" s="4" t="str">
        <f t="shared" si="2"/>
        <v>Закрыта</v>
      </c>
      <c r="O57" s="4" t="str">
        <f t="shared" si="3"/>
        <v>Оплачено</v>
      </c>
      <c r="P57" s="4" t="str">
        <f>IF(A57="",IF(COUNTA(B57:J57)&gt;0,"НЕТ ID",""),IF(OR(NOT(ISNUMBER(E57)),AND(Форма="ИП",C57="Дивиденды"),COUNTIF(Docs[ID],A57)&lt;&gt;1,NOT(ISNUMBER(B57)),B57&lt;НачалоУчета,YEAR(B57)&lt;&gt;Год,NOT(ISNUMBER(H57)),H57&lt;B57,E57&lt;0,COUNTIF(Виды,C57)&lt;&gt;1,COUNTIF(Категории,D57)&lt;&gt;1,COUNTIF(Контрагенты,F57)&lt;&gt;1,COUNTIF(Проекты,G57)&lt;&gt;1,L57&lt;-0.01,AND(I57&lt;&gt;"Проведён",I57&lt;&gt;"Черновик")),"ОШИБКА","ОК"))</f>
        <v>ОК</v>
      </c>
      <c r="Q57" s="4" t="str">
        <f t="shared" si="4"/>
        <v>КЗ</v>
      </c>
    </row>
    <row r="58" spans="1:17" x14ac:dyDescent="0.25">
      <c r="A58" s="3" t="s">
        <v>638</v>
      </c>
      <c r="B58" s="19">
        <v>46125</v>
      </c>
      <c r="C58" s="3" t="s">
        <v>959</v>
      </c>
      <c r="D58" s="3" t="s">
        <v>518</v>
      </c>
      <c r="E58" s="12">
        <v>18000</v>
      </c>
      <c r="F58" s="3" t="s">
        <v>519</v>
      </c>
      <c r="G58" s="3" t="s">
        <v>383</v>
      </c>
      <c r="H58" s="19">
        <v>46137</v>
      </c>
      <c r="I58" s="3" t="s">
        <v>476</v>
      </c>
      <c r="J58" s="3"/>
      <c r="K58" s="4">
        <f>IF(A58="","",SUMIFS(Cash[Оплата],Cash[Документ],A58,Cash[Дата],"&lt;="&amp;ДатаОтчета))</f>
        <v>18000</v>
      </c>
      <c r="L58" s="4">
        <f t="shared" si="0"/>
        <v>0</v>
      </c>
      <c r="M58" s="4">
        <f t="shared" si="1"/>
        <v>0</v>
      </c>
      <c r="N58" s="4" t="str">
        <f t="shared" si="2"/>
        <v>Закрыта</v>
      </c>
      <c r="O58" s="4" t="str">
        <f t="shared" si="3"/>
        <v>Оплачено</v>
      </c>
      <c r="P58" s="4" t="str">
        <f>IF(A58="",IF(COUNTA(B58:J58)&gt;0,"НЕТ ID",""),IF(OR(NOT(ISNUMBER(E58)),AND(Форма="ИП",C58="Дивиденды"),COUNTIF(Docs[ID],A58)&lt;&gt;1,NOT(ISNUMBER(B58)),B58&lt;НачалоУчета,YEAR(B58)&lt;&gt;Год,NOT(ISNUMBER(H58)),H58&lt;B58,E58&lt;0,COUNTIF(Виды,C58)&lt;&gt;1,COUNTIF(Категории,D58)&lt;&gt;1,COUNTIF(Контрагенты,F58)&lt;&gt;1,COUNTIF(Проекты,G58)&lt;&gt;1,L58&lt;-0.01,AND(I58&lt;&gt;"Проведён",I58&lt;&gt;"Черновик")),"ОШИБКА","ОК"))</f>
        <v>ОК</v>
      </c>
      <c r="Q58" s="4" t="str">
        <f t="shared" si="4"/>
        <v>КЗ</v>
      </c>
    </row>
    <row r="59" spans="1:17" x14ac:dyDescent="0.25">
      <c r="A59" s="3" t="s">
        <v>645</v>
      </c>
      <c r="B59" s="19">
        <v>46126</v>
      </c>
      <c r="C59" s="3" t="s">
        <v>959</v>
      </c>
      <c r="D59" s="3" t="s">
        <v>523</v>
      </c>
      <c r="E59" s="12">
        <v>78300</v>
      </c>
      <c r="F59" s="3" t="s">
        <v>52</v>
      </c>
      <c r="G59" s="3" t="s">
        <v>383</v>
      </c>
      <c r="H59" s="19">
        <v>46138</v>
      </c>
      <c r="I59" s="3" t="s">
        <v>476</v>
      </c>
      <c r="J59" s="3"/>
      <c r="K59" s="4">
        <f>IF(A59="","",SUMIFS(Cash[Оплата],Cash[Документ],A59,Cash[Дата],"&lt;="&amp;ДатаОтчета))</f>
        <v>78300</v>
      </c>
      <c r="L59" s="4">
        <f t="shared" si="0"/>
        <v>0</v>
      </c>
      <c r="M59" s="4">
        <f t="shared" si="1"/>
        <v>0</v>
      </c>
      <c r="N59" s="4" t="str">
        <f t="shared" si="2"/>
        <v>Закрыта</v>
      </c>
      <c r="O59" s="4" t="str">
        <f t="shared" si="3"/>
        <v>Оплачено</v>
      </c>
      <c r="P59" s="4" t="str">
        <f>IF(A59="",IF(COUNTA(B59:J59)&gt;0,"НЕТ ID",""),IF(OR(NOT(ISNUMBER(E59)),AND(Форма="ИП",C59="Дивиденды"),COUNTIF(Docs[ID],A59)&lt;&gt;1,NOT(ISNUMBER(B59)),B59&lt;НачалоУчета,YEAR(B59)&lt;&gt;Год,NOT(ISNUMBER(H59)),H59&lt;B59,E59&lt;0,COUNTIF(Виды,C59)&lt;&gt;1,COUNTIF(Категории,D59)&lt;&gt;1,COUNTIF(Контрагенты,F59)&lt;&gt;1,COUNTIF(Проекты,G59)&lt;&gt;1,L59&lt;-0.01,AND(I59&lt;&gt;"Проведён",I59&lt;&gt;"Черновик")),"ОШИБКА","ОК"))</f>
        <v>ОК</v>
      </c>
      <c r="Q59" s="4" t="str">
        <f t="shared" si="4"/>
        <v>КЗ</v>
      </c>
    </row>
    <row r="60" spans="1:17" x14ac:dyDescent="0.25">
      <c r="A60" s="3" t="s">
        <v>648</v>
      </c>
      <c r="B60" s="19">
        <v>46127</v>
      </c>
      <c r="C60" s="3" t="s">
        <v>959</v>
      </c>
      <c r="D60" s="3" t="s">
        <v>527</v>
      </c>
      <c r="E60" s="12">
        <v>11700</v>
      </c>
      <c r="F60" s="3" t="s">
        <v>528</v>
      </c>
      <c r="G60" s="3" t="s">
        <v>383</v>
      </c>
      <c r="H60" s="19">
        <v>46139</v>
      </c>
      <c r="I60" s="3" t="s">
        <v>476</v>
      </c>
      <c r="J60" s="3"/>
      <c r="K60" s="4">
        <f>IF(A60="","",SUMIFS(Cash[Оплата],Cash[Документ],A60,Cash[Дата],"&lt;="&amp;ДатаОтчета))</f>
        <v>11700</v>
      </c>
      <c r="L60" s="4">
        <f t="shared" si="0"/>
        <v>0</v>
      </c>
      <c r="M60" s="4">
        <f t="shared" si="1"/>
        <v>0</v>
      </c>
      <c r="N60" s="4" t="str">
        <f t="shared" si="2"/>
        <v>Закрыта</v>
      </c>
      <c r="O60" s="4" t="str">
        <f t="shared" si="3"/>
        <v>Оплачено</v>
      </c>
      <c r="P60" s="4" t="str">
        <f>IF(A60="",IF(COUNTA(B60:J60)&gt;0,"НЕТ ID",""),IF(OR(NOT(ISNUMBER(E60)),AND(Форма="ИП",C60="Дивиденды"),COUNTIF(Docs[ID],A60)&lt;&gt;1,NOT(ISNUMBER(B60)),B60&lt;НачалоУчета,YEAR(B60)&lt;&gt;Год,NOT(ISNUMBER(H60)),H60&lt;B60,E60&lt;0,COUNTIF(Виды,C60)&lt;&gt;1,COUNTIF(Категории,D60)&lt;&gt;1,COUNTIF(Контрагенты,F60)&lt;&gt;1,COUNTIF(Проекты,G60)&lt;&gt;1,L60&lt;-0.01,AND(I60&lt;&gt;"Проведён",I60&lt;&gt;"Черновик")),"ОШИБКА","ОК"))</f>
        <v>ОК</v>
      </c>
      <c r="Q60" s="4" t="str">
        <f t="shared" si="4"/>
        <v>КЗ</v>
      </c>
    </row>
    <row r="61" spans="1:17" x14ac:dyDescent="0.25">
      <c r="A61" s="3" t="s">
        <v>651</v>
      </c>
      <c r="B61" s="19">
        <v>46128</v>
      </c>
      <c r="C61" s="3" t="s">
        <v>959</v>
      </c>
      <c r="D61" s="3" t="s">
        <v>532</v>
      </c>
      <c r="E61" s="12">
        <v>27000</v>
      </c>
      <c r="F61" s="3" t="s">
        <v>528</v>
      </c>
      <c r="G61" s="3" t="s">
        <v>383</v>
      </c>
      <c r="H61" s="19">
        <v>46140</v>
      </c>
      <c r="I61" s="3" t="s">
        <v>476</v>
      </c>
      <c r="J61" s="3"/>
      <c r="K61" s="4">
        <f>IF(A61="","",SUMIFS(Cash[Оплата],Cash[Документ],A61,Cash[Дата],"&lt;="&amp;ДатаОтчета))</f>
        <v>27000</v>
      </c>
      <c r="L61" s="4">
        <f t="shared" si="0"/>
        <v>0</v>
      </c>
      <c r="M61" s="4">
        <f t="shared" si="1"/>
        <v>0</v>
      </c>
      <c r="N61" s="4" t="str">
        <f t="shared" si="2"/>
        <v>Закрыта</v>
      </c>
      <c r="O61" s="4" t="str">
        <f t="shared" si="3"/>
        <v>Оплачено</v>
      </c>
      <c r="P61" s="4" t="str">
        <f>IF(A61="",IF(COUNTA(B61:J61)&gt;0,"НЕТ ID",""),IF(OR(NOT(ISNUMBER(E61)),AND(Форма="ИП",C61="Дивиденды"),COUNTIF(Docs[ID],A61)&lt;&gt;1,NOT(ISNUMBER(B61)),B61&lt;НачалоУчета,YEAR(B61)&lt;&gt;Год,NOT(ISNUMBER(H61)),H61&lt;B61,E61&lt;0,COUNTIF(Виды,C61)&lt;&gt;1,COUNTIF(Категории,D61)&lt;&gt;1,COUNTIF(Контрагенты,F61)&lt;&gt;1,COUNTIF(Проекты,G61)&lt;&gt;1,L61&lt;-0.01,AND(I61&lt;&gt;"Проведён",I61&lt;&gt;"Черновик")),"ОШИБКА","ОК"))</f>
        <v>ОК</v>
      </c>
      <c r="Q61" s="4" t="str">
        <f t="shared" si="4"/>
        <v>КЗ</v>
      </c>
    </row>
    <row r="62" spans="1:17" x14ac:dyDescent="0.25">
      <c r="A62" s="3" t="s">
        <v>653</v>
      </c>
      <c r="B62" s="19">
        <v>46139</v>
      </c>
      <c r="C62" s="3" t="s">
        <v>130</v>
      </c>
      <c r="D62" s="3" t="s">
        <v>130</v>
      </c>
      <c r="E62" s="12">
        <v>4021.42</v>
      </c>
      <c r="F62" s="3" t="s">
        <v>397</v>
      </c>
      <c r="G62" s="3" t="s">
        <v>383</v>
      </c>
      <c r="H62" s="19">
        <v>46140</v>
      </c>
      <c r="I62" s="3" t="s">
        <v>476</v>
      </c>
      <c r="J62" s="3"/>
      <c r="K62" s="4">
        <f>IF(A62="","",SUMIFS(Cash[Оплата],Cash[Документ],A62,Cash[Дата],"&lt;="&amp;ДатаОтчета))</f>
        <v>4021.42</v>
      </c>
      <c r="L62" s="4">
        <f t="shared" si="0"/>
        <v>0</v>
      </c>
      <c r="M62" s="4">
        <f t="shared" si="1"/>
        <v>0</v>
      </c>
      <c r="N62" s="4" t="str">
        <f t="shared" si="2"/>
        <v>Закрыта</v>
      </c>
      <c r="O62" s="4" t="str">
        <f t="shared" si="3"/>
        <v>Оплачено</v>
      </c>
      <c r="P62" s="4" t="str">
        <f>IF(A62="",IF(COUNTA(B62:J62)&gt;0,"НЕТ ID",""),IF(OR(NOT(ISNUMBER(E62)),AND(Форма="ИП",C62="Дивиденды"),COUNTIF(Docs[ID],A62)&lt;&gt;1,NOT(ISNUMBER(B62)),B62&lt;НачалоУчета,YEAR(B62)&lt;&gt;Год,NOT(ISNUMBER(H62)),H62&lt;B62,E62&lt;0,COUNTIF(Виды,C62)&lt;&gt;1,COUNTIF(Категории,D62)&lt;&gt;1,COUNTIF(Контрагенты,F62)&lt;&gt;1,COUNTIF(Проекты,G62)&lt;&gt;1,L62&lt;-0.01,AND(I62&lt;&gt;"Проведён",I62&lt;&gt;"Черновик")),"ОШИБКА","ОК"))</f>
        <v>ОК</v>
      </c>
      <c r="Q62" s="4" t="str">
        <f t="shared" si="4"/>
        <v>КЗ</v>
      </c>
    </row>
    <row r="63" spans="1:17" x14ac:dyDescent="0.25">
      <c r="A63" s="3" t="s">
        <v>658</v>
      </c>
      <c r="B63" s="19">
        <v>46147</v>
      </c>
      <c r="C63" s="3" t="s">
        <v>5</v>
      </c>
      <c r="D63" s="3" t="s">
        <v>485</v>
      </c>
      <c r="E63" s="12">
        <v>162400</v>
      </c>
      <c r="F63" s="3" t="s">
        <v>486</v>
      </c>
      <c r="G63" s="3" t="s">
        <v>381</v>
      </c>
      <c r="H63" s="19">
        <v>46162</v>
      </c>
      <c r="I63" s="3" t="s">
        <v>476</v>
      </c>
      <c r="J63" s="3"/>
      <c r="K63" s="4">
        <f>IF(A63="","",SUMIFS(Cash[Оплата],Cash[Документ],A63,Cash[Дата],"&lt;="&amp;ДатаОтчета))</f>
        <v>162400</v>
      </c>
      <c r="L63" s="4">
        <f t="shared" si="0"/>
        <v>0</v>
      </c>
      <c r="M63" s="4">
        <f t="shared" si="1"/>
        <v>0</v>
      </c>
      <c r="N63" s="4" t="str">
        <f t="shared" si="2"/>
        <v>Закрыта</v>
      </c>
      <c r="O63" s="4" t="str">
        <f t="shared" si="3"/>
        <v>Оплачено</v>
      </c>
      <c r="P63" s="4" t="str">
        <f>IF(A63="",IF(COUNTA(B63:J63)&gt;0,"НЕТ ID",""),IF(OR(NOT(ISNUMBER(E63)),AND(Форма="ИП",C63="Дивиденды"),COUNTIF(Docs[ID],A63)&lt;&gt;1,NOT(ISNUMBER(B63)),B63&lt;НачалоУчета,YEAR(B63)&lt;&gt;Год,NOT(ISNUMBER(H63)),H63&lt;B63,E63&lt;0,COUNTIF(Виды,C63)&lt;&gt;1,COUNTIF(Категории,D63)&lt;&gt;1,COUNTIF(Контрагенты,F63)&lt;&gt;1,COUNTIF(Проекты,G63)&lt;&gt;1,L63&lt;-0.01,AND(I63&lt;&gt;"Проведён",I63&lt;&gt;"Черновик")),"ОШИБКА","ОК"))</f>
        <v>ОК</v>
      </c>
      <c r="Q63" s="4" t="str">
        <f t="shared" si="4"/>
        <v>ДЗ</v>
      </c>
    </row>
    <row r="64" spans="1:17" x14ac:dyDescent="0.25">
      <c r="A64" s="3" t="s">
        <v>660</v>
      </c>
      <c r="B64" s="19">
        <v>46148</v>
      </c>
      <c r="C64" s="3" t="s">
        <v>5</v>
      </c>
      <c r="D64" s="3" t="s">
        <v>485</v>
      </c>
      <c r="E64" s="12">
        <v>127600</v>
      </c>
      <c r="F64" s="3" t="s">
        <v>489</v>
      </c>
      <c r="G64" s="3" t="s">
        <v>298</v>
      </c>
      <c r="H64" s="19">
        <v>46163</v>
      </c>
      <c r="I64" s="3" t="s">
        <v>476</v>
      </c>
      <c r="J64" s="3"/>
      <c r="K64" s="4">
        <f>IF(A64="","",SUMIFS(Cash[Оплата],Cash[Документ],A64,Cash[Дата],"&lt;="&amp;ДатаОтчета))</f>
        <v>127600</v>
      </c>
      <c r="L64" s="4">
        <f t="shared" si="0"/>
        <v>0</v>
      </c>
      <c r="M64" s="4">
        <f t="shared" si="1"/>
        <v>0</v>
      </c>
      <c r="N64" s="4" t="str">
        <f t="shared" si="2"/>
        <v>Закрыта</v>
      </c>
      <c r="O64" s="4" t="str">
        <f t="shared" si="3"/>
        <v>Оплачено</v>
      </c>
      <c r="P64" s="4" t="str">
        <f>IF(A64="",IF(COUNTA(B64:J64)&gt;0,"НЕТ ID",""),IF(OR(NOT(ISNUMBER(E64)),AND(Форма="ИП",C64="Дивиденды"),COUNTIF(Docs[ID],A64)&lt;&gt;1,NOT(ISNUMBER(B64)),B64&lt;НачалоУчета,YEAR(B64)&lt;&gt;Год,NOT(ISNUMBER(H64)),H64&lt;B64,E64&lt;0,COUNTIF(Виды,C64)&lt;&gt;1,COUNTIF(Категории,D64)&lt;&gt;1,COUNTIF(Контрагенты,F64)&lt;&gt;1,COUNTIF(Проекты,G64)&lt;&gt;1,L64&lt;-0.01,AND(I64&lt;&gt;"Проведён",I64&lt;&gt;"Черновик")),"ОШИБКА","ОК"))</f>
        <v>ОК</v>
      </c>
      <c r="Q64" s="4" t="str">
        <f t="shared" si="4"/>
        <v>ДЗ</v>
      </c>
    </row>
    <row r="65" spans="1:17" x14ac:dyDescent="0.25">
      <c r="A65" s="3" t="s">
        <v>662</v>
      </c>
      <c r="B65" s="19">
        <v>46149</v>
      </c>
      <c r="C65" s="3" t="s">
        <v>5</v>
      </c>
      <c r="D65" s="3" t="s">
        <v>485</v>
      </c>
      <c r="E65" s="12">
        <v>104400</v>
      </c>
      <c r="F65" s="3" t="s">
        <v>492</v>
      </c>
      <c r="G65" s="3" t="s">
        <v>382</v>
      </c>
      <c r="H65" s="19">
        <v>46164</v>
      </c>
      <c r="I65" s="3" t="s">
        <v>476</v>
      </c>
      <c r="J65" s="3"/>
      <c r="K65" s="4">
        <f>IF(A65="","",SUMIFS(Cash[Оплата],Cash[Документ],A65,Cash[Дата],"&lt;="&amp;ДатаОтчета))</f>
        <v>104400</v>
      </c>
      <c r="L65" s="4">
        <f t="shared" si="0"/>
        <v>0</v>
      </c>
      <c r="M65" s="4">
        <f t="shared" si="1"/>
        <v>0</v>
      </c>
      <c r="N65" s="4" t="str">
        <f t="shared" si="2"/>
        <v>Закрыта</v>
      </c>
      <c r="O65" s="4" t="str">
        <f t="shared" si="3"/>
        <v>Оплачено</v>
      </c>
      <c r="P65" s="4" t="str">
        <f>IF(A65="",IF(COUNTA(B65:J65)&gt;0,"НЕТ ID",""),IF(OR(NOT(ISNUMBER(E65)),AND(Форма="ИП",C65="Дивиденды"),COUNTIF(Docs[ID],A65)&lt;&gt;1,NOT(ISNUMBER(B65)),B65&lt;НачалоУчета,YEAR(B65)&lt;&gt;Год,NOT(ISNUMBER(H65)),H65&lt;B65,E65&lt;0,COUNTIF(Виды,C65)&lt;&gt;1,COUNTIF(Категории,D65)&lt;&gt;1,COUNTIF(Контрагенты,F65)&lt;&gt;1,COUNTIF(Проекты,G65)&lt;&gt;1,L65&lt;-0.01,AND(I65&lt;&gt;"Проведён",I65&lt;&gt;"Черновик")),"ОШИБКА","ОК"))</f>
        <v>ОК</v>
      </c>
      <c r="Q65" s="4" t="str">
        <f t="shared" si="4"/>
        <v>ДЗ</v>
      </c>
    </row>
    <row r="66" spans="1:17" x14ac:dyDescent="0.25">
      <c r="A66" s="3" t="s">
        <v>664</v>
      </c>
      <c r="B66" s="19">
        <v>46150</v>
      </c>
      <c r="C66" s="3" t="s">
        <v>5</v>
      </c>
      <c r="D66" s="3" t="s">
        <v>485</v>
      </c>
      <c r="E66" s="12">
        <v>81200</v>
      </c>
      <c r="F66" s="3" t="s">
        <v>495</v>
      </c>
      <c r="G66" s="3" t="s">
        <v>381</v>
      </c>
      <c r="H66" s="19">
        <v>46165</v>
      </c>
      <c r="I66" s="3" t="s">
        <v>476</v>
      </c>
      <c r="J66" s="3"/>
      <c r="K66" s="4">
        <f>IF(A66="","",SUMIFS(Cash[Оплата],Cash[Документ],A66,Cash[Дата],"&lt;="&amp;ДатаОтчета))</f>
        <v>81200</v>
      </c>
      <c r="L66" s="4">
        <f t="shared" si="0"/>
        <v>0</v>
      </c>
      <c r="M66" s="4">
        <f t="shared" si="1"/>
        <v>0</v>
      </c>
      <c r="N66" s="4" t="str">
        <f t="shared" si="2"/>
        <v>Закрыта</v>
      </c>
      <c r="O66" s="4" t="str">
        <f t="shared" si="3"/>
        <v>Оплачено</v>
      </c>
      <c r="P66" s="4" t="str">
        <f>IF(A66="",IF(COUNTA(B66:J66)&gt;0,"НЕТ ID",""),IF(OR(NOT(ISNUMBER(E66)),AND(Форма="ИП",C66="Дивиденды"),COUNTIF(Docs[ID],A66)&lt;&gt;1,NOT(ISNUMBER(B66)),B66&lt;НачалоУчета,YEAR(B66)&lt;&gt;Год,NOT(ISNUMBER(H66)),H66&lt;B66,E66&lt;0,COUNTIF(Виды,C66)&lt;&gt;1,COUNTIF(Категории,D66)&lt;&gt;1,COUNTIF(Контрагенты,F66)&lt;&gt;1,COUNTIF(Проекты,G66)&lt;&gt;1,L66&lt;-0.01,AND(I66&lt;&gt;"Проведён",I66&lt;&gt;"Черновик")),"ОШИБКА","ОК"))</f>
        <v>ОК</v>
      </c>
      <c r="Q66" s="4" t="str">
        <f t="shared" si="4"/>
        <v>ДЗ</v>
      </c>
    </row>
    <row r="67" spans="1:17" x14ac:dyDescent="0.25">
      <c r="A67" s="3" t="s">
        <v>666</v>
      </c>
      <c r="B67" s="19">
        <v>46151</v>
      </c>
      <c r="C67" s="3" t="s">
        <v>5</v>
      </c>
      <c r="D67" s="3" t="s">
        <v>485</v>
      </c>
      <c r="E67" s="12">
        <v>58000</v>
      </c>
      <c r="F67" s="3" t="s">
        <v>498</v>
      </c>
      <c r="G67" s="3" t="s">
        <v>298</v>
      </c>
      <c r="H67" s="19">
        <v>46166</v>
      </c>
      <c r="I67" s="3" t="s">
        <v>476</v>
      </c>
      <c r="J67" s="3"/>
      <c r="K67" s="4">
        <f>IF(A67="","",SUMIFS(Cash[Оплата],Cash[Документ],A67,Cash[Дата],"&lt;="&amp;ДатаОтчета))</f>
        <v>58000</v>
      </c>
      <c r="L67" s="4">
        <f t="shared" si="0"/>
        <v>0</v>
      </c>
      <c r="M67" s="4">
        <f t="shared" si="1"/>
        <v>0</v>
      </c>
      <c r="N67" s="4" t="str">
        <f t="shared" si="2"/>
        <v>Закрыта</v>
      </c>
      <c r="O67" s="4" t="str">
        <f t="shared" si="3"/>
        <v>Оплачено</v>
      </c>
      <c r="P67" s="4" t="str">
        <f>IF(A67="",IF(COUNTA(B67:J67)&gt;0,"НЕТ ID",""),IF(OR(NOT(ISNUMBER(E67)),AND(Форма="ИП",C67="Дивиденды"),COUNTIF(Docs[ID],A67)&lt;&gt;1,NOT(ISNUMBER(B67)),B67&lt;НачалоУчета,YEAR(B67)&lt;&gt;Год,NOT(ISNUMBER(H67)),H67&lt;B67,E67&lt;0,COUNTIF(Виды,C67)&lt;&gt;1,COUNTIF(Категории,D67)&lt;&gt;1,COUNTIF(Контрагенты,F67)&lt;&gt;1,COUNTIF(Проекты,G67)&lt;&gt;1,L67&lt;-0.01,AND(I67&lt;&gt;"Проведён",I67&lt;&gt;"Черновик")),"ОШИБКА","ОК"))</f>
        <v>ОК</v>
      </c>
      <c r="Q67" s="4" t="str">
        <f t="shared" si="4"/>
        <v>ДЗ</v>
      </c>
    </row>
    <row r="68" spans="1:17" x14ac:dyDescent="0.25">
      <c r="A68" s="3" t="s">
        <v>668</v>
      </c>
      <c r="B68" s="19">
        <v>46152</v>
      </c>
      <c r="C68" s="3" t="s">
        <v>5</v>
      </c>
      <c r="D68" s="3" t="s">
        <v>485</v>
      </c>
      <c r="E68" s="12">
        <v>46400</v>
      </c>
      <c r="F68" s="3" t="s">
        <v>501</v>
      </c>
      <c r="G68" s="3" t="s">
        <v>382</v>
      </c>
      <c r="H68" s="19">
        <v>46167</v>
      </c>
      <c r="I68" s="3" t="s">
        <v>476</v>
      </c>
      <c r="J68" s="3"/>
      <c r="K68" s="4">
        <f>IF(A68="","",SUMIFS(Cash[Оплата],Cash[Документ],A68,Cash[Дата],"&lt;="&amp;ДатаОтчета))</f>
        <v>46400</v>
      </c>
      <c r="L68" s="4">
        <f t="shared" si="0"/>
        <v>0</v>
      </c>
      <c r="M68" s="4">
        <f t="shared" si="1"/>
        <v>0</v>
      </c>
      <c r="N68" s="4" t="str">
        <f t="shared" si="2"/>
        <v>Закрыта</v>
      </c>
      <c r="O68" s="4" t="str">
        <f t="shared" si="3"/>
        <v>Оплачено</v>
      </c>
      <c r="P68" s="4" t="str">
        <f>IF(A68="",IF(COUNTA(B68:J68)&gt;0,"НЕТ ID",""),IF(OR(NOT(ISNUMBER(E68)),AND(Форма="ИП",C68="Дивиденды"),COUNTIF(Docs[ID],A68)&lt;&gt;1,NOT(ISNUMBER(B68)),B68&lt;НачалоУчета,YEAR(B68)&lt;&gt;Год,NOT(ISNUMBER(H68)),H68&lt;B68,E68&lt;0,COUNTIF(Виды,C68)&lt;&gt;1,COUNTIF(Категории,D68)&lt;&gt;1,COUNTIF(Контрагенты,F68)&lt;&gt;1,COUNTIF(Проекты,G68)&lt;&gt;1,L68&lt;-0.01,AND(I68&lt;&gt;"Проведён",I68&lt;&gt;"Черновик")),"ОШИБКА","ОК"))</f>
        <v>ОК</v>
      </c>
      <c r="Q68" s="4" t="str">
        <f t="shared" si="4"/>
        <v>ДЗ</v>
      </c>
    </row>
    <row r="69" spans="1:17" x14ac:dyDescent="0.25">
      <c r="A69" s="3" t="s">
        <v>670</v>
      </c>
      <c r="B69" s="19">
        <v>46152</v>
      </c>
      <c r="C69" s="3" t="s">
        <v>125</v>
      </c>
      <c r="D69" s="3" t="s">
        <v>505</v>
      </c>
      <c r="E69" s="12">
        <v>185600</v>
      </c>
      <c r="F69" s="3" t="s">
        <v>506</v>
      </c>
      <c r="G69" s="3" t="s">
        <v>298</v>
      </c>
      <c r="H69" s="19">
        <v>46164</v>
      </c>
      <c r="I69" s="3" t="s">
        <v>476</v>
      </c>
      <c r="J69" s="3"/>
      <c r="K69" s="4">
        <f>IF(A69="","",SUMIFS(Cash[Оплата],Cash[Документ],A69,Cash[Дата],"&lt;="&amp;ДатаОтчета))</f>
        <v>185600</v>
      </c>
      <c r="L69" s="4">
        <f t="shared" si="0"/>
        <v>0</v>
      </c>
      <c r="M69" s="4">
        <f t="shared" si="1"/>
        <v>0</v>
      </c>
      <c r="N69" s="4" t="str">
        <f t="shared" si="2"/>
        <v>Закрыта</v>
      </c>
      <c r="O69" s="4" t="str">
        <f t="shared" si="3"/>
        <v>Оплачено</v>
      </c>
      <c r="P69" s="4" t="str">
        <f>IF(A69="",IF(COUNTA(B69:J69)&gt;0,"НЕТ ID",""),IF(OR(NOT(ISNUMBER(E69)),AND(Форма="ИП",C69="Дивиденды"),COUNTIF(Docs[ID],A69)&lt;&gt;1,NOT(ISNUMBER(B69)),B69&lt;НачалоУчета,YEAR(B69)&lt;&gt;Год,NOT(ISNUMBER(H69)),H69&lt;B69,E69&lt;0,COUNTIF(Виды,C69)&lt;&gt;1,COUNTIF(Категории,D69)&lt;&gt;1,COUNTIF(Контрагенты,F69)&lt;&gt;1,COUNTIF(Проекты,G69)&lt;&gt;1,L69&lt;-0.01,AND(I69&lt;&gt;"Проведён",I69&lt;&gt;"Черновик")),"ОШИБКА","ОК"))</f>
        <v>ОК</v>
      </c>
      <c r="Q69" s="4" t="str">
        <f t="shared" si="4"/>
        <v>КЗ</v>
      </c>
    </row>
    <row r="70" spans="1:17" x14ac:dyDescent="0.25">
      <c r="A70" s="3" t="s">
        <v>672</v>
      </c>
      <c r="B70" s="19">
        <v>46153</v>
      </c>
      <c r="C70" s="3" t="s">
        <v>959</v>
      </c>
      <c r="D70" s="3" t="s">
        <v>509</v>
      </c>
      <c r="E70" s="12">
        <v>65000</v>
      </c>
      <c r="F70" s="3" t="s">
        <v>510</v>
      </c>
      <c r="G70" s="3" t="s">
        <v>383</v>
      </c>
      <c r="H70" s="19">
        <v>46165</v>
      </c>
      <c r="I70" s="3" t="s">
        <v>476</v>
      </c>
      <c r="J70" s="3"/>
      <c r="K70" s="4">
        <f>IF(A70="","",SUMIFS(Cash[Оплата],Cash[Документ],A70,Cash[Дата],"&lt;="&amp;ДатаОтчета))</f>
        <v>65000</v>
      </c>
      <c r="L70" s="4">
        <f t="shared" si="0"/>
        <v>0</v>
      </c>
      <c r="M70" s="4">
        <f t="shared" si="1"/>
        <v>0</v>
      </c>
      <c r="N70" s="4" t="str">
        <f t="shared" si="2"/>
        <v>Закрыта</v>
      </c>
      <c r="O70" s="4" t="str">
        <f t="shared" si="3"/>
        <v>Оплачено</v>
      </c>
      <c r="P70" s="4" t="str">
        <f>IF(A70="",IF(COUNTA(B70:J70)&gt;0,"НЕТ ID",""),IF(OR(NOT(ISNUMBER(E70)),AND(Форма="ИП",C70="Дивиденды"),COUNTIF(Docs[ID],A70)&lt;&gt;1,NOT(ISNUMBER(B70)),B70&lt;НачалоУчета,YEAR(B70)&lt;&gt;Год,NOT(ISNUMBER(H70)),H70&lt;B70,E70&lt;0,COUNTIF(Виды,C70)&lt;&gt;1,COUNTIF(Категории,D70)&lt;&gt;1,COUNTIF(Контрагенты,F70)&lt;&gt;1,COUNTIF(Проекты,G70)&lt;&gt;1,L70&lt;-0.01,AND(I70&lt;&gt;"Проведён",I70&lt;&gt;"Черновик")),"ОШИБКА","ОК"))</f>
        <v>ОК</v>
      </c>
      <c r="Q70" s="4" t="str">
        <f t="shared" si="4"/>
        <v>КЗ</v>
      </c>
    </row>
    <row r="71" spans="1:17" x14ac:dyDescent="0.25">
      <c r="A71" s="3" t="s">
        <v>675</v>
      </c>
      <c r="B71" s="19">
        <v>46154</v>
      </c>
      <c r="C71" s="3" t="s">
        <v>959</v>
      </c>
      <c r="D71" s="3" t="s">
        <v>295</v>
      </c>
      <c r="E71" s="12">
        <v>45000</v>
      </c>
      <c r="F71" s="3" t="s">
        <v>514</v>
      </c>
      <c r="G71" s="3" t="s">
        <v>381</v>
      </c>
      <c r="H71" s="19">
        <v>46166</v>
      </c>
      <c r="I71" s="3" t="s">
        <v>476</v>
      </c>
      <c r="J71" s="3"/>
      <c r="K71" s="4">
        <f>IF(A71="","",SUMIFS(Cash[Оплата],Cash[Документ],A71,Cash[Дата],"&lt;="&amp;ДатаОтчета))</f>
        <v>45000</v>
      </c>
      <c r="L71" s="4">
        <f t="shared" ref="L71:L134" si="5">IF(A71="","",IF(AND(I71="Проведён",B71&lt;=ДатаОтчета),E71-K71,0))</f>
        <v>0</v>
      </c>
      <c r="M71" s="4">
        <f t="shared" ref="M71:M134" si="6">IF(A71="","",IF(L71&gt;0.01,MAX(0,ДатаОтчета-H71),0))</f>
        <v>0</v>
      </c>
      <c r="N71" s="4" t="str">
        <f t="shared" ref="N71:N134" si="7">IF(A71="","",IF(L71&lt;=0.01,"Закрыта",IF(M71=0,"Не просрочена",IF(M71&lt;=30,"1–30 дней",IF(M71&lt;=60,"31–60 дней",IF(M71&lt;=90,"61–90 дней","Более 90 дней"))))))</f>
        <v>Закрыта</v>
      </c>
      <c r="O71" s="4" t="str">
        <f t="shared" ref="O71:O134" si="8">IF(A71="","",IF(L71&lt;-0.01,"Переплата",IF(L71&lt;=0.01,"Оплачено",IF(M71&gt;0,"Просрочено",IF(H71&lt;=ДатаОтчета+7,"Оплата в 7 дней","Открыто")))))</f>
        <v>Оплачено</v>
      </c>
      <c r="P71" s="4" t="str">
        <f>IF(A71="",IF(COUNTA(B71:J71)&gt;0,"НЕТ ID",""),IF(OR(NOT(ISNUMBER(E71)),AND(Форма="ИП",C71="Дивиденды"),COUNTIF(Docs[ID],A71)&lt;&gt;1,NOT(ISNUMBER(B71)),B71&lt;НачалоУчета,YEAR(B71)&lt;&gt;Год,NOT(ISNUMBER(H71)),H71&lt;B71,E71&lt;0,COUNTIF(Виды,C71)&lt;&gt;1,COUNTIF(Категории,D71)&lt;&gt;1,COUNTIF(Контрагенты,F71)&lt;&gt;1,COUNTIF(Проекты,G71)&lt;&gt;1,L71&lt;-0.01,AND(I71&lt;&gt;"Проведён",I71&lt;&gt;"Черновик")),"ОШИБКА","ОК"))</f>
        <v>ОК</v>
      </c>
      <c r="Q71" s="4" t="str">
        <f t="shared" ref="Q71:Q134" si="9">IF(A71="","",IF(OR(C71="Выручка",C71="Начальная ДЗ"),"ДЗ","КЗ"))</f>
        <v>КЗ</v>
      </c>
    </row>
    <row r="72" spans="1:17" x14ac:dyDescent="0.25">
      <c r="A72" s="3" t="s">
        <v>678</v>
      </c>
      <c r="B72" s="19">
        <v>46155</v>
      </c>
      <c r="C72" s="3" t="s">
        <v>959</v>
      </c>
      <c r="D72" s="3" t="s">
        <v>518</v>
      </c>
      <c r="E72" s="12">
        <v>18000</v>
      </c>
      <c r="F72" s="3" t="s">
        <v>519</v>
      </c>
      <c r="G72" s="3" t="s">
        <v>383</v>
      </c>
      <c r="H72" s="19">
        <v>46167</v>
      </c>
      <c r="I72" s="3" t="s">
        <v>476</v>
      </c>
      <c r="J72" s="3"/>
      <c r="K72" s="4">
        <f>IF(A72="","",SUMIFS(Cash[Оплата],Cash[Документ],A72,Cash[Дата],"&lt;="&amp;ДатаОтчета))</f>
        <v>18000</v>
      </c>
      <c r="L72" s="4">
        <f t="shared" si="5"/>
        <v>0</v>
      </c>
      <c r="M72" s="4">
        <f t="shared" si="6"/>
        <v>0</v>
      </c>
      <c r="N72" s="4" t="str">
        <f t="shared" si="7"/>
        <v>Закрыта</v>
      </c>
      <c r="O72" s="4" t="str">
        <f t="shared" si="8"/>
        <v>Оплачено</v>
      </c>
      <c r="P72" s="4" t="str">
        <f>IF(A72="",IF(COUNTA(B72:J72)&gt;0,"НЕТ ID",""),IF(OR(NOT(ISNUMBER(E72)),AND(Форма="ИП",C72="Дивиденды"),COUNTIF(Docs[ID],A72)&lt;&gt;1,NOT(ISNUMBER(B72)),B72&lt;НачалоУчета,YEAR(B72)&lt;&gt;Год,NOT(ISNUMBER(H72)),H72&lt;B72,E72&lt;0,COUNTIF(Виды,C72)&lt;&gt;1,COUNTIF(Категории,D72)&lt;&gt;1,COUNTIF(Контрагенты,F72)&lt;&gt;1,COUNTIF(Проекты,G72)&lt;&gt;1,L72&lt;-0.01,AND(I72&lt;&gt;"Проведён",I72&lt;&gt;"Черновик")),"ОШИБКА","ОК"))</f>
        <v>ОК</v>
      </c>
      <c r="Q72" s="4" t="str">
        <f t="shared" si="9"/>
        <v>КЗ</v>
      </c>
    </row>
    <row r="73" spans="1:17" x14ac:dyDescent="0.25">
      <c r="A73" s="3" t="s">
        <v>681</v>
      </c>
      <c r="B73" s="19">
        <v>46156</v>
      </c>
      <c r="C73" s="3" t="s">
        <v>959</v>
      </c>
      <c r="D73" s="3" t="s">
        <v>523</v>
      </c>
      <c r="E73" s="12">
        <v>78300</v>
      </c>
      <c r="F73" s="3" t="s">
        <v>52</v>
      </c>
      <c r="G73" s="3" t="s">
        <v>383</v>
      </c>
      <c r="H73" s="19">
        <v>46168</v>
      </c>
      <c r="I73" s="3" t="s">
        <v>476</v>
      </c>
      <c r="J73" s="3"/>
      <c r="K73" s="4">
        <f>IF(A73="","",SUMIFS(Cash[Оплата],Cash[Документ],A73,Cash[Дата],"&lt;="&amp;ДатаОтчета))</f>
        <v>78300</v>
      </c>
      <c r="L73" s="4">
        <f t="shared" si="5"/>
        <v>0</v>
      </c>
      <c r="M73" s="4">
        <f t="shared" si="6"/>
        <v>0</v>
      </c>
      <c r="N73" s="4" t="str">
        <f t="shared" si="7"/>
        <v>Закрыта</v>
      </c>
      <c r="O73" s="4" t="str">
        <f t="shared" si="8"/>
        <v>Оплачено</v>
      </c>
      <c r="P73" s="4" t="str">
        <f>IF(A73="",IF(COUNTA(B73:J73)&gt;0,"НЕТ ID",""),IF(OR(NOT(ISNUMBER(E73)),AND(Форма="ИП",C73="Дивиденды"),COUNTIF(Docs[ID],A73)&lt;&gt;1,NOT(ISNUMBER(B73)),B73&lt;НачалоУчета,YEAR(B73)&lt;&gt;Год,NOT(ISNUMBER(H73)),H73&lt;B73,E73&lt;0,COUNTIF(Виды,C73)&lt;&gt;1,COUNTIF(Категории,D73)&lt;&gt;1,COUNTIF(Контрагенты,F73)&lt;&gt;1,COUNTIF(Проекты,G73)&lt;&gt;1,L73&lt;-0.01,AND(I73&lt;&gt;"Проведён",I73&lt;&gt;"Черновик")),"ОШИБКА","ОК"))</f>
        <v>ОК</v>
      </c>
      <c r="Q73" s="4" t="str">
        <f t="shared" si="9"/>
        <v>КЗ</v>
      </c>
    </row>
    <row r="74" spans="1:17" x14ac:dyDescent="0.25">
      <c r="A74" s="3" t="s">
        <v>684</v>
      </c>
      <c r="B74" s="19">
        <v>46157</v>
      </c>
      <c r="C74" s="3" t="s">
        <v>959</v>
      </c>
      <c r="D74" s="3" t="s">
        <v>527</v>
      </c>
      <c r="E74" s="12">
        <v>11700</v>
      </c>
      <c r="F74" s="3" t="s">
        <v>528</v>
      </c>
      <c r="G74" s="3" t="s">
        <v>383</v>
      </c>
      <c r="H74" s="19">
        <v>46169</v>
      </c>
      <c r="I74" s="3" t="s">
        <v>476</v>
      </c>
      <c r="J74" s="3"/>
      <c r="K74" s="4">
        <f>IF(A74="","",SUMIFS(Cash[Оплата],Cash[Документ],A74,Cash[Дата],"&lt;="&amp;ДатаОтчета))</f>
        <v>11700</v>
      </c>
      <c r="L74" s="4">
        <f t="shared" si="5"/>
        <v>0</v>
      </c>
      <c r="M74" s="4">
        <f t="shared" si="6"/>
        <v>0</v>
      </c>
      <c r="N74" s="4" t="str">
        <f t="shared" si="7"/>
        <v>Закрыта</v>
      </c>
      <c r="O74" s="4" t="str">
        <f t="shared" si="8"/>
        <v>Оплачено</v>
      </c>
      <c r="P74" s="4" t="str">
        <f>IF(A74="",IF(COUNTA(B74:J74)&gt;0,"НЕТ ID",""),IF(OR(NOT(ISNUMBER(E74)),AND(Форма="ИП",C74="Дивиденды"),COUNTIF(Docs[ID],A74)&lt;&gt;1,NOT(ISNUMBER(B74)),B74&lt;НачалоУчета,YEAR(B74)&lt;&gt;Год,NOT(ISNUMBER(H74)),H74&lt;B74,E74&lt;0,COUNTIF(Виды,C74)&lt;&gt;1,COUNTIF(Категории,D74)&lt;&gt;1,COUNTIF(Контрагенты,F74)&lt;&gt;1,COUNTIF(Проекты,G74)&lt;&gt;1,L74&lt;-0.01,AND(I74&lt;&gt;"Проведён",I74&lt;&gt;"Черновик")),"ОШИБКА","ОК"))</f>
        <v>ОК</v>
      </c>
      <c r="Q74" s="4" t="str">
        <f t="shared" si="9"/>
        <v>КЗ</v>
      </c>
    </row>
    <row r="75" spans="1:17" x14ac:dyDescent="0.25">
      <c r="A75" s="3" t="s">
        <v>687</v>
      </c>
      <c r="B75" s="19">
        <v>46158</v>
      </c>
      <c r="C75" s="3" t="s">
        <v>959</v>
      </c>
      <c r="D75" s="3" t="s">
        <v>532</v>
      </c>
      <c r="E75" s="12">
        <v>27000</v>
      </c>
      <c r="F75" s="3" t="s">
        <v>528</v>
      </c>
      <c r="G75" s="3" t="s">
        <v>383</v>
      </c>
      <c r="H75" s="19">
        <v>46170</v>
      </c>
      <c r="I75" s="3" t="s">
        <v>476</v>
      </c>
      <c r="J75" s="3"/>
      <c r="K75" s="4">
        <f>IF(A75="","",SUMIFS(Cash[Оплата],Cash[Документ],A75,Cash[Дата],"&lt;="&amp;ДатаОтчета))</f>
        <v>27000</v>
      </c>
      <c r="L75" s="4">
        <f t="shared" si="5"/>
        <v>0</v>
      </c>
      <c r="M75" s="4">
        <f t="shared" si="6"/>
        <v>0</v>
      </c>
      <c r="N75" s="4" t="str">
        <f t="shared" si="7"/>
        <v>Закрыта</v>
      </c>
      <c r="O75" s="4" t="str">
        <f t="shared" si="8"/>
        <v>Оплачено</v>
      </c>
      <c r="P75" s="4" t="str">
        <f>IF(A75="",IF(COUNTA(B75:J75)&gt;0,"НЕТ ID",""),IF(OR(NOT(ISNUMBER(E75)),AND(Форма="ИП",C75="Дивиденды"),COUNTIF(Docs[ID],A75)&lt;&gt;1,NOT(ISNUMBER(B75)),B75&lt;НачалоУчета,YEAR(B75)&lt;&gt;Год,NOT(ISNUMBER(H75)),H75&lt;B75,E75&lt;0,COUNTIF(Виды,C75)&lt;&gt;1,COUNTIF(Категории,D75)&lt;&gt;1,COUNTIF(Контрагенты,F75)&lt;&gt;1,COUNTIF(Проекты,G75)&lt;&gt;1,L75&lt;-0.01,AND(I75&lt;&gt;"Проведён",I75&lt;&gt;"Черновик")),"ОШИБКА","ОК"))</f>
        <v>ОК</v>
      </c>
      <c r="Q75" s="4" t="str">
        <f t="shared" si="9"/>
        <v>КЗ</v>
      </c>
    </row>
    <row r="76" spans="1:17" x14ac:dyDescent="0.25">
      <c r="A76" s="3" t="s">
        <v>689</v>
      </c>
      <c r="B76" s="19">
        <v>46169</v>
      </c>
      <c r="C76" s="3" t="s">
        <v>130</v>
      </c>
      <c r="D76" s="3" t="s">
        <v>130</v>
      </c>
      <c r="E76" s="12">
        <v>3857.08</v>
      </c>
      <c r="F76" s="3" t="s">
        <v>397</v>
      </c>
      <c r="G76" s="3" t="s">
        <v>383</v>
      </c>
      <c r="H76" s="19">
        <v>46170</v>
      </c>
      <c r="I76" s="3" t="s">
        <v>476</v>
      </c>
      <c r="J76" s="3"/>
      <c r="K76" s="4">
        <f>IF(A76="","",SUMIFS(Cash[Оплата],Cash[Документ],A76,Cash[Дата],"&lt;="&amp;ДатаОтчета))</f>
        <v>3857.08</v>
      </c>
      <c r="L76" s="4">
        <f t="shared" si="5"/>
        <v>0</v>
      </c>
      <c r="M76" s="4">
        <f t="shared" si="6"/>
        <v>0</v>
      </c>
      <c r="N76" s="4" t="str">
        <f t="shared" si="7"/>
        <v>Закрыта</v>
      </c>
      <c r="O76" s="4" t="str">
        <f t="shared" si="8"/>
        <v>Оплачено</v>
      </c>
      <c r="P76" s="4" t="str">
        <f>IF(A76="",IF(COUNTA(B76:J76)&gt;0,"НЕТ ID",""),IF(OR(NOT(ISNUMBER(E76)),AND(Форма="ИП",C76="Дивиденды"),COUNTIF(Docs[ID],A76)&lt;&gt;1,NOT(ISNUMBER(B76)),B76&lt;НачалоУчета,YEAR(B76)&lt;&gt;Год,NOT(ISNUMBER(H76)),H76&lt;B76,E76&lt;0,COUNTIF(Виды,C76)&lt;&gt;1,COUNTIF(Категории,D76)&lt;&gt;1,COUNTIF(Контрагенты,F76)&lt;&gt;1,COUNTIF(Проекты,G76)&lt;&gt;1,L76&lt;-0.01,AND(I76&lt;&gt;"Проведён",I76&lt;&gt;"Черновик")),"ОШИБКА","ОК"))</f>
        <v>ОК</v>
      </c>
      <c r="Q76" s="4" t="str">
        <f t="shared" si="9"/>
        <v>КЗ</v>
      </c>
    </row>
    <row r="77" spans="1:17" x14ac:dyDescent="0.25">
      <c r="A77" s="3" t="s">
        <v>694</v>
      </c>
      <c r="B77" s="19">
        <v>46178</v>
      </c>
      <c r="C77" s="3" t="s">
        <v>5</v>
      </c>
      <c r="D77" s="3" t="s">
        <v>485</v>
      </c>
      <c r="E77" s="12">
        <v>173600</v>
      </c>
      <c r="F77" s="3" t="s">
        <v>486</v>
      </c>
      <c r="G77" s="3" t="s">
        <v>381</v>
      </c>
      <c r="H77" s="19">
        <v>46193</v>
      </c>
      <c r="I77" s="3" t="s">
        <v>476</v>
      </c>
      <c r="J77" s="3"/>
      <c r="K77" s="4">
        <f>IF(A77="","",SUMIFS(Cash[Оплата],Cash[Документ],A77,Cash[Дата],"&lt;="&amp;ДатаОтчета))</f>
        <v>173600</v>
      </c>
      <c r="L77" s="4">
        <f t="shared" si="5"/>
        <v>0</v>
      </c>
      <c r="M77" s="4">
        <f t="shared" si="6"/>
        <v>0</v>
      </c>
      <c r="N77" s="4" t="str">
        <f t="shared" si="7"/>
        <v>Закрыта</v>
      </c>
      <c r="O77" s="4" t="str">
        <f t="shared" si="8"/>
        <v>Оплачено</v>
      </c>
      <c r="P77" s="4" t="str">
        <f>IF(A77="",IF(COUNTA(B77:J77)&gt;0,"НЕТ ID",""),IF(OR(NOT(ISNUMBER(E77)),AND(Форма="ИП",C77="Дивиденды"),COUNTIF(Docs[ID],A77)&lt;&gt;1,NOT(ISNUMBER(B77)),B77&lt;НачалоУчета,YEAR(B77)&lt;&gt;Год,NOT(ISNUMBER(H77)),H77&lt;B77,E77&lt;0,COUNTIF(Виды,C77)&lt;&gt;1,COUNTIF(Категории,D77)&lt;&gt;1,COUNTIF(Контрагенты,F77)&lt;&gt;1,COUNTIF(Проекты,G77)&lt;&gt;1,L77&lt;-0.01,AND(I77&lt;&gt;"Проведён",I77&lt;&gt;"Черновик")),"ОШИБКА","ОК"))</f>
        <v>ОК</v>
      </c>
      <c r="Q77" s="4" t="str">
        <f t="shared" si="9"/>
        <v>ДЗ</v>
      </c>
    </row>
    <row r="78" spans="1:17" x14ac:dyDescent="0.25">
      <c r="A78" s="3" t="s">
        <v>696</v>
      </c>
      <c r="B78" s="19">
        <v>46179</v>
      </c>
      <c r="C78" s="3" t="s">
        <v>5</v>
      </c>
      <c r="D78" s="3" t="s">
        <v>485</v>
      </c>
      <c r="E78" s="12">
        <v>136400</v>
      </c>
      <c r="F78" s="3" t="s">
        <v>489</v>
      </c>
      <c r="G78" s="3" t="s">
        <v>298</v>
      </c>
      <c r="H78" s="19">
        <v>46194</v>
      </c>
      <c r="I78" s="3" t="s">
        <v>476</v>
      </c>
      <c r="J78" s="3"/>
      <c r="K78" s="4">
        <f>IF(A78="","",SUMIFS(Cash[Оплата],Cash[Документ],A78,Cash[Дата],"&lt;="&amp;ДатаОтчета))</f>
        <v>136400</v>
      </c>
      <c r="L78" s="4">
        <f t="shared" si="5"/>
        <v>0</v>
      </c>
      <c r="M78" s="4">
        <f t="shared" si="6"/>
        <v>0</v>
      </c>
      <c r="N78" s="4" t="str">
        <f t="shared" si="7"/>
        <v>Закрыта</v>
      </c>
      <c r="O78" s="4" t="str">
        <f t="shared" si="8"/>
        <v>Оплачено</v>
      </c>
      <c r="P78" s="4" t="str">
        <f>IF(A78="",IF(COUNTA(B78:J78)&gt;0,"НЕТ ID",""),IF(OR(NOT(ISNUMBER(E78)),AND(Форма="ИП",C78="Дивиденды"),COUNTIF(Docs[ID],A78)&lt;&gt;1,NOT(ISNUMBER(B78)),B78&lt;НачалоУчета,YEAR(B78)&lt;&gt;Год,NOT(ISNUMBER(H78)),H78&lt;B78,E78&lt;0,COUNTIF(Виды,C78)&lt;&gt;1,COUNTIF(Категории,D78)&lt;&gt;1,COUNTIF(Контрагенты,F78)&lt;&gt;1,COUNTIF(Проекты,G78)&lt;&gt;1,L78&lt;-0.01,AND(I78&lt;&gt;"Проведён",I78&lt;&gt;"Черновик")),"ОШИБКА","ОК"))</f>
        <v>ОК</v>
      </c>
      <c r="Q78" s="4" t="str">
        <f t="shared" si="9"/>
        <v>ДЗ</v>
      </c>
    </row>
    <row r="79" spans="1:17" x14ac:dyDescent="0.25">
      <c r="A79" s="3" t="s">
        <v>698</v>
      </c>
      <c r="B79" s="19">
        <v>46180</v>
      </c>
      <c r="C79" s="3" t="s">
        <v>5</v>
      </c>
      <c r="D79" s="3" t="s">
        <v>485</v>
      </c>
      <c r="E79" s="12">
        <v>111600</v>
      </c>
      <c r="F79" s="3" t="s">
        <v>492</v>
      </c>
      <c r="G79" s="3" t="s">
        <v>382</v>
      </c>
      <c r="H79" s="19">
        <v>46195</v>
      </c>
      <c r="I79" s="3" t="s">
        <v>476</v>
      </c>
      <c r="J79" s="3"/>
      <c r="K79" s="4">
        <f>IF(A79="","",SUMIFS(Cash[Оплата],Cash[Документ],A79,Cash[Дата],"&lt;="&amp;ДатаОтчета))</f>
        <v>111600</v>
      </c>
      <c r="L79" s="4">
        <f t="shared" si="5"/>
        <v>0</v>
      </c>
      <c r="M79" s="4">
        <f t="shared" si="6"/>
        <v>0</v>
      </c>
      <c r="N79" s="4" t="str">
        <f t="shared" si="7"/>
        <v>Закрыта</v>
      </c>
      <c r="O79" s="4" t="str">
        <f t="shared" si="8"/>
        <v>Оплачено</v>
      </c>
      <c r="P79" s="4" t="str">
        <f>IF(A79="",IF(COUNTA(B79:J79)&gt;0,"НЕТ ID",""),IF(OR(NOT(ISNUMBER(E79)),AND(Форма="ИП",C79="Дивиденды"),COUNTIF(Docs[ID],A79)&lt;&gt;1,NOT(ISNUMBER(B79)),B79&lt;НачалоУчета,YEAR(B79)&lt;&gt;Год,NOT(ISNUMBER(H79)),H79&lt;B79,E79&lt;0,COUNTIF(Виды,C79)&lt;&gt;1,COUNTIF(Категории,D79)&lt;&gt;1,COUNTIF(Контрагенты,F79)&lt;&gt;1,COUNTIF(Проекты,G79)&lt;&gt;1,L79&lt;-0.01,AND(I79&lt;&gt;"Проведён",I79&lt;&gt;"Черновик")),"ОШИБКА","ОК"))</f>
        <v>ОК</v>
      </c>
      <c r="Q79" s="4" t="str">
        <f t="shared" si="9"/>
        <v>ДЗ</v>
      </c>
    </row>
    <row r="80" spans="1:17" x14ac:dyDescent="0.25">
      <c r="A80" s="3" t="s">
        <v>700</v>
      </c>
      <c r="B80" s="19">
        <v>46181</v>
      </c>
      <c r="C80" s="3" t="s">
        <v>5</v>
      </c>
      <c r="D80" s="3" t="s">
        <v>485</v>
      </c>
      <c r="E80" s="12">
        <v>86800</v>
      </c>
      <c r="F80" s="3" t="s">
        <v>495</v>
      </c>
      <c r="G80" s="3" t="s">
        <v>381</v>
      </c>
      <c r="H80" s="19">
        <v>46196</v>
      </c>
      <c r="I80" s="3" t="s">
        <v>476</v>
      </c>
      <c r="J80" s="3"/>
      <c r="K80" s="4">
        <f>IF(A80="","",SUMIFS(Cash[Оплата],Cash[Документ],A80,Cash[Дата],"&lt;="&amp;ДатаОтчета))</f>
        <v>86800</v>
      </c>
      <c r="L80" s="4">
        <f t="shared" si="5"/>
        <v>0</v>
      </c>
      <c r="M80" s="4">
        <f t="shared" si="6"/>
        <v>0</v>
      </c>
      <c r="N80" s="4" t="str">
        <f t="shared" si="7"/>
        <v>Закрыта</v>
      </c>
      <c r="O80" s="4" t="str">
        <f t="shared" si="8"/>
        <v>Оплачено</v>
      </c>
      <c r="P80" s="4" t="str">
        <f>IF(A80="",IF(COUNTA(B80:J80)&gt;0,"НЕТ ID",""),IF(OR(NOT(ISNUMBER(E80)),AND(Форма="ИП",C80="Дивиденды"),COUNTIF(Docs[ID],A80)&lt;&gt;1,NOT(ISNUMBER(B80)),B80&lt;НачалоУчета,YEAR(B80)&lt;&gt;Год,NOT(ISNUMBER(H80)),H80&lt;B80,E80&lt;0,COUNTIF(Виды,C80)&lt;&gt;1,COUNTIF(Категории,D80)&lt;&gt;1,COUNTIF(Контрагенты,F80)&lt;&gt;1,COUNTIF(Проекты,G80)&lt;&gt;1,L80&lt;-0.01,AND(I80&lt;&gt;"Проведён",I80&lt;&gt;"Черновик")),"ОШИБКА","ОК"))</f>
        <v>ОК</v>
      </c>
      <c r="Q80" s="4" t="str">
        <f t="shared" si="9"/>
        <v>ДЗ</v>
      </c>
    </row>
    <row r="81" spans="1:17" x14ac:dyDescent="0.25">
      <c r="A81" s="3" t="s">
        <v>702</v>
      </c>
      <c r="B81" s="19">
        <v>46182</v>
      </c>
      <c r="C81" s="3" t="s">
        <v>5</v>
      </c>
      <c r="D81" s="3" t="s">
        <v>485</v>
      </c>
      <c r="E81" s="12">
        <v>62000</v>
      </c>
      <c r="F81" s="3" t="s">
        <v>498</v>
      </c>
      <c r="G81" s="3" t="s">
        <v>298</v>
      </c>
      <c r="H81" s="19">
        <v>46197</v>
      </c>
      <c r="I81" s="3" t="s">
        <v>476</v>
      </c>
      <c r="J81" s="3"/>
      <c r="K81" s="4">
        <f>IF(A81="","",SUMIFS(Cash[Оплата],Cash[Документ],A81,Cash[Дата],"&lt;="&amp;ДатаОтчета))</f>
        <v>62000</v>
      </c>
      <c r="L81" s="4">
        <f t="shared" si="5"/>
        <v>0</v>
      </c>
      <c r="M81" s="4">
        <f t="shared" si="6"/>
        <v>0</v>
      </c>
      <c r="N81" s="4" t="str">
        <f t="shared" si="7"/>
        <v>Закрыта</v>
      </c>
      <c r="O81" s="4" t="str">
        <f t="shared" si="8"/>
        <v>Оплачено</v>
      </c>
      <c r="P81" s="4" t="str">
        <f>IF(A81="",IF(COUNTA(B81:J81)&gt;0,"НЕТ ID",""),IF(OR(NOT(ISNUMBER(E81)),AND(Форма="ИП",C81="Дивиденды"),COUNTIF(Docs[ID],A81)&lt;&gt;1,NOT(ISNUMBER(B81)),B81&lt;НачалоУчета,YEAR(B81)&lt;&gt;Год,NOT(ISNUMBER(H81)),H81&lt;B81,E81&lt;0,COUNTIF(Виды,C81)&lt;&gt;1,COUNTIF(Категории,D81)&lt;&gt;1,COUNTIF(Контрагенты,F81)&lt;&gt;1,COUNTIF(Проекты,G81)&lt;&gt;1,L81&lt;-0.01,AND(I81&lt;&gt;"Проведён",I81&lt;&gt;"Черновик")),"ОШИБКА","ОК"))</f>
        <v>ОК</v>
      </c>
      <c r="Q81" s="4" t="str">
        <f t="shared" si="9"/>
        <v>ДЗ</v>
      </c>
    </row>
    <row r="82" spans="1:17" x14ac:dyDescent="0.25">
      <c r="A82" s="3" t="s">
        <v>704</v>
      </c>
      <c r="B82" s="19">
        <v>46183</v>
      </c>
      <c r="C82" s="3" t="s">
        <v>5</v>
      </c>
      <c r="D82" s="3" t="s">
        <v>485</v>
      </c>
      <c r="E82" s="12">
        <v>49600</v>
      </c>
      <c r="F82" s="3" t="s">
        <v>501</v>
      </c>
      <c r="G82" s="3" t="s">
        <v>382</v>
      </c>
      <c r="H82" s="19">
        <v>46198</v>
      </c>
      <c r="I82" s="3" t="s">
        <v>476</v>
      </c>
      <c r="J82" s="3"/>
      <c r="K82" s="4">
        <f>IF(A82="","",SUMIFS(Cash[Оплата],Cash[Документ],A82,Cash[Дата],"&lt;="&amp;ДатаОтчета))</f>
        <v>49600</v>
      </c>
      <c r="L82" s="4">
        <f t="shared" si="5"/>
        <v>0</v>
      </c>
      <c r="M82" s="4">
        <f t="shared" si="6"/>
        <v>0</v>
      </c>
      <c r="N82" s="4" t="str">
        <f t="shared" si="7"/>
        <v>Закрыта</v>
      </c>
      <c r="O82" s="4" t="str">
        <f t="shared" si="8"/>
        <v>Оплачено</v>
      </c>
      <c r="P82" s="4" t="str">
        <f>IF(A82="",IF(COUNTA(B82:J82)&gt;0,"НЕТ ID",""),IF(OR(NOT(ISNUMBER(E82)),AND(Форма="ИП",C82="Дивиденды"),COUNTIF(Docs[ID],A82)&lt;&gt;1,NOT(ISNUMBER(B82)),B82&lt;НачалоУчета,YEAR(B82)&lt;&gt;Год,NOT(ISNUMBER(H82)),H82&lt;B82,E82&lt;0,COUNTIF(Виды,C82)&lt;&gt;1,COUNTIF(Категории,D82)&lt;&gt;1,COUNTIF(Контрагенты,F82)&lt;&gt;1,COUNTIF(Проекты,G82)&lt;&gt;1,L82&lt;-0.01,AND(I82&lt;&gt;"Проведён",I82&lt;&gt;"Черновик")),"ОШИБКА","ОК"))</f>
        <v>ОК</v>
      </c>
      <c r="Q82" s="4" t="str">
        <f t="shared" si="9"/>
        <v>ДЗ</v>
      </c>
    </row>
    <row r="83" spans="1:17" x14ac:dyDescent="0.25">
      <c r="A83" s="3" t="s">
        <v>706</v>
      </c>
      <c r="B83" s="19">
        <v>46183</v>
      </c>
      <c r="C83" s="3" t="s">
        <v>125</v>
      </c>
      <c r="D83" s="3" t="s">
        <v>505</v>
      </c>
      <c r="E83" s="12">
        <v>198400</v>
      </c>
      <c r="F83" s="3" t="s">
        <v>506</v>
      </c>
      <c r="G83" s="3" t="s">
        <v>298</v>
      </c>
      <c r="H83" s="19">
        <v>46195</v>
      </c>
      <c r="I83" s="3" t="s">
        <v>476</v>
      </c>
      <c r="J83" s="3"/>
      <c r="K83" s="4">
        <f>IF(A83="","",SUMIFS(Cash[Оплата],Cash[Документ],A83,Cash[Дата],"&lt;="&amp;ДатаОтчета))</f>
        <v>198400</v>
      </c>
      <c r="L83" s="4">
        <f t="shared" si="5"/>
        <v>0</v>
      </c>
      <c r="M83" s="4">
        <f t="shared" si="6"/>
        <v>0</v>
      </c>
      <c r="N83" s="4" t="str">
        <f t="shared" si="7"/>
        <v>Закрыта</v>
      </c>
      <c r="O83" s="4" t="str">
        <f t="shared" si="8"/>
        <v>Оплачено</v>
      </c>
      <c r="P83" s="4" t="str">
        <f>IF(A83="",IF(COUNTA(B83:J83)&gt;0,"НЕТ ID",""),IF(OR(NOT(ISNUMBER(E83)),AND(Форма="ИП",C83="Дивиденды"),COUNTIF(Docs[ID],A83)&lt;&gt;1,NOT(ISNUMBER(B83)),B83&lt;НачалоУчета,YEAR(B83)&lt;&gt;Год,NOT(ISNUMBER(H83)),H83&lt;B83,E83&lt;0,COUNTIF(Виды,C83)&lt;&gt;1,COUNTIF(Категории,D83)&lt;&gt;1,COUNTIF(Контрагенты,F83)&lt;&gt;1,COUNTIF(Проекты,G83)&lt;&gt;1,L83&lt;-0.01,AND(I83&lt;&gt;"Проведён",I83&lt;&gt;"Черновик")),"ОШИБКА","ОК"))</f>
        <v>ОК</v>
      </c>
      <c r="Q83" s="4" t="str">
        <f t="shared" si="9"/>
        <v>КЗ</v>
      </c>
    </row>
    <row r="84" spans="1:17" x14ac:dyDescent="0.25">
      <c r="A84" s="3" t="s">
        <v>708</v>
      </c>
      <c r="B84" s="19">
        <v>46184</v>
      </c>
      <c r="C84" s="3" t="s">
        <v>959</v>
      </c>
      <c r="D84" s="3" t="s">
        <v>509</v>
      </c>
      <c r="E84" s="12">
        <v>65000</v>
      </c>
      <c r="F84" s="3" t="s">
        <v>510</v>
      </c>
      <c r="G84" s="3" t="s">
        <v>383</v>
      </c>
      <c r="H84" s="19">
        <v>46196</v>
      </c>
      <c r="I84" s="3" t="s">
        <v>476</v>
      </c>
      <c r="J84" s="3"/>
      <c r="K84" s="4">
        <f>IF(A84="","",SUMIFS(Cash[Оплата],Cash[Документ],A84,Cash[Дата],"&lt;="&amp;ДатаОтчета))</f>
        <v>65000</v>
      </c>
      <c r="L84" s="4">
        <f t="shared" si="5"/>
        <v>0</v>
      </c>
      <c r="M84" s="4">
        <f t="shared" si="6"/>
        <v>0</v>
      </c>
      <c r="N84" s="4" t="str">
        <f t="shared" si="7"/>
        <v>Закрыта</v>
      </c>
      <c r="O84" s="4" t="str">
        <f t="shared" si="8"/>
        <v>Оплачено</v>
      </c>
      <c r="P84" s="4" t="str">
        <f>IF(A84="",IF(COUNTA(B84:J84)&gt;0,"НЕТ ID",""),IF(OR(NOT(ISNUMBER(E84)),AND(Форма="ИП",C84="Дивиденды"),COUNTIF(Docs[ID],A84)&lt;&gt;1,NOT(ISNUMBER(B84)),B84&lt;НачалоУчета,YEAR(B84)&lt;&gt;Год,NOT(ISNUMBER(H84)),H84&lt;B84,E84&lt;0,COUNTIF(Виды,C84)&lt;&gt;1,COUNTIF(Категории,D84)&lt;&gt;1,COUNTIF(Контрагенты,F84)&lt;&gt;1,COUNTIF(Проекты,G84)&lt;&gt;1,L84&lt;-0.01,AND(I84&lt;&gt;"Проведён",I84&lt;&gt;"Черновик")),"ОШИБКА","ОК"))</f>
        <v>ОК</v>
      </c>
      <c r="Q84" s="4" t="str">
        <f t="shared" si="9"/>
        <v>КЗ</v>
      </c>
    </row>
    <row r="85" spans="1:17" x14ac:dyDescent="0.25">
      <c r="A85" s="3" t="s">
        <v>711</v>
      </c>
      <c r="B85" s="19">
        <v>46185</v>
      </c>
      <c r="C85" s="3" t="s">
        <v>959</v>
      </c>
      <c r="D85" s="3" t="s">
        <v>295</v>
      </c>
      <c r="E85" s="12">
        <v>45000</v>
      </c>
      <c r="F85" s="3" t="s">
        <v>514</v>
      </c>
      <c r="G85" s="3" t="s">
        <v>381</v>
      </c>
      <c r="H85" s="19">
        <v>46197</v>
      </c>
      <c r="I85" s="3" t="s">
        <v>476</v>
      </c>
      <c r="J85" s="3"/>
      <c r="K85" s="4">
        <f>IF(A85="","",SUMIFS(Cash[Оплата],Cash[Документ],A85,Cash[Дата],"&lt;="&amp;ДатаОтчета))</f>
        <v>45000</v>
      </c>
      <c r="L85" s="4">
        <f t="shared" si="5"/>
        <v>0</v>
      </c>
      <c r="M85" s="4">
        <f t="shared" si="6"/>
        <v>0</v>
      </c>
      <c r="N85" s="4" t="str">
        <f t="shared" si="7"/>
        <v>Закрыта</v>
      </c>
      <c r="O85" s="4" t="str">
        <f t="shared" si="8"/>
        <v>Оплачено</v>
      </c>
      <c r="P85" s="4" t="str">
        <f>IF(A85="",IF(COUNTA(B85:J85)&gt;0,"НЕТ ID",""),IF(OR(NOT(ISNUMBER(E85)),AND(Форма="ИП",C85="Дивиденды"),COUNTIF(Docs[ID],A85)&lt;&gt;1,NOT(ISNUMBER(B85)),B85&lt;НачалоУчета,YEAR(B85)&lt;&gt;Год,NOT(ISNUMBER(H85)),H85&lt;B85,E85&lt;0,COUNTIF(Виды,C85)&lt;&gt;1,COUNTIF(Категории,D85)&lt;&gt;1,COUNTIF(Контрагенты,F85)&lt;&gt;1,COUNTIF(Проекты,G85)&lt;&gt;1,L85&lt;-0.01,AND(I85&lt;&gt;"Проведён",I85&lt;&gt;"Черновик")),"ОШИБКА","ОК"))</f>
        <v>ОК</v>
      </c>
      <c r="Q85" s="4" t="str">
        <f t="shared" si="9"/>
        <v>КЗ</v>
      </c>
    </row>
    <row r="86" spans="1:17" x14ac:dyDescent="0.25">
      <c r="A86" s="3" t="s">
        <v>714</v>
      </c>
      <c r="B86" s="19">
        <v>46186</v>
      </c>
      <c r="C86" s="3" t="s">
        <v>959</v>
      </c>
      <c r="D86" s="3" t="s">
        <v>518</v>
      </c>
      <c r="E86" s="12">
        <v>18000</v>
      </c>
      <c r="F86" s="3" t="s">
        <v>519</v>
      </c>
      <c r="G86" s="3" t="s">
        <v>383</v>
      </c>
      <c r="H86" s="19">
        <v>46198</v>
      </c>
      <c r="I86" s="3" t="s">
        <v>476</v>
      </c>
      <c r="J86" s="3"/>
      <c r="K86" s="4">
        <f>IF(A86="","",SUMIFS(Cash[Оплата],Cash[Документ],A86,Cash[Дата],"&lt;="&amp;ДатаОтчета))</f>
        <v>18000</v>
      </c>
      <c r="L86" s="4">
        <f t="shared" si="5"/>
        <v>0</v>
      </c>
      <c r="M86" s="4">
        <f t="shared" si="6"/>
        <v>0</v>
      </c>
      <c r="N86" s="4" t="str">
        <f t="shared" si="7"/>
        <v>Закрыта</v>
      </c>
      <c r="O86" s="4" t="str">
        <f t="shared" si="8"/>
        <v>Оплачено</v>
      </c>
      <c r="P86" s="4" t="str">
        <f>IF(A86="",IF(COUNTA(B86:J86)&gt;0,"НЕТ ID",""),IF(OR(NOT(ISNUMBER(E86)),AND(Форма="ИП",C86="Дивиденды"),COUNTIF(Docs[ID],A86)&lt;&gt;1,NOT(ISNUMBER(B86)),B86&lt;НачалоУчета,YEAR(B86)&lt;&gt;Год,NOT(ISNUMBER(H86)),H86&lt;B86,E86&lt;0,COUNTIF(Виды,C86)&lt;&gt;1,COUNTIF(Категории,D86)&lt;&gt;1,COUNTIF(Контрагенты,F86)&lt;&gt;1,COUNTIF(Проекты,G86)&lt;&gt;1,L86&lt;-0.01,AND(I86&lt;&gt;"Проведён",I86&lt;&gt;"Черновик")),"ОШИБКА","ОК"))</f>
        <v>ОК</v>
      </c>
      <c r="Q86" s="4" t="str">
        <f t="shared" si="9"/>
        <v>КЗ</v>
      </c>
    </row>
    <row r="87" spans="1:17" x14ac:dyDescent="0.25">
      <c r="A87" s="3" t="s">
        <v>717</v>
      </c>
      <c r="B87" s="19">
        <v>46187</v>
      </c>
      <c r="C87" s="3" t="s">
        <v>959</v>
      </c>
      <c r="D87" s="3" t="s">
        <v>523</v>
      </c>
      <c r="E87" s="12">
        <v>78300</v>
      </c>
      <c r="F87" s="3" t="s">
        <v>52</v>
      </c>
      <c r="G87" s="3" t="s">
        <v>383</v>
      </c>
      <c r="H87" s="19">
        <v>46199</v>
      </c>
      <c r="I87" s="3" t="s">
        <v>476</v>
      </c>
      <c r="J87" s="3"/>
      <c r="K87" s="4">
        <f>IF(A87="","",SUMIFS(Cash[Оплата],Cash[Документ],A87,Cash[Дата],"&lt;="&amp;ДатаОтчета))</f>
        <v>78300</v>
      </c>
      <c r="L87" s="4">
        <f t="shared" si="5"/>
        <v>0</v>
      </c>
      <c r="M87" s="4">
        <f t="shared" si="6"/>
        <v>0</v>
      </c>
      <c r="N87" s="4" t="str">
        <f t="shared" si="7"/>
        <v>Закрыта</v>
      </c>
      <c r="O87" s="4" t="str">
        <f t="shared" si="8"/>
        <v>Оплачено</v>
      </c>
      <c r="P87" s="4" t="str">
        <f>IF(A87="",IF(COUNTA(B87:J87)&gt;0,"НЕТ ID",""),IF(OR(NOT(ISNUMBER(E87)),AND(Форма="ИП",C87="Дивиденды"),COUNTIF(Docs[ID],A87)&lt;&gt;1,NOT(ISNUMBER(B87)),B87&lt;НачалоУчета,YEAR(B87)&lt;&gt;Год,NOT(ISNUMBER(H87)),H87&lt;B87,E87&lt;0,COUNTIF(Виды,C87)&lt;&gt;1,COUNTIF(Категории,D87)&lt;&gt;1,COUNTIF(Контрагенты,F87)&lt;&gt;1,COUNTIF(Проекты,G87)&lt;&gt;1,L87&lt;-0.01,AND(I87&lt;&gt;"Проведён",I87&lt;&gt;"Черновик")),"ОШИБКА","ОК"))</f>
        <v>ОК</v>
      </c>
      <c r="Q87" s="4" t="str">
        <f t="shared" si="9"/>
        <v>КЗ</v>
      </c>
    </row>
    <row r="88" spans="1:17" x14ac:dyDescent="0.25">
      <c r="A88" s="3" t="s">
        <v>720</v>
      </c>
      <c r="B88" s="19">
        <v>46188</v>
      </c>
      <c r="C88" s="3" t="s">
        <v>959</v>
      </c>
      <c r="D88" s="3" t="s">
        <v>527</v>
      </c>
      <c r="E88" s="12">
        <v>11700</v>
      </c>
      <c r="F88" s="3" t="s">
        <v>528</v>
      </c>
      <c r="G88" s="3" t="s">
        <v>383</v>
      </c>
      <c r="H88" s="19">
        <v>46200</v>
      </c>
      <c r="I88" s="3" t="s">
        <v>476</v>
      </c>
      <c r="J88" s="3"/>
      <c r="K88" s="4">
        <f>IF(A88="","",SUMIFS(Cash[Оплата],Cash[Документ],A88,Cash[Дата],"&lt;="&amp;ДатаОтчета))</f>
        <v>11700</v>
      </c>
      <c r="L88" s="4">
        <f t="shared" si="5"/>
        <v>0</v>
      </c>
      <c r="M88" s="4">
        <f t="shared" si="6"/>
        <v>0</v>
      </c>
      <c r="N88" s="4" t="str">
        <f t="shared" si="7"/>
        <v>Закрыта</v>
      </c>
      <c r="O88" s="4" t="str">
        <f t="shared" si="8"/>
        <v>Оплачено</v>
      </c>
      <c r="P88" s="4" t="str">
        <f>IF(A88="",IF(COUNTA(B88:J88)&gt;0,"НЕТ ID",""),IF(OR(NOT(ISNUMBER(E88)),AND(Форма="ИП",C88="Дивиденды"),COUNTIF(Docs[ID],A88)&lt;&gt;1,NOT(ISNUMBER(B88)),B88&lt;НачалоУчета,YEAR(B88)&lt;&gt;Год,NOT(ISNUMBER(H88)),H88&lt;B88,E88&lt;0,COUNTIF(Виды,C88)&lt;&gt;1,COUNTIF(Категории,D88)&lt;&gt;1,COUNTIF(Контрагенты,F88)&lt;&gt;1,COUNTIF(Проекты,G88)&lt;&gt;1,L88&lt;-0.01,AND(I88&lt;&gt;"Проведён",I88&lt;&gt;"Черновик")),"ОШИБКА","ОК"))</f>
        <v>ОК</v>
      </c>
      <c r="Q88" s="4" t="str">
        <f t="shared" si="9"/>
        <v>КЗ</v>
      </c>
    </row>
    <row r="89" spans="1:17" x14ac:dyDescent="0.25">
      <c r="A89" s="3" t="s">
        <v>723</v>
      </c>
      <c r="B89" s="19">
        <v>46189</v>
      </c>
      <c r="C89" s="3" t="s">
        <v>959</v>
      </c>
      <c r="D89" s="3" t="s">
        <v>532</v>
      </c>
      <c r="E89" s="12">
        <v>27000</v>
      </c>
      <c r="F89" s="3" t="s">
        <v>528</v>
      </c>
      <c r="G89" s="3" t="s">
        <v>383</v>
      </c>
      <c r="H89" s="19">
        <v>46201</v>
      </c>
      <c r="I89" s="3" t="s">
        <v>476</v>
      </c>
      <c r="J89" s="3"/>
      <c r="K89" s="4">
        <f>IF(A89="","",SUMIFS(Cash[Оплата],Cash[Документ],A89,Cash[Дата],"&lt;="&amp;ДатаОтчета))</f>
        <v>27000</v>
      </c>
      <c r="L89" s="4">
        <f t="shared" si="5"/>
        <v>0</v>
      </c>
      <c r="M89" s="4">
        <f t="shared" si="6"/>
        <v>0</v>
      </c>
      <c r="N89" s="4" t="str">
        <f t="shared" si="7"/>
        <v>Закрыта</v>
      </c>
      <c r="O89" s="4" t="str">
        <f t="shared" si="8"/>
        <v>Оплачено</v>
      </c>
      <c r="P89" s="4" t="str">
        <f>IF(A89="",IF(COUNTA(B89:J89)&gt;0,"НЕТ ID",""),IF(OR(NOT(ISNUMBER(E89)),AND(Форма="ИП",C89="Дивиденды"),COUNTIF(Docs[ID],A89)&lt;&gt;1,NOT(ISNUMBER(B89)),B89&lt;НачалоУчета,YEAR(B89)&lt;&gt;Год,NOT(ISNUMBER(H89)),H89&lt;B89,E89&lt;0,COUNTIF(Виды,C89)&lt;&gt;1,COUNTIF(Категории,D89)&lt;&gt;1,COUNTIF(Контрагенты,F89)&lt;&gt;1,COUNTIF(Проекты,G89)&lt;&gt;1,L89&lt;-0.01,AND(I89&lt;&gt;"Проведён",I89&lt;&gt;"Черновик")),"ОШИБКА","ОК"))</f>
        <v>ОК</v>
      </c>
      <c r="Q89" s="4" t="str">
        <f t="shared" si="9"/>
        <v>КЗ</v>
      </c>
    </row>
    <row r="90" spans="1:17" x14ac:dyDescent="0.25">
      <c r="A90" s="3" t="s">
        <v>725</v>
      </c>
      <c r="B90" s="19">
        <v>46200</v>
      </c>
      <c r="C90" s="3" t="s">
        <v>130</v>
      </c>
      <c r="D90" s="3" t="s">
        <v>130</v>
      </c>
      <c r="E90" s="12">
        <v>3690.28</v>
      </c>
      <c r="F90" s="3" t="s">
        <v>397</v>
      </c>
      <c r="G90" s="3" t="s">
        <v>383</v>
      </c>
      <c r="H90" s="19">
        <v>46201</v>
      </c>
      <c r="I90" s="3" t="s">
        <v>476</v>
      </c>
      <c r="J90" s="3"/>
      <c r="K90" s="4">
        <f>IF(A90="","",SUMIFS(Cash[Оплата],Cash[Документ],A90,Cash[Дата],"&lt;="&amp;ДатаОтчета))</f>
        <v>3690.28</v>
      </c>
      <c r="L90" s="4">
        <f t="shared" si="5"/>
        <v>0</v>
      </c>
      <c r="M90" s="4">
        <f t="shared" si="6"/>
        <v>0</v>
      </c>
      <c r="N90" s="4" t="str">
        <f t="shared" si="7"/>
        <v>Закрыта</v>
      </c>
      <c r="O90" s="4" t="str">
        <f t="shared" si="8"/>
        <v>Оплачено</v>
      </c>
      <c r="P90" s="4" t="str">
        <f>IF(A90="",IF(COUNTA(B90:J90)&gt;0,"НЕТ ID",""),IF(OR(NOT(ISNUMBER(E90)),AND(Форма="ИП",C90="Дивиденды"),COUNTIF(Docs[ID],A90)&lt;&gt;1,NOT(ISNUMBER(B90)),B90&lt;НачалоУчета,YEAR(B90)&lt;&gt;Год,NOT(ISNUMBER(H90)),H90&lt;B90,E90&lt;0,COUNTIF(Виды,C90)&lt;&gt;1,COUNTIF(Категории,D90)&lt;&gt;1,COUNTIF(Контрагенты,F90)&lt;&gt;1,COUNTIF(Проекты,G90)&lt;&gt;1,L90&lt;-0.01,AND(I90&lt;&gt;"Проведён",I90&lt;&gt;"Черновик")),"ОШИБКА","ОК"))</f>
        <v>ОК</v>
      </c>
      <c r="Q90" s="4" t="str">
        <f t="shared" si="9"/>
        <v>КЗ</v>
      </c>
    </row>
    <row r="91" spans="1:17" x14ac:dyDescent="0.25">
      <c r="A91" s="3" t="s">
        <v>732</v>
      </c>
      <c r="B91" s="19">
        <v>46208</v>
      </c>
      <c r="C91" s="3" t="s">
        <v>5</v>
      </c>
      <c r="D91" s="3" t="s">
        <v>485</v>
      </c>
      <c r="E91" s="12">
        <v>165200</v>
      </c>
      <c r="F91" s="3" t="s">
        <v>486</v>
      </c>
      <c r="G91" s="3" t="s">
        <v>381</v>
      </c>
      <c r="H91" s="19">
        <v>46223</v>
      </c>
      <c r="I91" s="3" t="s">
        <v>476</v>
      </c>
      <c r="J91" s="3"/>
      <c r="K91" s="4">
        <f>IF(A91="","",SUMIFS(Cash[Оплата],Cash[Документ],A91,Cash[Дата],"&lt;="&amp;ДатаОтчета))</f>
        <v>165200</v>
      </c>
      <c r="L91" s="4">
        <f t="shared" si="5"/>
        <v>0</v>
      </c>
      <c r="M91" s="4">
        <f t="shared" si="6"/>
        <v>0</v>
      </c>
      <c r="N91" s="4" t="str">
        <f t="shared" si="7"/>
        <v>Закрыта</v>
      </c>
      <c r="O91" s="4" t="str">
        <f t="shared" si="8"/>
        <v>Оплачено</v>
      </c>
      <c r="P91" s="4" t="str">
        <f>IF(A91="",IF(COUNTA(B91:J91)&gt;0,"НЕТ ID",""),IF(OR(NOT(ISNUMBER(E91)),AND(Форма="ИП",C91="Дивиденды"),COUNTIF(Docs[ID],A91)&lt;&gt;1,NOT(ISNUMBER(B91)),B91&lt;НачалоУчета,YEAR(B91)&lt;&gt;Год,NOT(ISNUMBER(H91)),H91&lt;B91,E91&lt;0,COUNTIF(Виды,C91)&lt;&gt;1,COUNTIF(Категории,D91)&lt;&gt;1,COUNTIF(Контрагенты,F91)&lt;&gt;1,COUNTIF(Проекты,G91)&lt;&gt;1,L91&lt;-0.01,AND(I91&lt;&gt;"Проведён",I91&lt;&gt;"Черновик")),"ОШИБКА","ОК"))</f>
        <v>ОК</v>
      </c>
      <c r="Q91" s="4" t="str">
        <f t="shared" si="9"/>
        <v>ДЗ</v>
      </c>
    </row>
    <row r="92" spans="1:17" x14ac:dyDescent="0.25">
      <c r="A92" s="3" t="s">
        <v>734</v>
      </c>
      <c r="B92" s="19">
        <v>46209</v>
      </c>
      <c r="C92" s="3" t="s">
        <v>5</v>
      </c>
      <c r="D92" s="3" t="s">
        <v>485</v>
      </c>
      <c r="E92" s="12">
        <v>129800</v>
      </c>
      <c r="F92" s="3" t="s">
        <v>489</v>
      </c>
      <c r="G92" s="3" t="s">
        <v>298</v>
      </c>
      <c r="H92" s="19">
        <v>46224</v>
      </c>
      <c r="I92" s="3" t="s">
        <v>476</v>
      </c>
      <c r="J92" s="3"/>
      <c r="K92" s="4">
        <f>IF(A92="","",SUMIFS(Cash[Оплата],Cash[Документ],A92,Cash[Дата],"&lt;="&amp;ДатаОтчета))</f>
        <v>129800</v>
      </c>
      <c r="L92" s="4">
        <f t="shared" si="5"/>
        <v>0</v>
      </c>
      <c r="M92" s="4">
        <f t="shared" si="6"/>
        <v>0</v>
      </c>
      <c r="N92" s="4" t="str">
        <f t="shared" si="7"/>
        <v>Закрыта</v>
      </c>
      <c r="O92" s="4" t="str">
        <f t="shared" si="8"/>
        <v>Оплачено</v>
      </c>
      <c r="P92" s="4" t="str">
        <f>IF(A92="",IF(COUNTA(B92:J92)&gt;0,"НЕТ ID",""),IF(OR(NOT(ISNUMBER(E92)),AND(Форма="ИП",C92="Дивиденды"),COUNTIF(Docs[ID],A92)&lt;&gt;1,NOT(ISNUMBER(B92)),B92&lt;НачалоУчета,YEAR(B92)&lt;&gt;Год,NOT(ISNUMBER(H92)),H92&lt;B92,E92&lt;0,COUNTIF(Виды,C92)&lt;&gt;1,COUNTIF(Категории,D92)&lt;&gt;1,COUNTIF(Контрагенты,F92)&lt;&gt;1,COUNTIF(Проекты,G92)&lt;&gt;1,L92&lt;-0.01,AND(I92&lt;&gt;"Проведён",I92&lt;&gt;"Черновик")),"ОШИБКА","ОК"))</f>
        <v>ОК</v>
      </c>
      <c r="Q92" s="4" t="str">
        <f t="shared" si="9"/>
        <v>ДЗ</v>
      </c>
    </row>
    <row r="93" spans="1:17" x14ac:dyDescent="0.25">
      <c r="A93" s="3" t="s">
        <v>736</v>
      </c>
      <c r="B93" s="19">
        <v>46210</v>
      </c>
      <c r="C93" s="3" t="s">
        <v>5</v>
      </c>
      <c r="D93" s="3" t="s">
        <v>485</v>
      </c>
      <c r="E93" s="12">
        <v>106200</v>
      </c>
      <c r="F93" s="3" t="s">
        <v>492</v>
      </c>
      <c r="G93" s="3" t="s">
        <v>382</v>
      </c>
      <c r="H93" s="19">
        <v>46225</v>
      </c>
      <c r="I93" s="3" t="s">
        <v>476</v>
      </c>
      <c r="J93" s="3"/>
      <c r="K93" s="4">
        <f>IF(A93="","",SUMIFS(Cash[Оплата],Cash[Документ],A93,Cash[Дата],"&lt;="&amp;ДатаОтчета))</f>
        <v>106200</v>
      </c>
      <c r="L93" s="4">
        <f t="shared" si="5"/>
        <v>0</v>
      </c>
      <c r="M93" s="4">
        <f t="shared" si="6"/>
        <v>0</v>
      </c>
      <c r="N93" s="4" t="str">
        <f t="shared" si="7"/>
        <v>Закрыта</v>
      </c>
      <c r="O93" s="4" t="str">
        <f t="shared" si="8"/>
        <v>Оплачено</v>
      </c>
      <c r="P93" s="4" t="str">
        <f>IF(A93="",IF(COUNTA(B93:J93)&gt;0,"НЕТ ID",""),IF(OR(NOT(ISNUMBER(E93)),AND(Форма="ИП",C93="Дивиденды"),COUNTIF(Docs[ID],A93)&lt;&gt;1,NOT(ISNUMBER(B93)),B93&lt;НачалоУчета,YEAR(B93)&lt;&gt;Год,NOT(ISNUMBER(H93)),H93&lt;B93,E93&lt;0,COUNTIF(Виды,C93)&lt;&gt;1,COUNTIF(Категории,D93)&lt;&gt;1,COUNTIF(Контрагенты,F93)&lt;&gt;1,COUNTIF(Проекты,G93)&lt;&gt;1,L93&lt;-0.01,AND(I93&lt;&gt;"Проведён",I93&lt;&gt;"Черновик")),"ОШИБКА","ОК"))</f>
        <v>ОК</v>
      </c>
      <c r="Q93" s="4" t="str">
        <f t="shared" si="9"/>
        <v>ДЗ</v>
      </c>
    </row>
    <row r="94" spans="1:17" x14ac:dyDescent="0.25">
      <c r="A94" s="3" t="s">
        <v>738</v>
      </c>
      <c r="B94" s="19">
        <v>46211</v>
      </c>
      <c r="C94" s="3" t="s">
        <v>5</v>
      </c>
      <c r="D94" s="3" t="s">
        <v>485</v>
      </c>
      <c r="E94" s="12">
        <v>82600</v>
      </c>
      <c r="F94" s="3" t="s">
        <v>495</v>
      </c>
      <c r="G94" s="3" t="s">
        <v>381</v>
      </c>
      <c r="H94" s="19">
        <v>46226</v>
      </c>
      <c r="I94" s="3" t="s">
        <v>476</v>
      </c>
      <c r="J94" s="3"/>
      <c r="K94" s="4">
        <f>IF(A94="","",SUMIFS(Cash[Оплата],Cash[Документ],A94,Cash[Дата],"&lt;="&amp;ДатаОтчета))</f>
        <v>82600</v>
      </c>
      <c r="L94" s="4">
        <f t="shared" si="5"/>
        <v>0</v>
      </c>
      <c r="M94" s="4">
        <f t="shared" si="6"/>
        <v>0</v>
      </c>
      <c r="N94" s="4" t="str">
        <f t="shared" si="7"/>
        <v>Закрыта</v>
      </c>
      <c r="O94" s="4" t="str">
        <f t="shared" si="8"/>
        <v>Оплачено</v>
      </c>
      <c r="P94" s="4" t="str">
        <f>IF(A94="",IF(COUNTA(B94:J94)&gt;0,"НЕТ ID",""),IF(OR(NOT(ISNUMBER(E94)),AND(Форма="ИП",C94="Дивиденды"),COUNTIF(Docs[ID],A94)&lt;&gt;1,NOT(ISNUMBER(B94)),B94&lt;НачалоУчета,YEAR(B94)&lt;&gt;Год,NOT(ISNUMBER(H94)),H94&lt;B94,E94&lt;0,COUNTIF(Виды,C94)&lt;&gt;1,COUNTIF(Категории,D94)&lt;&gt;1,COUNTIF(Контрагенты,F94)&lt;&gt;1,COUNTIF(Проекты,G94)&lt;&gt;1,L94&lt;-0.01,AND(I94&lt;&gt;"Проведён",I94&lt;&gt;"Черновик")),"ОШИБКА","ОК"))</f>
        <v>ОК</v>
      </c>
      <c r="Q94" s="4" t="str">
        <f t="shared" si="9"/>
        <v>ДЗ</v>
      </c>
    </row>
    <row r="95" spans="1:17" x14ac:dyDescent="0.25">
      <c r="A95" s="3" t="s">
        <v>740</v>
      </c>
      <c r="B95" s="19">
        <v>46212</v>
      </c>
      <c r="C95" s="3" t="s">
        <v>5</v>
      </c>
      <c r="D95" s="3" t="s">
        <v>485</v>
      </c>
      <c r="E95" s="12">
        <v>59000</v>
      </c>
      <c r="F95" s="3" t="s">
        <v>498</v>
      </c>
      <c r="G95" s="3" t="s">
        <v>298</v>
      </c>
      <c r="H95" s="19">
        <v>46227</v>
      </c>
      <c r="I95" s="3" t="s">
        <v>476</v>
      </c>
      <c r="J95" s="3"/>
      <c r="K95" s="4">
        <f>IF(A95="","",SUMIFS(Cash[Оплата],Cash[Документ],A95,Cash[Дата],"&lt;="&amp;ДатаОтчета))</f>
        <v>59000</v>
      </c>
      <c r="L95" s="4">
        <f t="shared" si="5"/>
        <v>0</v>
      </c>
      <c r="M95" s="4">
        <f t="shared" si="6"/>
        <v>0</v>
      </c>
      <c r="N95" s="4" t="str">
        <f t="shared" si="7"/>
        <v>Закрыта</v>
      </c>
      <c r="O95" s="4" t="str">
        <f t="shared" si="8"/>
        <v>Оплачено</v>
      </c>
      <c r="P95" s="4" t="str">
        <f>IF(A95="",IF(COUNTA(B95:J95)&gt;0,"НЕТ ID",""),IF(OR(NOT(ISNUMBER(E95)),AND(Форма="ИП",C95="Дивиденды"),COUNTIF(Docs[ID],A95)&lt;&gt;1,NOT(ISNUMBER(B95)),B95&lt;НачалоУчета,YEAR(B95)&lt;&gt;Год,NOT(ISNUMBER(H95)),H95&lt;B95,E95&lt;0,COUNTIF(Виды,C95)&lt;&gt;1,COUNTIF(Категории,D95)&lt;&gt;1,COUNTIF(Контрагенты,F95)&lt;&gt;1,COUNTIF(Проекты,G95)&lt;&gt;1,L95&lt;-0.01,AND(I95&lt;&gt;"Проведён",I95&lt;&gt;"Черновик")),"ОШИБКА","ОК"))</f>
        <v>ОК</v>
      </c>
      <c r="Q95" s="4" t="str">
        <f t="shared" si="9"/>
        <v>ДЗ</v>
      </c>
    </row>
    <row r="96" spans="1:17" x14ac:dyDescent="0.25">
      <c r="A96" s="3" t="s">
        <v>742</v>
      </c>
      <c r="B96" s="19">
        <v>46213</v>
      </c>
      <c r="C96" s="3" t="s">
        <v>5</v>
      </c>
      <c r="D96" s="3" t="s">
        <v>485</v>
      </c>
      <c r="E96" s="12">
        <v>47200</v>
      </c>
      <c r="F96" s="3" t="s">
        <v>501</v>
      </c>
      <c r="G96" s="3" t="s">
        <v>382</v>
      </c>
      <c r="H96" s="19">
        <v>46228</v>
      </c>
      <c r="I96" s="3" t="s">
        <v>476</v>
      </c>
      <c r="J96" s="3"/>
      <c r="K96" s="4">
        <f>IF(A96="","",SUMIFS(Cash[Оплата],Cash[Документ],A96,Cash[Дата],"&lt;="&amp;ДатаОтчета))</f>
        <v>47200</v>
      </c>
      <c r="L96" s="4">
        <f t="shared" si="5"/>
        <v>0</v>
      </c>
      <c r="M96" s="4">
        <f t="shared" si="6"/>
        <v>0</v>
      </c>
      <c r="N96" s="4" t="str">
        <f t="shared" si="7"/>
        <v>Закрыта</v>
      </c>
      <c r="O96" s="4" t="str">
        <f t="shared" si="8"/>
        <v>Оплачено</v>
      </c>
      <c r="P96" s="4" t="str">
        <f>IF(A96="",IF(COUNTA(B96:J96)&gt;0,"НЕТ ID",""),IF(OR(NOT(ISNUMBER(E96)),AND(Форма="ИП",C96="Дивиденды"),COUNTIF(Docs[ID],A96)&lt;&gt;1,NOT(ISNUMBER(B96)),B96&lt;НачалоУчета,YEAR(B96)&lt;&gt;Год,NOT(ISNUMBER(H96)),H96&lt;B96,E96&lt;0,COUNTIF(Виды,C96)&lt;&gt;1,COUNTIF(Категории,D96)&lt;&gt;1,COUNTIF(Контрагенты,F96)&lt;&gt;1,COUNTIF(Проекты,G96)&lt;&gt;1,L96&lt;-0.01,AND(I96&lt;&gt;"Проведён",I96&lt;&gt;"Черновик")),"ОШИБКА","ОК"))</f>
        <v>ОК</v>
      </c>
      <c r="Q96" s="4" t="str">
        <f t="shared" si="9"/>
        <v>ДЗ</v>
      </c>
    </row>
    <row r="97" spans="1:17" x14ac:dyDescent="0.25">
      <c r="A97" s="3" t="s">
        <v>744</v>
      </c>
      <c r="B97" s="19">
        <v>46213</v>
      </c>
      <c r="C97" s="3" t="s">
        <v>125</v>
      </c>
      <c r="D97" s="3" t="s">
        <v>505</v>
      </c>
      <c r="E97" s="12">
        <v>188800</v>
      </c>
      <c r="F97" s="3" t="s">
        <v>506</v>
      </c>
      <c r="G97" s="3" t="s">
        <v>298</v>
      </c>
      <c r="H97" s="19">
        <v>46225</v>
      </c>
      <c r="I97" s="3" t="s">
        <v>476</v>
      </c>
      <c r="J97" s="3"/>
      <c r="K97" s="4">
        <f>IF(A97="","",SUMIFS(Cash[Оплата],Cash[Документ],A97,Cash[Дата],"&lt;="&amp;ДатаОтчета))</f>
        <v>188800</v>
      </c>
      <c r="L97" s="4">
        <f t="shared" si="5"/>
        <v>0</v>
      </c>
      <c r="M97" s="4">
        <f t="shared" si="6"/>
        <v>0</v>
      </c>
      <c r="N97" s="4" t="str">
        <f t="shared" si="7"/>
        <v>Закрыта</v>
      </c>
      <c r="O97" s="4" t="str">
        <f t="shared" si="8"/>
        <v>Оплачено</v>
      </c>
      <c r="P97" s="4" t="str">
        <f>IF(A97="",IF(COUNTA(B97:J97)&gt;0,"НЕТ ID",""),IF(OR(NOT(ISNUMBER(E97)),AND(Форма="ИП",C97="Дивиденды"),COUNTIF(Docs[ID],A97)&lt;&gt;1,NOT(ISNUMBER(B97)),B97&lt;НачалоУчета,YEAR(B97)&lt;&gt;Год,NOT(ISNUMBER(H97)),H97&lt;B97,E97&lt;0,COUNTIF(Виды,C97)&lt;&gt;1,COUNTIF(Категории,D97)&lt;&gt;1,COUNTIF(Контрагенты,F97)&lt;&gt;1,COUNTIF(Проекты,G97)&lt;&gt;1,L97&lt;-0.01,AND(I97&lt;&gt;"Проведён",I97&lt;&gt;"Черновик")),"ОШИБКА","ОК"))</f>
        <v>ОК</v>
      </c>
      <c r="Q97" s="4" t="str">
        <f t="shared" si="9"/>
        <v>КЗ</v>
      </c>
    </row>
    <row r="98" spans="1:17" x14ac:dyDescent="0.25">
      <c r="A98" s="3" t="s">
        <v>746</v>
      </c>
      <c r="B98" s="19">
        <v>46214</v>
      </c>
      <c r="C98" s="3" t="s">
        <v>959</v>
      </c>
      <c r="D98" s="3" t="s">
        <v>509</v>
      </c>
      <c r="E98" s="12">
        <v>65000</v>
      </c>
      <c r="F98" s="3" t="s">
        <v>510</v>
      </c>
      <c r="G98" s="3" t="s">
        <v>383</v>
      </c>
      <c r="H98" s="19">
        <v>46226</v>
      </c>
      <c r="I98" s="3" t="s">
        <v>476</v>
      </c>
      <c r="J98" s="3"/>
      <c r="K98" s="4">
        <f>IF(A98="","",SUMIFS(Cash[Оплата],Cash[Документ],A98,Cash[Дата],"&lt;="&amp;ДатаОтчета))</f>
        <v>65000</v>
      </c>
      <c r="L98" s="4">
        <f t="shared" si="5"/>
        <v>0</v>
      </c>
      <c r="M98" s="4">
        <f t="shared" si="6"/>
        <v>0</v>
      </c>
      <c r="N98" s="4" t="str">
        <f t="shared" si="7"/>
        <v>Закрыта</v>
      </c>
      <c r="O98" s="4" t="str">
        <f t="shared" si="8"/>
        <v>Оплачено</v>
      </c>
      <c r="P98" s="4" t="str">
        <f>IF(A98="",IF(COUNTA(B98:J98)&gt;0,"НЕТ ID",""),IF(OR(NOT(ISNUMBER(E98)),AND(Форма="ИП",C98="Дивиденды"),COUNTIF(Docs[ID],A98)&lt;&gt;1,NOT(ISNUMBER(B98)),B98&lt;НачалоУчета,YEAR(B98)&lt;&gt;Год,NOT(ISNUMBER(H98)),H98&lt;B98,E98&lt;0,COUNTIF(Виды,C98)&lt;&gt;1,COUNTIF(Категории,D98)&lt;&gt;1,COUNTIF(Контрагенты,F98)&lt;&gt;1,COUNTIF(Проекты,G98)&lt;&gt;1,L98&lt;-0.01,AND(I98&lt;&gt;"Проведён",I98&lt;&gt;"Черновик")),"ОШИБКА","ОК"))</f>
        <v>ОК</v>
      </c>
      <c r="Q98" s="4" t="str">
        <f t="shared" si="9"/>
        <v>КЗ</v>
      </c>
    </row>
    <row r="99" spans="1:17" x14ac:dyDescent="0.25">
      <c r="A99" s="3" t="s">
        <v>749</v>
      </c>
      <c r="B99" s="19">
        <v>46215</v>
      </c>
      <c r="C99" s="3" t="s">
        <v>959</v>
      </c>
      <c r="D99" s="3" t="s">
        <v>295</v>
      </c>
      <c r="E99" s="12">
        <v>45000</v>
      </c>
      <c r="F99" s="3" t="s">
        <v>514</v>
      </c>
      <c r="G99" s="3" t="s">
        <v>381</v>
      </c>
      <c r="H99" s="19">
        <v>46227</v>
      </c>
      <c r="I99" s="3" t="s">
        <v>476</v>
      </c>
      <c r="J99" s="3"/>
      <c r="K99" s="4">
        <f>IF(A99="","",SUMIFS(Cash[Оплата],Cash[Документ],A99,Cash[Дата],"&lt;="&amp;ДатаОтчета))</f>
        <v>45000</v>
      </c>
      <c r="L99" s="4">
        <f t="shared" si="5"/>
        <v>0</v>
      </c>
      <c r="M99" s="4">
        <f t="shared" si="6"/>
        <v>0</v>
      </c>
      <c r="N99" s="4" t="str">
        <f t="shared" si="7"/>
        <v>Закрыта</v>
      </c>
      <c r="O99" s="4" t="str">
        <f t="shared" si="8"/>
        <v>Оплачено</v>
      </c>
      <c r="P99" s="4" t="str">
        <f>IF(A99="",IF(COUNTA(B99:J99)&gt;0,"НЕТ ID",""),IF(OR(NOT(ISNUMBER(E99)),AND(Форма="ИП",C99="Дивиденды"),COUNTIF(Docs[ID],A99)&lt;&gt;1,NOT(ISNUMBER(B99)),B99&lt;НачалоУчета,YEAR(B99)&lt;&gt;Год,NOT(ISNUMBER(H99)),H99&lt;B99,E99&lt;0,COUNTIF(Виды,C99)&lt;&gt;1,COUNTIF(Категории,D99)&lt;&gt;1,COUNTIF(Контрагенты,F99)&lt;&gt;1,COUNTIF(Проекты,G99)&lt;&gt;1,L99&lt;-0.01,AND(I99&lt;&gt;"Проведён",I99&lt;&gt;"Черновик")),"ОШИБКА","ОК"))</f>
        <v>ОК</v>
      </c>
      <c r="Q99" s="4" t="str">
        <f t="shared" si="9"/>
        <v>КЗ</v>
      </c>
    </row>
    <row r="100" spans="1:17" x14ac:dyDescent="0.25">
      <c r="A100" s="3" t="s">
        <v>752</v>
      </c>
      <c r="B100" s="19">
        <v>46216</v>
      </c>
      <c r="C100" s="3" t="s">
        <v>959</v>
      </c>
      <c r="D100" s="3" t="s">
        <v>518</v>
      </c>
      <c r="E100" s="12">
        <v>18000</v>
      </c>
      <c r="F100" s="3" t="s">
        <v>519</v>
      </c>
      <c r="G100" s="3" t="s">
        <v>383</v>
      </c>
      <c r="H100" s="19">
        <v>46228</v>
      </c>
      <c r="I100" s="3" t="s">
        <v>476</v>
      </c>
      <c r="J100" s="3"/>
      <c r="K100" s="4">
        <f>IF(A100="","",SUMIFS(Cash[Оплата],Cash[Документ],A100,Cash[Дата],"&lt;="&amp;ДатаОтчета))</f>
        <v>18000</v>
      </c>
      <c r="L100" s="4">
        <f t="shared" si="5"/>
        <v>0</v>
      </c>
      <c r="M100" s="4">
        <f t="shared" si="6"/>
        <v>0</v>
      </c>
      <c r="N100" s="4" t="str">
        <f t="shared" si="7"/>
        <v>Закрыта</v>
      </c>
      <c r="O100" s="4" t="str">
        <f t="shared" si="8"/>
        <v>Оплачено</v>
      </c>
      <c r="P100" s="4" t="str">
        <f>IF(A100="",IF(COUNTA(B100:J100)&gt;0,"НЕТ ID",""),IF(OR(NOT(ISNUMBER(E100)),AND(Форма="ИП",C100="Дивиденды"),COUNTIF(Docs[ID],A100)&lt;&gt;1,NOT(ISNUMBER(B100)),B100&lt;НачалоУчета,YEAR(B100)&lt;&gt;Год,NOT(ISNUMBER(H100)),H100&lt;B100,E100&lt;0,COUNTIF(Виды,C100)&lt;&gt;1,COUNTIF(Категории,D100)&lt;&gt;1,COUNTIF(Контрагенты,F100)&lt;&gt;1,COUNTIF(Проекты,G100)&lt;&gt;1,L100&lt;-0.01,AND(I100&lt;&gt;"Проведён",I100&lt;&gt;"Черновик")),"ОШИБКА","ОК"))</f>
        <v>ОК</v>
      </c>
      <c r="Q100" s="4" t="str">
        <f t="shared" si="9"/>
        <v>КЗ</v>
      </c>
    </row>
    <row r="101" spans="1:17" x14ac:dyDescent="0.25">
      <c r="A101" s="3" t="s">
        <v>757</v>
      </c>
      <c r="B101" s="19">
        <v>46217</v>
      </c>
      <c r="C101" s="3" t="s">
        <v>959</v>
      </c>
      <c r="D101" s="3" t="s">
        <v>523</v>
      </c>
      <c r="E101" s="12">
        <v>78300</v>
      </c>
      <c r="F101" s="3" t="s">
        <v>52</v>
      </c>
      <c r="G101" s="3" t="s">
        <v>383</v>
      </c>
      <c r="H101" s="19">
        <v>46229</v>
      </c>
      <c r="I101" s="3" t="s">
        <v>476</v>
      </c>
      <c r="J101" s="3"/>
      <c r="K101" s="4">
        <f>IF(A101="","",SUMIFS(Cash[Оплата],Cash[Документ],A101,Cash[Дата],"&lt;="&amp;ДатаОтчета))</f>
        <v>78300</v>
      </c>
      <c r="L101" s="4">
        <f t="shared" si="5"/>
        <v>0</v>
      </c>
      <c r="M101" s="4">
        <f t="shared" si="6"/>
        <v>0</v>
      </c>
      <c r="N101" s="4" t="str">
        <f t="shared" si="7"/>
        <v>Закрыта</v>
      </c>
      <c r="O101" s="4" t="str">
        <f t="shared" si="8"/>
        <v>Оплачено</v>
      </c>
      <c r="P101" s="4" t="str">
        <f>IF(A101="",IF(COUNTA(B101:J101)&gt;0,"НЕТ ID",""),IF(OR(NOT(ISNUMBER(E101)),AND(Форма="ИП",C101="Дивиденды"),COUNTIF(Docs[ID],A101)&lt;&gt;1,NOT(ISNUMBER(B101)),B101&lt;НачалоУчета,YEAR(B101)&lt;&gt;Год,NOT(ISNUMBER(H101)),H101&lt;B101,E101&lt;0,COUNTIF(Виды,C101)&lt;&gt;1,COUNTIF(Категории,D101)&lt;&gt;1,COUNTIF(Контрагенты,F101)&lt;&gt;1,COUNTIF(Проекты,G101)&lt;&gt;1,L101&lt;-0.01,AND(I101&lt;&gt;"Проведён",I101&lt;&gt;"Черновик")),"ОШИБКА","ОК"))</f>
        <v>ОК</v>
      </c>
      <c r="Q101" s="4" t="str">
        <f t="shared" si="9"/>
        <v>КЗ</v>
      </c>
    </row>
    <row r="102" spans="1:17" x14ac:dyDescent="0.25">
      <c r="A102" s="3" t="s">
        <v>760</v>
      </c>
      <c r="B102" s="19">
        <v>46218</v>
      </c>
      <c r="C102" s="3" t="s">
        <v>959</v>
      </c>
      <c r="D102" s="3" t="s">
        <v>527</v>
      </c>
      <c r="E102" s="12">
        <v>11700</v>
      </c>
      <c r="F102" s="3" t="s">
        <v>528</v>
      </c>
      <c r="G102" s="3" t="s">
        <v>383</v>
      </c>
      <c r="H102" s="19">
        <v>46230</v>
      </c>
      <c r="I102" s="3" t="s">
        <v>476</v>
      </c>
      <c r="J102" s="3"/>
      <c r="K102" s="4">
        <f>IF(A102="","",SUMIFS(Cash[Оплата],Cash[Документ],A102,Cash[Дата],"&lt;="&amp;ДатаОтчета))</f>
        <v>11700</v>
      </c>
      <c r="L102" s="4">
        <f t="shared" si="5"/>
        <v>0</v>
      </c>
      <c r="M102" s="4">
        <f t="shared" si="6"/>
        <v>0</v>
      </c>
      <c r="N102" s="4" t="str">
        <f t="shared" si="7"/>
        <v>Закрыта</v>
      </c>
      <c r="O102" s="4" t="str">
        <f t="shared" si="8"/>
        <v>Оплачено</v>
      </c>
      <c r="P102" s="4" t="str">
        <f>IF(A102="",IF(COUNTA(B102:J102)&gt;0,"НЕТ ID",""),IF(OR(NOT(ISNUMBER(E102)),AND(Форма="ИП",C102="Дивиденды"),COUNTIF(Docs[ID],A102)&lt;&gt;1,NOT(ISNUMBER(B102)),B102&lt;НачалоУчета,YEAR(B102)&lt;&gt;Год,NOT(ISNUMBER(H102)),H102&lt;B102,E102&lt;0,COUNTIF(Виды,C102)&lt;&gt;1,COUNTIF(Категории,D102)&lt;&gt;1,COUNTIF(Контрагенты,F102)&lt;&gt;1,COUNTIF(Проекты,G102)&lt;&gt;1,L102&lt;-0.01,AND(I102&lt;&gt;"Проведён",I102&lt;&gt;"Черновик")),"ОШИБКА","ОК"))</f>
        <v>ОК</v>
      </c>
      <c r="Q102" s="4" t="str">
        <f t="shared" si="9"/>
        <v>КЗ</v>
      </c>
    </row>
    <row r="103" spans="1:17" x14ac:dyDescent="0.25">
      <c r="A103" s="3" t="s">
        <v>763</v>
      </c>
      <c r="B103" s="19">
        <v>46219</v>
      </c>
      <c r="C103" s="3" t="s">
        <v>959</v>
      </c>
      <c r="D103" s="3" t="s">
        <v>532</v>
      </c>
      <c r="E103" s="12">
        <v>27000</v>
      </c>
      <c r="F103" s="3" t="s">
        <v>528</v>
      </c>
      <c r="G103" s="3" t="s">
        <v>383</v>
      </c>
      <c r="H103" s="19">
        <v>46231</v>
      </c>
      <c r="I103" s="3" t="s">
        <v>476</v>
      </c>
      <c r="J103" s="3"/>
      <c r="K103" s="4">
        <f>IF(A103="","",SUMIFS(Cash[Оплата],Cash[Документ],A103,Cash[Дата],"&lt;="&amp;ДатаОтчета))</f>
        <v>27000</v>
      </c>
      <c r="L103" s="4">
        <f t="shared" si="5"/>
        <v>0</v>
      </c>
      <c r="M103" s="4">
        <f t="shared" si="6"/>
        <v>0</v>
      </c>
      <c r="N103" s="4" t="str">
        <f t="shared" si="7"/>
        <v>Закрыта</v>
      </c>
      <c r="O103" s="4" t="str">
        <f t="shared" si="8"/>
        <v>Оплачено</v>
      </c>
      <c r="P103" s="4" t="str">
        <f>IF(A103="",IF(COUNTA(B103:J103)&gt;0,"НЕТ ID",""),IF(OR(NOT(ISNUMBER(E103)),AND(Форма="ИП",C103="Дивиденды"),COUNTIF(Docs[ID],A103)&lt;&gt;1,NOT(ISNUMBER(B103)),B103&lt;НачалоУчета,YEAR(B103)&lt;&gt;Год,NOT(ISNUMBER(H103)),H103&lt;B103,E103&lt;0,COUNTIF(Виды,C103)&lt;&gt;1,COUNTIF(Категории,D103)&lt;&gt;1,COUNTIF(Контрагенты,F103)&lt;&gt;1,COUNTIF(Проекты,G103)&lt;&gt;1,L103&lt;-0.01,AND(I103&lt;&gt;"Проведён",I103&lt;&gt;"Черновик")),"ОШИБКА","ОК"))</f>
        <v>ОК</v>
      </c>
      <c r="Q103" s="4" t="str">
        <f t="shared" si="9"/>
        <v>КЗ</v>
      </c>
    </row>
    <row r="104" spans="1:17" x14ac:dyDescent="0.25">
      <c r="A104" s="3" t="s">
        <v>765</v>
      </c>
      <c r="B104" s="19">
        <v>46230</v>
      </c>
      <c r="C104" s="3" t="s">
        <v>130</v>
      </c>
      <c r="D104" s="3" t="s">
        <v>130</v>
      </c>
      <c r="E104" s="12">
        <v>3145.97</v>
      </c>
      <c r="F104" s="3" t="s">
        <v>397</v>
      </c>
      <c r="G104" s="3" t="s">
        <v>383</v>
      </c>
      <c r="H104" s="19">
        <v>46231</v>
      </c>
      <c r="I104" s="3" t="s">
        <v>476</v>
      </c>
      <c r="J104" s="3"/>
      <c r="K104" s="4">
        <f>IF(A104="","",SUMIFS(Cash[Оплата],Cash[Документ],A104,Cash[Дата],"&lt;="&amp;ДатаОтчета))</f>
        <v>3145.97</v>
      </c>
      <c r="L104" s="4">
        <f t="shared" si="5"/>
        <v>0</v>
      </c>
      <c r="M104" s="4">
        <f t="shared" si="6"/>
        <v>0</v>
      </c>
      <c r="N104" s="4" t="str">
        <f t="shared" si="7"/>
        <v>Закрыта</v>
      </c>
      <c r="O104" s="4" t="str">
        <f t="shared" si="8"/>
        <v>Оплачено</v>
      </c>
      <c r="P104" s="4" t="str">
        <f>IF(A104="",IF(COUNTA(B104:J104)&gt;0,"НЕТ ID",""),IF(OR(NOT(ISNUMBER(E104)),AND(Форма="ИП",C104="Дивиденды"),COUNTIF(Docs[ID],A104)&lt;&gt;1,NOT(ISNUMBER(B104)),B104&lt;НачалоУчета,YEAR(B104)&lt;&gt;Год,NOT(ISNUMBER(H104)),H104&lt;B104,E104&lt;0,COUNTIF(Виды,C104)&lt;&gt;1,COUNTIF(Категории,D104)&lt;&gt;1,COUNTIF(Контрагенты,F104)&lt;&gt;1,COUNTIF(Проекты,G104)&lt;&gt;1,L104&lt;-0.01,AND(I104&lt;&gt;"Проведён",I104&lt;&gt;"Черновик")),"ОШИБКА","ОК"))</f>
        <v>ОК</v>
      </c>
      <c r="Q104" s="4" t="str">
        <f t="shared" si="9"/>
        <v>КЗ</v>
      </c>
    </row>
    <row r="105" spans="1:17" x14ac:dyDescent="0.25">
      <c r="A105" s="3" t="s">
        <v>770</v>
      </c>
      <c r="B105" s="19">
        <v>46239</v>
      </c>
      <c r="C105" s="3" t="s">
        <v>5</v>
      </c>
      <c r="D105" s="3" t="s">
        <v>485</v>
      </c>
      <c r="E105" s="12">
        <v>58800</v>
      </c>
      <c r="F105" s="3" t="s">
        <v>486</v>
      </c>
      <c r="G105" s="3" t="s">
        <v>381</v>
      </c>
      <c r="H105" s="19">
        <v>46254</v>
      </c>
      <c r="I105" s="3" t="s">
        <v>476</v>
      </c>
      <c r="J105" s="3"/>
      <c r="K105" s="4">
        <f>IF(A105="","",SUMIFS(Cash[Оплата],Cash[Документ],A105,Cash[Дата],"&lt;="&amp;ДатаОтчета))</f>
        <v>58800</v>
      </c>
      <c r="L105" s="4">
        <f t="shared" si="5"/>
        <v>0</v>
      </c>
      <c r="M105" s="4">
        <f t="shared" si="6"/>
        <v>0</v>
      </c>
      <c r="N105" s="4" t="str">
        <f t="shared" si="7"/>
        <v>Закрыта</v>
      </c>
      <c r="O105" s="4" t="str">
        <f t="shared" si="8"/>
        <v>Оплачено</v>
      </c>
      <c r="P105" s="4" t="str">
        <f>IF(A105="",IF(COUNTA(B105:J105)&gt;0,"НЕТ ID",""),IF(OR(NOT(ISNUMBER(E105)),AND(Форма="ИП",C105="Дивиденды"),COUNTIF(Docs[ID],A105)&lt;&gt;1,NOT(ISNUMBER(B105)),B105&lt;НачалоУчета,YEAR(B105)&lt;&gt;Год,NOT(ISNUMBER(H105)),H105&lt;B105,E105&lt;0,COUNTIF(Виды,C105)&lt;&gt;1,COUNTIF(Категории,D105)&lt;&gt;1,COUNTIF(Контрагенты,F105)&lt;&gt;1,COUNTIF(Проекты,G105)&lt;&gt;1,L105&lt;-0.01,AND(I105&lt;&gt;"Проведён",I105&lt;&gt;"Черновик")),"ОШИБКА","ОК"))</f>
        <v>ОК</v>
      </c>
      <c r="Q105" s="4" t="str">
        <f t="shared" si="9"/>
        <v>ДЗ</v>
      </c>
    </row>
    <row r="106" spans="1:17" x14ac:dyDescent="0.25">
      <c r="A106" s="3" t="s">
        <v>772</v>
      </c>
      <c r="B106" s="19">
        <v>46240</v>
      </c>
      <c r="C106" s="3" t="s">
        <v>5</v>
      </c>
      <c r="D106" s="3" t="s">
        <v>485</v>
      </c>
      <c r="E106" s="12">
        <v>46200</v>
      </c>
      <c r="F106" s="3" t="s">
        <v>489</v>
      </c>
      <c r="G106" s="3" t="s">
        <v>298</v>
      </c>
      <c r="H106" s="19">
        <v>46255</v>
      </c>
      <c r="I106" s="3" t="s">
        <v>476</v>
      </c>
      <c r="J106" s="3"/>
      <c r="K106" s="4">
        <f>IF(A106="","",SUMIFS(Cash[Оплата],Cash[Документ],A106,Cash[Дата],"&lt;="&amp;ДатаОтчета))</f>
        <v>46200</v>
      </c>
      <c r="L106" s="4">
        <f t="shared" si="5"/>
        <v>0</v>
      </c>
      <c r="M106" s="4">
        <f t="shared" si="6"/>
        <v>0</v>
      </c>
      <c r="N106" s="4" t="str">
        <f t="shared" si="7"/>
        <v>Закрыта</v>
      </c>
      <c r="O106" s="4" t="str">
        <f t="shared" si="8"/>
        <v>Оплачено</v>
      </c>
      <c r="P106" s="4" t="str">
        <f>IF(A106="",IF(COUNTA(B106:J106)&gt;0,"НЕТ ID",""),IF(OR(NOT(ISNUMBER(E106)),AND(Форма="ИП",C106="Дивиденды"),COUNTIF(Docs[ID],A106)&lt;&gt;1,NOT(ISNUMBER(B106)),B106&lt;НачалоУчета,YEAR(B106)&lt;&gt;Год,NOT(ISNUMBER(H106)),H106&lt;B106,E106&lt;0,COUNTIF(Виды,C106)&lt;&gt;1,COUNTIF(Категории,D106)&lt;&gt;1,COUNTIF(Контрагенты,F106)&lt;&gt;1,COUNTIF(Проекты,G106)&lt;&gt;1,L106&lt;-0.01,AND(I106&lt;&gt;"Проведён",I106&lt;&gt;"Черновик")),"ОШИБКА","ОК"))</f>
        <v>ОК</v>
      </c>
      <c r="Q106" s="4" t="str">
        <f t="shared" si="9"/>
        <v>ДЗ</v>
      </c>
    </row>
    <row r="107" spans="1:17" x14ac:dyDescent="0.25">
      <c r="A107" s="3" t="s">
        <v>774</v>
      </c>
      <c r="B107" s="19">
        <v>46241</v>
      </c>
      <c r="C107" s="3" t="s">
        <v>5</v>
      </c>
      <c r="D107" s="3" t="s">
        <v>485</v>
      </c>
      <c r="E107" s="12">
        <v>37800</v>
      </c>
      <c r="F107" s="3" t="s">
        <v>492</v>
      </c>
      <c r="G107" s="3" t="s">
        <v>382</v>
      </c>
      <c r="H107" s="19">
        <v>46256</v>
      </c>
      <c r="I107" s="3" t="s">
        <v>476</v>
      </c>
      <c r="J107" s="3"/>
      <c r="K107" s="4">
        <f>IF(A107="","",SUMIFS(Cash[Оплата],Cash[Документ],A107,Cash[Дата],"&lt;="&amp;ДатаОтчета))</f>
        <v>37800</v>
      </c>
      <c r="L107" s="4">
        <f t="shared" si="5"/>
        <v>0</v>
      </c>
      <c r="M107" s="4">
        <f t="shared" si="6"/>
        <v>0</v>
      </c>
      <c r="N107" s="4" t="str">
        <f t="shared" si="7"/>
        <v>Закрыта</v>
      </c>
      <c r="O107" s="4" t="str">
        <f t="shared" si="8"/>
        <v>Оплачено</v>
      </c>
      <c r="P107" s="4" t="str">
        <f>IF(A107="",IF(COUNTA(B107:J107)&gt;0,"НЕТ ID",""),IF(OR(NOT(ISNUMBER(E107)),AND(Форма="ИП",C107="Дивиденды"),COUNTIF(Docs[ID],A107)&lt;&gt;1,NOT(ISNUMBER(B107)),B107&lt;НачалоУчета,YEAR(B107)&lt;&gt;Год,NOT(ISNUMBER(H107)),H107&lt;B107,E107&lt;0,COUNTIF(Виды,C107)&lt;&gt;1,COUNTIF(Категории,D107)&lt;&gt;1,COUNTIF(Контрагенты,F107)&lt;&gt;1,COUNTIF(Проекты,G107)&lt;&gt;1,L107&lt;-0.01,AND(I107&lt;&gt;"Проведён",I107&lt;&gt;"Черновик")),"ОШИБКА","ОК"))</f>
        <v>ОК</v>
      </c>
      <c r="Q107" s="4" t="str">
        <f t="shared" si="9"/>
        <v>ДЗ</v>
      </c>
    </row>
    <row r="108" spans="1:17" x14ac:dyDescent="0.25">
      <c r="A108" s="3" t="s">
        <v>776</v>
      </c>
      <c r="B108" s="19">
        <v>46242</v>
      </c>
      <c r="C108" s="3" t="s">
        <v>5</v>
      </c>
      <c r="D108" s="3" t="s">
        <v>485</v>
      </c>
      <c r="E108" s="12">
        <v>29400</v>
      </c>
      <c r="F108" s="3" t="s">
        <v>495</v>
      </c>
      <c r="G108" s="3" t="s">
        <v>381</v>
      </c>
      <c r="H108" s="19">
        <v>46257</v>
      </c>
      <c r="I108" s="3" t="s">
        <v>476</v>
      </c>
      <c r="J108" s="3"/>
      <c r="K108" s="4">
        <f>IF(A108="","",SUMIFS(Cash[Оплата],Cash[Документ],A108,Cash[Дата],"&lt;="&amp;ДатаОтчета))</f>
        <v>29400</v>
      </c>
      <c r="L108" s="4">
        <f t="shared" si="5"/>
        <v>0</v>
      </c>
      <c r="M108" s="4">
        <f t="shared" si="6"/>
        <v>0</v>
      </c>
      <c r="N108" s="4" t="str">
        <f t="shared" si="7"/>
        <v>Закрыта</v>
      </c>
      <c r="O108" s="4" t="str">
        <f t="shared" si="8"/>
        <v>Оплачено</v>
      </c>
      <c r="P108" s="4" t="str">
        <f>IF(A108="",IF(COUNTA(B108:J108)&gt;0,"НЕТ ID",""),IF(OR(NOT(ISNUMBER(E108)),AND(Форма="ИП",C108="Дивиденды"),COUNTIF(Docs[ID],A108)&lt;&gt;1,NOT(ISNUMBER(B108)),B108&lt;НачалоУчета,YEAR(B108)&lt;&gt;Год,NOT(ISNUMBER(H108)),H108&lt;B108,E108&lt;0,COUNTIF(Виды,C108)&lt;&gt;1,COUNTIF(Категории,D108)&lt;&gt;1,COUNTIF(Контрагенты,F108)&lt;&gt;1,COUNTIF(Проекты,G108)&lt;&gt;1,L108&lt;-0.01,AND(I108&lt;&gt;"Проведён",I108&lt;&gt;"Черновик")),"ОШИБКА","ОК"))</f>
        <v>ОК</v>
      </c>
      <c r="Q108" s="4" t="str">
        <f t="shared" si="9"/>
        <v>ДЗ</v>
      </c>
    </row>
    <row r="109" spans="1:17" x14ac:dyDescent="0.25">
      <c r="A109" s="3" t="s">
        <v>778</v>
      </c>
      <c r="B109" s="19">
        <v>46243</v>
      </c>
      <c r="C109" s="3" t="s">
        <v>5</v>
      </c>
      <c r="D109" s="3" t="s">
        <v>485</v>
      </c>
      <c r="E109" s="12">
        <v>21000</v>
      </c>
      <c r="F109" s="3" t="s">
        <v>498</v>
      </c>
      <c r="G109" s="3" t="s">
        <v>298</v>
      </c>
      <c r="H109" s="19">
        <v>46258</v>
      </c>
      <c r="I109" s="3" t="s">
        <v>476</v>
      </c>
      <c r="J109" s="3"/>
      <c r="K109" s="4">
        <f>IF(A109="","",SUMIFS(Cash[Оплата],Cash[Документ],A109,Cash[Дата],"&lt;="&amp;ДатаОтчета))</f>
        <v>21000</v>
      </c>
      <c r="L109" s="4">
        <f t="shared" si="5"/>
        <v>0</v>
      </c>
      <c r="M109" s="4">
        <f t="shared" si="6"/>
        <v>0</v>
      </c>
      <c r="N109" s="4" t="str">
        <f t="shared" si="7"/>
        <v>Закрыта</v>
      </c>
      <c r="O109" s="4" t="str">
        <f t="shared" si="8"/>
        <v>Оплачено</v>
      </c>
      <c r="P109" s="4" t="str">
        <f>IF(A109="",IF(COUNTA(B109:J109)&gt;0,"НЕТ ID",""),IF(OR(NOT(ISNUMBER(E109)),AND(Форма="ИП",C109="Дивиденды"),COUNTIF(Docs[ID],A109)&lt;&gt;1,NOT(ISNUMBER(B109)),B109&lt;НачалоУчета,YEAR(B109)&lt;&gt;Год,NOT(ISNUMBER(H109)),H109&lt;B109,E109&lt;0,COUNTIF(Виды,C109)&lt;&gt;1,COUNTIF(Категории,D109)&lt;&gt;1,COUNTIF(Контрагенты,F109)&lt;&gt;1,COUNTIF(Проекты,G109)&lt;&gt;1,L109&lt;-0.01,AND(I109&lt;&gt;"Проведён",I109&lt;&gt;"Черновик")),"ОШИБКА","ОК"))</f>
        <v>ОК</v>
      </c>
      <c r="Q109" s="4" t="str">
        <f t="shared" si="9"/>
        <v>ДЗ</v>
      </c>
    </row>
    <row r="110" spans="1:17" x14ac:dyDescent="0.25">
      <c r="A110" s="3" t="s">
        <v>780</v>
      </c>
      <c r="B110" s="19">
        <v>46244</v>
      </c>
      <c r="C110" s="3" t="s">
        <v>5</v>
      </c>
      <c r="D110" s="3" t="s">
        <v>485</v>
      </c>
      <c r="E110" s="12">
        <v>16800</v>
      </c>
      <c r="F110" s="3" t="s">
        <v>501</v>
      </c>
      <c r="G110" s="3" t="s">
        <v>382</v>
      </c>
      <c r="H110" s="19">
        <v>46259</v>
      </c>
      <c r="I110" s="3" t="s">
        <v>476</v>
      </c>
      <c r="J110" s="3"/>
      <c r="K110" s="4">
        <f>IF(A110="","",SUMIFS(Cash[Оплата],Cash[Документ],A110,Cash[Дата],"&lt;="&amp;ДатаОтчета))</f>
        <v>16800</v>
      </c>
      <c r="L110" s="4">
        <f t="shared" si="5"/>
        <v>0</v>
      </c>
      <c r="M110" s="4">
        <f t="shared" si="6"/>
        <v>0</v>
      </c>
      <c r="N110" s="4" t="str">
        <f t="shared" si="7"/>
        <v>Закрыта</v>
      </c>
      <c r="O110" s="4" t="str">
        <f t="shared" si="8"/>
        <v>Оплачено</v>
      </c>
      <c r="P110" s="4" t="str">
        <f>IF(A110="",IF(COUNTA(B110:J110)&gt;0,"НЕТ ID",""),IF(OR(NOT(ISNUMBER(E110)),AND(Форма="ИП",C110="Дивиденды"),COUNTIF(Docs[ID],A110)&lt;&gt;1,NOT(ISNUMBER(B110)),B110&lt;НачалоУчета,YEAR(B110)&lt;&gt;Год,NOT(ISNUMBER(H110)),H110&lt;B110,E110&lt;0,COUNTIF(Виды,C110)&lt;&gt;1,COUNTIF(Категории,D110)&lt;&gt;1,COUNTIF(Контрагенты,F110)&lt;&gt;1,COUNTIF(Проекты,G110)&lt;&gt;1,L110&lt;-0.01,AND(I110&lt;&gt;"Проведён",I110&lt;&gt;"Черновик")),"ОШИБКА","ОК"))</f>
        <v>ОК</v>
      </c>
      <c r="Q110" s="4" t="str">
        <f t="shared" si="9"/>
        <v>ДЗ</v>
      </c>
    </row>
    <row r="111" spans="1:17" x14ac:dyDescent="0.25">
      <c r="A111" s="3" t="s">
        <v>782</v>
      </c>
      <c r="B111" s="19">
        <v>46244</v>
      </c>
      <c r="C111" s="3" t="s">
        <v>125</v>
      </c>
      <c r="D111" s="3" t="s">
        <v>505</v>
      </c>
      <c r="E111" s="12">
        <v>67200</v>
      </c>
      <c r="F111" s="3" t="s">
        <v>506</v>
      </c>
      <c r="G111" s="3" t="s">
        <v>298</v>
      </c>
      <c r="H111" s="19">
        <v>46256</v>
      </c>
      <c r="I111" s="3" t="s">
        <v>476</v>
      </c>
      <c r="J111" s="3"/>
      <c r="K111" s="4">
        <f>IF(A111="","",SUMIFS(Cash[Оплата],Cash[Документ],A111,Cash[Дата],"&lt;="&amp;ДатаОтчета))</f>
        <v>67200</v>
      </c>
      <c r="L111" s="4">
        <f t="shared" si="5"/>
        <v>0</v>
      </c>
      <c r="M111" s="4">
        <f t="shared" si="6"/>
        <v>0</v>
      </c>
      <c r="N111" s="4" t="str">
        <f t="shared" si="7"/>
        <v>Закрыта</v>
      </c>
      <c r="O111" s="4" t="str">
        <f t="shared" si="8"/>
        <v>Оплачено</v>
      </c>
      <c r="P111" s="4" t="str">
        <f>IF(A111="",IF(COUNTA(B111:J111)&gt;0,"НЕТ ID",""),IF(OR(NOT(ISNUMBER(E111)),AND(Форма="ИП",C111="Дивиденды"),COUNTIF(Docs[ID],A111)&lt;&gt;1,NOT(ISNUMBER(B111)),B111&lt;НачалоУчета,YEAR(B111)&lt;&gt;Год,NOT(ISNUMBER(H111)),H111&lt;B111,E111&lt;0,COUNTIF(Виды,C111)&lt;&gt;1,COUNTIF(Категории,D111)&lt;&gt;1,COUNTIF(Контрагенты,F111)&lt;&gt;1,COUNTIF(Проекты,G111)&lt;&gt;1,L111&lt;-0.01,AND(I111&lt;&gt;"Проведён",I111&lt;&gt;"Черновик")),"ОШИБКА","ОК"))</f>
        <v>ОК</v>
      </c>
      <c r="Q111" s="4" t="str">
        <f t="shared" si="9"/>
        <v>КЗ</v>
      </c>
    </row>
    <row r="112" spans="1:17" x14ac:dyDescent="0.25">
      <c r="A112" s="3" t="s">
        <v>784</v>
      </c>
      <c r="B112" s="19">
        <v>46245</v>
      </c>
      <c r="C112" s="3" t="s">
        <v>959</v>
      </c>
      <c r="D112" s="3" t="s">
        <v>509</v>
      </c>
      <c r="E112" s="12">
        <v>65000</v>
      </c>
      <c r="F112" s="3" t="s">
        <v>510</v>
      </c>
      <c r="G112" s="3" t="s">
        <v>383</v>
      </c>
      <c r="H112" s="19">
        <v>46257</v>
      </c>
      <c r="I112" s="3" t="s">
        <v>476</v>
      </c>
      <c r="J112" s="3"/>
      <c r="K112" s="4">
        <f>IF(A112="","",SUMIFS(Cash[Оплата],Cash[Документ],A112,Cash[Дата],"&lt;="&amp;ДатаОтчета))</f>
        <v>65000</v>
      </c>
      <c r="L112" s="4">
        <f t="shared" si="5"/>
        <v>0</v>
      </c>
      <c r="M112" s="4">
        <f t="shared" si="6"/>
        <v>0</v>
      </c>
      <c r="N112" s="4" t="str">
        <f t="shared" si="7"/>
        <v>Закрыта</v>
      </c>
      <c r="O112" s="4" t="str">
        <f t="shared" si="8"/>
        <v>Оплачено</v>
      </c>
      <c r="P112" s="4" t="str">
        <f>IF(A112="",IF(COUNTA(B112:J112)&gt;0,"НЕТ ID",""),IF(OR(NOT(ISNUMBER(E112)),AND(Форма="ИП",C112="Дивиденды"),COUNTIF(Docs[ID],A112)&lt;&gt;1,NOT(ISNUMBER(B112)),B112&lt;НачалоУчета,YEAR(B112)&lt;&gt;Год,NOT(ISNUMBER(H112)),H112&lt;B112,E112&lt;0,COUNTIF(Виды,C112)&lt;&gt;1,COUNTIF(Категории,D112)&lt;&gt;1,COUNTIF(Контрагенты,F112)&lt;&gt;1,COUNTIF(Проекты,G112)&lt;&gt;1,L112&lt;-0.01,AND(I112&lt;&gt;"Проведён",I112&lt;&gt;"Черновик")),"ОШИБКА","ОК"))</f>
        <v>ОК</v>
      </c>
      <c r="Q112" s="4" t="str">
        <f t="shared" si="9"/>
        <v>КЗ</v>
      </c>
    </row>
    <row r="113" spans="1:17" x14ac:dyDescent="0.25">
      <c r="A113" s="3" t="s">
        <v>787</v>
      </c>
      <c r="B113" s="19">
        <v>46246</v>
      </c>
      <c r="C113" s="3" t="s">
        <v>959</v>
      </c>
      <c r="D113" s="3" t="s">
        <v>295</v>
      </c>
      <c r="E113" s="12">
        <v>110000</v>
      </c>
      <c r="F113" s="3" t="s">
        <v>514</v>
      </c>
      <c r="G113" s="3" t="s">
        <v>381</v>
      </c>
      <c r="H113" s="19">
        <v>46258</v>
      </c>
      <c r="I113" s="3" t="s">
        <v>476</v>
      </c>
      <c r="J113" s="3"/>
      <c r="K113" s="4">
        <f>IF(A113="","",SUMIFS(Cash[Оплата],Cash[Документ],A113,Cash[Дата],"&lt;="&amp;ДатаОтчета))</f>
        <v>110000</v>
      </c>
      <c r="L113" s="4">
        <f t="shared" si="5"/>
        <v>0</v>
      </c>
      <c r="M113" s="4">
        <f t="shared" si="6"/>
        <v>0</v>
      </c>
      <c r="N113" s="4" t="str">
        <f t="shared" si="7"/>
        <v>Закрыта</v>
      </c>
      <c r="O113" s="4" t="str">
        <f t="shared" si="8"/>
        <v>Оплачено</v>
      </c>
      <c r="P113" s="4" t="str">
        <f>IF(A113="",IF(COUNTA(B113:J113)&gt;0,"НЕТ ID",""),IF(OR(NOT(ISNUMBER(E113)),AND(Форма="ИП",C113="Дивиденды"),COUNTIF(Docs[ID],A113)&lt;&gt;1,NOT(ISNUMBER(B113)),B113&lt;НачалоУчета,YEAR(B113)&lt;&gt;Год,NOT(ISNUMBER(H113)),H113&lt;B113,E113&lt;0,COUNTIF(Виды,C113)&lt;&gt;1,COUNTIF(Категории,D113)&lt;&gt;1,COUNTIF(Контрагенты,F113)&lt;&gt;1,COUNTIF(Проекты,G113)&lt;&gt;1,L113&lt;-0.01,AND(I113&lt;&gt;"Проведён",I113&lt;&gt;"Черновик")),"ОШИБКА","ОК"))</f>
        <v>ОК</v>
      </c>
      <c r="Q113" s="4" t="str">
        <f t="shared" si="9"/>
        <v>КЗ</v>
      </c>
    </row>
    <row r="114" spans="1:17" x14ac:dyDescent="0.25">
      <c r="A114" s="3" t="s">
        <v>790</v>
      </c>
      <c r="B114" s="19">
        <v>46247</v>
      </c>
      <c r="C114" s="3" t="s">
        <v>959</v>
      </c>
      <c r="D114" s="3" t="s">
        <v>518</v>
      </c>
      <c r="E114" s="12">
        <v>18000</v>
      </c>
      <c r="F114" s="3" t="s">
        <v>519</v>
      </c>
      <c r="G114" s="3" t="s">
        <v>383</v>
      </c>
      <c r="H114" s="19">
        <v>46259</v>
      </c>
      <c r="I114" s="3" t="s">
        <v>476</v>
      </c>
      <c r="J114" s="3"/>
      <c r="K114" s="4">
        <f>IF(A114="","",SUMIFS(Cash[Оплата],Cash[Документ],A114,Cash[Дата],"&lt;="&amp;ДатаОтчета))</f>
        <v>18000</v>
      </c>
      <c r="L114" s="4">
        <f t="shared" si="5"/>
        <v>0</v>
      </c>
      <c r="M114" s="4">
        <f t="shared" si="6"/>
        <v>0</v>
      </c>
      <c r="N114" s="4" t="str">
        <f t="shared" si="7"/>
        <v>Закрыта</v>
      </c>
      <c r="O114" s="4" t="str">
        <f t="shared" si="8"/>
        <v>Оплачено</v>
      </c>
      <c r="P114" s="4" t="str">
        <f>IF(A114="",IF(COUNTA(B114:J114)&gt;0,"НЕТ ID",""),IF(OR(NOT(ISNUMBER(E114)),AND(Форма="ИП",C114="Дивиденды"),COUNTIF(Docs[ID],A114)&lt;&gt;1,NOT(ISNUMBER(B114)),B114&lt;НачалоУчета,YEAR(B114)&lt;&gt;Год,NOT(ISNUMBER(H114)),H114&lt;B114,E114&lt;0,COUNTIF(Виды,C114)&lt;&gt;1,COUNTIF(Категории,D114)&lt;&gt;1,COUNTIF(Контрагенты,F114)&lt;&gt;1,COUNTIF(Проекты,G114)&lt;&gt;1,L114&lt;-0.01,AND(I114&lt;&gt;"Проведён",I114&lt;&gt;"Черновик")),"ОШИБКА","ОК"))</f>
        <v>ОК</v>
      </c>
      <c r="Q114" s="4" t="str">
        <f t="shared" si="9"/>
        <v>КЗ</v>
      </c>
    </row>
    <row r="115" spans="1:17" x14ac:dyDescent="0.25">
      <c r="A115" s="3" t="s">
        <v>793</v>
      </c>
      <c r="B115" s="19">
        <v>46248</v>
      </c>
      <c r="C115" s="3" t="s">
        <v>959</v>
      </c>
      <c r="D115" s="3" t="s">
        <v>523</v>
      </c>
      <c r="E115" s="12">
        <v>78300</v>
      </c>
      <c r="F115" s="3" t="s">
        <v>52</v>
      </c>
      <c r="G115" s="3" t="s">
        <v>383</v>
      </c>
      <c r="H115" s="19">
        <v>46260</v>
      </c>
      <c r="I115" s="3" t="s">
        <v>476</v>
      </c>
      <c r="J115" s="3"/>
      <c r="K115" s="4">
        <f>IF(A115="","",SUMIFS(Cash[Оплата],Cash[Документ],A115,Cash[Дата],"&lt;="&amp;ДатаОтчета))</f>
        <v>78300</v>
      </c>
      <c r="L115" s="4">
        <f t="shared" si="5"/>
        <v>0</v>
      </c>
      <c r="M115" s="4">
        <f t="shared" si="6"/>
        <v>0</v>
      </c>
      <c r="N115" s="4" t="str">
        <f t="shared" si="7"/>
        <v>Закрыта</v>
      </c>
      <c r="O115" s="4" t="str">
        <f t="shared" si="8"/>
        <v>Оплачено</v>
      </c>
      <c r="P115" s="4" t="str">
        <f>IF(A115="",IF(COUNTA(B115:J115)&gt;0,"НЕТ ID",""),IF(OR(NOT(ISNUMBER(E115)),AND(Форма="ИП",C115="Дивиденды"),COUNTIF(Docs[ID],A115)&lt;&gt;1,NOT(ISNUMBER(B115)),B115&lt;НачалоУчета,YEAR(B115)&lt;&gt;Год,NOT(ISNUMBER(H115)),H115&lt;B115,E115&lt;0,COUNTIF(Виды,C115)&lt;&gt;1,COUNTIF(Категории,D115)&lt;&gt;1,COUNTIF(Контрагенты,F115)&lt;&gt;1,COUNTIF(Проекты,G115)&lt;&gt;1,L115&lt;-0.01,AND(I115&lt;&gt;"Проведён",I115&lt;&gt;"Черновик")),"ОШИБКА","ОК"))</f>
        <v>ОК</v>
      </c>
      <c r="Q115" s="4" t="str">
        <f t="shared" si="9"/>
        <v>КЗ</v>
      </c>
    </row>
    <row r="116" spans="1:17" x14ac:dyDescent="0.25">
      <c r="A116" s="3" t="s">
        <v>796</v>
      </c>
      <c r="B116" s="19">
        <v>46249</v>
      </c>
      <c r="C116" s="3" t="s">
        <v>959</v>
      </c>
      <c r="D116" s="3" t="s">
        <v>527</v>
      </c>
      <c r="E116" s="12">
        <v>11700</v>
      </c>
      <c r="F116" s="3" t="s">
        <v>528</v>
      </c>
      <c r="G116" s="3" t="s">
        <v>383</v>
      </c>
      <c r="H116" s="19">
        <v>46261</v>
      </c>
      <c r="I116" s="3" t="s">
        <v>476</v>
      </c>
      <c r="J116" s="3"/>
      <c r="K116" s="4">
        <f>IF(A116="","",SUMIFS(Cash[Оплата],Cash[Документ],A116,Cash[Дата],"&lt;="&amp;ДатаОтчета))</f>
        <v>11700</v>
      </c>
      <c r="L116" s="4">
        <f t="shared" si="5"/>
        <v>0</v>
      </c>
      <c r="M116" s="4">
        <f t="shared" si="6"/>
        <v>0</v>
      </c>
      <c r="N116" s="4" t="str">
        <f t="shared" si="7"/>
        <v>Закрыта</v>
      </c>
      <c r="O116" s="4" t="str">
        <f t="shared" si="8"/>
        <v>Оплачено</v>
      </c>
      <c r="P116" s="4" t="str">
        <f>IF(A116="",IF(COUNTA(B116:J116)&gt;0,"НЕТ ID",""),IF(OR(NOT(ISNUMBER(E116)),AND(Форма="ИП",C116="Дивиденды"),COUNTIF(Docs[ID],A116)&lt;&gt;1,NOT(ISNUMBER(B116)),B116&lt;НачалоУчета,YEAR(B116)&lt;&gt;Год,NOT(ISNUMBER(H116)),H116&lt;B116,E116&lt;0,COUNTIF(Виды,C116)&lt;&gt;1,COUNTIF(Категории,D116)&lt;&gt;1,COUNTIF(Контрагенты,F116)&lt;&gt;1,COUNTIF(Проекты,G116)&lt;&gt;1,L116&lt;-0.01,AND(I116&lt;&gt;"Проведён",I116&lt;&gt;"Черновик")),"ОШИБКА","ОК"))</f>
        <v>ОК</v>
      </c>
      <c r="Q116" s="4" t="str">
        <f t="shared" si="9"/>
        <v>КЗ</v>
      </c>
    </row>
    <row r="117" spans="1:17" x14ac:dyDescent="0.25">
      <c r="A117" s="3" t="s">
        <v>799</v>
      </c>
      <c r="B117" s="19">
        <v>46250</v>
      </c>
      <c r="C117" s="3" t="s">
        <v>959</v>
      </c>
      <c r="D117" s="3" t="s">
        <v>532</v>
      </c>
      <c r="E117" s="12">
        <v>27000</v>
      </c>
      <c r="F117" s="3" t="s">
        <v>528</v>
      </c>
      <c r="G117" s="3" t="s">
        <v>383</v>
      </c>
      <c r="H117" s="19">
        <v>46262</v>
      </c>
      <c r="I117" s="3" t="s">
        <v>476</v>
      </c>
      <c r="J117" s="3"/>
      <c r="K117" s="4">
        <f>IF(A117="","",SUMIFS(Cash[Оплата],Cash[Документ],A117,Cash[Дата],"&lt;="&amp;ДатаОтчета))</f>
        <v>27000</v>
      </c>
      <c r="L117" s="4">
        <f t="shared" si="5"/>
        <v>0</v>
      </c>
      <c r="M117" s="4">
        <f t="shared" si="6"/>
        <v>0</v>
      </c>
      <c r="N117" s="4" t="str">
        <f t="shared" si="7"/>
        <v>Закрыта</v>
      </c>
      <c r="O117" s="4" t="str">
        <f t="shared" si="8"/>
        <v>Оплачено</v>
      </c>
      <c r="P117" s="4" t="str">
        <f>IF(A117="",IF(COUNTA(B117:J117)&gt;0,"НЕТ ID",""),IF(OR(NOT(ISNUMBER(E117)),AND(Форма="ИП",C117="Дивиденды"),COUNTIF(Docs[ID],A117)&lt;&gt;1,NOT(ISNUMBER(B117)),B117&lt;НачалоУчета,YEAR(B117)&lt;&gt;Год,NOT(ISNUMBER(H117)),H117&lt;B117,E117&lt;0,COUNTIF(Виды,C117)&lt;&gt;1,COUNTIF(Категории,D117)&lt;&gt;1,COUNTIF(Контрагенты,F117)&lt;&gt;1,COUNTIF(Проекты,G117)&lt;&gt;1,L117&lt;-0.01,AND(I117&lt;&gt;"Проведён",I117&lt;&gt;"Черновик")),"ОШИБКА","ОК"))</f>
        <v>ОК</v>
      </c>
      <c r="Q117" s="4" t="str">
        <f t="shared" si="9"/>
        <v>КЗ</v>
      </c>
    </row>
    <row r="118" spans="1:17" x14ac:dyDescent="0.25">
      <c r="A118" s="3" t="s">
        <v>801</v>
      </c>
      <c r="B118" s="19">
        <v>46261</v>
      </c>
      <c r="C118" s="3" t="s">
        <v>130</v>
      </c>
      <c r="D118" s="3" t="s">
        <v>130</v>
      </c>
      <c r="E118" s="12">
        <v>2968.5</v>
      </c>
      <c r="F118" s="3" t="s">
        <v>397</v>
      </c>
      <c r="G118" s="3" t="s">
        <v>383</v>
      </c>
      <c r="H118" s="19">
        <v>46262</v>
      </c>
      <c r="I118" s="3" t="s">
        <v>476</v>
      </c>
      <c r="J118" s="3"/>
      <c r="K118" s="4">
        <f>IF(A118="","",SUMIFS(Cash[Оплата],Cash[Документ],A118,Cash[Дата],"&lt;="&amp;ДатаОтчета))</f>
        <v>2968.5</v>
      </c>
      <c r="L118" s="4">
        <f t="shared" si="5"/>
        <v>0</v>
      </c>
      <c r="M118" s="4">
        <f t="shared" si="6"/>
        <v>0</v>
      </c>
      <c r="N118" s="4" t="str">
        <f t="shared" si="7"/>
        <v>Закрыта</v>
      </c>
      <c r="O118" s="4" t="str">
        <f t="shared" si="8"/>
        <v>Оплачено</v>
      </c>
      <c r="P118" s="4" t="str">
        <f>IF(A118="",IF(COUNTA(B118:J118)&gt;0,"НЕТ ID",""),IF(OR(NOT(ISNUMBER(E118)),AND(Форма="ИП",C118="Дивиденды"),COUNTIF(Docs[ID],A118)&lt;&gt;1,NOT(ISNUMBER(B118)),B118&lt;НачалоУчета,YEAR(B118)&lt;&gt;Год,NOT(ISNUMBER(H118)),H118&lt;B118,E118&lt;0,COUNTIF(Виды,C118)&lt;&gt;1,COUNTIF(Категории,D118)&lt;&gt;1,COUNTIF(Контрагенты,F118)&lt;&gt;1,COUNTIF(Проекты,G118)&lt;&gt;1,L118&lt;-0.01,AND(I118&lt;&gt;"Проведён",I118&lt;&gt;"Черновик")),"ОШИБКА","ОК"))</f>
        <v>ОК</v>
      </c>
      <c r="Q118" s="4" t="str">
        <f t="shared" si="9"/>
        <v>КЗ</v>
      </c>
    </row>
    <row r="119" spans="1:17" x14ac:dyDescent="0.25">
      <c r="A119" s="3" t="s">
        <v>806</v>
      </c>
      <c r="B119" s="19">
        <v>46270</v>
      </c>
      <c r="C119" s="3" t="s">
        <v>5</v>
      </c>
      <c r="D119" s="3" t="s">
        <v>485</v>
      </c>
      <c r="E119" s="12">
        <v>182000</v>
      </c>
      <c r="F119" s="3" t="s">
        <v>486</v>
      </c>
      <c r="G119" s="3" t="s">
        <v>381</v>
      </c>
      <c r="H119" s="19">
        <v>46285</v>
      </c>
      <c r="I119" s="3" t="s">
        <v>476</v>
      </c>
      <c r="J119" s="3"/>
      <c r="K119" s="4">
        <f>IF(A119="","",SUMIFS(Cash[Оплата],Cash[Документ],A119,Cash[Дата],"&lt;="&amp;ДатаОтчета))</f>
        <v>182000</v>
      </c>
      <c r="L119" s="4">
        <f t="shared" si="5"/>
        <v>0</v>
      </c>
      <c r="M119" s="4">
        <f t="shared" si="6"/>
        <v>0</v>
      </c>
      <c r="N119" s="4" t="str">
        <f t="shared" si="7"/>
        <v>Закрыта</v>
      </c>
      <c r="O119" s="4" t="str">
        <f t="shared" si="8"/>
        <v>Оплачено</v>
      </c>
      <c r="P119" s="4" t="str">
        <f>IF(A119="",IF(COUNTA(B119:J119)&gt;0,"НЕТ ID",""),IF(OR(NOT(ISNUMBER(E119)),AND(Форма="ИП",C119="Дивиденды"),COUNTIF(Docs[ID],A119)&lt;&gt;1,NOT(ISNUMBER(B119)),B119&lt;НачалоУчета,YEAR(B119)&lt;&gt;Год,NOT(ISNUMBER(H119)),H119&lt;B119,E119&lt;0,COUNTIF(Виды,C119)&lt;&gt;1,COUNTIF(Категории,D119)&lt;&gt;1,COUNTIF(Контрагенты,F119)&lt;&gt;1,COUNTIF(Проекты,G119)&lt;&gt;1,L119&lt;-0.01,AND(I119&lt;&gt;"Проведён",I119&lt;&gt;"Черновик")),"ОШИБКА","ОК"))</f>
        <v>ОК</v>
      </c>
      <c r="Q119" s="4" t="str">
        <f t="shared" si="9"/>
        <v>ДЗ</v>
      </c>
    </row>
    <row r="120" spans="1:17" x14ac:dyDescent="0.25">
      <c r="A120" s="3" t="s">
        <v>808</v>
      </c>
      <c r="B120" s="19">
        <v>46271</v>
      </c>
      <c r="C120" s="3" t="s">
        <v>5</v>
      </c>
      <c r="D120" s="3" t="s">
        <v>485</v>
      </c>
      <c r="E120" s="12">
        <v>143000</v>
      </c>
      <c r="F120" s="3" t="s">
        <v>489</v>
      </c>
      <c r="G120" s="3" t="s">
        <v>298</v>
      </c>
      <c r="H120" s="19">
        <v>46286</v>
      </c>
      <c r="I120" s="3" t="s">
        <v>476</v>
      </c>
      <c r="J120" s="3"/>
      <c r="K120" s="4">
        <f>IF(A120="","",SUMIFS(Cash[Оплата],Cash[Документ],A120,Cash[Дата],"&lt;="&amp;ДатаОтчета))</f>
        <v>143000</v>
      </c>
      <c r="L120" s="4">
        <f t="shared" si="5"/>
        <v>0</v>
      </c>
      <c r="M120" s="4">
        <f t="shared" si="6"/>
        <v>0</v>
      </c>
      <c r="N120" s="4" t="str">
        <f t="shared" si="7"/>
        <v>Закрыта</v>
      </c>
      <c r="O120" s="4" t="str">
        <f t="shared" si="8"/>
        <v>Оплачено</v>
      </c>
      <c r="P120" s="4" t="str">
        <f>IF(A120="",IF(COUNTA(B120:J120)&gt;0,"НЕТ ID",""),IF(OR(NOT(ISNUMBER(E120)),AND(Форма="ИП",C120="Дивиденды"),COUNTIF(Docs[ID],A120)&lt;&gt;1,NOT(ISNUMBER(B120)),B120&lt;НачалоУчета,YEAR(B120)&lt;&gt;Год,NOT(ISNUMBER(H120)),H120&lt;B120,E120&lt;0,COUNTIF(Виды,C120)&lt;&gt;1,COUNTIF(Категории,D120)&lt;&gt;1,COUNTIF(Контрагенты,F120)&lt;&gt;1,COUNTIF(Проекты,G120)&lt;&gt;1,L120&lt;-0.01,AND(I120&lt;&gt;"Проведён",I120&lt;&gt;"Черновик")),"ОШИБКА","ОК"))</f>
        <v>ОК</v>
      </c>
      <c r="Q120" s="4" t="str">
        <f t="shared" si="9"/>
        <v>ДЗ</v>
      </c>
    </row>
    <row r="121" spans="1:17" x14ac:dyDescent="0.25">
      <c r="A121" s="3" t="s">
        <v>810</v>
      </c>
      <c r="B121" s="19">
        <v>46272</v>
      </c>
      <c r="C121" s="3" t="s">
        <v>5</v>
      </c>
      <c r="D121" s="3" t="s">
        <v>485</v>
      </c>
      <c r="E121" s="12">
        <v>117000</v>
      </c>
      <c r="F121" s="3" t="s">
        <v>492</v>
      </c>
      <c r="G121" s="3" t="s">
        <v>382</v>
      </c>
      <c r="H121" s="19">
        <v>46287</v>
      </c>
      <c r="I121" s="3" t="s">
        <v>476</v>
      </c>
      <c r="J121" s="3"/>
      <c r="K121" s="4">
        <f>IF(A121="","",SUMIFS(Cash[Оплата],Cash[Документ],A121,Cash[Дата],"&lt;="&amp;ДатаОтчета))</f>
        <v>117000</v>
      </c>
      <c r="L121" s="4">
        <f t="shared" si="5"/>
        <v>0</v>
      </c>
      <c r="M121" s="4">
        <f t="shared" si="6"/>
        <v>0</v>
      </c>
      <c r="N121" s="4" t="str">
        <f t="shared" si="7"/>
        <v>Закрыта</v>
      </c>
      <c r="O121" s="4" t="str">
        <f t="shared" si="8"/>
        <v>Оплачено</v>
      </c>
      <c r="P121" s="4" t="str">
        <f>IF(A121="",IF(COUNTA(B121:J121)&gt;0,"НЕТ ID",""),IF(OR(NOT(ISNUMBER(E121)),AND(Форма="ИП",C121="Дивиденды"),COUNTIF(Docs[ID],A121)&lt;&gt;1,NOT(ISNUMBER(B121)),B121&lt;НачалоУчета,YEAR(B121)&lt;&gt;Год,NOT(ISNUMBER(H121)),H121&lt;B121,E121&lt;0,COUNTIF(Виды,C121)&lt;&gt;1,COUNTIF(Категории,D121)&lt;&gt;1,COUNTIF(Контрагенты,F121)&lt;&gt;1,COUNTIF(Проекты,G121)&lt;&gt;1,L121&lt;-0.01,AND(I121&lt;&gt;"Проведён",I121&lt;&gt;"Черновик")),"ОШИБКА","ОК"))</f>
        <v>ОК</v>
      </c>
      <c r="Q121" s="4" t="str">
        <f t="shared" si="9"/>
        <v>ДЗ</v>
      </c>
    </row>
    <row r="122" spans="1:17" x14ac:dyDescent="0.25">
      <c r="A122" s="3" t="s">
        <v>812</v>
      </c>
      <c r="B122" s="19">
        <v>46273</v>
      </c>
      <c r="C122" s="3" t="s">
        <v>5</v>
      </c>
      <c r="D122" s="3" t="s">
        <v>485</v>
      </c>
      <c r="E122" s="12">
        <v>91000</v>
      </c>
      <c r="F122" s="3" t="s">
        <v>495</v>
      </c>
      <c r="G122" s="3" t="s">
        <v>381</v>
      </c>
      <c r="H122" s="19">
        <v>46288</v>
      </c>
      <c r="I122" s="3" t="s">
        <v>476</v>
      </c>
      <c r="J122" s="3"/>
      <c r="K122" s="4">
        <f>IF(A122="","",SUMIFS(Cash[Оплата],Cash[Документ],A122,Cash[Дата],"&lt;="&amp;ДатаОтчета))</f>
        <v>91000</v>
      </c>
      <c r="L122" s="4">
        <f t="shared" si="5"/>
        <v>0</v>
      </c>
      <c r="M122" s="4">
        <f t="shared" si="6"/>
        <v>0</v>
      </c>
      <c r="N122" s="4" t="str">
        <f t="shared" si="7"/>
        <v>Закрыта</v>
      </c>
      <c r="O122" s="4" t="str">
        <f t="shared" si="8"/>
        <v>Оплачено</v>
      </c>
      <c r="P122" s="4" t="str">
        <f>IF(A122="",IF(COUNTA(B122:J122)&gt;0,"НЕТ ID",""),IF(OR(NOT(ISNUMBER(E122)),AND(Форма="ИП",C122="Дивиденды"),COUNTIF(Docs[ID],A122)&lt;&gt;1,NOT(ISNUMBER(B122)),B122&lt;НачалоУчета,YEAR(B122)&lt;&gt;Год,NOT(ISNUMBER(H122)),H122&lt;B122,E122&lt;0,COUNTIF(Виды,C122)&lt;&gt;1,COUNTIF(Категории,D122)&lt;&gt;1,COUNTIF(Контрагенты,F122)&lt;&gt;1,COUNTIF(Проекты,G122)&lt;&gt;1,L122&lt;-0.01,AND(I122&lt;&gt;"Проведён",I122&lt;&gt;"Черновик")),"ОШИБКА","ОК"))</f>
        <v>ОК</v>
      </c>
      <c r="Q122" s="4" t="str">
        <f t="shared" si="9"/>
        <v>ДЗ</v>
      </c>
    </row>
    <row r="123" spans="1:17" x14ac:dyDescent="0.25">
      <c r="A123" s="3" t="s">
        <v>814</v>
      </c>
      <c r="B123" s="19">
        <v>46274</v>
      </c>
      <c r="C123" s="3" t="s">
        <v>5</v>
      </c>
      <c r="D123" s="3" t="s">
        <v>485</v>
      </c>
      <c r="E123" s="12">
        <v>65000</v>
      </c>
      <c r="F123" s="3" t="s">
        <v>498</v>
      </c>
      <c r="G123" s="3" t="s">
        <v>298</v>
      </c>
      <c r="H123" s="19">
        <v>46289</v>
      </c>
      <c r="I123" s="3" t="s">
        <v>476</v>
      </c>
      <c r="J123" s="3"/>
      <c r="K123" s="4">
        <f>IF(A123="","",SUMIFS(Cash[Оплата],Cash[Документ],A123,Cash[Дата],"&lt;="&amp;ДатаОтчета))</f>
        <v>65000</v>
      </c>
      <c r="L123" s="4">
        <f t="shared" si="5"/>
        <v>0</v>
      </c>
      <c r="M123" s="4">
        <f t="shared" si="6"/>
        <v>0</v>
      </c>
      <c r="N123" s="4" t="str">
        <f t="shared" si="7"/>
        <v>Закрыта</v>
      </c>
      <c r="O123" s="4" t="str">
        <f t="shared" si="8"/>
        <v>Оплачено</v>
      </c>
      <c r="P123" s="4" t="str">
        <f>IF(A123="",IF(COUNTA(B123:J123)&gt;0,"НЕТ ID",""),IF(OR(NOT(ISNUMBER(E123)),AND(Форма="ИП",C123="Дивиденды"),COUNTIF(Docs[ID],A123)&lt;&gt;1,NOT(ISNUMBER(B123)),B123&lt;НачалоУчета,YEAR(B123)&lt;&gt;Год,NOT(ISNUMBER(H123)),H123&lt;B123,E123&lt;0,COUNTIF(Виды,C123)&lt;&gt;1,COUNTIF(Категории,D123)&lt;&gt;1,COUNTIF(Контрагенты,F123)&lt;&gt;1,COUNTIF(Проекты,G123)&lt;&gt;1,L123&lt;-0.01,AND(I123&lt;&gt;"Проведён",I123&lt;&gt;"Черновик")),"ОШИБКА","ОК"))</f>
        <v>ОК</v>
      </c>
      <c r="Q123" s="4" t="str">
        <f t="shared" si="9"/>
        <v>ДЗ</v>
      </c>
    </row>
    <row r="124" spans="1:17" x14ac:dyDescent="0.25">
      <c r="A124" s="3" t="s">
        <v>816</v>
      </c>
      <c r="B124" s="19">
        <v>46275</v>
      </c>
      <c r="C124" s="3" t="s">
        <v>5</v>
      </c>
      <c r="D124" s="3" t="s">
        <v>485</v>
      </c>
      <c r="E124" s="12">
        <v>52000</v>
      </c>
      <c r="F124" s="3" t="s">
        <v>501</v>
      </c>
      <c r="G124" s="3" t="s">
        <v>382</v>
      </c>
      <c r="H124" s="19">
        <v>46290</v>
      </c>
      <c r="I124" s="3" t="s">
        <v>476</v>
      </c>
      <c r="J124" s="3"/>
      <c r="K124" s="4">
        <f>IF(A124="","",SUMIFS(Cash[Оплата],Cash[Документ],A124,Cash[Дата],"&lt;="&amp;ДатаОтчета))</f>
        <v>52000</v>
      </c>
      <c r="L124" s="4">
        <f t="shared" si="5"/>
        <v>0</v>
      </c>
      <c r="M124" s="4">
        <f t="shared" si="6"/>
        <v>0</v>
      </c>
      <c r="N124" s="4" t="str">
        <f t="shared" si="7"/>
        <v>Закрыта</v>
      </c>
      <c r="O124" s="4" t="str">
        <f t="shared" si="8"/>
        <v>Оплачено</v>
      </c>
      <c r="P124" s="4" t="str">
        <f>IF(A124="",IF(COUNTA(B124:J124)&gt;0,"НЕТ ID",""),IF(OR(NOT(ISNUMBER(E124)),AND(Форма="ИП",C124="Дивиденды"),COUNTIF(Docs[ID],A124)&lt;&gt;1,NOT(ISNUMBER(B124)),B124&lt;НачалоУчета,YEAR(B124)&lt;&gt;Год,NOT(ISNUMBER(H124)),H124&lt;B124,E124&lt;0,COUNTIF(Виды,C124)&lt;&gt;1,COUNTIF(Категории,D124)&lt;&gt;1,COUNTIF(Контрагенты,F124)&lt;&gt;1,COUNTIF(Проекты,G124)&lt;&gt;1,L124&lt;-0.01,AND(I124&lt;&gt;"Проведён",I124&lt;&gt;"Черновик")),"ОШИБКА","ОК"))</f>
        <v>ОК</v>
      </c>
      <c r="Q124" s="4" t="str">
        <f t="shared" si="9"/>
        <v>ДЗ</v>
      </c>
    </row>
    <row r="125" spans="1:17" x14ac:dyDescent="0.25">
      <c r="A125" s="3" t="s">
        <v>818</v>
      </c>
      <c r="B125" s="19">
        <v>46275</v>
      </c>
      <c r="C125" s="3" t="s">
        <v>125</v>
      </c>
      <c r="D125" s="3" t="s">
        <v>505</v>
      </c>
      <c r="E125" s="12">
        <v>208000</v>
      </c>
      <c r="F125" s="3" t="s">
        <v>506</v>
      </c>
      <c r="G125" s="3" t="s">
        <v>298</v>
      </c>
      <c r="H125" s="19">
        <v>46287</v>
      </c>
      <c r="I125" s="3" t="s">
        <v>476</v>
      </c>
      <c r="J125" s="3"/>
      <c r="K125" s="4">
        <f>IF(A125="","",SUMIFS(Cash[Оплата],Cash[Документ],A125,Cash[Дата],"&lt;="&amp;ДатаОтчета))</f>
        <v>208000</v>
      </c>
      <c r="L125" s="4">
        <f t="shared" si="5"/>
        <v>0</v>
      </c>
      <c r="M125" s="4">
        <f t="shared" si="6"/>
        <v>0</v>
      </c>
      <c r="N125" s="4" t="str">
        <f t="shared" si="7"/>
        <v>Закрыта</v>
      </c>
      <c r="O125" s="4" t="str">
        <f t="shared" si="8"/>
        <v>Оплачено</v>
      </c>
      <c r="P125" s="4" t="str">
        <f>IF(A125="",IF(COUNTA(B125:J125)&gt;0,"НЕТ ID",""),IF(OR(NOT(ISNUMBER(E125)),AND(Форма="ИП",C125="Дивиденды"),COUNTIF(Docs[ID],A125)&lt;&gt;1,NOT(ISNUMBER(B125)),B125&lt;НачалоУчета,YEAR(B125)&lt;&gt;Год,NOT(ISNUMBER(H125)),H125&lt;B125,E125&lt;0,COUNTIF(Виды,C125)&lt;&gt;1,COUNTIF(Категории,D125)&lt;&gt;1,COUNTIF(Контрагенты,F125)&lt;&gt;1,COUNTIF(Проекты,G125)&lt;&gt;1,L125&lt;-0.01,AND(I125&lt;&gt;"Проведён",I125&lt;&gt;"Черновик")),"ОШИБКА","ОК"))</f>
        <v>ОК</v>
      </c>
      <c r="Q125" s="4" t="str">
        <f t="shared" si="9"/>
        <v>КЗ</v>
      </c>
    </row>
    <row r="126" spans="1:17" x14ac:dyDescent="0.25">
      <c r="A126" s="3" t="s">
        <v>820</v>
      </c>
      <c r="B126" s="19">
        <v>46276</v>
      </c>
      <c r="C126" s="3" t="s">
        <v>959</v>
      </c>
      <c r="D126" s="3" t="s">
        <v>509</v>
      </c>
      <c r="E126" s="12">
        <v>65000</v>
      </c>
      <c r="F126" s="3" t="s">
        <v>510</v>
      </c>
      <c r="G126" s="3" t="s">
        <v>383</v>
      </c>
      <c r="H126" s="19">
        <v>46288</v>
      </c>
      <c r="I126" s="3" t="s">
        <v>476</v>
      </c>
      <c r="J126" s="3"/>
      <c r="K126" s="4">
        <f>IF(A126="","",SUMIFS(Cash[Оплата],Cash[Документ],A126,Cash[Дата],"&lt;="&amp;ДатаОтчета))</f>
        <v>65000</v>
      </c>
      <c r="L126" s="4">
        <f t="shared" si="5"/>
        <v>0</v>
      </c>
      <c r="M126" s="4">
        <f t="shared" si="6"/>
        <v>0</v>
      </c>
      <c r="N126" s="4" t="str">
        <f t="shared" si="7"/>
        <v>Закрыта</v>
      </c>
      <c r="O126" s="4" t="str">
        <f t="shared" si="8"/>
        <v>Оплачено</v>
      </c>
      <c r="P126" s="4" t="str">
        <f>IF(A126="",IF(COUNTA(B126:J126)&gt;0,"НЕТ ID",""),IF(OR(NOT(ISNUMBER(E126)),AND(Форма="ИП",C126="Дивиденды"),COUNTIF(Docs[ID],A126)&lt;&gt;1,NOT(ISNUMBER(B126)),B126&lt;НачалоУчета,YEAR(B126)&lt;&gt;Год,NOT(ISNUMBER(H126)),H126&lt;B126,E126&lt;0,COUNTIF(Виды,C126)&lt;&gt;1,COUNTIF(Категории,D126)&lt;&gt;1,COUNTIF(Контрагенты,F126)&lt;&gt;1,COUNTIF(Проекты,G126)&lt;&gt;1,L126&lt;-0.01,AND(I126&lt;&gt;"Проведён",I126&lt;&gt;"Черновик")),"ОШИБКА","ОК"))</f>
        <v>ОК</v>
      </c>
      <c r="Q126" s="4" t="str">
        <f t="shared" si="9"/>
        <v>КЗ</v>
      </c>
    </row>
    <row r="127" spans="1:17" x14ac:dyDescent="0.25">
      <c r="A127" s="3" t="s">
        <v>823</v>
      </c>
      <c r="B127" s="19">
        <v>46277</v>
      </c>
      <c r="C127" s="3" t="s">
        <v>959</v>
      </c>
      <c r="D127" s="3" t="s">
        <v>295</v>
      </c>
      <c r="E127" s="12">
        <v>45000</v>
      </c>
      <c r="F127" s="3" t="s">
        <v>514</v>
      </c>
      <c r="G127" s="3" t="s">
        <v>381</v>
      </c>
      <c r="H127" s="19">
        <v>46289</v>
      </c>
      <c r="I127" s="3" t="s">
        <v>476</v>
      </c>
      <c r="J127" s="3"/>
      <c r="K127" s="4">
        <f>IF(A127="","",SUMIFS(Cash[Оплата],Cash[Документ],A127,Cash[Дата],"&lt;="&amp;ДатаОтчета))</f>
        <v>45000</v>
      </c>
      <c r="L127" s="4">
        <f t="shared" si="5"/>
        <v>0</v>
      </c>
      <c r="M127" s="4">
        <f t="shared" si="6"/>
        <v>0</v>
      </c>
      <c r="N127" s="4" t="str">
        <f t="shared" si="7"/>
        <v>Закрыта</v>
      </c>
      <c r="O127" s="4" t="str">
        <f t="shared" si="8"/>
        <v>Оплачено</v>
      </c>
      <c r="P127" s="4" t="str">
        <f>IF(A127="",IF(COUNTA(B127:J127)&gt;0,"НЕТ ID",""),IF(OR(NOT(ISNUMBER(E127)),AND(Форма="ИП",C127="Дивиденды"),COUNTIF(Docs[ID],A127)&lt;&gt;1,NOT(ISNUMBER(B127)),B127&lt;НачалоУчета,YEAR(B127)&lt;&gt;Год,NOT(ISNUMBER(H127)),H127&lt;B127,E127&lt;0,COUNTIF(Виды,C127)&lt;&gt;1,COUNTIF(Категории,D127)&lt;&gt;1,COUNTIF(Контрагенты,F127)&lt;&gt;1,COUNTIF(Проекты,G127)&lt;&gt;1,L127&lt;-0.01,AND(I127&lt;&gt;"Проведён",I127&lt;&gt;"Черновик")),"ОШИБКА","ОК"))</f>
        <v>ОК</v>
      </c>
      <c r="Q127" s="4" t="str">
        <f t="shared" si="9"/>
        <v>КЗ</v>
      </c>
    </row>
    <row r="128" spans="1:17" x14ac:dyDescent="0.25">
      <c r="A128" s="3" t="s">
        <v>826</v>
      </c>
      <c r="B128" s="19">
        <v>46278</v>
      </c>
      <c r="C128" s="3" t="s">
        <v>959</v>
      </c>
      <c r="D128" s="3" t="s">
        <v>518</v>
      </c>
      <c r="E128" s="12">
        <v>18000</v>
      </c>
      <c r="F128" s="3" t="s">
        <v>519</v>
      </c>
      <c r="G128" s="3" t="s">
        <v>383</v>
      </c>
      <c r="H128" s="19">
        <v>46290</v>
      </c>
      <c r="I128" s="3" t="s">
        <v>476</v>
      </c>
      <c r="J128" s="3"/>
      <c r="K128" s="4">
        <f>IF(A128="","",SUMIFS(Cash[Оплата],Cash[Документ],A128,Cash[Дата],"&lt;="&amp;ДатаОтчета))</f>
        <v>18000</v>
      </c>
      <c r="L128" s="4">
        <f t="shared" si="5"/>
        <v>0</v>
      </c>
      <c r="M128" s="4">
        <f t="shared" si="6"/>
        <v>0</v>
      </c>
      <c r="N128" s="4" t="str">
        <f t="shared" si="7"/>
        <v>Закрыта</v>
      </c>
      <c r="O128" s="4" t="str">
        <f t="shared" si="8"/>
        <v>Оплачено</v>
      </c>
      <c r="P128" s="4" t="str">
        <f>IF(A128="",IF(COUNTA(B128:J128)&gt;0,"НЕТ ID",""),IF(OR(NOT(ISNUMBER(E128)),AND(Форма="ИП",C128="Дивиденды"),COUNTIF(Docs[ID],A128)&lt;&gt;1,NOT(ISNUMBER(B128)),B128&lt;НачалоУчета,YEAR(B128)&lt;&gt;Год,NOT(ISNUMBER(H128)),H128&lt;B128,E128&lt;0,COUNTIF(Виды,C128)&lt;&gt;1,COUNTIF(Категории,D128)&lt;&gt;1,COUNTIF(Контрагенты,F128)&lt;&gt;1,COUNTIF(Проекты,G128)&lt;&gt;1,L128&lt;-0.01,AND(I128&lt;&gt;"Проведён",I128&lt;&gt;"Черновик")),"ОШИБКА","ОК"))</f>
        <v>ОК</v>
      </c>
      <c r="Q128" s="4" t="str">
        <f t="shared" si="9"/>
        <v>КЗ</v>
      </c>
    </row>
    <row r="129" spans="1:17" x14ac:dyDescent="0.25">
      <c r="A129" s="3" t="s">
        <v>829</v>
      </c>
      <c r="B129" s="19">
        <v>46279</v>
      </c>
      <c r="C129" s="3" t="s">
        <v>959</v>
      </c>
      <c r="D129" s="3" t="s">
        <v>523</v>
      </c>
      <c r="E129" s="12">
        <v>78300</v>
      </c>
      <c r="F129" s="3" t="s">
        <v>52</v>
      </c>
      <c r="G129" s="3" t="s">
        <v>383</v>
      </c>
      <c r="H129" s="19">
        <v>46291</v>
      </c>
      <c r="I129" s="3" t="s">
        <v>476</v>
      </c>
      <c r="J129" s="3"/>
      <c r="K129" s="4">
        <f>IF(A129="","",SUMIFS(Cash[Оплата],Cash[Документ],A129,Cash[Дата],"&lt;="&amp;ДатаОтчета))</f>
        <v>78300</v>
      </c>
      <c r="L129" s="4">
        <f t="shared" si="5"/>
        <v>0</v>
      </c>
      <c r="M129" s="4">
        <f t="shared" si="6"/>
        <v>0</v>
      </c>
      <c r="N129" s="4" t="str">
        <f t="shared" si="7"/>
        <v>Закрыта</v>
      </c>
      <c r="O129" s="4" t="str">
        <f t="shared" si="8"/>
        <v>Оплачено</v>
      </c>
      <c r="P129" s="4" t="str">
        <f>IF(A129="",IF(COUNTA(B129:J129)&gt;0,"НЕТ ID",""),IF(OR(NOT(ISNUMBER(E129)),AND(Форма="ИП",C129="Дивиденды"),COUNTIF(Docs[ID],A129)&lt;&gt;1,NOT(ISNUMBER(B129)),B129&lt;НачалоУчета,YEAR(B129)&lt;&gt;Год,NOT(ISNUMBER(H129)),H129&lt;B129,E129&lt;0,COUNTIF(Виды,C129)&lt;&gt;1,COUNTIF(Категории,D129)&lt;&gt;1,COUNTIF(Контрагенты,F129)&lt;&gt;1,COUNTIF(Проекты,G129)&lt;&gt;1,L129&lt;-0.01,AND(I129&lt;&gt;"Проведён",I129&lt;&gt;"Черновик")),"ОШИБКА","ОК"))</f>
        <v>ОК</v>
      </c>
      <c r="Q129" s="4" t="str">
        <f t="shared" si="9"/>
        <v>КЗ</v>
      </c>
    </row>
    <row r="130" spans="1:17" x14ac:dyDescent="0.25">
      <c r="A130" s="3" t="s">
        <v>832</v>
      </c>
      <c r="B130" s="19">
        <v>46280</v>
      </c>
      <c r="C130" s="3" t="s">
        <v>959</v>
      </c>
      <c r="D130" s="3" t="s">
        <v>527</v>
      </c>
      <c r="E130" s="12">
        <v>11700</v>
      </c>
      <c r="F130" s="3" t="s">
        <v>528</v>
      </c>
      <c r="G130" s="3" t="s">
        <v>383</v>
      </c>
      <c r="H130" s="19">
        <v>46292</v>
      </c>
      <c r="I130" s="3" t="s">
        <v>476</v>
      </c>
      <c r="J130" s="3"/>
      <c r="K130" s="4">
        <f>IF(A130="","",SUMIFS(Cash[Оплата],Cash[Документ],A130,Cash[Дата],"&lt;="&amp;ДатаОтчета))</f>
        <v>11700</v>
      </c>
      <c r="L130" s="4">
        <f t="shared" si="5"/>
        <v>0</v>
      </c>
      <c r="M130" s="4">
        <f t="shared" si="6"/>
        <v>0</v>
      </c>
      <c r="N130" s="4" t="str">
        <f t="shared" si="7"/>
        <v>Закрыта</v>
      </c>
      <c r="O130" s="4" t="str">
        <f t="shared" si="8"/>
        <v>Оплачено</v>
      </c>
      <c r="P130" s="4" t="str">
        <f>IF(A130="",IF(COUNTA(B130:J130)&gt;0,"НЕТ ID",""),IF(OR(NOT(ISNUMBER(E130)),AND(Форма="ИП",C130="Дивиденды"),COUNTIF(Docs[ID],A130)&lt;&gt;1,NOT(ISNUMBER(B130)),B130&lt;НачалоУчета,YEAR(B130)&lt;&gt;Год,NOT(ISNUMBER(H130)),H130&lt;B130,E130&lt;0,COUNTIF(Виды,C130)&lt;&gt;1,COUNTIF(Категории,D130)&lt;&gt;1,COUNTIF(Контрагенты,F130)&lt;&gt;1,COUNTIF(Проекты,G130)&lt;&gt;1,L130&lt;-0.01,AND(I130&lt;&gt;"Проведён",I130&lt;&gt;"Черновик")),"ОШИБКА","ОК"))</f>
        <v>ОК</v>
      </c>
      <c r="Q130" s="4" t="str">
        <f t="shared" si="9"/>
        <v>КЗ</v>
      </c>
    </row>
    <row r="131" spans="1:17" x14ac:dyDescent="0.25">
      <c r="A131" s="3" t="s">
        <v>835</v>
      </c>
      <c r="B131" s="19">
        <v>46281</v>
      </c>
      <c r="C131" s="3" t="s">
        <v>959</v>
      </c>
      <c r="D131" s="3" t="s">
        <v>532</v>
      </c>
      <c r="E131" s="12">
        <v>27000</v>
      </c>
      <c r="F131" s="3" t="s">
        <v>528</v>
      </c>
      <c r="G131" s="3" t="s">
        <v>383</v>
      </c>
      <c r="H131" s="19">
        <v>46293</v>
      </c>
      <c r="I131" s="3" t="s">
        <v>476</v>
      </c>
      <c r="J131" s="3"/>
      <c r="K131" s="4">
        <f>IF(A131="","",SUMIFS(Cash[Оплата],Cash[Документ],A131,Cash[Дата],"&lt;="&amp;ДатаОтчета))</f>
        <v>27000</v>
      </c>
      <c r="L131" s="4">
        <f t="shared" si="5"/>
        <v>0</v>
      </c>
      <c r="M131" s="4">
        <f t="shared" si="6"/>
        <v>0</v>
      </c>
      <c r="N131" s="4" t="str">
        <f t="shared" si="7"/>
        <v>Закрыта</v>
      </c>
      <c r="O131" s="4" t="str">
        <f t="shared" si="8"/>
        <v>Оплачено</v>
      </c>
      <c r="P131" s="4" t="str">
        <f>IF(A131="",IF(COUNTA(B131:J131)&gt;0,"НЕТ ID",""),IF(OR(NOT(ISNUMBER(E131)),AND(Форма="ИП",C131="Дивиденды"),COUNTIF(Docs[ID],A131)&lt;&gt;1,NOT(ISNUMBER(B131)),B131&lt;НачалоУчета,YEAR(B131)&lt;&gt;Год,NOT(ISNUMBER(H131)),H131&lt;B131,E131&lt;0,COUNTIF(Виды,C131)&lt;&gt;1,COUNTIF(Категории,D131)&lt;&gt;1,COUNTIF(Контрагенты,F131)&lt;&gt;1,COUNTIF(Проекты,G131)&lt;&gt;1,L131&lt;-0.01,AND(I131&lt;&gt;"Проведён",I131&lt;&gt;"Черновик")),"ОШИБКА","ОК"))</f>
        <v>ОК</v>
      </c>
      <c r="Q131" s="4" t="str">
        <f t="shared" si="9"/>
        <v>КЗ</v>
      </c>
    </row>
    <row r="132" spans="1:17" x14ac:dyDescent="0.25">
      <c r="A132" s="3" t="s">
        <v>837</v>
      </c>
      <c r="B132" s="19">
        <v>46292</v>
      </c>
      <c r="C132" s="3" t="s">
        <v>130</v>
      </c>
      <c r="D132" s="3" t="s">
        <v>130</v>
      </c>
      <c r="E132" s="12">
        <v>2788.37</v>
      </c>
      <c r="F132" s="3" t="s">
        <v>397</v>
      </c>
      <c r="G132" s="3" t="s">
        <v>383</v>
      </c>
      <c r="H132" s="19">
        <v>46293</v>
      </c>
      <c r="I132" s="3" t="s">
        <v>476</v>
      </c>
      <c r="J132" s="3"/>
      <c r="K132" s="4">
        <f>IF(A132="","",SUMIFS(Cash[Оплата],Cash[Документ],A132,Cash[Дата],"&lt;="&amp;ДатаОтчета))</f>
        <v>2788.37</v>
      </c>
      <c r="L132" s="4">
        <f t="shared" si="5"/>
        <v>0</v>
      </c>
      <c r="M132" s="4">
        <f t="shared" si="6"/>
        <v>0</v>
      </c>
      <c r="N132" s="4" t="str">
        <f t="shared" si="7"/>
        <v>Закрыта</v>
      </c>
      <c r="O132" s="4" t="str">
        <f t="shared" si="8"/>
        <v>Оплачено</v>
      </c>
      <c r="P132" s="4" t="str">
        <f>IF(A132="",IF(COUNTA(B132:J132)&gt;0,"НЕТ ID",""),IF(OR(NOT(ISNUMBER(E132)),AND(Форма="ИП",C132="Дивиденды"),COUNTIF(Docs[ID],A132)&lt;&gt;1,NOT(ISNUMBER(B132)),B132&lt;НачалоУчета,YEAR(B132)&lt;&gt;Год,NOT(ISNUMBER(H132)),H132&lt;B132,E132&lt;0,COUNTIF(Виды,C132)&lt;&gt;1,COUNTIF(Категории,D132)&lt;&gt;1,COUNTIF(Контрагенты,F132)&lt;&gt;1,COUNTIF(Проекты,G132)&lt;&gt;1,L132&lt;-0.01,AND(I132&lt;&gt;"Проведён",I132&lt;&gt;"Черновик")),"ОШИБКА","ОК"))</f>
        <v>ОК</v>
      </c>
      <c r="Q132" s="4" t="str">
        <f t="shared" si="9"/>
        <v>КЗ</v>
      </c>
    </row>
    <row r="133" spans="1:17" x14ac:dyDescent="0.25">
      <c r="A133" s="3" t="s">
        <v>843</v>
      </c>
      <c r="B133" s="19">
        <v>46300</v>
      </c>
      <c r="C133" s="3" t="s">
        <v>5</v>
      </c>
      <c r="D133" s="3" t="s">
        <v>485</v>
      </c>
      <c r="E133" s="12">
        <v>198800</v>
      </c>
      <c r="F133" s="3" t="s">
        <v>486</v>
      </c>
      <c r="G133" s="3" t="s">
        <v>381</v>
      </c>
      <c r="H133" s="19">
        <v>46315</v>
      </c>
      <c r="I133" s="3" t="s">
        <v>476</v>
      </c>
      <c r="J133" s="3"/>
      <c r="K133" s="4">
        <f>IF(A133="","",SUMIFS(Cash[Оплата],Cash[Документ],A133,Cash[Дата],"&lt;="&amp;ДатаОтчета))</f>
        <v>198800</v>
      </c>
      <c r="L133" s="4">
        <f t="shared" si="5"/>
        <v>0</v>
      </c>
      <c r="M133" s="4">
        <f t="shared" si="6"/>
        <v>0</v>
      </c>
      <c r="N133" s="4" t="str">
        <f t="shared" si="7"/>
        <v>Закрыта</v>
      </c>
      <c r="O133" s="4" t="str">
        <f t="shared" si="8"/>
        <v>Оплачено</v>
      </c>
      <c r="P133" s="4" t="str">
        <f>IF(A133="",IF(COUNTA(B133:J133)&gt;0,"НЕТ ID",""),IF(OR(NOT(ISNUMBER(E133)),AND(Форма="ИП",C133="Дивиденды"),COUNTIF(Docs[ID],A133)&lt;&gt;1,NOT(ISNUMBER(B133)),B133&lt;НачалоУчета,YEAR(B133)&lt;&gt;Год,NOT(ISNUMBER(H133)),H133&lt;B133,E133&lt;0,COUNTIF(Виды,C133)&lt;&gt;1,COUNTIF(Категории,D133)&lt;&gt;1,COUNTIF(Контрагенты,F133)&lt;&gt;1,COUNTIF(Проекты,G133)&lt;&gt;1,L133&lt;-0.01,AND(I133&lt;&gt;"Проведён",I133&lt;&gt;"Черновик")),"ОШИБКА","ОК"))</f>
        <v>ОК</v>
      </c>
      <c r="Q133" s="4" t="str">
        <f t="shared" si="9"/>
        <v>ДЗ</v>
      </c>
    </row>
    <row r="134" spans="1:17" x14ac:dyDescent="0.25">
      <c r="A134" s="3" t="s">
        <v>845</v>
      </c>
      <c r="B134" s="19">
        <v>46301</v>
      </c>
      <c r="C134" s="3" t="s">
        <v>5</v>
      </c>
      <c r="D134" s="3" t="s">
        <v>485</v>
      </c>
      <c r="E134" s="12">
        <v>156200</v>
      </c>
      <c r="F134" s="3" t="s">
        <v>489</v>
      </c>
      <c r="G134" s="3" t="s">
        <v>298</v>
      </c>
      <c r="H134" s="19">
        <v>46316</v>
      </c>
      <c r="I134" s="3" t="s">
        <v>476</v>
      </c>
      <c r="J134" s="3"/>
      <c r="K134" s="4">
        <f>IF(A134="","",SUMIFS(Cash[Оплата],Cash[Документ],A134,Cash[Дата],"&lt;="&amp;ДатаОтчета))</f>
        <v>156200</v>
      </c>
      <c r="L134" s="4">
        <f t="shared" si="5"/>
        <v>0</v>
      </c>
      <c r="M134" s="4">
        <f t="shared" si="6"/>
        <v>0</v>
      </c>
      <c r="N134" s="4" t="str">
        <f t="shared" si="7"/>
        <v>Закрыта</v>
      </c>
      <c r="O134" s="4" t="str">
        <f t="shared" si="8"/>
        <v>Оплачено</v>
      </c>
      <c r="P134" s="4" t="str">
        <f>IF(A134="",IF(COUNTA(B134:J134)&gt;0,"НЕТ ID",""),IF(OR(NOT(ISNUMBER(E134)),AND(Форма="ИП",C134="Дивиденды"),COUNTIF(Docs[ID],A134)&lt;&gt;1,NOT(ISNUMBER(B134)),B134&lt;НачалоУчета,YEAR(B134)&lt;&gt;Год,NOT(ISNUMBER(H134)),H134&lt;B134,E134&lt;0,COUNTIF(Виды,C134)&lt;&gt;1,COUNTIF(Категории,D134)&lt;&gt;1,COUNTIF(Контрагенты,F134)&lt;&gt;1,COUNTIF(Проекты,G134)&lt;&gt;1,L134&lt;-0.01,AND(I134&lt;&gt;"Проведён",I134&lt;&gt;"Черновик")),"ОШИБКА","ОК"))</f>
        <v>ОК</v>
      </c>
      <c r="Q134" s="4" t="str">
        <f t="shared" si="9"/>
        <v>ДЗ</v>
      </c>
    </row>
    <row r="135" spans="1:17" x14ac:dyDescent="0.25">
      <c r="A135" s="3" t="s">
        <v>847</v>
      </c>
      <c r="B135" s="19">
        <v>46302</v>
      </c>
      <c r="C135" s="3" t="s">
        <v>5</v>
      </c>
      <c r="D135" s="3" t="s">
        <v>485</v>
      </c>
      <c r="E135" s="12">
        <v>127800</v>
      </c>
      <c r="F135" s="3" t="s">
        <v>492</v>
      </c>
      <c r="G135" s="3" t="s">
        <v>382</v>
      </c>
      <c r="H135" s="19">
        <v>46317</v>
      </c>
      <c r="I135" s="3" t="s">
        <v>476</v>
      </c>
      <c r="J135" s="3"/>
      <c r="K135" s="4">
        <f>IF(A135="","",SUMIFS(Cash[Оплата],Cash[Документ],A135,Cash[Дата],"&lt;="&amp;ДатаОтчета))</f>
        <v>127800</v>
      </c>
      <c r="L135" s="4">
        <f t="shared" ref="L135:L198" si="10">IF(A135="","",IF(AND(I135="Проведён",B135&lt;=ДатаОтчета),E135-K135,0))</f>
        <v>0</v>
      </c>
      <c r="M135" s="4">
        <f t="shared" ref="M135:M198" si="11">IF(A135="","",IF(L135&gt;0.01,MAX(0,ДатаОтчета-H135),0))</f>
        <v>0</v>
      </c>
      <c r="N135" s="4" t="str">
        <f t="shared" ref="N135:N198" si="12">IF(A135="","",IF(L135&lt;=0.01,"Закрыта",IF(M135=0,"Не просрочена",IF(M135&lt;=30,"1–30 дней",IF(M135&lt;=60,"31–60 дней",IF(M135&lt;=90,"61–90 дней","Более 90 дней"))))))</f>
        <v>Закрыта</v>
      </c>
      <c r="O135" s="4" t="str">
        <f t="shared" ref="O135:O198" si="13">IF(A135="","",IF(L135&lt;-0.01,"Переплата",IF(L135&lt;=0.01,"Оплачено",IF(M135&gt;0,"Просрочено",IF(H135&lt;=ДатаОтчета+7,"Оплата в 7 дней","Открыто")))))</f>
        <v>Оплачено</v>
      </c>
      <c r="P135" s="4" t="str">
        <f>IF(A135="",IF(COUNTA(B135:J135)&gt;0,"НЕТ ID",""),IF(OR(NOT(ISNUMBER(E135)),AND(Форма="ИП",C135="Дивиденды"),COUNTIF(Docs[ID],A135)&lt;&gt;1,NOT(ISNUMBER(B135)),B135&lt;НачалоУчета,YEAR(B135)&lt;&gt;Год,NOT(ISNUMBER(H135)),H135&lt;B135,E135&lt;0,COUNTIF(Виды,C135)&lt;&gt;1,COUNTIF(Категории,D135)&lt;&gt;1,COUNTIF(Контрагенты,F135)&lt;&gt;1,COUNTIF(Проекты,G135)&lt;&gt;1,L135&lt;-0.01,AND(I135&lt;&gt;"Проведён",I135&lt;&gt;"Черновик")),"ОШИБКА","ОК"))</f>
        <v>ОК</v>
      </c>
      <c r="Q135" s="4" t="str">
        <f t="shared" ref="Q135:Q198" si="14">IF(A135="","",IF(OR(C135="Выручка",C135="Начальная ДЗ"),"ДЗ","КЗ"))</f>
        <v>ДЗ</v>
      </c>
    </row>
    <row r="136" spans="1:17" x14ac:dyDescent="0.25">
      <c r="A136" s="3" t="s">
        <v>849</v>
      </c>
      <c r="B136" s="19">
        <v>46303</v>
      </c>
      <c r="C136" s="3" t="s">
        <v>5</v>
      </c>
      <c r="D136" s="3" t="s">
        <v>485</v>
      </c>
      <c r="E136" s="12">
        <v>99400</v>
      </c>
      <c r="F136" s="3" t="s">
        <v>495</v>
      </c>
      <c r="G136" s="3" t="s">
        <v>381</v>
      </c>
      <c r="H136" s="19">
        <v>46318</v>
      </c>
      <c r="I136" s="3" t="s">
        <v>476</v>
      </c>
      <c r="J136" s="3"/>
      <c r="K136" s="4">
        <f>IF(A136="","",SUMIFS(Cash[Оплата],Cash[Документ],A136,Cash[Дата],"&lt;="&amp;ДатаОтчета))</f>
        <v>99400</v>
      </c>
      <c r="L136" s="4">
        <f t="shared" si="10"/>
        <v>0</v>
      </c>
      <c r="M136" s="4">
        <f t="shared" si="11"/>
        <v>0</v>
      </c>
      <c r="N136" s="4" t="str">
        <f t="shared" si="12"/>
        <v>Закрыта</v>
      </c>
      <c r="O136" s="4" t="str">
        <f t="shared" si="13"/>
        <v>Оплачено</v>
      </c>
      <c r="P136" s="4" t="str">
        <f>IF(A136="",IF(COUNTA(B136:J136)&gt;0,"НЕТ ID",""),IF(OR(NOT(ISNUMBER(E136)),AND(Форма="ИП",C136="Дивиденды"),COUNTIF(Docs[ID],A136)&lt;&gt;1,NOT(ISNUMBER(B136)),B136&lt;НачалоУчета,YEAR(B136)&lt;&gt;Год,NOT(ISNUMBER(H136)),H136&lt;B136,E136&lt;0,COUNTIF(Виды,C136)&lt;&gt;1,COUNTIF(Категории,D136)&lt;&gt;1,COUNTIF(Контрагенты,F136)&lt;&gt;1,COUNTIF(Проекты,G136)&lt;&gt;1,L136&lt;-0.01,AND(I136&lt;&gt;"Проведён",I136&lt;&gt;"Черновик")),"ОШИБКА","ОК"))</f>
        <v>ОК</v>
      </c>
      <c r="Q136" s="4" t="str">
        <f t="shared" si="14"/>
        <v>ДЗ</v>
      </c>
    </row>
    <row r="137" spans="1:17" x14ac:dyDescent="0.25">
      <c r="A137" s="3" t="s">
        <v>851</v>
      </c>
      <c r="B137" s="19">
        <v>46304</v>
      </c>
      <c r="C137" s="3" t="s">
        <v>5</v>
      </c>
      <c r="D137" s="3" t="s">
        <v>485</v>
      </c>
      <c r="E137" s="12">
        <v>71000</v>
      </c>
      <c r="F137" s="3" t="s">
        <v>498</v>
      </c>
      <c r="G137" s="3" t="s">
        <v>298</v>
      </c>
      <c r="H137" s="19">
        <v>46319</v>
      </c>
      <c r="I137" s="3" t="s">
        <v>476</v>
      </c>
      <c r="J137" s="3"/>
      <c r="K137" s="4">
        <f>IF(A137="","",SUMIFS(Cash[Оплата],Cash[Документ],A137,Cash[Дата],"&lt;="&amp;ДатаОтчета))</f>
        <v>71000</v>
      </c>
      <c r="L137" s="4">
        <f t="shared" si="10"/>
        <v>0</v>
      </c>
      <c r="M137" s="4">
        <f t="shared" si="11"/>
        <v>0</v>
      </c>
      <c r="N137" s="4" t="str">
        <f t="shared" si="12"/>
        <v>Закрыта</v>
      </c>
      <c r="O137" s="4" t="str">
        <f t="shared" si="13"/>
        <v>Оплачено</v>
      </c>
      <c r="P137" s="4" t="str">
        <f>IF(A137="",IF(COUNTA(B137:J137)&gt;0,"НЕТ ID",""),IF(OR(NOT(ISNUMBER(E137)),AND(Форма="ИП",C137="Дивиденды"),COUNTIF(Docs[ID],A137)&lt;&gt;1,NOT(ISNUMBER(B137)),B137&lt;НачалоУчета,YEAR(B137)&lt;&gt;Год,NOT(ISNUMBER(H137)),H137&lt;B137,E137&lt;0,COUNTIF(Виды,C137)&lt;&gt;1,COUNTIF(Категории,D137)&lt;&gt;1,COUNTIF(Контрагенты,F137)&lt;&gt;1,COUNTIF(Проекты,G137)&lt;&gt;1,L137&lt;-0.01,AND(I137&lt;&gt;"Проведён",I137&lt;&gt;"Черновик")),"ОШИБКА","ОК"))</f>
        <v>ОК</v>
      </c>
      <c r="Q137" s="4" t="str">
        <f t="shared" si="14"/>
        <v>ДЗ</v>
      </c>
    </row>
    <row r="138" spans="1:17" x14ac:dyDescent="0.25">
      <c r="A138" s="3" t="s">
        <v>853</v>
      </c>
      <c r="B138" s="19">
        <v>46305</v>
      </c>
      <c r="C138" s="3" t="s">
        <v>5</v>
      </c>
      <c r="D138" s="3" t="s">
        <v>485</v>
      </c>
      <c r="E138" s="12">
        <v>56800</v>
      </c>
      <c r="F138" s="3" t="s">
        <v>501</v>
      </c>
      <c r="G138" s="3" t="s">
        <v>382</v>
      </c>
      <c r="H138" s="19">
        <v>46320</v>
      </c>
      <c r="I138" s="3" t="s">
        <v>476</v>
      </c>
      <c r="J138" s="3"/>
      <c r="K138" s="4">
        <f>IF(A138="","",SUMIFS(Cash[Оплата],Cash[Документ],A138,Cash[Дата],"&lt;="&amp;ДатаОтчета))</f>
        <v>56800</v>
      </c>
      <c r="L138" s="4">
        <f t="shared" si="10"/>
        <v>0</v>
      </c>
      <c r="M138" s="4">
        <f t="shared" si="11"/>
        <v>0</v>
      </c>
      <c r="N138" s="4" t="str">
        <f t="shared" si="12"/>
        <v>Закрыта</v>
      </c>
      <c r="O138" s="4" t="str">
        <f t="shared" si="13"/>
        <v>Оплачено</v>
      </c>
      <c r="P138" s="4" t="str">
        <f>IF(A138="",IF(COUNTA(B138:J138)&gt;0,"НЕТ ID",""),IF(OR(NOT(ISNUMBER(E138)),AND(Форма="ИП",C138="Дивиденды"),COUNTIF(Docs[ID],A138)&lt;&gt;1,NOT(ISNUMBER(B138)),B138&lt;НачалоУчета,YEAR(B138)&lt;&gt;Год,NOT(ISNUMBER(H138)),H138&lt;B138,E138&lt;0,COUNTIF(Виды,C138)&lt;&gt;1,COUNTIF(Категории,D138)&lt;&gt;1,COUNTIF(Контрагенты,F138)&lt;&gt;1,COUNTIF(Проекты,G138)&lt;&gt;1,L138&lt;-0.01,AND(I138&lt;&gt;"Проведён",I138&lt;&gt;"Черновик")),"ОШИБКА","ОК"))</f>
        <v>ОК</v>
      </c>
      <c r="Q138" s="4" t="str">
        <f t="shared" si="14"/>
        <v>ДЗ</v>
      </c>
    </row>
    <row r="139" spans="1:17" x14ac:dyDescent="0.25">
      <c r="A139" s="3" t="s">
        <v>855</v>
      </c>
      <c r="B139" s="19">
        <v>46305</v>
      </c>
      <c r="C139" s="3" t="s">
        <v>125</v>
      </c>
      <c r="D139" s="3" t="s">
        <v>505</v>
      </c>
      <c r="E139" s="12">
        <v>227200</v>
      </c>
      <c r="F139" s="3" t="s">
        <v>506</v>
      </c>
      <c r="G139" s="3" t="s">
        <v>298</v>
      </c>
      <c r="H139" s="19">
        <v>46317</v>
      </c>
      <c r="I139" s="3" t="s">
        <v>476</v>
      </c>
      <c r="J139" s="3"/>
      <c r="K139" s="4">
        <f>IF(A139="","",SUMIFS(Cash[Оплата],Cash[Документ],A139,Cash[Дата],"&lt;="&amp;ДатаОтчета))</f>
        <v>227200</v>
      </c>
      <c r="L139" s="4">
        <f t="shared" si="10"/>
        <v>0</v>
      </c>
      <c r="M139" s="4">
        <f t="shared" si="11"/>
        <v>0</v>
      </c>
      <c r="N139" s="4" t="str">
        <f t="shared" si="12"/>
        <v>Закрыта</v>
      </c>
      <c r="O139" s="4" t="str">
        <f t="shared" si="13"/>
        <v>Оплачено</v>
      </c>
      <c r="P139" s="4" t="str">
        <f>IF(A139="",IF(COUNTA(B139:J139)&gt;0,"НЕТ ID",""),IF(OR(NOT(ISNUMBER(E139)),AND(Форма="ИП",C139="Дивиденды"),COUNTIF(Docs[ID],A139)&lt;&gt;1,NOT(ISNUMBER(B139)),B139&lt;НачалоУчета,YEAR(B139)&lt;&gt;Год,NOT(ISNUMBER(H139)),H139&lt;B139,E139&lt;0,COUNTIF(Виды,C139)&lt;&gt;1,COUNTIF(Категории,D139)&lt;&gt;1,COUNTIF(Контрагенты,F139)&lt;&gt;1,COUNTIF(Проекты,G139)&lt;&gt;1,L139&lt;-0.01,AND(I139&lt;&gt;"Проведён",I139&lt;&gt;"Черновик")),"ОШИБКА","ОК"))</f>
        <v>ОК</v>
      </c>
      <c r="Q139" s="4" t="str">
        <f t="shared" si="14"/>
        <v>КЗ</v>
      </c>
    </row>
    <row r="140" spans="1:17" x14ac:dyDescent="0.25">
      <c r="A140" s="3" t="s">
        <v>857</v>
      </c>
      <c r="B140" s="19">
        <v>46306</v>
      </c>
      <c r="C140" s="3" t="s">
        <v>959</v>
      </c>
      <c r="D140" s="3" t="s">
        <v>509</v>
      </c>
      <c r="E140" s="12">
        <v>65000</v>
      </c>
      <c r="F140" s="3" t="s">
        <v>510</v>
      </c>
      <c r="G140" s="3" t="s">
        <v>383</v>
      </c>
      <c r="H140" s="19">
        <v>46318</v>
      </c>
      <c r="I140" s="3" t="s">
        <v>476</v>
      </c>
      <c r="J140" s="3"/>
      <c r="K140" s="4">
        <f>IF(A140="","",SUMIFS(Cash[Оплата],Cash[Документ],A140,Cash[Дата],"&lt;="&amp;ДатаОтчета))</f>
        <v>65000</v>
      </c>
      <c r="L140" s="4">
        <f t="shared" si="10"/>
        <v>0</v>
      </c>
      <c r="M140" s="4">
        <f t="shared" si="11"/>
        <v>0</v>
      </c>
      <c r="N140" s="4" t="str">
        <f t="shared" si="12"/>
        <v>Закрыта</v>
      </c>
      <c r="O140" s="4" t="str">
        <f t="shared" si="13"/>
        <v>Оплачено</v>
      </c>
      <c r="P140" s="4" t="str">
        <f>IF(A140="",IF(COUNTA(B140:J140)&gt;0,"НЕТ ID",""),IF(OR(NOT(ISNUMBER(E140)),AND(Форма="ИП",C140="Дивиденды"),COUNTIF(Docs[ID],A140)&lt;&gt;1,NOT(ISNUMBER(B140)),B140&lt;НачалоУчета,YEAR(B140)&lt;&gt;Год,NOT(ISNUMBER(H140)),H140&lt;B140,E140&lt;0,COUNTIF(Виды,C140)&lt;&gt;1,COUNTIF(Категории,D140)&lt;&gt;1,COUNTIF(Контрагенты,F140)&lt;&gt;1,COUNTIF(Проекты,G140)&lt;&gt;1,L140&lt;-0.01,AND(I140&lt;&gt;"Проведён",I140&lt;&gt;"Черновик")),"ОШИБКА","ОК"))</f>
        <v>ОК</v>
      </c>
      <c r="Q140" s="4" t="str">
        <f t="shared" si="14"/>
        <v>КЗ</v>
      </c>
    </row>
    <row r="141" spans="1:17" x14ac:dyDescent="0.25">
      <c r="A141" s="3" t="s">
        <v>860</v>
      </c>
      <c r="B141" s="19">
        <v>46307</v>
      </c>
      <c r="C141" s="3" t="s">
        <v>959</v>
      </c>
      <c r="D141" s="3" t="s">
        <v>295</v>
      </c>
      <c r="E141" s="12">
        <v>45000</v>
      </c>
      <c r="F141" s="3" t="s">
        <v>514</v>
      </c>
      <c r="G141" s="3" t="s">
        <v>381</v>
      </c>
      <c r="H141" s="19">
        <v>46319</v>
      </c>
      <c r="I141" s="3" t="s">
        <v>476</v>
      </c>
      <c r="J141" s="3"/>
      <c r="K141" s="4">
        <f>IF(A141="","",SUMIFS(Cash[Оплата],Cash[Документ],A141,Cash[Дата],"&lt;="&amp;ДатаОтчета))</f>
        <v>45000</v>
      </c>
      <c r="L141" s="4">
        <f t="shared" si="10"/>
        <v>0</v>
      </c>
      <c r="M141" s="4">
        <f t="shared" si="11"/>
        <v>0</v>
      </c>
      <c r="N141" s="4" t="str">
        <f t="shared" si="12"/>
        <v>Закрыта</v>
      </c>
      <c r="O141" s="4" t="str">
        <f t="shared" si="13"/>
        <v>Оплачено</v>
      </c>
      <c r="P141" s="4" t="str">
        <f>IF(A141="",IF(COUNTA(B141:J141)&gt;0,"НЕТ ID",""),IF(OR(NOT(ISNUMBER(E141)),AND(Форма="ИП",C141="Дивиденды"),COUNTIF(Docs[ID],A141)&lt;&gt;1,NOT(ISNUMBER(B141)),B141&lt;НачалоУчета,YEAR(B141)&lt;&gt;Год,NOT(ISNUMBER(H141)),H141&lt;B141,E141&lt;0,COUNTIF(Виды,C141)&lt;&gt;1,COUNTIF(Категории,D141)&lt;&gt;1,COUNTIF(Контрагенты,F141)&lt;&gt;1,COUNTIF(Проекты,G141)&lt;&gt;1,L141&lt;-0.01,AND(I141&lt;&gt;"Проведён",I141&lt;&gt;"Черновик")),"ОШИБКА","ОК"))</f>
        <v>ОК</v>
      </c>
      <c r="Q141" s="4" t="str">
        <f t="shared" si="14"/>
        <v>КЗ</v>
      </c>
    </row>
    <row r="142" spans="1:17" x14ac:dyDescent="0.25">
      <c r="A142" s="3" t="s">
        <v>863</v>
      </c>
      <c r="B142" s="19">
        <v>46308</v>
      </c>
      <c r="C142" s="3" t="s">
        <v>959</v>
      </c>
      <c r="D142" s="3" t="s">
        <v>518</v>
      </c>
      <c r="E142" s="12">
        <v>18000</v>
      </c>
      <c r="F142" s="3" t="s">
        <v>519</v>
      </c>
      <c r="G142" s="3" t="s">
        <v>383</v>
      </c>
      <c r="H142" s="19">
        <v>46320</v>
      </c>
      <c r="I142" s="3" t="s">
        <v>476</v>
      </c>
      <c r="J142" s="3"/>
      <c r="K142" s="4">
        <f>IF(A142="","",SUMIFS(Cash[Оплата],Cash[Документ],A142,Cash[Дата],"&lt;="&amp;ДатаОтчета))</f>
        <v>18000</v>
      </c>
      <c r="L142" s="4">
        <f t="shared" si="10"/>
        <v>0</v>
      </c>
      <c r="M142" s="4">
        <f t="shared" si="11"/>
        <v>0</v>
      </c>
      <c r="N142" s="4" t="str">
        <f t="shared" si="12"/>
        <v>Закрыта</v>
      </c>
      <c r="O142" s="4" t="str">
        <f t="shared" si="13"/>
        <v>Оплачено</v>
      </c>
      <c r="P142" s="4" t="str">
        <f>IF(A142="",IF(COUNTA(B142:J142)&gt;0,"НЕТ ID",""),IF(OR(NOT(ISNUMBER(E142)),AND(Форма="ИП",C142="Дивиденды"),COUNTIF(Docs[ID],A142)&lt;&gt;1,NOT(ISNUMBER(B142)),B142&lt;НачалоУчета,YEAR(B142)&lt;&gt;Год,NOT(ISNUMBER(H142)),H142&lt;B142,E142&lt;0,COUNTIF(Виды,C142)&lt;&gt;1,COUNTIF(Категории,D142)&lt;&gt;1,COUNTIF(Контрагенты,F142)&lt;&gt;1,COUNTIF(Проекты,G142)&lt;&gt;1,L142&lt;-0.01,AND(I142&lt;&gt;"Проведён",I142&lt;&gt;"Черновик")),"ОШИБКА","ОК"))</f>
        <v>ОК</v>
      </c>
      <c r="Q142" s="4" t="str">
        <f t="shared" si="14"/>
        <v>КЗ</v>
      </c>
    </row>
    <row r="143" spans="1:17" x14ac:dyDescent="0.25">
      <c r="A143" s="3" t="s">
        <v>868</v>
      </c>
      <c r="B143" s="19">
        <v>46309</v>
      </c>
      <c r="C143" s="3" t="s">
        <v>959</v>
      </c>
      <c r="D143" s="3" t="s">
        <v>523</v>
      </c>
      <c r="E143" s="12">
        <v>78300</v>
      </c>
      <c r="F143" s="3" t="s">
        <v>52</v>
      </c>
      <c r="G143" s="3" t="s">
        <v>383</v>
      </c>
      <c r="H143" s="19">
        <v>46321</v>
      </c>
      <c r="I143" s="3" t="s">
        <v>476</v>
      </c>
      <c r="J143" s="3"/>
      <c r="K143" s="4">
        <f>IF(A143="","",SUMIFS(Cash[Оплата],Cash[Документ],A143,Cash[Дата],"&lt;="&amp;ДатаОтчета))</f>
        <v>78300</v>
      </c>
      <c r="L143" s="4">
        <f t="shared" si="10"/>
        <v>0</v>
      </c>
      <c r="M143" s="4">
        <f t="shared" si="11"/>
        <v>0</v>
      </c>
      <c r="N143" s="4" t="str">
        <f t="shared" si="12"/>
        <v>Закрыта</v>
      </c>
      <c r="O143" s="4" t="str">
        <f t="shared" si="13"/>
        <v>Оплачено</v>
      </c>
      <c r="P143" s="4" t="str">
        <f>IF(A143="",IF(COUNTA(B143:J143)&gt;0,"НЕТ ID",""),IF(OR(NOT(ISNUMBER(E143)),AND(Форма="ИП",C143="Дивиденды"),COUNTIF(Docs[ID],A143)&lt;&gt;1,NOT(ISNUMBER(B143)),B143&lt;НачалоУчета,YEAR(B143)&lt;&gt;Год,NOT(ISNUMBER(H143)),H143&lt;B143,E143&lt;0,COUNTIF(Виды,C143)&lt;&gt;1,COUNTIF(Категории,D143)&lt;&gt;1,COUNTIF(Контрагенты,F143)&lt;&gt;1,COUNTIF(Проекты,G143)&lt;&gt;1,L143&lt;-0.01,AND(I143&lt;&gt;"Проведён",I143&lt;&gt;"Черновик")),"ОШИБКА","ОК"))</f>
        <v>ОК</v>
      </c>
      <c r="Q143" s="4" t="str">
        <f t="shared" si="14"/>
        <v>КЗ</v>
      </c>
    </row>
    <row r="144" spans="1:17" x14ac:dyDescent="0.25">
      <c r="A144" s="3" t="s">
        <v>871</v>
      </c>
      <c r="B144" s="19">
        <v>46310</v>
      </c>
      <c r="C144" s="3" t="s">
        <v>959</v>
      </c>
      <c r="D144" s="3" t="s">
        <v>527</v>
      </c>
      <c r="E144" s="12">
        <v>11700</v>
      </c>
      <c r="F144" s="3" t="s">
        <v>528</v>
      </c>
      <c r="G144" s="3" t="s">
        <v>383</v>
      </c>
      <c r="H144" s="19">
        <v>46322</v>
      </c>
      <c r="I144" s="3" t="s">
        <v>476</v>
      </c>
      <c r="J144" s="3"/>
      <c r="K144" s="4">
        <f>IF(A144="","",SUMIFS(Cash[Оплата],Cash[Документ],A144,Cash[Дата],"&lt;="&amp;ДатаОтчета))</f>
        <v>11700</v>
      </c>
      <c r="L144" s="4">
        <f t="shared" si="10"/>
        <v>0</v>
      </c>
      <c r="M144" s="4">
        <f t="shared" si="11"/>
        <v>0</v>
      </c>
      <c r="N144" s="4" t="str">
        <f t="shared" si="12"/>
        <v>Закрыта</v>
      </c>
      <c r="O144" s="4" t="str">
        <f t="shared" si="13"/>
        <v>Оплачено</v>
      </c>
      <c r="P144" s="4" t="str">
        <f>IF(A144="",IF(COUNTA(B144:J144)&gt;0,"НЕТ ID",""),IF(OR(NOT(ISNUMBER(E144)),AND(Форма="ИП",C144="Дивиденды"),COUNTIF(Docs[ID],A144)&lt;&gt;1,NOT(ISNUMBER(B144)),B144&lt;НачалоУчета,YEAR(B144)&lt;&gt;Год,NOT(ISNUMBER(H144)),H144&lt;B144,E144&lt;0,COUNTIF(Виды,C144)&lt;&gt;1,COUNTIF(Категории,D144)&lt;&gt;1,COUNTIF(Контрагенты,F144)&lt;&gt;1,COUNTIF(Проекты,G144)&lt;&gt;1,L144&lt;-0.01,AND(I144&lt;&gt;"Проведён",I144&lt;&gt;"Черновик")),"ОШИБКА","ОК"))</f>
        <v>ОК</v>
      </c>
      <c r="Q144" s="4" t="str">
        <f t="shared" si="14"/>
        <v>КЗ</v>
      </c>
    </row>
    <row r="145" spans="1:17" x14ac:dyDescent="0.25">
      <c r="A145" s="3" t="s">
        <v>874</v>
      </c>
      <c r="B145" s="19">
        <v>46311</v>
      </c>
      <c r="C145" s="3" t="s">
        <v>959</v>
      </c>
      <c r="D145" s="3" t="s">
        <v>532</v>
      </c>
      <c r="E145" s="12">
        <v>27000</v>
      </c>
      <c r="F145" s="3" t="s">
        <v>528</v>
      </c>
      <c r="G145" s="3" t="s">
        <v>383</v>
      </c>
      <c r="H145" s="19">
        <v>46323</v>
      </c>
      <c r="I145" s="3" t="s">
        <v>476</v>
      </c>
      <c r="J145" s="3"/>
      <c r="K145" s="4">
        <f>IF(A145="","",SUMIFS(Cash[Оплата],Cash[Документ],A145,Cash[Дата],"&lt;="&amp;ДатаОтчета))</f>
        <v>27000</v>
      </c>
      <c r="L145" s="4">
        <f t="shared" si="10"/>
        <v>0</v>
      </c>
      <c r="M145" s="4">
        <f t="shared" si="11"/>
        <v>0</v>
      </c>
      <c r="N145" s="4" t="str">
        <f t="shared" si="12"/>
        <v>Закрыта</v>
      </c>
      <c r="O145" s="4" t="str">
        <f t="shared" si="13"/>
        <v>Оплачено</v>
      </c>
      <c r="P145" s="4" t="str">
        <f>IF(A145="",IF(COUNTA(B145:J145)&gt;0,"НЕТ ID",""),IF(OR(NOT(ISNUMBER(E145)),AND(Форма="ИП",C145="Дивиденды"),COUNTIF(Docs[ID],A145)&lt;&gt;1,NOT(ISNUMBER(B145)),B145&lt;НачалоУчета,YEAR(B145)&lt;&gt;Год,NOT(ISNUMBER(H145)),H145&lt;B145,E145&lt;0,COUNTIF(Виды,C145)&lt;&gt;1,COUNTIF(Категории,D145)&lt;&gt;1,COUNTIF(Контрагенты,F145)&lt;&gt;1,COUNTIF(Проекты,G145)&lt;&gt;1,L145&lt;-0.01,AND(I145&lt;&gt;"Проведён",I145&lt;&gt;"Черновик")),"ОШИБКА","ОК"))</f>
        <v>ОК</v>
      </c>
      <c r="Q145" s="4" t="str">
        <f t="shared" si="14"/>
        <v>КЗ</v>
      </c>
    </row>
    <row r="146" spans="1:17" x14ac:dyDescent="0.25">
      <c r="A146" s="3" t="s">
        <v>876</v>
      </c>
      <c r="B146" s="19">
        <v>46322</v>
      </c>
      <c r="C146" s="3" t="s">
        <v>130</v>
      </c>
      <c r="D146" s="3" t="s">
        <v>130</v>
      </c>
      <c r="E146" s="12">
        <v>2605.54</v>
      </c>
      <c r="F146" s="3" t="s">
        <v>397</v>
      </c>
      <c r="G146" s="3" t="s">
        <v>383</v>
      </c>
      <c r="H146" s="19">
        <v>46323</v>
      </c>
      <c r="I146" s="3" t="s">
        <v>476</v>
      </c>
      <c r="J146" s="3"/>
      <c r="K146" s="4">
        <f>IF(A146="","",SUMIFS(Cash[Оплата],Cash[Документ],A146,Cash[Дата],"&lt;="&amp;ДатаОтчета))</f>
        <v>2605.54</v>
      </c>
      <c r="L146" s="4">
        <f t="shared" si="10"/>
        <v>0</v>
      </c>
      <c r="M146" s="4">
        <f t="shared" si="11"/>
        <v>0</v>
      </c>
      <c r="N146" s="4" t="str">
        <f t="shared" si="12"/>
        <v>Закрыта</v>
      </c>
      <c r="O146" s="4" t="str">
        <f t="shared" si="13"/>
        <v>Оплачено</v>
      </c>
      <c r="P146" s="4" t="str">
        <f>IF(A146="",IF(COUNTA(B146:J146)&gt;0,"НЕТ ID",""),IF(OR(NOT(ISNUMBER(E146)),AND(Форма="ИП",C146="Дивиденды"),COUNTIF(Docs[ID],A146)&lt;&gt;1,NOT(ISNUMBER(B146)),B146&lt;НачалоУчета,YEAR(B146)&lt;&gt;Год,NOT(ISNUMBER(H146)),H146&lt;B146,E146&lt;0,COUNTIF(Виды,C146)&lt;&gt;1,COUNTIF(Категории,D146)&lt;&gt;1,COUNTIF(Контрагенты,F146)&lt;&gt;1,COUNTIF(Проекты,G146)&lt;&gt;1,L146&lt;-0.01,AND(I146&lt;&gt;"Проведён",I146&lt;&gt;"Черновик")),"ОШИБКА","ОК"))</f>
        <v>ОК</v>
      </c>
      <c r="Q146" s="4" t="str">
        <f t="shared" si="14"/>
        <v>КЗ</v>
      </c>
    </row>
    <row r="147" spans="1:17" x14ac:dyDescent="0.25">
      <c r="A147" s="3" t="s">
        <v>881</v>
      </c>
      <c r="B147" s="19">
        <v>46331</v>
      </c>
      <c r="C147" s="3" t="s">
        <v>5</v>
      </c>
      <c r="D147" s="3" t="s">
        <v>485</v>
      </c>
      <c r="E147" s="12">
        <v>212800</v>
      </c>
      <c r="F147" s="3" t="s">
        <v>486</v>
      </c>
      <c r="G147" s="3" t="s">
        <v>381</v>
      </c>
      <c r="H147" s="19">
        <v>46346</v>
      </c>
      <c r="I147" s="3" t="s">
        <v>476</v>
      </c>
      <c r="J147" s="3"/>
      <c r="K147" s="4">
        <f>IF(A147="","",SUMIFS(Cash[Оплата],Cash[Документ],A147,Cash[Дата],"&lt;="&amp;ДатаОтчета))</f>
        <v>212800</v>
      </c>
      <c r="L147" s="4">
        <f t="shared" si="10"/>
        <v>0</v>
      </c>
      <c r="M147" s="4">
        <f t="shared" si="11"/>
        <v>0</v>
      </c>
      <c r="N147" s="4" t="str">
        <f t="shared" si="12"/>
        <v>Закрыта</v>
      </c>
      <c r="O147" s="4" t="str">
        <f t="shared" si="13"/>
        <v>Оплачено</v>
      </c>
      <c r="P147" s="4" t="str">
        <f>IF(A147="",IF(COUNTA(B147:J147)&gt;0,"НЕТ ID",""),IF(OR(NOT(ISNUMBER(E147)),AND(Форма="ИП",C147="Дивиденды"),COUNTIF(Docs[ID],A147)&lt;&gt;1,NOT(ISNUMBER(B147)),B147&lt;НачалоУчета,YEAR(B147)&lt;&gt;Год,NOT(ISNUMBER(H147)),H147&lt;B147,E147&lt;0,COUNTIF(Виды,C147)&lt;&gt;1,COUNTIF(Категории,D147)&lt;&gt;1,COUNTIF(Контрагенты,F147)&lt;&gt;1,COUNTIF(Проекты,G147)&lt;&gt;1,L147&lt;-0.01,AND(I147&lt;&gt;"Проведён",I147&lt;&gt;"Черновик")),"ОШИБКА","ОК"))</f>
        <v>ОК</v>
      </c>
      <c r="Q147" s="4" t="str">
        <f t="shared" si="14"/>
        <v>ДЗ</v>
      </c>
    </row>
    <row r="148" spans="1:17" x14ac:dyDescent="0.25">
      <c r="A148" s="3" t="s">
        <v>883</v>
      </c>
      <c r="B148" s="19">
        <v>46332</v>
      </c>
      <c r="C148" s="3" t="s">
        <v>5</v>
      </c>
      <c r="D148" s="3" t="s">
        <v>485</v>
      </c>
      <c r="E148" s="12">
        <v>167200</v>
      </c>
      <c r="F148" s="3" t="s">
        <v>489</v>
      </c>
      <c r="G148" s="3" t="s">
        <v>298</v>
      </c>
      <c r="H148" s="19">
        <v>46347</v>
      </c>
      <c r="I148" s="3" t="s">
        <v>476</v>
      </c>
      <c r="J148" s="3"/>
      <c r="K148" s="4">
        <f>IF(A148="","",SUMIFS(Cash[Оплата],Cash[Документ],A148,Cash[Дата],"&lt;="&amp;ДатаОтчета))</f>
        <v>167200</v>
      </c>
      <c r="L148" s="4">
        <f t="shared" si="10"/>
        <v>0</v>
      </c>
      <c r="M148" s="4">
        <f t="shared" si="11"/>
        <v>0</v>
      </c>
      <c r="N148" s="4" t="str">
        <f t="shared" si="12"/>
        <v>Закрыта</v>
      </c>
      <c r="O148" s="4" t="str">
        <f t="shared" si="13"/>
        <v>Оплачено</v>
      </c>
      <c r="P148" s="4" t="str">
        <f>IF(A148="",IF(COUNTA(B148:J148)&gt;0,"НЕТ ID",""),IF(OR(NOT(ISNUMBER(E148)),AND(Форма="ИП",C148="Дивиденды"),COUNTIF(Docs[ID],A148)&lt;&gt;1,NOT(ISNUMBER(B148)),B148&lt;НачалоУчета,YEAR(B148)&lt;&gt;Год,NOT(ISNUMBER(H148)),H148&lt;B148,E148&lt;0,COUNTIF(Виды,C148)&lt;&gt;1,COUNTIF(Категории,D148)&lt;&gt;1,COUNTIF(Контрагенты,F148)&lt;&gt;1,COUNTIF(Проекты,G148)&lt;&gt;1,L148&lt;-0.01,AND(I148&lt;&gt;"Проведён",I148&lt;&gt;"Черновик")),"ОШИБКА","ОК"))</f>
        <v>ОК</v>
      </c>
      <c r="Q148" s="4" t="str">
        <f t="shared" si="14"/>
        <v>ДЗ</v>
      </c>
    </row>
    <row r="149" spans="1:17" x14ac:dyDescent="0.25">
      <c r="A149" s="3" t="s">
        <v>885</v>
      </c>
      <c r="B149" s="19">
        <v>46333</v>
      </c>
      <c r="C149" s="3" t="s">
        <v>5</v>
      </c>
      <c r="D149" s="3" t="s">
        <v>485</v>
      </c>
      <c r="E149" s="12">
        <v>136800</v>
      </c>
      <c r="F149" s="3" t="s">
        <v>492</v>
      </c>
      <c r="G149" s="3" t="s">
        <v>382</v>
      </c>
      <c r="H149" s="19">
        <v>46348</v>
      </c>
      <c r="I149" s="3" t="s">
        <v>476</v>
      </c>
      <c r="J149" s="3"/>
      <c r="K149" s="4">
        <f>IF(A149="","",SUMIFS(Cash[Оплата],Cash[Документ],A149,Cash[Дата],"&lt;="&amp;ДатаОтчета))</f>
        <v>136800</v>
      </c>
      <c r="L149" s="4">
        <f t="shared" si="10"/>
        <v>0</v>
      </c>
      <c r="M149" s="4">
        <f t="shared" si="11"/>
        <v>0</v>
      </c>
      <c r="N149" s="4" t="str">
        <f t="shared" si="12"/>
        <v>Закрыта</v>
      </c>
      <c r="O149" s="4" t="str">
        <f t="shared" si="13"/>
        <v>Оплачено</v>
      </c>
      <c r="P149" s="4" t="str">
        <f>IF(A149="",IF(COUNTA(B149:J149)&gt;0,"НЕТ ID",""),IF(OR(NOT(ISNUMBER(E149)),AND(Форма="ИП",C149="Дивиденды"),COUNTIF(Docs[ID],A149)&lt;&gt;1,NOT(ISNUMBER(B149)),B149&lt;НачалоУчета,YEAR(B149)&lt;&gt;Год,NOT(ISNUMBER(H149)),H149&lt;B149,E149&lt;0,COUNTIF(Виды,C149)&lt;&gt;1,COUNTIF(Категории,D149)&lt;&gt;1,COUNTIF(Контрагенты,F149)&lt;&gt;1,COUNTIF(Проекты,G149)&lt;&gt;1,L149&lt;-0.01,AND(I149&lt;&gt;"Проведён",I149&lt;&gt;"Черновик")),"ОШИБКА","ОК"))</f>
        <v>ОК</v>
      </c>
      <c r="Q149" s="4" t="str">
        <f t="shared" si="14"/>
        <v>ДЗ</v>
      </c>
    </row>
    <row r="150" spans="1:17" x14ac:dyDescent="0.25">
      <c r="A150" s="3" t="s">
        <v>887</v>
      </c>
      <c r="B150" s="19">
        <v>46334</v>
      </c>
      <c r="C150" s="3" t="s">
        <v>5</v>
      </c>
      <c r="D150" s="3" t="s">
        <v>485</v>
      </c>
      <c r="E150" s="12">
        <v>106400</v>
      </c>
      <c r="F150" s="3" t="s">
        <v>495</v>
      </c>
      <c r="G150" s="3" t="s">
        <v>381</v>
      </c>
      <c r="H150" s="19">
        <v>46349</v>
      </c>
      <c r="I150" s="3" t="s">
        <v>476</v>
      </c>
      <c r="J150" s="3"/>
      <c r="K150" s="4">
        <f>IF(A150="","",SUMIFS(Cash[Оплата],Cash[Документ],A150,Cash[Дата],"&lt;="&amp;ДатаОтчета))</f>
        <v>106400</v>
      </c>
      <c r="L150" s="4">
        <f t="shared" si="10"/>
        <v>0</v>
      </c>
      <c r="M150" s="4">
        <f t="shared" si="11"/>
        <v>0</v>
      </c>
      <c r="N150" s="4" t="str">
        <f t="shared" si="12"/>
        <v>Закрыта</v>
      </c>
      <c r="O150" s="4" t="str">
        <f t="shared" si="13"/>
        <v>Оплачено</v>
      </c>
      <c r="P150" s="4" t="str">
        <f>IF(A150="",IF(COUNTA(B150:J150)&gt;0,"НЕТ ID",""),IF(OR(NOT(ISNUMBER(E150)),AND(Форма="ИП",C150="Дивиденды"),COUNTIF(Docs[ID],A150)&lt;&gt;1,NOT(ISNUMBER(B150)),B150&lt;НачалоУчета,YEAR(B150)&lt;&gt;Год,NOT(ISNUMBER(H150)),H150&lt;B150,E150&lt;0,COUNTIF(Виды,C150)&lt;&gt;1,COUNTIF(Категории,D150)&lt;&gt;1,COUNTIF(Контрагенты,F150)&lt;&gt;1,COUNTIF(Проекты,G150)&lt;&gt;1,L150&lt;-0.01,AND(I150&lt;&gt;"Проведён",I150&lt;&gt;"Черновик")),"ОШИБКА","ОК"))</f>
        <v>ОК</v>
      </c>
      <c r="Q150" s="4" t="str">
        <f t="shared" si="14"/>
        <v>ДЗ</v>
      </c>
    </row>
    <row r="151" spans="1:17" x14ac:dyDescent="0.25">
      <c r="A151" s="3" t="s">
        <v>889</v>
      </c>
      <c r="B151" s="19">
        <v>46335</v>
      </c>
      <c r="C151" s="3" t="s">
        <v>5</v>
      </c>
      <c r="D151" s="3" t="s">
        <v>485</v>
      </c>
      <c r="E151" s="12">
        <v>76000</v>
      </c>
      <c r="F151" s="3" t="s">
        <v>498</v>
      </c>
      <c r="G151" s="3" t="s">
        <v>298</v>
      </c>
      <c r="H151" s="19">
        <v>46350</v>
      </c>
      <c r="I151" s="3" t="s">
        <v>476</v>
      </c>
      <c r="J151" s="3"/>
      <c r="K151" s="4">
        <f>IF(A151="","",SUMIFS(Cash[Оплата],Cash[Документ],A151,Cash[Дата],"&lt;="&amp;ДатаОтчета))</f>
        <v>76000</v>
      </c>
      <c r="L151" s="4">
        <f t="shared" si="10"/>
        <v>0</v>
      </c>
      <c r="M151" s="4">
        <f t="shared" si="11"/>
        <v>0</v>
      </c>
      <c r="N151" s="4" t="str">
        <f t="shared" si="12"/>
        <v>Закрыта</v>
      </c>
      <c r="O151" s="4" t="str">
        <f t="shared" si="13"/>
        <v>Оплачено</v>
      </c>
      <c r="P151" s="4" t="str">
        <f>IF(A151="",IF(COUNTA(B151:J151)&gt;0,"НЕТ ID",""),IF(OR(NOT(ISNUMBER(E151)),AND(Форма="ИП",C151="Дивиденды"),COUNTIF(Docs[ID],A151)&lt;&gt;1,NOT(ISNUMBER(B151)),B151&lt;НачалоУчета,YEAR(B151)&lt;&gt;Год,NOT(ISNUMBER(H151)),H151&lt;B151,E151&lt;0,COUNTIF(Виды,C151)&lt;&gt;1,COUNTIF(Категории,D151)&lt;&gt;1,COUNTIF(Контрагенты,F151)&lt;&gt;1,COUNTIF(Проекты,G151)&lt;&gt;1,L151&lt;-0.01,AND(I151&lt;&gt;"Проведён",I151&lt;&gt;"Черновик")),"ОШИБКА","ОК"))</f>
        <v>ОК</v>
      </c>
      <c r="Q151" s="4" t="str">
        <f t="shared" si="14"/>
        <v>ДЗ</v>
      </c>
    </row>
    <row r="152" spans="1:17" x14ac:dyDescent="0.25">
      <c r="A152" s="3" t="s">
        <v>891</v>
      </c>
      <c r="B152" s="19">
        <v>46336</v>
      </c>
      <c r="C152" s="3" t="s">
        <v>5</v>
      </c>
      <c r="D152" s="3" t="s">
        <v>485</v>
      </c>
      <c r="E152" s="12">
        <v>60800</v>
      </c>
      <c r="F152" s="3" t="s">
        <v>501</v>
      </c>
      <c r="G152" s="3" t="s">
        <v>382</v>
      </c>
      <c r="H152" s="19">
        <v>46351</v>
      </c>
      <c r="I152" s="3" t="s">
        <v>476</v>
      </c>
      <c r="J152" s="3"/>
      <c r="K152" s="4">
        <f>IF(A152="","",SUMIFS(Cash[Оплата],Cash[Документ],A152,Cash[Дата],"&lt;="&amp;ДатаОтчета))</f>
        <v>60800</v>
      </c>
      <c r="L152" s="4">
        <f t="shared" si="10"/>
        <v>0</v>
      </c>
      <c r="M152" s="4">
        <f t="shared" si="11"/>
        <v>0</v>
      </c>
      <c r="N152" s="4" t="str">
        <f t="shared" si="12"/>
        <v>Закрыта</v>
      </c>
      <c r="O152" s="4" t="str">
        <f t="shared" si="13"/>
        <v>Оплачено</v>
      </c>
      <c r="P152" s="4" t="str">
        <f>IF(A152="",IF(COUNTA(B152:J152)&gt;0,"НЕТ ID",""),IF(OR(NOT(ISNUMBER(E152)),AND(Форма="ИП",C152="Дивиденды"),COUNTIF(Docs[ID],A152)&lt;&gt;1,NOT(ISNUMBER(B152)),B152&lt;НачалоУчета,YEAR(B152)&lt;&gt;Год,NOT(ISNUMBER(H152)),H152&lt;B152,E152&lt;0,COUNTIF(Виды,C152)&lt;&gt;1,COUNTIF(Категории,D152)&lt;&gt;1,COUNTIF(Контрагенты,F152)&lt;&gt;1,COUNTIF(Проекты,G152)&lt;&gt;1,L152&lt;-0.01,AND(I152&lt;&gt;"Проведён",I152&lt;&gt;"Черновик")),"ОШИБКА","ОК"))</f>
        <v>ОК</v>
      </c>
      <c r="Q152" s="4" t="str">
        <f t="shared" si="14"/>
        <v>ДЗ</v>
      </c>
    </row>
    <row r="153" spans="1:17" x14ac:dyDescent="0.25">
      <c r="A153" s="3" t="s">
        <v>893</v>
      </c>
      <c r="B153" s="19">
        <v>46336</v>
      </c>
      <c r="C153" s="3" t="s">
        <v>125</v>
      </c>
      <c r="D153" s="3" t="s">
        <v>505</v>
      </c>
      <c r="E153" s="12">
        <v>243200</v>
      </c>
      <c r="F153" s="3" t="s">
        <v>506</v>
      </c>
      <c r="G153" s="3" t="s">
        <v>298</v>
      </c>
      <c r="H153" s="19">
        <v>46348</v>
      </c>
      <c r="I153" s="3" t="s">
        <v>476</v>
      </c>
      <c r="J153" s="3"/>
      <c r="K153" s="4">
        <f>IF(A153="","",SUMIFS(Cash[Оплата],Cash[Документ],A153,Cash[Дата],"&lt;="&amp;ДатаОтчета))</f>
        <v>243200</v>
      </c>
      <c r="L153" s="4">
        <f t="shared" si="10"/>
        <v>0</v>
      </c>
      <c r="M153" s="4">
        <f t="shared" si="11"/>
        <v>0</v>
      </c>
      <c r="N153" s="4" t="str">
        <f t="shared" si="12"/>
        <v>Закрыта</v>
      </c>
      <c r="O153" s="4" t="str">
        <f t="shared" si="13"/>
        <v>Оплачено</v>
      </c>
      <c r="P153" s="4" t="str">
        <f>IF(A153="",IF(COUNTA(B153:J153)&gt;0,"НЕТ ID",""),IF(OR(NOT(ISNUMBER(E153)),AND(Форма="ИП",C153="Дивиденды"),COUNTIF(Docs[ID],A153)&lt;&gt;1,NOT(ISNUMBER(B153)),B153&lt;НачалоУчета,YEAR(B153)&lt;&gt;Год,NOT(ISNUMBER(H153)),H153&lt;B153,E153&lt;0,COUNTIF(Виды,C153)&lt;&gt;1,COUNTIF(Категории,D153)&lt;&gt;1,COUNTIF(Контрагенты,F153)&lt;&gt;1,COUNTIF(Проекты,G153)&lt;&gt;1,L153&lt;-0.01,AND(I153&lt;&gt;"Проведён",I153&lt;&gt;"Черновик")),"ОШИБКА","ОК"))</f>
        <v>ОК</v>
      </c>
      <c r="Q153" s="4" t="str">
        <f t="shared" si="14"/>
        <v>КЗ</v>
      </c>
    </row>
    <row r="154" spans="1:17" x14ac:dyDescent="0.25">
      <c r="A154" s="3" t="s">
        <v>895</v>
      </c>
      <c r="B154" s="19">
        <v>46337</v>
      </c>
      <c r="C154" s="3" t="s">
        <v>959</v>
      </c>
      <c r="D154" s="3" t="s">
        <v>509</v>
      </c>
      <c r="E154" s="12">
        <v>65000</v>
      </c>
      <c r="F154" s="3" t="s">
        <v>510</v>
      </c>
      <c r="G154" s="3" t="s">
        <v>383</v>
      </c>
      <c r="H154" s="19">
        <v>46349</v>
      </c>
      <c r="I154" s="3" t="s">
        <v>476</v>
      </c>
      <c r="J154" s="3"/>
      <c r="K154" s="4">
        <f>IF(A154="","",SUMIFS(Cash[Оплата],Cash[Документ],A154,Cash[Дата],"&lt;="&amp;ДатаОтчета))</f>
        <v>65000</v>
      </c>
      <c r="L154" s="4">
        <f t="shared" si="10"/>
        <v>0</v>
      </c>
      <c r="M154" s="4">
        <f t="shared" si="11"/>
        <v>0</v>
      </c>
      <c r="N154" s="4" t="str">
        <f t="shared" si="12"/>
        <v>Закрыта</v>
      </c>
      <c r="O154" s="4" t="str">
        <f t="shared" si="13"/>
        <v>Оплачено</v>
      </c>
      <c r="P154" s="4" t="str">
        <f>IF(A154="",IF(COUNTA(B154:J154)&gt;0,"НЕТ ID",""),IF(OR(NOT(ISNUMBER(E154)),AND(Форма="ИП",C154="Дивиденды"),COUNTIF(Docs[ID],A154)&lt;&gt;1,NOT(ISNUMBER(B154)),B154&lt;НачалоУчета,YEAR(B154)&lt;&gt;Год,NOT(ISNUMBER(H154)),H154&lt;B154,E154&lt;0,COUNTIF(Виды,C154)&lt;&gt;1,COUNTIF(Категории,D154)&lt;&gt;1,COUNTIF(Контрагенты,F154)&lt;&gt;1,COUNTIF(Проекты,G154)&lt;&gt;1,L154&lt;-0.01,AND(I154&lt;&gt;"Проведён",I154&lt;&gt;"Черновик")),"ОШИБКА","ОК"))</f>
        <v>ОК</v>
      </c>
      <c r="Q154" s="4" t="str">
        <f t="shared" si="14"/>
        <v>КЗ</v>
      </c>
    </row>
    <row r="155" spans="1:17" x14ac:dyDescent="0.25">
      <c r="A155" s="3" t="s">
        <v>898</v>
      </c>
      <c r="B155" s="19">
        <v>46338</v>
      </c>
      <c r="C155" s="3" t="s">
        <v>959</v>
      </c>
      <c r="D155" s="3" t="s">
        <v>295</v>
      </c>
      <c r="E155" s="12">
        <v>45000</v>
      </c>
      <c r="F155" s="3" t="s">
        <v>514</v>
      </c>
      <c r="G155" s="3" t="s">
        <v>381</v>
      </c>
      <c r="H155" s="19">
        <v>46350</v>
      </c>
      <c r="I155" s="3" t="s">
        <v>476</v>
      </c>
      <c r="J155" s="3"/>
      <c r="K155" s="4">
        <f>IF(A155="","",SUMIFS(Cash[Оплата],Cash[Документ],A155,Cash[Дата],"&lt;="&amp;ДатаОтчета))</f>
        <v>45000</v>
      </c>
      <c r="L155" s="4">
        <f t="shared" si="10"/>
        <v>0</v>
      </c>
      <c r="M155" s="4">
        <f t="shared" si="11"/>
        <v>0</v>
      </c>
      <c r="N155" s="4" t="str">
        <f t="shared" si="12"/>
        <v>Закрыта</v>
      </c>
      <c r="O155" s="4" t="str">
        <f t="shared" si="13"/>
        <v>Оплачено</v>
      </c>
      <c r="P155" s="4" t="str">
        <f>IF(A155="",IF(COUNTA(B155:J155)&gt;0,"НЕТ ID",""),IF(OR(NOT(ISNUMBER(E155)),AND(Форма="ИП",C155="Дивиденды"),COUNTIF(Docs[ID],A155)&lt;&gt;1,NOT(ISNUMBER(B155)),B155&lt;НачалоУчета,YEAR(B155)&lt;&gt;Год,NOT(ISNUMBER(H155)),H155&lt;B155,E155&lt;0,COUNTIF(Виды,C155)&lt;&gt;1,COUNTIF(Категории,D155)&lt;&gt;1,COUNTIF(Контрагенты,F155)&lt;&gt;1,COUNTIF(Проекты,G155)&lt;&gt;1,L155&lt;-0.01,AND(I155&lt;&gt;"Проведён",I155&lt;&gt;"Черновик")),"ОШИБКА","ОК"))</f>
        <v>ОК</v>
      </c>
      <c r="Q155" s="4" t="str">
        <f t="shared" si="14"/>
        <v>КЗ</v>
      </c>
    </row>
    <row r="156" spans="1:17" x14ac:dyDescent="0.25">
      <c r="A156" s="3" t="s">
        <v>901</v>
      </c>
      <c r="B156" s="19">
        <v>46339</v>
      </c>
      <c r="C156" s="3" t="s">
        <v>959</v>
      </c>
      <c r="D156" s="3" t="s">
        <v>518</v>
      </c>
      <c r="E156" s="12">
        <v>18000</v>
      </c>
      <c r="F156" s="3" t="s">
        <v>519</v>
      </c>
      <c r="G156" s="3" t="s">
        <v>383</v>
      </c>
      <c r="H156" s="19">
        <v>46351</v>
      </c>
      <c r="I156" s="3" t="s">
        <v>476</v>
      </c>
      <c r="J156" s="3"/>
      <c r="K156" s="4">
        <f>IF(A156="","",SUMIFS(Cash[Оплата],Cash[Документ],A156,Cash[Дата],"&lt;="&amp;ДатаОтчета))</f>
        <v>18000</v>
      </c>
      <c r="L156" s="4">
        <f t="shared" si="10"/>
        <v>0</v>
      </c>
      <c r="M156" s="4">
        <f t="shared" si="11"/>
        <v>0</v>
      </c>
      <c r="N156" s="4" t="str">
        <f t="shared" si="12"/>
        <v>Закрыта</v>
      </c>
      <c r="O156" s="4" t="str">
        <f t="shared" si="13"/>
        <v>Оплачено</v>
      </c>
      <c r="P156" s="4" t="str">
        <f>IF(A156="",IF(COUNTA(B156:J156)&gt;0,"НЕТ ID",""),IF(OR(NOT(ISNUMBER(E156)),AND(Форма="ИП",C156="Дивиденды"),COUNTIF(Docs[ID],A156)&lt;&gt;1,NOT(ISNUMBER(B156)),B156&lt;НачалоУчета,YEAR(B156)&lt;&gt;Год,NOT(ISNUMBER(H156)),H156&lt;B156,E156&lt;0,COUNTIF(Виды,C156)&lt;&gt;1,COUNTIF(Категории,D156)&lt;&gt;1,COUNTIF(Контрагенты,F156)&lt;&gt;1,COUNTIF(Проекты,G156)&lt;&gt;1,L156&lt;-0.01,AND(I156&lt;&gt;"Проведён",I156&lt;&gt;"Черновик")),"ОШИБКА","ОК"))</f>
        <v>ОК</v>
      </c>
      <c r="Q156" s="4" t="str">
        <f t="shared" si="14"/>
        <v>КЗ</v>
      </c>
    </row>
    <row r="157" spans="1:17" x14ac:dyDescent="0.25">
      <c r="A157" s="3" t="s">
        <v>904</v>
      </c>
      <c r="B157" s="19">
        <v>46340</v>
      </c>
      <c r="C157" s="3" t="s">
        <v>959</v>
      </c>
      <c r="D157" s="3" t="s">
        <v>523</v>
      </c>
      <c r="E157" s="12">
        <v>78300</v>
      </c>
      <c r="F157" s="3" t="s">
        <v>52</v>
      </c>
      <c r="G157" s="3" t="s">
        <v>383</v>
      </c>
      <c r="H157" s="19">
        <v>46352</v>
      </c>
      <c r="I157" s="3" t="s">
        <v>476</v>
      </c>
      <c r="J157" s="3"/>
      <c r="K157" s="4">
        <f>IF(A157="","",SUMIFS(Cash[Оплата],Cash[Документ],A157,Cash[Дата],"&lt;="&amp;ДатаОтчета))</f>
        <v>78300</v>
      </c>
      <c r="L157" s="4">
        <f t="shared" si="10"/>
        <v>0</v>
      </c>
      <c r="M157" s="4">
        <f t="shared" si="11"/>
        <v>0</v>
      </c>
      <c r="N157" s="4" t="str">
        <f t="shared" si="12"/>
        <v>Закрыта</v>
      </c>
      <c r="O157" s="4" t="str">
        <f t="shared" si="13"/>
        <v>Оплачено</v>
      </c>
      <c r="P157" s="4" t="str">
        <f>IF(A157="",IF(COUNTA(B157:J157)&gt;0,"НЕТ ID",""),IF(OR(NOT(ISNUMBER(E157)),AND(Форма="ИП",C157="Дивиденды"),COUNTIF(Docs[ID],A157)&lt;&gt;1,NOT(ISNUMBER(B157)),B157&lt;НачалоУчета,YEAR(B157)&lt;&gt;Год,NOT(ISNUMBER(H157)),H157&lt;B157,E157&lt;0,COUNTIF(Виды,C157)&lt;&gt;1,COUNTIF(Категории,D157)&lt;&gt;1,COUNTIF(Контрагенты,F157)&lt;&gt;1,COUNTIF(Проекты,G157)&lt;&gt;1,L157&lt;-0.01,AND(I157&lt;&gt;"Проведён",I157&lt;&gt;"Черновик")),"ОШИБКА","ОК"))</f>
        <v>ОК</v>
      </c>
      <c r="Q157" s="4" t="str">
        <f t="shared" si="14"/>
        <v>КЗ</v>
      </c>
    </row>
    <row r="158" spans="1:17" x14ac:dyDescent="0.25">
      <c r="A158" s="3" t="s">
        <v>907</v>
      </c>
      <c r="B158" s="19">
        <v>46341</v>
      </c>
      <c r="C158" s="3" t="s">
        <v>959</v>
      </c>
      <c r="D158" s="3" t="s">
        <v>527</v>
      </c>
      <c r="E158" s="12">
        <v>11700</v>
      </c>
      <c r="F158" s="3" t="s">
        <v>528</v>
      </c>
      <c r="G158" s="3" t="s">
        <v>383</v>
      </c>
      <c r="H158" s="19">
        <v>46353</v>
      </c>
      <c r="I158" s="3" t="s">
        <v>476</v>
      </c>
      <c r="J158" s="3"/>
      <c r="K158" s="4">
        <f>IF(A158="","",SUMIFS(Cash[Оплата],Cash[Документ],A158,Cash[Дата],"&lt;="&amp;ДатаОтчета))</f>
        <v>11700</v>
      </c>
      <c r="L158" s="4">
        <f t="shared" si="10"/>
        <v>0</v>
      </c>
      <c r="M158" s="4">
        <f t="shared" si="11"/>
        <v>0</v>
      </c>
      <c r="N158" s="4" t="str">
        <f t="shared" si="12"/>
        <v>Закрыта</v>
      </c>
      <c r="O158" s="4" t="str">
        <f t="shared" si="13"/>
        <v>Оплачено</v>
      </c>
      <c r="P158" s="4" t="str">
        <f>IF(A158="",IF(COUNTA(B158:J158)&gt;0,"НЕТ ID",""),IF(OR(NOT(ISNUMBER(E158)),AND(Форма="ИП",C158="Дивиденды"),COUNTIF(Docs[ID],A158)&lt;&gt;1,NOT(ISNUMBER(B158)),B158&lt;НачалоУчета,YEAR(B158)&lt;&gt;Год,NOT(ISNUMBER(H158)),H158&lt;B158,E158&lt;0,COUNTIF(Виды,C158)&lt;&gt;1,COUNTIF(Категории,D158)&lt;&gt;1,COUNTIF(Контрагенты,F158)&lt;&gt;1,COUNTIF(Проекты,G158)&lt;&gt;1,L158&lt;-0.01,AND(I158&lt;&gt;"Проведён",I158&lt;&gt;"Черновик")),"ОШИБКА","ОК"))</f>
        <v>ОК</v>
      </c>
      <c r="Q158" s="4" t="str">
        <f t="shared" si="14"/>
        <v>КЗ</v>
      </c>
    </row>
    <row r="159" spans="1:17" x14ac:dyDescent="0.25">
      <c r="A159" s="3" t="s">
        <v>910</v>
      </c>
      <c r="B159" s="19">
        <v>46342</v>
      </c>
      <c r="C159" s="3" t="s">
        <v>959</v>
      </c>
      <c r="D159" s="3" t="s">
        <v>532</v>
      </c>
      <c r="E159" s="12">
        <v>27000</v>
      </c>
      <c r="F159" s="3" t="s">
        <v>528</v>
      </c>
      <c r="G159" s="3" t="s">
        <v>383</v>
      </c>
      <c r="H159" s="19">
        <v>46354</v>
      </c>
      <c r="I159" s="3" t="s">
        <v>476</v>
      </c>
      <c r="J159" s="3"/>
      <c r="K159" s="4">
        <f>IF(A159="","",SUMIFS(Cash[Оплата],Cash[Документ],A159,Cash[Дата],"&lt;="&amp;ДатаОтчета))</f>
        <v>27000</v>
      </c>
      <c r="L159" s="4">
        <f t="shared" si="10"/>
        <v>0</v>
      </c>
      <c r="M159" s="4">
        <f t="shared" si="11"/>
        <v>0</v>
      </c>
      <c r="N159" s="4" t="str">
        <f t="shared" si="12"/>
        <v>Закрыта</v>
      </c>
      <c r="O159" s="4" t="str">
        <f t="shared" si="13"/>
        <v>Оплачено</v>
      </c>
      <c r="P159" s="4" t="str">
        <f>IF(A159="",IF(COUNTA(B159:J159)&gt;0,"НЕТ ID",""),IF(OR(NOT(ISNUMBER(E159)),AND(Форма="ИП",C159="Дивиденды"),COUNTIF(Docs[ID],A159)&lt;&gt;1,NOT(ISNUMBER(B159)),B159&lt;НачалоУчета,YEAR(B159)&lt;&gt;Год,NOT(ISNUMBER(H159)),H159&lt;B159,E159&lt;0,COUNTIF(Виды,C159)&lt;&gt;1,COUNTIF(Категории,D159)&lt;&gt;1,COUNTIF(Контрагенты,F159)&lt;&gt;1,COUNTIF(Проекты,G159)&lt;&gt;1,L159&lt;-0.01,AND(I159&lt;&gt;"Проведён",I159&lt;&gt;"Черновик")),"ОШИБКА","ОК"))</f>
        <v>ОК</v>
      </c>
      <c r="Q159" s="4" t="str">
        <f t="shared" si="14"/>
        <v>КЗ</v>
      </c>
    </row>
    <row r="160" spans="1:17" x14ac:dyDescent="0.25">
      <c r="A160" s="3" t="s">
        <v>912</v>
      </c>
      <c r="B160" s="19">
        <v>46353</v>
      </c>
      <c r="C160" s="3" t="s">
        <v>130</v>
      </c>
      <c r="D160" s="3" t="s">
        <v>130</v>
      </c>
      <c r="E160" s="12">
        <v>2419.9699999999998</v>
      </c>
      <c r="F160" s="3" t="s">
        <v>397</v>
      </c>
      <c r="G160" s="3" t="s">
        <v>383</v>
      </c>
      <c r="H160" s="19">
        <v>46354</v>
      </c>
      <c r="I160" s="3" t="s">
        <v>476</v>
      </c>
      <c r="J160" s="3"/>
      <c r="K160" s="4">
        <f>IF(A160="","",SUMIFS(Cash[Оплата],Cash[Документ],A160,Cash[Дата],"&lt;="&amp;ДатаОтчета))</f>
        <v>2419.9699999999998</v>
      </c>
      <c r="L160" s="4">
        <f t="shared" si="10"/>
        <v>0</v>
      </c>
      <c r="M160" s="4">
        <f t="shared" si="11"/>
        <v>0</v>
      </c>
      <c r="N160" s="4" t="str">
        <f t="shared" si="12"/>
        <v>Закрыта</v>
      </c>
      <c r="O160" s="4" t="str">
        <f t="shared" si="13"/>
        <v>Оплачено</v>
      </c>
      <c r="P160" s="4" t="str">
        <f>IF(A160="",IF(COUNTA(B160:J160)&gt;0,"НЕТ ID",""),IF(OR(NOT(ISNUMBER(E160)),AND(Форма="ИП",C160="Дивиденды"),COUNTIF(Docs[ID],A160)&lt;&gt;1,NOT(ISNUMBER(B160)),B160&lt;НачалоУчета,YEAR(B160)&lt;&gt;Год,NOT(ISNUMBER(H160)),H160&lt;B160,E160&lt;0,COUNTIF(Виды,C160)&lt;&gt;1,COUNTIF(Категории,D160)&lt;&gt;1,COUNTIF(Контрагенты,F160)&lt;&gt;1,COUNTIF(Проекты,G160)&lt;&gt;1,L160&lt;-0.01,AND(I160&lt;&gt;"Проведён",I160&lt;&gt;"Черновик")),"ОШИБКА","ОК"))</f>
        <v>ОК</v>
      </c>
      <c r="Q160" s="4" t="str">
        <f t="shared" si="14"/>
        <v>КЗ</v>
      </c>
    </row>
    <row r="161" spans="1:17" x14ac:dyDescent="0.25">
      <c r="A161" s="3" t="s">
        <v>917</v>
      </c>
      <c r="B161" s="19">
        <v>46361</v>
      </c>
      <c r="C161" s="3" t="s">
        <v>5</v>
      </c>
      <c r="D161" s="3" t="s">
        <v>485</v>
      </c>
      <c r="E161" s="12">
        <v>229600</v>
      </c>
      <c r="F161" s="3" t="s">
        <v>486</v>
      </c>
      <c r="G161" s="3" t="s">
        <v>381</v>
      </c>
      <c r="H161" s="19">
        <v>46376</v>
      </c>
      <c r="I161" s="3" t="s">
        <v>476</v>
      </c>
      <c r="J161" s="3"/>
      <c r="K161" s="4">
        <f>IF(A161="","",SUMIFS(Cash[Оплата],Cash[Документ],A161,Cash[Дата],"&lt;="&amp;ДатаОтчета))</f>
        <v>229600</v>
      </c>
      <c r="L161" s="4">
        <f t="shared" si="10"/>
        <v>0</v>
      </c>
      <c r="M161" s="4">
        <f t="shared" si="11"/>
        <v>0</v>
      </c>
      <c r="N161" s="4" t="str">
        <f t="shared" si="12"/>
        <v>Закрыта</v>
      </c>
      <c r="O161" s="4" t="str">
        <f t="shared" si="13"/>
        <v>Оплачено</v>
      </c>
      <c r="P161" s="4" t="str">
        <f>IF(A161="",IF(COUNTA(B161:J161)&gt;0,"НЕТ ID",""),IF(OR(NOT(ISNUMBER(E161)),AND(Форма="ИП",C161="Дивиденды"),COUNTIF(Docs[ID],A161)&lt;&gt;1,NOT(ISNUMBER(B161)),B161&lt;НачалоУчета,YEAR(B161)&lt;&gt;Год,NOT(ISNUMBER(H161)),H161&lt;B161,E161&lt;0,COUNTIF(Виды,C161)&lt;&gt;1,COUNTIF(Категории,D161)&lt;&gt;1,COUNTIF(Контрагенты,F161)&lt;&gt;1,COUNTIF(Проекты,G161)&lt;&gt;1,L161&lt;-0.01,AND(I161&lt;&gt;"Проведён",I161&lt;&gt;"Черновик")),"ОШИБКА","ОК"))</f>
        <v>ОК</v>
      </c>
      <c r="Q161" s="4" t="str">
        <f t="shared" si="14"/>
        <v>ДЗ</v>
      </c>
    </row>
    <row r="162" spans="1:17" x14ac:dyDescent="0.25">
      <c r="A162" s="3" t="s">
        <v>919</v>
      </c>
      <c r="B162" s="19">
        <v>46362</v>
      </c>
      <c r="C162" s="3" t="s">
        <v>5</v>
      </c>
      <c r="D162" s="3" t="s">
        <v>485</v>
      </c>
      <c r="E162" s="12">
        <v>180400</v>
      </c>
      <c r="F162" s="3" t="s">
        <v>489</v>
      </c>
      <c r="G162" s="3" t="s">
        <v>298</v>
      </c>
      <c r="H162" s="19">
        <v>46377</v>
      </c>
      <c r="I162" s="3" t="s">
        <v>476</v>
      </c>
      <c r="J162" s="3"/>
      <c r="K162" s="4">
        <f>IF(A162="","",SUMIFS(Cash[Оплата],Cash[Документ],A162,Cash[Дата],"&lt;="&amp;ДатаОтчета))</f>
        <v>180400</v>
      </c>
      <c r="L162" s="4">
        <f t="shared" si="10"/>
        <v>0</v>
      </c>
      <c r="M162" s="4">
        <f t="shared" si="11"/>
        <v>0</v>
      </c>
      <c r="N162" s="4" t="str">
        <f t="shared" si="12"/>
        <v>Закрыта</v>
      </c>
      <c r="O162" s="4" t="str">
        <f t="shared" si="13"/>
        <v>Оплачено</v>
      </c>
      <c r="P162" s="4" t="str">
        <f>IF(A162="",IF(COUNTA(B162:J162)&gt;0,"НЕТ ID",""),IF(OR(NOT(ISNUMBER(E162)),AND(Форма="ИП",C162="Дивиденды"),COUNTIF(Docs[ID],A162)&lt;&gt;1,NOT(ISNUMBER(B162)),B162&lt;НачалоУчета,YEAR(B162)&lt;&gt;Год,NOT(ISNUMBER(H162)),H162&lt;B162,E162&lt;0,COUNTIF(Виды,C162)&lt;&gt;1,COUNTIF(Категории,D162)&lt;&gt;1,COUNTIF(Контрагенты,F162)&lt;&gt;1,COUNTIF(Проекты,G162)&lt;&gt;1,L162&lt;-0.01,AND(I162&lt;&gt;"Проведён",I162&lt;&gt;"Черновик")),"ОШИБКА","ОК"))</f>
        <v>ОК</v>
      </c>
      <c r="Q162" s="4" t="str">
        <f t="shared" si="14"/>
        <v>ДЗ</v>
      </c>
    </row>
    <row r="163" spans="1:17" x14ac:dyDescent="0.25">
      <c r="A163" s="3" t="s">
        <v>921</v>
      </c>
      <c r="B163" s="19">
        <v>46363</v>
      </c>
      <c r="C163" s="3" t="s">
        <v>5</v>
      </c>
      <c r="D163" s="3" t="s">
        <v>485</v>
      </c>
      <c r="E163" s="12">
        <v>147600</v>
      </c>
      <c r="F163" s="3" t="s">
        <v>492</v>
      </c>
      <c r="G163" s="3" t="s">
        <v>382</v>
      </c>
      <c r="H163" s="19">
        <v>46378</v>
      </c>
      <c r="I163" s="3" t="s">
        <v>476</v>
      </c>
      <c r="J163" s="3"/>
      <c r="K163" s="4">
        <f>IF(A163="","",SUMIFS(Cash[Оплата],Cash[Документ],A163,Cash[Дата],"&lt;="&amp;ДатаОтчета))</f>
        <v>147600</v>
      </c>
      <c r="L163" s="4">
        <f t="shared" si="10"/>
        <v>0</v>
      </c>
      <c r="M163" s="4">
        <f t="shared" si="11"/>
        <v>0</v>
      </c>
      <c r="N163" s="4" t="str">
        <f t="shared" si="12"/>
        <v>Закрыта</v>
      </c>
      <c r="O163" s="4" t="str">
        <f t="shared" si="13"/>
        <v>Оплачено</v>
      </c>
      <c r="P163" s="4" t="str">
        <f>IF(A163="",IF(COUNTA(B163:J163)&gt;0,"НЕТ ID",""),IF(OR(NOT(ISNUMBER(E163)),AND(Форма="ИП",C163="Дивиденды"),COUNTIF(Docs[ID],A163)&lt;&gt;1,NOT(ISNUMBER(B163)),B163&lt;НачалоУчета,YEAR(B163)&lt;&gt;Год,NOT(ISNUMBER(H163)),H163&lt;B163,E163&lt;0,COUNTIF(Виды,C163)&lt;&gt;1,COUNTIF(Категории,D163)&lt;&gt;1,COUNTIF(Контрагенты,F163)&lt;&gt;1,COUNTIF(Проекты,G163)&lt;&gt;1,L163&lt;-0.01,AND(I163&lt;&gt;"Проведён",I163&lt;&gt;"Черновик")),"ОШИБКА","ОК"))</f>
        <v>ОК</v>
      </c>
      <c r="Q163" s="4" t="str">
        <f t="shared" si="14"/>
        <v>ДЗ</v>
      </c>
    </row>
    <row r="164" spans="1:17" x14ac:dyDescent="0.25">
      <c r="A164" s="3" t="s">
        <v>923</v>
      </c>
      <c r="B164" s="19">
        <v>46364</v>
      </c>
      <c r="C164" s="3" t="s">
        <v>5</v>
      </c>
      <c r="D164" s="3" t="s">
        <v>485</v>
      </c>
      <c r="E164" s="12">
        <v>114800</v>
      </c>
      <c r="F164" s="3" t="s">
        <v>495</v>
      </c>
      <c r="G164" s="3" t="s">
        <v>381</v>
      </c>
      <c r="H164" s="19">
        <v>46379</v>
      </c>
      <c r="I164" s="3" t="s">
        <v>476</v>
      </c>
      <c r="J164" s="3"/>
      <c r="K164" s="4">
        <f>IF(A164="","",SUMIFS(Cash[Оплата],Cash[Документ],A164,Cash[Дата],"&lt;="&amp;ДатаОтчета))</f>
        <v>114800</v>
      </c>
      <c r="L164" s="4">
        <f t="shared" si="10"/>
        <v>0</v>
      </c>
      <c r="M164" s="4">
        <f t="shared" si="11"/>
        <v>0</v>
      </c>
      <c r="N164" s="4" t="str">
        <f t="shared" si="12"/>
        <v>Закрыта</v>
      </c>
      <c r="O164" s="4" t="str">
        <f t="shared" si="13"/>
        <v>Оплачено</v>
      </c>
      <c r="P164" s="4" t="str">
        <f>IF(A164="",IF(COUNTA(B164:J164)&gt;0,"НЕТ ID",""),IF(OR(NOT(ISNUMBER(E164)),AND(Форма="ИП",C164="Дивиденды"),COUNTIF(Docs[ID],A164)&lt;&gt;1,NOT(ISNUMBER(B164)),B164&lt;НачалоУчета,YEAR(B164)&lt;&gt;Год,NOT(ISNUMBER(H164)),H164&lt;B164,E164&lt;0,COUNTIF(Виды,C164)&lt;&gt;1,COUNTIF(Категории,D164)&lt;&gt;1,COUNTIF(Контрагенты,F164)&lt;&gt;1,COUNTIF(Проекты,G164)&lt;&gt;1,L164&lt;-0.01,AND(I164&lt;&gt;"Проведён",I164&lt;&gt;"Черновик")),"ОШИБКА","ОК"))</f>
        <v>ОК</v>
      </c>
      <c r="Q164" s="4" t="str">
        <f t="shared" si="14"/>
        <v>ДЗ</v>
      </c>
    </row>
    <row r="165" spans="1:17" x14ac:dyDescent="0.25">
      <c r="A165" s="3" t="s">
        <v>925</v>
      </c>
      <c r="B165" s="19">
        <v>46365</v>
      </c>
      <c r="C165" s="3" t="s">
        <v>5</v>
      </c>
      <c r="D165" s="3" t="s">
        <v>485</v>
      </c>
      <c r="E165" s="12">
        <v>82000</v>
      </c>
      <c r="F165" s="3" t="s">
        <v>498</v>
      </c>
      <c r="G165" s="3" t="s">
        <v>298</v>
      </c>
      <c r="H165" s="19">
        <v>46380</v>
      </c>
      <c r="I165" s="3" t="s">
        <v>476</v>
      </c>
      <c r="J165" s="3"/>
      <c r="K165" s="4">
        <f>IF(A165="","",SUMIFS(Cash[Оплата],Cash[Документ],A165,Cash[Дата],"&lt;="&amp;ДатаОтчета))</f>
        <v>49200</v>
      </c>
      <c r="L165" s="4">
        <f t="shared" si="10"/>
        <v>32800</v>
      </c>
      <c r="M165" s="4">
        <f t="shared" si="11"/>
        <v>7</v>
      </c>
      <c r="N165" s="4" t="str">
        <f t="shared" si="12"/>
        <v>1–30 дней</v>
      </c>
      <c r="O165" s="4" t="str">
        <f t="shared" si="13"/>
        <v>Просрочено</v>
      </c>
      <c r="P165" s="4" t="str">
        <f>IF(A165="",IF(COUNTA(B165:J165)&gt;0,"НЕТ ID",""),IF(OR(NOT(ISNUMBER(E165)),AND(Форма="ИП",C165="Дивиденды"),COUNTIF(Docs[ID],A165)&lt;&gt;1,NOT(ISNUMBER(B165)),B165&lt;НачалоУчета,YEAR(B165)&lt;&gt;Год,NOT(ISNUMBER(H165)),H165&lt;B165,E165&lt;0,COUNTIF(Виды,C165)&lt;&gt;1,COUNTIF(Категории,D165)&lt;&gt;1,COUNTIF(Контрагенты,F165)&lt;&gt;1,COUNTIF(Проекты,G165)&lt;&gt;1,L165&lt;-0.01,AND(I165&lt;&gt;"Проведён",I165&lt;&gt;"Черновик")),"ОШИБКА","ОК"))</f>
        <v>ОК</v>
      </c>
      <c r="Q165" s="4" t="str">
        <f t="shared" si="14"/>
        <v>ДЗ</v>
      </c>
    </row>
    <row r="166" spans="1:17" x14ac:dyDescent="0.25">
      <c r="A166" s="3" t="s">
        <v>927</v>
      </c>
      <c r="B166" s="19">
        <v>46366</v>
      </c>
      <c r="C166" s="3" t="s">
        <v>5</v>
      </c>
      <c r="D166" s="3" t="s">
        <v>485</v>
      </c>
      <c r="E166" s="12">
        <v>65600</v>
      </c>
      <c r="F166" s="3" t="s">
        <v>501</v>
      </c>
      <c r="G166" s="3" t="s">
        <v>382</v>
      </c>
      <c r="H166" s="19">
        <v>46381</v>
      </c>
      <c r="I166" s="3" t="s">
        <v>476</v>
      </c>
      <c r="J166" s="3"/>
      <c r="K166" s="4">
        <f>IF(A166="","",SUMIFS(Cash[Оплата],Cash[Документ],A166,Cash[Дата],"&lt;="&amp;ДатаОтчета))</f>
        <v>39360</v>
      </c>
      <c r="L166" s="4">
        <f t="shared" si="10"/>
        <v>26240</v>
      </c>
      <c r="M166" s="4">
        <f t="shared" si="11"/>
        <v>6</v>
      </c>
      <c r="N166" s="4" t="str">
        <f t="shared" si="12"/>
        <v>1–30 дней</v>
      </c>
      <c r="O166" s="4" t="str">
        <f t="shared" si="13"/>
        <v>Просрочено</v>
      </c>
      <c r="P166" s="4" t="str">
        <f>IF(A166="",IF(COUNTA(B166:J166)&gt;0,"НЕТ ID",""),IF(OR(NOT(ISNUMBER(E166)),AND(Форма="ИП",C166="Дивиденды"),COUNTIF(Docs[ID],A166)&lt;&gt;1,NOT(ISNUMBER(B166)),B166&lt;НачалоУчета,YEAR(B166)&lt;&gt;Год,NOT(ISNUMBER(H166)),H166&lt;B166,E166&lt;0,COUNTIF(Виды,C166)&lt;&gt;1,COUNTIF(Категории,D166)&lt;&gt;1,COUNTIF(Контрагенты,F166)&lt;&gt;1,COUNTIF(Проекты,G166)&lt;&gt;1,L166&lt;-0.01,AND(I166&lt;&gt;"Проведён",I166&lt;&gt;"Черновик")),"ОШИБКА","ОК"))</f>
        <v>ОК</v>
      </c>
      <c r="Q166" s="4" t="str">
        <f t="shared" si="14"/>
        <v>ДЗ</v>
      </c>
    </row>
    <row r="167" spans="1:17" x14ac:dyDescent="0.25">
      <c r="A167" s="3" t="s">
        <v>929</v>
      </c>
      <c r="B167" s="19">
        <v>46366</v>
      </c>
      <c r="C167" s="3" t="s">
        <v>125</v>
      </c>
      <c r="D167" s="3" t="s">
        <v>505</v>
      </c>
      <c r="E167" s="12">
        <v>262400</v>
      </c>
      <c r="F167" s="3" t="s">
        <v>506</v>
      </c>
      <c r="G167" s="3" t="s">
        <v>298</v>
      </c>
      <c r="H167" s="19">
        <v>46378</v>
      </c>
      <c r="I167" s="3" t="s">
        <v>476</v>
      </c>
      <c r="J167" s="3"/>
      <c r="K167" s="4">
        <f>IF(A167="","",SUMIFS(Cash[Оплата],Cash[Документ],A167,Cash[Дата],"&lt;="&amp;ДатаОтчета))</f>
        <v>131200</v>
      </c>
      <c r="L167" s="4">
        <f t="shared" si="10"/>
        <v>131200</v>
      </c>
      <c r="M167" s="4">
        <f t="shared" si="11"/>
        <v>9</v>
      </c>
      <c r="N167" s="4" t="str">
        <f t="shared" si="12"/>
        <v>1–30 дней</v>
      </c>
      <c r="O167" s="4" t="str">
        <f t="shared" si="13"/>
        <v>Просрочено</v>
      </c>
      <c r="P167" s="4" t="str">
        <f>IF(A167="",IF(COUNTA(B167:J167)&gt;0,"НЕТ ID",""),IF(OR(NOT(ISNUMBER(E167)),AND(Форма="ИП",C167="Дивиденды"),COUNTIF(Docs[ID],A167)&lt;&gt;1,NOT(ISNUMBER(B167)),B167&lt;НачалоУчета,YEAR(B167)&lt;&gt;Год,NOT(ISNUMBER(H167)),H167&lt;B167,E167&lt;0,COUNTIF(Виды,C167)&lt;&gt;1,COUNTIF(Категории,D167)&lt;&gt;1,COUNTIF(Контрагенты,F167)&lt;&gt;1,COUNTIF(Проекты,G167)&lt;&gt;1,L167&lt;-0.01,AND(I167&lt;&gt;"Проведён",I167&lt;&gt;"Черновик")),"ОШИБКА","ОК"))</f>
        <v>ОК</v>
      </c>
      <c r="Q167" s="4" t="str">
        <f t="shared" si="14"/>
        <v>КЗ</v>
      </c>
    </row>
    <row r="168" spans="1:17" x14ac:dyDescent="0.25">
      <c r="A168" s="3" t="s">
        <v>931</v>
      </c>
      <c r="B168" s="19">
        <v>46367</v>
      </c>
      <c r="C168" s="3" t="s">
        <v>959</v>
      </c>
      <c r="D168" s="3" t="s">
        <v>509</v>
      </c>
      <c r="E168" s="12">
        <v>65000</v>
      </c>
      <c r="F168" s="3" t="s">
        <v>510</v>
      </c>
      <c r="G168" s="3" t="s">
        <v>383</v>
      </c>
      <c r="H168" s="19">
        <v>46379</v>
      </c>
      <c r="I168" s="3" t="s">
        <v>476</v>
      </c>
      <c r="J168" s="3"/>
      <c r="K168" s="4">
        <f>IF(A168="","",SUMIFS(Cash[Оплата],Cash[Документ],A168,Cash[Дата],"&lt;="&amp;ДатаОтчета))</f>
        <v>65000</v>
      </c>
      <c r="L168" s="4">
        <f t="shared" si="10"/>
        <v>0</v>
      </c>
      <c r="M168" s="4">
        <f t="shared" si="11"/>
        <v>0</v>
      </c>
      <c r="N168" s="4" t="str">
        <f t="shared" si="12"/>
        <v>Закрыта</v>
      </c>
      <c r="O168" s="4" t="str">
        <f t="shared" si="13"/>
        <v>Оплачено</v>
      </c>
      <c r="P168" s="4" t="str">
        <f>IF(A168="",IF(COUNTA(B168:J168)&gt;0,"НЕТ ID",""),IF(OR(NOT(ISNUMBER(E168)),AND(Форма="ИП",C168="Дивиденды"),COUNTIF(Docs[ID],A168)&lt;&gt;1,NOT(ISNUMBER(B168)),B168&lt;НачалоУчета,YEAR(B168)&lt;&gt;Год,NOT(ISNUMBER(H168)),H168&lt;B168,E168&lt;0,COUNTIF(Виды,C168)&lt;&gt;1,COUNTIF(Категории,D168)&lt;&gt;1,COUNTIF(Контрагенты,F168)&lt;&gt;1,COUNTIF(Проекты,G168)&lt;&gt;1,L168&lt;-0.01,AND(I168&lt;&gt;"Проведён",I168&lt;&gt;"Черновик")),"ОШИБКА","ОК"))</f>
        <v>ОК</v>
      </c>
      <c r="Q168" s="4" t="str">
        <f t="shared" si="14"/>
        <v>КЗ</v>
      </c>
    </row>
    <row r="169" spans="1:17" x14ac:dyDescent="0.25">
      <c r="A169" s="3" t="s">
        <v>934</v>
      </c>
      <c r="B169" s="19">
        <v>46368</v>
      </c>
      <c r="C169" s="3" t="s">
        <v>959</v>
      </c>
      <c r="D169" s="3" t="s">
        <v>295</v>
      </c>
      <c r="E169" s="12">
        <v>45000</v>
      </c>
      <c r="F169" s="3" t="s">
        <v>514</v>
      </c>
      <c r="G169" s="3" t="s">
        <v>381</v>
      </c>
      <c r="H169" s="19">
        <v>46380</v>
      </c>
      <c r="I169" s="3" t="s">
        <v>476</v>
      </c>
      <c r="J169" s="3"/>
      <c r="K169" s="4">
        <f>IF(A169="","",SUMIFS(Cash[Оплата],Cash[Документ],A169,Cash[Дата],"&lt;="&amp;ДатаОтчета))</f>
        <v>45000</v>
      </c>
      <c r="L169" s="4">
        <f t="shared" si="10"/>
        <v>0</v>
      </c>
      <c r="M169" s="4">
        <f t="shared" si="11"/>
        <v>0</v>
      </c>
      <c r="N169" s="4" t="str">
        <f t="shared" si="12"/>
        <v>Закрыта</v>
      </c>
      <c r="O169" s="4" t="str">
        <f t="shared" si="13"/>
        <v>Оплачено</v>
      </c>
      <c r="P169" s="4" t="str">
        <f>IF(A169="",IF(COUNTA(B169:J169)&gt;0,"НЕТ ID",""),IF(OR(NOT(ISNUMBER(E169)),AND(Форма="ИП",C169="Дивиденды"),COUNTIF(Docs[ID],A169)&lt;&gt;1,NOT(ISNUMBER(B169)),B169&lt;НачалоУчета,YEAR(B169)&lt;&gt;Год,NOT(ISNUMBER(H169)),H169&lt;B169,E169&lt;0,COUNTIF(Виды,C169)&lt;&gt;1,COUNTIF(Категории,D169)&lt;&gt;1,COUNTIF(Контрагенты,F169)&lt;&gt;1,COUNTIF(Проекты,G169)&lt;&gt;1,L169&lt;-0.01,AND(I169&lt;&gt;"Проведён",I169&lt;&gt;"Черновик")),"ОШИБКА","ОК"))</f>
        <v>ОК</v>
      </c>
      <c r="Q169" s="4" t="str">
        <f t="shared" si="14"/>
        <v>КЗ</v>
      </c>
    </row>
    <row r="170" spans="1:17" x14ac:dyDescent="0.25">
      <c r="A170" s="3" t="s">
        <v>937</v>
      </c>
      <c r="B170" s="19">
        <v>46369</v>
      </c>
      <c r="C170" s="3" t="s">
        <v>959</v>
      </c>
      <c r="D170" s="3" t="s">
        <v>518</v>
      </c>
      <c r="E170" s="12">
        <v>18000</v>
      </c>
      <c r="F170" s="3" t="s">
        <v>519</v>
      </c>
      <c r="G170" s="3" t="s">
        <v>383</v>
      </c>
      <c r="H170" s="19">
        <v>46381</v>
      </c>
      <c r="I170" s="3" t="s">
        <v>476</v>
      </c>
      <c r="J170" s="3"/>
      <c r="K170" s="4">
        <f>IF(A170="","",SUMIFS(Cash[Оплата],Cash[Документ],A170,Cash[Дата],"&lt;="&amp;ДатаОтчета))</f>
        <v>18000</v>
      </c>
      <c r="L170" s="4">
        <f t="shared" si="10"/>
        <v>0</v>
      </c>
      <c r="M170" s="4">
        <f t="shared" si="11"/>
        <v>0</v>
      </c>
      <c r="N170" s="4" t="str">
        <f t="shared" si="12"/>
        <v>Закрыта</v>
      </c>
      <c r="O170" s="4" t="str">
        <f t="shared" si="13"/>
        <v>Оплачено</v>
      </c>
      <c r="P170" s="4" t="str">
        <f>IF(A170="",IF(COUNTA(B170:J170)&gt;0,"НЕТ ID",""),IF(OR(NOT(ISNUMBER(E170)),AND(Форма="ИП",C170="Дивиденды"),COUNTIF(Docs[ID],A170)&lt;&gt;1,NOT(ISNUMBER(B170)),B170&lt;НачалоУчета,YEAR(B170)&lt;&gt;Год,NOT(ISNUMBER(H170)),H170&lt;B170,E170&lt;0,COUNTIF(Виды,C170)&lt;&gt;1,COUNTIF(Категории,D170)&lt;&gt;1,COUNTIF(Контрагенты,F170)&lt;&gt;1,COUNTIF(Проекты,G170)&lt;&gt;1,L170&lt;-0.01,AND(I170&lt;&gt;"Проведён",I170&lt;&gt;"Черновик")),"ОШИБКА","ОК"))</f>
        <v>ОК</v>
      </c>
      <c r="Q170" s="4" t="str">
        <f t="shared" si="14"/>
        <v>КЗ</v>
      </c>
    </row>
    <row r="171" spans="1:17" x14ac:dyDescent="0.25">
      <c r="A171" s="3" t="s">
        <v>940</v>
      </c>
      <c r="B171" s="19">
        <v>46370</v>
      </c>
      <c r="C171" s="3" t="s">
        <v>959</v>
      </c>
      <c r="D171" s="3" t="s">
        <v>523</v>
      </c>
      <c r="E171" s="12">
        <v>78300</v>
      </c>
      <c r="F171" s="3" t="s">
        <v>52</v>
      </c>
      <c r="G171" s="3" t="s">
        <v>383</v>
      </c>
      <c r="H171" s="19">
        <v>46382</v>
      </c>
      <c r="I171" s="3" t="s">
        <v>476</v>
      </c>
      <c r="J171" s="3"/>
      <c r="K171" s="4">
        <f>IF(A171="","",SUMIFS(Cash[Оплата],Cash[Документ],A171,Cash[Дата],"&lt;="&amp;ДатаОтчета))</f>
        <v>78300</v>
      </c>
      <c r="L171" s="4">
        <f t="shared" si="10"/>
        <v>0</v>
      </c>
      <c r="M171" s="4">
        <f t="shared" si="11"/>
        <v>0</v>
      </c>
      <c r="N171" s="4" t="str">
        <f t="shared" si="12"/>
        <v>Закрыта</v>
      </c>
      <c r="O171" s="4" t="str">
        <f t="shared" si="13"/>
        <v>Оплачено</v>
      </c>
      <c r="P171" s="4" t="str">
        <f>IF(A171="",IF(COUNTA(B171:J171)&gt;0,"НЕТ ID",""),IF(OR(NOT(ISNUMBER(E171)),AND(Форма="ИП",C171="Дивиденды"),COUNTIF(Docs[ID],A171)&lt;&gt;1,NOT(ISNUMBER(B171)),B171&lt;НачалоУчета,YEAR(B171)&lt;&gt;Год,NOT(ISNUMBER(H171)),H171&lt;B171,E171&lt;0,COUNTIF(Виды,C171)&lt;&gt;1,COUNTIF(Категории,D171)&lt;&gt;1,COUNTIF(Контрагенты,F171)&lt;&gt;1,COUNTIF(Проекты,G171)&lt;&gt;1,L171&lt;-0.01,AND(I171&lt;&gt;"Проведён",I171&lt;&gt;"Черновик")),"ОШИБКА","ОК"))</f>
        <v>ОК</v>
      </c>
      <c r="Q171" s="4" t="str">
        <f t="shared" si="14"/>
        <v>КЗ</v>
      </c>
    </row>
    <row r="172" spans="1:17" x14ac:dyDescent="0.25">
      <c r="A172" s="3" t="s">
        <v>943</v>
      </c>
      <c r="B172" s="19">
        <v>46371</v>
      </c>
      <c r="C172" s="3" t="s">
        <v>959</v>
      </c>
      <c r="D172" s="3" t="s">
        <v>527</v>
      </c>
      <c r="E172" s="12">
        <v>11700</v>
      </c>
      <c r="F172" s="3" t="s">
        <v>528</v>
      </c>
      <c r="G172" s="3" t="s">
        <v>383</v>
      </c>
      <c r="H172" s="19">
        <v>46383</v>
      </c>
      <c r="I172" s="3" t="s">
        <v>476</v>
      </c>
      <c r="J172" s="3"/>
      <c r="K172" s="4">
        <f>IF(A172="","",SUMIFS(Cash[Оплата],Cash[Документ],A172,Cash[Дата],"&lt;="&amp;ДатаОтчета))</f>
        <v>11700</v>
      </c>
      <c r="L172" s="4">
        <f t="shared" si="10"/>
        <v>0</v>
      </c>
      <c r="M172" s="4">
        <f t="shared" si="11"/>
        <v>0</v>
      </c>
      <c r="N172" s="4" t="str">
        <f t="shared" si="12"/>
        <v>Закрыта</v>
      </c>
      <c r="O172" s="4" t="str">
        <f t="shared" si="13"/>
        <v>Оплачено</v>
      </c>
      <c r="P172" s="4" t="str">
        <f>IF(A172="",IF(COUNTA(B172:J172)&gt;0,"НЕТ ID",""),IF(OR(NOT(ISNUMBER(E172)),AND(Форма="ИП",C172="Дивиденды"),COUNTIF(Docs[ID],A172)&lt;&gt;1,NOT(ISNUMBER(B172)),B172&lt;НачалоУчета,YEAR(B172)&lt;&gt;Год,NOT(ISNUMBER(H172)),H172&lt;B172,E172&lt;0,COUNTIF(Виды,C172)&lt;&gt;1,COUNTIF(Категории,D172)&lt;&gt;1,COUNTIF(Контрагенты,F172)&lt;&gt;1,COUNTIF(Проекты,G172)&lt;&gt;1,L172&lt;-0.01,AND(I172&lt;&gt;"Проведён",I172&lt;&gt;"Черновик")),"ОШИБКА","ОК"))</f>
        <v>ОК</v>
      </c>
      <c r="Q172" s="4" t="str">
        <f t="shared" si="14"/>
        <v>КЗ</v>
      </c>
    </row>
    <row r="173" spans="1:17" x14ac:dyDescent="0.25">
      <c r="A173" s="3" t="s">
        <v>945</v>
      </c>
      <c r="B173" s="19">
        <v>46372</v>
      </c>
      <c r="C173" s="3" t="s">
        <v>959</v>
      </c>
      <c r="D173" s="3" t="s">
        <v>532</v>
      </c>
      <c r="E173" s="12">
        <v>27000</v>
      </c>
      <c r="F173" s="3" t="s">
        <v>528</v>
      </c>
      <c r="G173" s="3" t="s">
        <v>383</v>
      </c>
      <c r="H173" s="19">
        <v>46384</v>
      </c>
      <c r="I173" s="3" t="s">
        <v>476</v>
      </c>
      <c r="J173" s="3"/>
      <c r="K173" s="4">
        <f>IF(A173="","",SUMIFS(Cash[Оплата],Cash[Документ],A173,Cash[Дата],"&lt;="&amp;ДатаОтчета))</f>
        <v>27000</v>
      </c>
      <c r="L173" s="4">
        <f t="shared" si="10"/>
        <v>0</v>
      </c>
      <c r="M173" s="4">
        <f t="shared" si="11"/>
        <v>0</v>
      </c>
      <c r="N173" s="4" t="str">
        <f t="shared" si="12"/>
        <v>Закрыта</v>
      </c>
      <c r="O173" s="4" t="str">
        <f t="shared" si="13"/>
        <v>Оплачено</v>
      </c>
      <c r="P173" s="4" t="str">
        <f>IF(A173="",IF(COUNTA(B173:J173)&gt;0,"НЕТ ID",""),IF(OR(NOT(ISNUMBER(E173)),AND(Форма="ИП",C173="Дивиденды"),COUNTIF(Docs[ID],A173)&lt;&gt;1,NOT(ISNUMBER(B173)),B173&lt;НачалоУчета,YEAR(B173)&lt;&gt;Год,NOT(ISNUMBER(H173)),H173&lt;B173,E173&lt;0,COUNTIF(Виды,C173)&lt;&gt;1,COUNTIF(Категории,D173)&lt;&gt;1,COUNTIF(Контрагенты,F173)&lt;&gt;1,COUNTIF(Проекты,G173)&lt;&gt;1,L173&lt;-0.01,AND(I173&lt;&gt;"Проведён",I173&lt;&gt;"Черновик")),"ОШИБКА","ОК"))</f>
        <v>ОК</v>
      </c>
      <c r="Q173" s="4" t="str">
        <f t="shared" si="14"/>
        <v>КЗ</v>
      </c>
    </row>
    <row r="174" spans="1:17" x14ac:dyDescent="0.25">
      <c r="A174" s="3" t="s">
        <v>947</v>
      </c>
      <c r="B174" s="19">
        <v>46383</v>
      </c>
      <c r="C174" s="3" t="s">
        <v>130</v>
      </c>
      <c r="D174" s="3" t="s">
        <v>130</v>
      </c>
      <c r="E174" s="12">
        <v>2231.61</v>
      </c>
      <c r="F174" s="3" t="s">
        <v>397</v>
      </c>
      <c r="G174" s="3" t="s">
        <v>383</v>
      </c>
      <c r="H174" s="19">
        <v>46384</v>
      </c>
      <c r="I174" s="3" t="s">
        <v>476</v>
      </c>
      <c r="J174" s="3"/>
      <c r="K174" s="4">
        <f>IF(A174="","",SUMIFS(Cash[Оплата],Cash[Документ],A174,Cash[Дата],"&lt;="&amp;ДатаОтчета))</f>
        <v>2231.61</v>
      </c>
      <c r="L174" s="4">
        <f t="shared" si="10"/>
        <v>0</v>
      </c>
      <c r="M174" s="4">
        <f t="shared" si="11"/>
        <v>0</v>
      </c>
      <c r="N174" s="4" t="str">
        <f t="shared" si="12"/>
        <v>Закрыта</v>
      </c>
      <c r="O174" s="4" t="str">
        <f t="shared" si="13"/>
        <v>Оплачено</v>
      </c>
      <c r="P174" s="4" t="str">
        <f>IF(A174="",IF(COUNTA(B174:J174)&gt;0,"НЕТ ID",""),IF(OR(NOT(ISNUMBER(E174)),AND(Форма="ИП",C174="Дивиденды"),COUNTIF(Docs[ID],A174)&lt;&gt;1,NOT(ISNUMBER(B174)),B174&lt;НачалоУчета,YEAR(B174)&lt;&gt;Год,NOT(ISNUMBER(H174)),H174&lt;B174,E174&lt;0,COUNTIF(Виды,C174)&lt;&gt;1,COUNTIF(Категории,D174)&lt;&gt;1,COUNTIF(Контрагенты,F174)&lt;&gt;1,COUNTIF(Проекты,G174)&lt;&gt;1,L174&lt;-0.01,AND(I174&lt;&gt;"Проведён",I174&lt;&gt;"Черновик")),"ОШИБКА","ОК"))</f>
        <v>ОК</v>
      </c>
      <c r="Q174" s="4" t="str">
        <f t="shared" si="14"/>
        <v>КЗ</v>
      </c>
    </row>
    <row r="175" spans="1:17" x14ac:dyDescent="0.25">
      <c r="A175" s="22"/>
      <c r="B175" s="23"/>
      <c r="C175" s="22"/>
      <c r="D175" s="22"/>
      <c r="E175" s="22"/>
      <c r="F175" s="22"/>
      <c r="G175" s="22"/>
      <c r="H175" s="23"/>
      <c r="I175" s="22"/>
      <c r="J175" s="22"/>
      <c r="K175" s="4" t="str">
        <f>IF(A175="","",SUMIFS(Cash[Оплата],Cash[Документ],A175,Cash[Дата],"&lt;="&amp;ДатаОтчета))</f>
        <v/>
      </c>
      <c r="L175" s="4" t="str">
        <f t="shared" si="10"/>
        <v/>
      </c>
      <c r="M175" s="4" t="str">
        <f t="shared" si="11"/>
        <v/>
      </c>
      <c r="N175" s="4" t="str">
        <f t="shared" si="12"/>
        <v/>
      </c>
      <c r="O175" s="4" t="str">
        <f t="shared" si="13"/>
        <v/>
      </c>
      <c r="P175" s="4" t="str">
        <f>IF(A175="",IF(COUNTA(B175:J175)&gt;0,"НЕТ ID",""),IF(OR(NOT(ISNUMBER(E175)),AND(Форма="ИП",C175="Дивиденды"),COUNTIF(Docs[ID],A175)&lt;&gt;1,NOT(ISNUMBER(B175)),B175&lt;НачалоУчета,YEAR(B175)&lt;&gt;Год,NOT(ISNUMBER(H175)),H175&lt;B175,E175&lt;0,COUNTIF(Виды,C175)&lt;&gt;1,COUNTIF(Категории,D175)&lt;&gt;1,COUNTIF(Контрагенты,F175)&lt;&gt;1,COUNTIF(Проекты,G175)&lt;&gt;1,L175&lt;-0.01,AND(I175&lt;&gt;"Проведён",I175&lt;&gt;"Черновик")),"ОШИБКА","ОК"))</f>
        <v/>
      </c>
      <c r="Q175" s="4" t="str">
        <f t="shared" si="14"/>
        <v/>
      </c>
    </row>
    <row r="176" spans="1:17" x14ac:dyDescent="0.25">
      <c r="A176" s="22"/>
      <c r="B176" s="23"/>
      <c r="C176" s="22"/>
      <c r="D176" s="22"/>
      <c r="E176" s="22"/>
      <c r="F176" s="22"/>
      <c r="G176" s="22"/>
      <c r="H176" s="23"/>
      <c r="I176" s="22"/>
      <c r="J176" s="22"/>
      <c r="K176" s="4" t="str">
        <f>IF(A176="","",SUMIFS(Cash[Оплата],Cash[Документ],A176,Cash[Дата],"&lt;="&amp;ДатаОтчета))</f>
        <v/>
      </c>
      <c r="L176" s="4" t="str">
        <f t="shared" si="10"/>
        <v/>
      </c>
      <c r="M176" s="4" t="str">
        <f t="shared" si="11"/>
        <v/>
      </c>
      <c r="N176" s="4" t="str">
        <f t="shared" si="12"/>
        <v/>
      </c>
      <c r="O176" s="4" t="str">
        <f t="shared" si="13"/>
        <v/>
      </c>
      <c r="P176" s="4" t="str">
        <f>IF(A176="",IF(COUNTA(B176:J176)&gt;0,"НЕТ ID",""),IF(OR(NOT(ISNUMBER(E176)),AND(Форма="ИП",C176="Дивиденды"),COUNTIF(Docs[ID],A176)&lt;&gt;1,NOT(ISNUMBER(B176)),B176&lt;НачалоУчета,YEAR(B176)&lt;&gt;Год,NOT(ISNUMBER(H176)),H176&lt;B176,E176&lt;0,COUNTIF(Виды,C176)&lt;&gt;1,COUNTIF(Категории,D176)&lt;&gt;1,COUNTIF(Контрагенты,F176)&lt;&gt;1,COUNTIF(Проекты,G176)&lt;&gt;1,L176&lt;-0.01,AND(I176&lt;&gt;"Проведён",I176&lt;&gt;"Черновик")),"ОШИБКА","ОК"))</f>
        <v/>
      </c>
      <c r="Q176" s="4" t="str">
        <f t="shared" si="14"/>
        <v/>
      </c>
    </row>
    <row r="177" spans="1:17" x14ac:dyDescent="0.25">
      <c r="A177" s="22"/>
      <c r="B177" s="23"/>
      <c r="C177" s="22"/>
      <c r="D177" s="22"/>
      <c r="E177" s="22"/>
      <c r="F177" s="22"/>
      <c r="G177" s="22"/>
      <c r="H177" s="23"/>
      <c r="I177" s="22"/>
      <c r="J177" s="22"/>
      <c r="K177" s="4" t="str">
        <f>IF(A177="","",SUMIFS(Cash[Оплата],Cash[Документ],A177,Cash[Дата],"&lt;="&amp;ДатаОтчета))</f>
        <v/>
      </c>
      <c r="L177" s="4" t="str">
        <f t="shared" si="10"/>
        <v/>
      </c>
      <c r="M177" s="4" t="str">
        <f t="shared" si="11"/>
        <v/>
      </c>
      <c r="N177" s="4" t="str">
        <f t="shared" si="12"/>
        <v/>
      </c>
      <c r="O177" s="4" t="str">
        <f t="shared" si="13"/>
        <v/>
      </c>
      <c r="P177" s="4" t="str">
        <f>IF(A177="",IF(COUNTA(B177:J177)&gt;0,"НЕТ ID",""),IF(OR(NOT(ISNUMBER(E177)),AND(Форма="ИП",C177="Дивиденды"),COUNTIF(Docs[ID],A177)&lt;&gt;1,NOT(ISNUMBER(B177)),B177&lt;НачалоУчета,YEAR(B177)&lt;&gt;Год,NOT(ISNUMBER(H177)),H177&lt;B177,E177&lt;0,COUNTIF(Виды,C177)&lt;&gt;1,COUNTIF(Категории,D177)&lt;&gt;1,COUNTIF(Контрагенты,F177)&lt;&gt;1,COUNTIF(Проекты,G177)&lt;&gt;1,L177&lt;-0.01,AND(I177&lt;&gt;"Проведён",I177&lt;&gt;"Черновик")),"ОШИБКА","ОК"))</f>
        <v/>
      </c>
      <c r="Q177" s="4" t="str">
        <f t="shared" si="14"/>
        <v/>
      </c>
    </row>
    <row r="178" spans="1:17" x14ac:dyDescent="0.25">
      <c r="A178" s="22"/>
      <c r="B178" s="23"/>
      <c r="C178" s="22"/>
      <c r="D178" s="22"/>
      <c r="E178" s="22"/>
      <c r="F178" s="22"/>
      <c r="G178" s="22"/>
      <c r="H178" s="23"/>
      <c r="I178" s="22"/>
      <c r="J178" s="22"/>
      <c r="K178" s="4" t="str">
        <f>IF(A178="","",SUMIFS(Cash[Оплата],Cash[Документ],A178,Cash[Дата],"&lt;="&amp;ДатаОтчета))</f>
        <v/>
      </c>
      <c r="L178" s="4" t="str">
        <f t="shared" si="10"/>
        <v/>
      </c>
      <c r="M178" s="4" t="str">
        <f t="shared" si="11"/>
        <v/>
      </c>
      <c r="N178" s="4" t="str">
        <f t="shared" si="12"/>
        <v/>
      </c>
      <c r="O178" s="4" t="str">
        <f t="shared" si="13"/>
        <v/>
      </c>
      <c r="P178" s="4" t="str">
        <f>IF(A178="",IF(COUNTA(B178:J178)&gt;0,"НЕТ ID",""),IF(OR(NOT(ISNUMBER(E178)),AND(Форма="ИП",C178="Дивиденды"),COUNTIF(Docs[ID],A178)&lt;&gt;1,NOT(ISNUMBER(B178)),B178&lt;НачалоУчета,YEAR(B178)&lt;&gt;Год,NOT(ISNUMBER(H178)),H178&lt;B178,E178&lt;0,COUNTIF(Виды,C178)&lt;&gt;1,COUNTIF(Категории,D178)&lt;&gt;1,COUNTIF(Контрагенты,F178)&lt;&gt;1,COUNTIF(Проекты,G178)&lt;&gt;1,L178&lt;-0.01,AND(I178&lt;&gt;"Проведён",I178&lt;&gt;"Черновик")),"ОШИБКА","ОК"))</f>
        <v/>
      </c>
      <c r="Q178" s="4" t="str">
        <f t="shared" si="14"/>
        <v/>
      </c>
    </row>
    <row r="179" spans="1:17" x14ac:dyDescent="0.25">
      <c r="A179" s="22"/>
      <c r="B179" s="23"/>
      <c r="C179" s="22"/>
      <c r="D179" s="22"/>
      <c r="E179" s="22"/>
      <c r="F179" s="22"/>
      <c r="G179" s="22"/>
      <c r="H179" s="23"/>
      <c r="I179" s="22"/>
      <c r="J179" s="22"/>
      <c r="K179" s="4" t="str">
        <f>IF(A179="","",SUMIFS(Cash[Оплата],Cash[Документ],A179,Cash[Дата],"&lt;="&amp;ДатаОтчета))</f>
        <v/>
      </c>
      <c r="L179" s="4" t="str">
        <f t="shared" si="10"/>
        <v/>
      </c>
      <c r="M179" s="4" t="str">
        <f t="shared" si="11"/>
        <v/>
      </c>
      <c r="N179" s="4" t="str">
        <f t="shared" si="12"/>
        <v/>
      </c>
      <c r="O179" s="4" t="str">
        <f t="shared" si="13"/>
        <v/>
      </c>
      <c r="P179" s="4" t="str">
        <f>IF(A179="",IF(COUNTA(B179:J179)&gt;0,"НЕТ ID",""),IF(OR(NOT(ISNUMBER(E179)),AND(Форма="ИП",C179="Дивиденды"),COUNTIF(Docs[ID],A179)&lt;&gt;1,NOT(ISNUMBER(B179)),B179&lt;НачалоУчета,YEAR(B179)&lt;&gt;Год,NOT(ISNUMBER(H179)),H179&lt;B179,E179&lt;0,COUNTIF(Виды,C179)&lt;&gt;1,COUNTIF(Категории,D179)&lt;&gt;1,COUNTIF(Контрагенты,F179)&lt;&gt;1,COUNTIF(Проекты,G179)&lt;&gt;1,L179&lt;-0.01,AND(I179&lt;&gt;"Проведён",I179&lt;&gt;"Черновик")),"ОШИБКА","ОК"))</f>
        <v/>
      </c>
      <c r="Q179" s="4" t="str">
        <f t="shared" si="14"/>
        <v/>
      </c>
    </row>
    <row r="180" spans="1:17" x14ac:dyDescent="0.25">
      <c r="A180" s="22"/>
      <c r="B180" s="23"/>
      <c r="C180" s="22"/>
      <c r="D180" s="22"/>
      <c r="E180" s="22"/>
      <c r="F180" s="22"/>
      <c r="G180" s="22"/>
      <c r="H180" s="23"/>
      <c r="I180" s="22"/>
      <c r="J180" s="22"/>
      <c r="K180" s="4" t="str">
        <f>IF(A180="","",SUMIFS(Cash[Оплата],Cash[Документ],A180,Cash[Дата],"&lt;="&amp;ДатаОтчета))</f>
        <v/>
      </c>
      <c r="L180" s="4" t="str">
        <f t="shared" si="10"/>
        <v/>
      </c>
      <c r="M180" s="4" t="str">
        <f t="shared" si="11"/>
        <v/>
      </c>
      <c r="N180" s="4" t="str">
        <f t="shared" si="12"/>
        <v/>
      </c>
      <c r="O180" s="4" t="str">
        <f t="shared" si="13"/>
        <v/>
      </c>
      <c r="P180" s="4" t="str">
        <f>IF(A180="",IF(COUNTA(B180:J180)&gt;0,"НЕТ ID",""),IF(OR(NOT(ISNUMBER(E180)),AND(Форма="ИП",C180="Дивиденды"),COUNTIF(Docs[ID],A180)&lt;&gt;1,NOT(ISNUMBER(B180)),B180&lt;НачалоУчета,YEAR(B180)&lt;&gt;Год,NOT(ISNUMBER(H180)),H180&lt;B180,E180&lt;0,COUNTIF(Виды,C180)&lt;&gt;1,COUNTIF(Категории,D180)&lt;&gt;1,COUNTIF(Контрагенты,F180)&lt;&gt;1,COUNTIF(Проекты,G180)&lt;&gt;1,L180&lt;-0.01,AND(I180&lt;&gt;"Проведён",I180&lt;&gt;"Черновик")),"ОШИБКА","ОК"))</f>
        <v/>
      </c>
      <c r="Q180" s="4" t="str">
        <f t="shared" si="14"/>
        <v/>
      </c>
    </row>
    <row r="181" spans="1:17" x14ac:dyDescent="0.25">
      <c r="A181" s="22"/>
      <c r="B181" s="23"/>
      <c r="C181" s="22"/>
      <c r="D181" s="22"/>
      <c r="E181" s="22"/>
      <c r="F181" s="22"/>
      <c r="G181" s="22"/>
      <c r="H181" s="23"/>
      <c r="I181" s="22"/>
      <c r="J181" s="22"/>
      <c r="K181" s="4" t="str">
        <f>IF(A181="","",SUMIFS(Cash[Оплата],Cash[Документ],A181,Cash[Дата],"&lt;="&amp;ДатаОтчета))</f>
        <v/>
      </c>
      <c r="L181" s="4" t="str">
        <f t="shared" si="10"/>
        <v/>
      </c>
      <c r="M181" s="4" t="str">
        <f t="shared" si="11"/>
        <v/>
      </c>
      <c r="N181" s="4" t="str">
        <f t="shared" si="12"/>
        <v/>
      </c>
      <c r="O181" s="4" t="str">
        <f t="shared" si="13"/>
        <v/>
      </c>
      <c r="P181" s="4" t="str">
        <f>IF(A181="",IF(COUNTA(B181:J181)&gt;0,"НЕТ ID",""),IF(OR(NOT(ISNUMBER(E181)),AND(Форма="ИП",C181="Дивиденды"),COUNTIF(Docs[ID],A181)&lt;&gt;1,NOT(ISNUMBER(B181)),B181&lt;НачалоУчета,YEAR(B181)&lt;&gt;Год,NOT(ISNUMBER(H181)),H181&lt;B181,E181&lt;0,COUNTIF(Виды,C181)&lt;&gt;1,COUNTIF(Категории,D181)&lt;&gt;1,COUNTIF(Контрагенты,F181)&lt;&gt;1,COUNTIF(Проекты,G181)&lt;&gt;1,L181&lt;-0.01,AND(I181&lt;&gt;"Проведён",I181&lt;&gt;"Черновик")),"ОШИБКА","ОК"))</f>
        <v/>
      </c>
      <c r="Q181" s="4" t="str">
        <f t="shared" si="14"/>
        <v/>
      </c>
    </row>
    <row r="182" spans="1:17" x14ac:dyDescent="0.25">
      <c r="A182" s="22"/>
      <c r="B182" s="23"/>
      <c r="C182" s="22"/>
      <c r="D182" s="22"/>
      <c r="E182" s="22"/>
      <c r="F182" s="22"/>
      <c r="G182" s="22"/>
      <c r="H182" s="23"/>
      <c r="I182" s="22"/>
      <c r="J182" s="22"/>
      <c r="K182" s="4" t="str">
        <f>IF(A182="","",SUMIFS(Cash[Оплата],Cash[Документ],A182,Cash[Дата],"&lt;="&amp;ДатаОтчета))</f>
        <v/>
      </c>
      <c r="L182" s="4" t="str">
        <f t="shared" si="10"/>
        <v/>
      </c>
      <c r="M182" s="4" t="str">
        <f t="shared" si="11"/>
        <v/>
      </c>
      <c r="N182" s="4" t="str">
        <f t="shared" si="12"/>
        <v/>
      </c>
      <c r="O182" s="4" t="str">
        <f t="shared" si="13"/>
        <v/>
      </c>
      <c r="P182" s="4" t="str">
        <f>IF(A182="",IF(COUNTA(B182:J182)&gt;0,"НЕТ ID",""),IF(OR(NOT(ISNUMBER(E182)),AND(Форма="ИП",C182="Дивиденды"),COUNTIF(Docs[ID],A182)&lt;&gt;1,NOT(ISNUMBER(B182)),B182&lt;НачалоУчета,YEAR(B182)&lt;&gt;Год,NOT(ISNUMBER(H182)),H182&lt;B182,E182&lt;0,COUNTIF(Виды,C182)&lt;&gt;1,COUNTIF(Категории,D182)&lt;&gt;1,COUNTIF(Контрагенты,F182)&lt;&gt;1,COUNTIF(Проекты,G182)&lt;&gt;1,L182&lt;-0.01,AND(I182&lt;&gt;"Проведён",I182&lt;&gt;"Черновик")),"ОШИБКА","ОК"))</f>
        <v/>
      </c>
      <c r="Q182" s="4" t="str">
        <f t="shared" si="14"/>
        <v/>
      </c>
    </row>
    <row r="183" spans="1:17" x14ac:dyDescent="0.25">
      <c r="A183" s="22"/>
      <c r="B183" s="23"/>
      <c r="C183" s="22"/>
      <c r="D183" s="22"/>
      <c r="E183" s="22"/>
      <c r="F183" s="22"/>
      <c r="G183" s="22"/>
      <c r="H183" s="23"/>
      <c r="I183" s="22"/>
      <c r="J183" s="22"/>
      <c r="K183" s="4" t="str">
        <f>IF(A183="","",SUMIFS(Cash[Оплата],Cash[Документ],A183,Cash[Дата],"&lt;="&amp;ДатаОтчета))</f>
        <v/>
      </c>
      <c r="L183" s="4" t="str">
        <f t="shared" si="10"/>
        <v/>
      </c>
      <c r="M183" s="4" t="str">
        <f t="shared" si="11"/>
        <v/>
      </c>
      <c r="N183" s="4" t="str">
        <f t="shared" si="12"/>
        <v/>
      </c>
      <c r="O183" s="4" t="str">
        <f t="shared" si="13"/>
        <v/>
      </c>
      <c r="P183" s="4" t="str">
        <f>IF(A183="",IF(COUNTA(B183:J183)&gt;0,"НЕТ ID",""),IF(OR(NOT(ISNUMBER(E183)),AND(Форма="ИП",C183="Дивиденды"),COUNTIF(Docs[ID],A183)&lt;&gt;1,NOT(ISNUMBER(B183)),B183&lt;НачалоУчета,YEAR(B183)&lt;&gt;Год,NOT(ISNUMBER(H183)),H183&lt;B183,E183&lt;0,COUNTIF(Виды,C183)&lt;&gt;1,COUNTIF(Категории,D183)&lt;&gt;1,COUNTIF(Контрагенты,F183)&lt;&gt;1,COUNTIF(Проекты,G183)&lt;&gt;1,L183&lt;-0.01,AND(I183&lt;&gt;"Проведён",I183&lt;&gt;"Черновик")),"ОШИБКА","ОК"))</f>
        <v/>
      </c>
      <c r="Q183" s="4" t="str">
        <f t="shared" si="14"/>
        <v/>
      </c>
    </row>
    <row r="184" spans="1:17" x14ac:dyDescent="0.25">
      <c r="A184" s="22"/>
      <c r="B184" s="23"/>
      <c r="C184" s="22"/>
      <c r="D184" s="22"/>
      <c r="E184" s="22"/>
      <c r="F184" s="22"/>
      <c r="G184" s="22"/>
      <c r="H184" s="23"/>
      <c r="I184" s="22"/>
      <c r="J184" s="22"/>
      <c r="K184" s="4" t="str">
        <f>IF(A184="","",SUMIFS(Cash[Оплата],Cash[Документ],A184,Cash[Дата],"&lt;="&amp;ДатаОтчета))</f>
        <v/>
      </c>
      <c r="L184" s="4" t="str">
        <f t="shared" si="10"/>
        <v/>
      </c>
      <c r="M184" s="4" t="str">
        <f t="shared" si="11"/>
        <v/>
      </c>
      <c r="N184" s="4" t="str">
        <f t="shared" si="12"/>
        <v/>
      </c>
      <c r="O184" s="4" t="str">
        <f t="shared" si="13"/>
        <v/>
      </c>
      <c r="P184" s="4" t="str">
        <f>IF(A184="",IF(COUNTA(B184:J184)&gt;0,"НЕТ ID",""),IF(OR(NOT(ISNUMBER(E184)),AND(Форма="ИП",C184="Дивиденды"),COUNTIF(Docs[ID],A184)&lt;&gt;1,NOT(ISNUMBER(B184)),B184&lt;НачалоУчета,YEAR(B184)&lt;&gt;Год,NOT(ISNUMBER(H184)),H184&lt;B184,E184&lt;0,COUNTIF(Виды,C184)&lt;&gt;1,COUNTIF(Категории,D184)&lt;&gt;1,COUNTIF(Контрагенты,F184)&lt;&gt;1,COUNTIF(Проекты,G184)&lt;&gt;1,L184&lt;-0.01,AND(I184&lt;&gt;"Проведён",I184&lt;&gt;"Черновик")),"ОШИБКА","ОК"))</f>
        <v/>
      </c>
      <c r="Q184" s="4" t="str">
        <f t="shared" si="14"/>
        <v/>
      </c>
    </row>
    <row r="185" spans="1:17" x14ac:dyDescent="0.25">
      <c r="A185" s="22"/>
      <c r="B185" s="23"/>
      <c r="C185" s="22"/>
      <c r="D185" s="22"/>
      <c r="E185" s="22"/>
      <c r="F185" s="22"/>
      <c r="G185" s="22"/>
      <c r="H185" s="23"/>
      <c r="I185" s="22"/>
      <c r="J185" s="22"/>
      <c r="K185" s="4" t="str">
        <f>IF(A185="","",SUMIFS(Cash[Оплата],Cash[Документ],A185,Cash[Дата],"&lt;="&amp;ДатаОтчета))</f>
        <v/>
      </c>
      <c r="L185" s="4" t="str">
        <f t="shared" si="10"/>
        <v/>
      </c>
      <c r="M185" s="4" t="str">
        <f t="shared" si="11"/>
        <v/>
      </c>
      <c r="N185" s="4" t="str">
        <f t="shared" si="12"/>
        <v/>
      </c>
      <c r="O185" s="4" t="str">
        <f t="shared" si="13"/>
        <v/>
      </c>
      <c r="P185" s="4" t="str">
        <f>IF(A185="",IF(COUNTA(B185:J185)&gt;0,"НЕТ ID",""),IF(OR(NOT(ISNUMBER(E185)),AND(Форма="ИП",C185="Дивиденды"),COUNTIF(Docs[ID],A185)&lt;&gt;1,NOT(ISNUMBER(B185)),B185&lt;НачалоУчета,YEAR(B185)&lt;&gt;Год,NOT(ISNUMBER(H185)),H185&lt;B185,E185&lt;0,COUNTIF(Виды,C185)&lt;&gt;1,COUNTIF(Категории,D185)&lt;&gt;1,COUNTIF(Контрагенты,F185)&lt;&gt;1,COUNTIF(Проекты,G185)&lt;&gt;1,L185&lt;-0.01,AND(I185&lt;&gt;"Проведён",I185&lt;&gt;"Черновик")),"ОШИБКА","ОК"))</f>
        <v/>
      </c>
      <c r="Q185" s="4" t="str">
        <f t="shared" si="14"/>
        <v/>
      </c>
    </row>
    <row r="186" spans="1:17" x14ac:dyDescent="0.25">
      <c r="A186" s="22"/>
      <c r="B186" s="23"/>
      <c r="C186" s="22"/>
      <c r="D186" s="22"/>
      <c r="E186" s="22"/>
      <c r="F186" s="22"/>
      <c r="G186" s="22"/>
      <c r="H186" s="23"/>
      <c r="I186" s="22"/>
      <c r="J186" s="22"/>
      <c r="K186" s="4" t="str">
        <f>IF(A186="","",SUMIFS(Cash[Оплата],Cash[Документ],A186,Cash[Дата],"&lt;="&amp;ДатаОтчета))</f>
        <v/>
      </c>
      <c r="L186" s="4" t="str">
        <f t="shared" si="10"/>
        <v/>
      </c>
      <c r="M186" s="4" t="str">
        <f t="shared" si="11"/>
        <v/>
      </c>
      <c r="N186" s="4" t="str">
        <f t="shared" si="12"/>
        <v/>
      </c>
      <c r="O186" s="4" t="str">
        <f t="shared" si="13"/>
        <v/>
      </c>
      <c r="P186" s="4" t="str">
        <f>IF(A186="",IF(COUNTA(B186:J186)&gt;0,"НЕТ ID",""),IF(OR(NOT(ISNUMBER(E186)),AND(Форма="ИП",C186="Дивиденды"),COUNTIF(Docs[ID],A186)&lt;&gt;1,NOT(ISNUMBER(B186)),B186&lt;НачалоУчета,YEAR(B186)&lt;&gt;Год,NOT(ISNUMBER(H186)),H186&lt;B186,E186&lt;0,COUNTIF(Виды,C186)&lt;&gt;1,COUNTIF(Категории,D186)&lt;&gt;1,COUNTIF(Контрагенты,F186)&lt;&gt;1,COUNTIF(Проекты,G186)&lt;&gt;1,L186&lt;-0.01,AND(I186&lt;&gt;"Проведён",I186&lt;&gt;"Черновик")),"ОШИБКА","ОК"))</f>
        <v/>
      </c>
      <c r="Q186" s="4" t="str">
        <f t="shared" si="14"/>
        <v/>
      </c>
    </row>
    <row r="187" spans="1:17" x14ac:dyDescent="0.25">
      <c r="A187" s="22"/>
      <c r="B187" s="23"/>
      <c r="C187" s="22"/>
      <c r="D187" s="22"/>
      <c r="E187" s="22"/>
      <c r="F187" s="22"/>
      <c r="G187" s="22"/>
      <c r="H187" s="23"/>
      <c r="I187" s="22"/>
      <c r="J187" s="22"/>
      <c r="K187" s="4" t="str">
        <f>IF(A187="","",SUMIFS(Cash[Оплата],Cash[Документ],A187,Cash[Дата],"&lt;="&amp;ДатаОтчета))</f>
        <v/>
      </c>
      <c r="L187" s="4" t="str">
        <f t="shared" si="10"/>
        <v/>
      </c>
      <c r="M187" s="4" t="str">
        <f t="shared" si="11"/>
        <v/>
      </c>
      <c r="N187" s="4" t="str">
        <f t="shared" si="12"/>
        <v/>
      </c>
      <c r="O187" s="4" t="str">
        <f t="shared" si="13"/>
        <v/>
      </c>
      <c r="P187" s="4" t="str">
        <f>IF(A187="",IF(COUNTA(B187:J187)&gt;0,"НЕТ ID",""),IF(OR(NOT(ISNUMBER(E187)),AND(Форма="ИП",C187="Дивиденды"),COUNTIF(Docs[ID],A187)&lt;&gt;1,NOT(ISNUMBER(B187)),B187&lt;НачалоУчета,YEAR(B187)&lt;&gt;Год,NOT(ISNUMBER(H187)),H187&lt;B187,E187&lt;0,COUNTIF(Виды,C187)&lt;&gt;1,COUNTIF(Категории,D187)&lt;&gt;1,COUNTIF(Контрагенты,F187)&lt;&gt;1,COUNTIF(Проекты,G187)&lt;&gt;1,L187&lt;-0.01,AND(I187&lt;&gt;"Проведён",I187&lt;&gt;"Черновик")),"ОШИБКА","ОК"))</f>
        <v/>
      </c>
      <c r="Q187" s="4" t="str">
        <f t="shared" si="14"/>
        <v/>
      </c>
    </row>
    <row r="188" spans="1:17" x14ac:dyDescent="0.25">
      <c r="A188" s="22"/>
      <c r="B188" s="23"/>
      <c r="C188" s="22"/>
      <c r="D188" s="22"/>
      <c r="E188" s="22"/>
      <c r="F188" s="22"/>
      <c r="G188" s="22"/>
      <c r="H188" s="23"/>
      <c r="I188" s="22"/>
      <c r="J188" s="22"/>
      <c r="K188" s="4" t="str">
        <f>IF(A188="","",SUMIFS(Cash[Оплата],Cash[Документ],A188,Cash[Дата],"&lt;="&amp;ДатаОтчета))</f>
        <v/>
      </c>
      <c r="L188" s="4" t="str">
        <f t="shared" si="10"/>
        <v/>
      </c>
      <c r="M188" s="4" t="str">
        <f t="shared" si="11"/>
        <v/>
      </c>
      <c r="N188" s="4" t="str">
        <f t="shared" si="12"/>
        <v/>
      </c>
      <c r="O188" s="4" t="str">
        <f t="shared" si="13"/>
        <v/>
      </c>
      <c r="P188" s="4" t="str">
        <f>IF(A188="",IF(COUNTA(B188:J188)&gt;0,"НЕТ ID",""),IF(OR(NOT(ISNUMBER(E188)),AND(Форма="ИП",C188="Дивиденды"),COUNTIF(Docs[ID],A188)&lt;&gt;1,NOT(ISNUMBER(B188)),B188&lt;НачалоУчета,YEAR(B188)&lt;&gt;Год,NOT(ISNUMBER(H188)),H188&lt;B188,E188&lt;0,COUNTIF(Виды,C188)&lt;&gt;1,COUNTIF(Категории,D188)&lt;&gt;1,COUNTIF(Контрагенты,F188)&lt;&gt;1,COUNTIF(Проекты,G188)&lt;&gt;1,L188&lt;-0.01,AND(I188&lt;&gt;"Проведён",I188&lt;&gt;"Черновик")),"ОШИБКА","ОК"))</f>
        <v/>
      </c>
      <c r="Q188" s="4" t="str">
        <f t="shared" si="14"/>
        <v/>
      </c>
    </row>
    <row r="189" spans="1:17" x14ac:dyDescent="0.25">
      <c r="A189" s="22"/>
      <c r="B189" s="23"/>
      <c r="C189" s="22"/>
      <c r="D189" s="22"/>
      <c r="E189" s="22"/>
      <c r="F189" s="22"/>
      <c r="G189" s="22"/>
      <c r="H189" s="23"/>
      <c r="I189" s="22"/>
      <c r="J189" s="22"/>
      <c r="K189" s="4" t="str">
        <f>IF(A189="","",SUMIFS(Cash[Оплата],Cash[Документ],A189,Cash[Дата],"&lt;="&amp;ДатаОтчета))</f>
        <v/>
      </c>
      <c r="L189" s="4" t="str">
        <f t="shared" si="10"/>
        <v/>
      </c>
      <c r="M189" s="4" t="str">
        <f t="shared" si="11"/>
        <v/>
      </c>
      <c r="N189" s="4" t="str">
        <f t="shared" si="12"/>
        <v/>
      </c>
      <c r="O189" s="4" t="str">
        <f t="shared" si="13"/>
        <v/>
      </c>
      <c r="P189" s="4" t="str">
        <f>IF(A189="",IF(COUNTA(B189:J189)&gt;0,"НЕТ ID",""),IF(OR(NOT(ISNUMBER(E189)),AND(Форма="ИП",C189="Дивиденды"),COUNTIF(Docs[ID],A189)&lt;&gt;1,NOT(ISNUMBER(B189)),B189&lt;НачалоУчета,YEAR(B189)&lt;&gt;Год,NOT(ISNUMBER(H189)),H189&lt;B189,E189&lt;0,COUNTIF(Виды,C189)&lt;&gt;1,COUNTIF(Категории,D189)&lt;&gt;1,COUNTIF(Контрагенты,F189)&lt;&gt;1,COUNTIF(Проекты,G189)&lt;&gt;1,L189&lt;-0.01,AND(I189&lt;&gt;"Проведён",I189&lt;&gt;"Черновик")),"ОШИБКА","ОК"))</f>
        <v/>
      </c>
      <c r="Q189" s="4" t="str">
        <f t="shared" si="14"/>
        <v/>
      </c>
    </row>
    <row r="190" spans="1:17" x14ac:dyDescent="0.25">
      <c r="A190" s="22"/>
      <c r="B190" s="23"/>
      <c r="C190" s="22"/>
      <c r="D190" s="22"/>
      <c r="E190" s="22"/>
      <c r="F190" s="22"/>
      <c r="G190" s="22"/>
      <c r="H190" s="23"/>
      <c r="I190" s="22"/>
      <c r="J190" s="22"/>
      <c r="K190" s="4" t="str">
        <f>IF(A190="","",SUMIFS(Cash[Оплата],Cash[Документ],A190,Cash[Дата],"&lt;="&amp;ДатаОтчета))</f>
        <v/>
      </c>
      <c r="L190" s="4" t="str">
        <f t="shared" si="10"/>
        <v/>
      </c>
      <c r="M190" s="4" t="str">
        <f t="shared" si="11"/>
        <v/>
      </c>
      <c r="N190" s="4" t="str">
        <f t="shared" si="12"/>
        <v/>
      </c>
      <c r="O190" s="4" t="str">
        <f t="shared" si="13"/>
        <v/>
      </c>
      <c r="P190" s="4" t="str">
        <f>IF(A190="",IF(COUNTA(B190:J190)&gt;0,"НЕТ ID",""),IF(OR(NOT(ISNUMBER(E190)),AND(Форма="ИП",C190="Дивиденды"),COUNTIF(Docs[ID],A190)&lt;&gt;1,NOT(ISNUMBER(B190)),B190&lt;НачалоУчета,YEAR(B190)&lt;&gt;Год,NOT(ISNUMBER(H190)),H190&lt;B190,E190&lt;0,COUNTIF(Виды,C190)&lt;&gt;1,COUNTIF(Категории,D190)&lt;&gt;1,COUNTIF(Контрагенты,F190)&lt;&gt;1,COUNTIF(Проекты,G190)&lt;&gt;1,L190&lt;-0.01,AND(I190&lt;&gt;"Проведён",I190&lt;&gt;"Черновик")),"ОШИБКА","ОК"))</f>
        <v/>
      </c>
      <c r="Q190" s="4" t="str">
        <f t="shared" si="14"/>
        <v/>
      </c>
    </row>
    <row r="191" spans="1:17" x14ac:dyDescent="0.25">
      <c r="A191" s="22"/>
      <c r="B191" s="23"/>
      <c r="C191" s="22"/>
      <c r="D191" s="22"/>
      <c r="E191" s="22"/>
      <c r="F191" s="22"/>
      <c r="G191" s="22"/>
      <c r="H191" s="23"/>
      <c r="I191" s="22"/>
      <c r="J191" s="22"/>
      <c r="K191" s="4" t="str">
        <f>IF(A191="","",SUMIFS(Cash[Оплата],Cash[Документ],A191,Cash[Дата],"&lt;="&amp;ДатаОтчета))</f>
        <v/>
      </c>
      <c r="L191" s="4" t="str">
        <f t="shared" si="10"/>
        <v/>
      </c>
      <c r="M191" s="4" t="str">
        <f t="shared" si="11"/>
        <v/>
      </c>
      <c r="N191" s="4" t="str">
        <f t="shared" si="12"/>
        <v/>
      </c>
      <c r="O191" s="4" t="str">
        <f t="shared" si="13"/>
        <v/>
      </c>
      <c r="P191" s="4" t="str">
        <f>IF(A191="",IF(COUNTA(B191:J191)&gt;0,"НЕТ ID",""),IF(OR(NOT(ISNUMBER(E191)),AND(Форма="ИП",C191="Дивиденды"),COUNTIF(Docs[ID],A191)&lt;&gt;1,NOT(ISNUMBER(B191)),B191&lt;НачалоУчета,YEAR(B191)&lt;&gt;Год,NOT(ISNUMBER(H191)),H191&lt;B191,E191&lt;0,COUNTIF(Виды,C191)&lt;&gt;1,COUNTIF(Категории,D191)&lt;&gt;1,COUNTIF(Контрагенты,F191)&lt;&gt;1,COUNTIF(Проекты,G191)&lt;&gt;1,L191&lt;-0.01,AND(I191&lt;&gt;"Проведён",I191&lt;&gt;"Черновик")),"ОШИБКА","ОК"))</f>
        <v/>
      </c>
      <c r="Q191" s="4" t="str">
        <f t="shared" si="14"/>
        <v/>
      </c>
    </row>
    <row r="192" spans="1:17" x14ac:dyDescent="0.25">
      <c r="A192" s="22"/>
      <c r="B192" s="23"/>
      <c r="C192" s="22"/>
      <c r="D192" s="22"/>
      <c r="E192" s="22"/>
      <c r="F192" s="22"/>
      <c r="G192" s="22"/>
      <c r="H192" s="23"/>
      <c r="I192" s="22"/>
      <c r="J192" s="22"/>
      <c r="K192" s="4" t="str">
        <f>IF(A192="","",SUMIFS(Cash[Оплата],Cash[Документ],A192,Cash[Дата],"&lt;="&amp;ДатаОтчета))</f>
        <v/>
      </c>
      <c r="L192" s="4" t="str">
        <f t="shared" si="10"/>
        <v/>
      </c>
      <c r="M192" s="4" t="str">
        <f t="shared" si="11"/>
        <v/>
      </c>
      <c r="N192" s="4" t="str">
        <f t="shared" si="12"/>
        <v/>
      </c>
      <c r="O192" s="4" t="str">
        <f t="shared" si="13"/>
        <v/>
      </c>
      <c r="P192" s="4" t="str">
        <f>IF(A192="",IF(COUNTA(B192:J192)&gt;0,"НЕТ ID",""),IF(OR(NOT(ISNUMBER(E192)),AND(Форма="ИП",C192="Дивиденды"),COUNTIF(Docs[ID],A192)&lt;&gt;1,NOT(ISNUMBER(B192)),B192&lt;НачалоУчета,YEAR(B192)&lt;&gt;Год,NOT(ISNUMBER(H192)),H192&lt;B192,E192&lt;0,COUNTIF(Виды,C192)&lt;&gt;1,COUNTIF(Категории,D192)&lt;&gt;1,COUNTIF(Контрагенты,F192)&lt;&gt;1,COUNTIF(Проекты,G192)&lt;&gt;1,L192&lt;-0.01,AND(I192&lt;&gt;"Проведён",I192&lt;&gt;"Черновик")),"ОШИБКА","ОК"))</f>
        <v/>
      </c>
      <c r="Q192" s="4" t="str">
        <f t="shared" si="14"/>
        <v/>
      </c>
    </row>
    <row r="193" spans="1:17" x14ac:dyDescent="0.25">
      <c r="A193" s="22"/>
      <c r="B193" s="23"/>
      <c r="C193" s="22"/>
      <c r="D193" s="22"/>
      <c r="E193" s="22"/>
      <c r="F193" s="22"/>
      <c r="G193" s="22"/>
      <c r="H193" s="23"/>
      <c r="I193" s="22"/>
      <c r="J193" s="22"/>
      <c r="K193" s="4" t="str">
        <f>IF(A193="","",SUMIFS(Cash[Оплата],Cash[Документ],A193,Cash[Дата],"&lt;="&amp;ДатаОтчета))</f>
        <v/>
      </c>
      <c r="L193" s="4" t="str">
        <f t="shared" si="10"/>
        <v/>
      </c>
      <c r="M193" s="4" t="str">
        <f t="shared" si="11"/>
        <v/>
      </c>
      <c r="N193" s="4" t="str">
        <f t="shared" si="12"/>
        <v/>
      </c>
      <c r="O193" s="4" t="str">
        <f t="shared" si="13"/>
        <v/>
      </c>
      <c r="P193" s="4" t="str">
        <f>IF(A193="",IF(COUNTA(B193:J193)&gt;0,"НЕТ ID",""),IF(OR(NOT(ISNUMBER(E193)),AND(Форма="ИП",C193="Дивиденды"),COUNTIF(Docs[ID],A193)&lt;&gt;1,NOT(ISNUMBER(B193)),B193&lt;НачалоУчета,YEAR(B193)&lt;&gt;Год,NOT(ISNUMBER(H193)),H193&lt;B193,E193&lt;0,COUNTIF(Виды,C193)&lt;&gt;1,COUNTIF(Категории,D193)&lt;&gt;1,COUNTIF(Контрагенты,F193)&lt;&gt;1,COUNTIF(Проекты,G193)&lt;&gt;1,L193&lt;-0.01,AND(I193&lt;&gt;"Проведён",I193&lt;&gt;"Черновик")),"ОШИБКА","ОК"))</f>
        <v/>
      </c>
      <c r="Q193" s="4" t="str">
        <f t="shared" si="14"/>
        <v/>
      </c>
    </row>
    <row r="194" spans="1:17" x14ac:dyDescent="0.25">
      <c r="A194" s="22"/>
      <c r="B194" s="23"/>
      <c r="C194" s="22"/>
      <c r="D194" s="22"/>
      <c r="E194" s="22"/>
      <c r="F194" s="22"/>
      <c r="G194" s="22"/>
      <c r="H194" s="23"/>
      <c r="I194" s="22"/>
      <c r="J194" s="22"/>
      <c r="K194" s="4" t="str">
        <f>IF(A194="","",SUMIFS(Cash[Оплата],Cash[Документ],A194,Cash[Дата],"&lt;="&amp;ДатаОтчета))</f>
        <v/>
      </c>
      <c r="L194" s="4" t="str">
        <f t="shared" si="10"/>
        <v/>
      </c>
      <c r="M194" s="4" t="str">
        <f t="shared" si="11"/>
        <v/>
      </c>
      <c r="N194" s="4" t="str">
        <f t="shared" si="12"/>
        <v/>
      </c>
      <c r="O194" s="4" t="str">
        <f t="shared" si="13"/>
        <v/>
      </c>
      <c r="P194" s="4" t="str">
        <f>IF(A194="",IF(COUNTA(B194:J194)&gt;0,"НЕТ ID",""),IF(OR(NOT(ISNUMBER(E194)),AND(Форма="ИП",C194="Дивиденды"),COUNTIF(Docs[ID],A194)&lt;&gt;1,NOT(ISNUMBER(B194)),B194&lt;НачалоУчета,YEAR(B194)&lt;&gt;Год,NOT(ISNUMBER(H194)),H194&lt;B194,E194&lt;0,COUNTIF(Виды,C194)&lt;&gt;1,COUNTIF(Категории,D194)&lt;&gt;1,COUNTIF(Контрагенты,F194)&lt;&gt;1,COUNTIF(Проекты,G194)&lt;&gt;1,L194&lt;-0.01,AND(I194&lt;&gt;"Проведён",I194&lt;&gt;"Черновик")),"ОШИБКА","ОК"))</f>
        <v/>
      </c>
      <c r="Q194" s="4" t="str">
        <f t="shared" si="14"/>
        <v/>
      </c>
    </row>
    <row r="195" spans="1:17" x14ac:dyDescent="0.25">
      <c r="A195" s="22"/>
      <c r="B195" s="23"/>
      <c r="C195" s="22"/>
      <c r="D195" s="22"/>
      <c r="E195" s="22"/>
      <c r="F195" s="22"/>
      <c r="G195" s="22"/>
      <c r="H195" s="23"/>
      <c r="I195" s="22"/>
      <c r="J195" s="22"/>
      <c r="K195" s="4" t="str">
        <f>IF(A195="","",SUMIFS(Cash[Оплата],Cash[Документ],A195,Cash[Дата],"&lt;="&amp;ДатаОтчета))</f>
        <v/>
      </c>
      <c r="L195" s="4" t="str">
        <f t="shared" si="10"/>
        <v/>
      </c>
      <c r="M195" s="4" t="str">
        <f t="shared" si="11"/>
        <v/>
      </c>
      <c r="N195" s="4" t="str">
        <f t="shared" si="12"/>
        <v/>
      </c>
      <c r="O195" s="4" t="str">
        <f t="shared" si="13"/>
        <v/>
      </c>
      <c r="P195" s="4" t="str">
        <f>IF(A195="",IF(COUNTA(B195:J195)&gt;0,"НЕТ ID",""),IF(OR(NOT(ISNUMBER(E195)),AND(Форма="ИП",C195="Дивиденды"),COUNTIF(Docs[ID],A195)&lt;&gt;1,NOT(ISNUMBER(B195)),B195&lt;НачалоУчета,YEAR(B195)&lt;&gt;Год,NOT(ISNUMBER(H195)),H195&lt;B195,E195&lt;0,COUNTIF(Виды,C195)&lt;&gt;1,COUNTIF(Категории,D195)&lt;&gt;1,COUNTIF(Контрагенты,F195)&lt;&gt;1,COUNTIF(Проекты,G195)&lt;&gt;1,L195&lt;-0.01,AND(I195&lt;&gt;"Проведён",I195&lt;&gt;"Черновик")),"ОШИБКА","ОК"))</f>
        <v/>
      </c>
      <c r="Q195" s="4" t="str">
        <f t="shared" si="14"/>
        <v/>
      </c>
    </row>
    <row r="196" spans="1:17" x14ac:dyDescent="0.25">
      <c r="A196" s="22"/>
      <c r="B196" s="23"/>
      <c r="C196" s="22"/>
      <c r="D196" s="22"/>
      <c r="E196" s="22"/>
      <c r="F196" s="22"/>
      <c r="G196" s="22"/>
      <c r="H196" s="23"/>
      <c r="I196" s="22"/>
      <c r="J196" s="22"/>
      <c r="K196" s="4" t="str">
        <f>IF(A196="","",SUMIFS(Cash[Оплата],Cash[Документ],A196,Cash[Дата],"&lt;="&amp;ДатаОтчета))</f>
        <v/>
      </c>
      <c r="L196" s="4" t="str">
        <f t="shared" si="10"/>
        <v/>
      </c>
      <c r="M196" s="4" t="str">
        <f t="shared" si="11"/>
        <v/>
      </c>
      <c r="N196" s="4" t="str">
        <f t="shared" si="12"/>
        <v/>
      </c>
      <c r="O196" s="4" t="str">
        <f t="shared" si="13"/>
        <v/>
      </c>
      <c r="P196" s="4" t="str">
        <f>IF(A196="",IF(COUNTA(B196:J196)&gt;0,"НЕТ ID",""),IF(OR(NOT(ISNUMBER(E196)),AND(Форма="ИП",C196="Дивиденды"),COUNTIF(Docs[ID],A196)&lt;&gt;1,NOT(ISNUMBER(B196)),B196&lt;НачалоУчета,YEAR(B196)&lt;&gt;Год,NOT(ISNUMBER(H196)),H196&lt;B196,E196&lt;0,COUNTIF(Виды,C196)&lt;&gt;1,COUNTIF(Категории,D196)&lt;&gt;1,COUNTIF(Контрагенты,F196)&lt;&gt;1,COUNTIF(Проекты,G196)&lt;&gt;1,L196&lt;-0.01,AND(I196&lt;&gt;"Проведён",I196&lt;&gt;"Черновик")),"ОШИБКА","ОК"))</f>
        <v/>
      </c>
      <c r="Q196" s="4" t="str">
        <f t="shared" si="14"/>
        <v/>
      </c>
    </row>
    <row r="197" spans="1:17" x14ac:dyDescent="0.25">
      <c r="A197" s="22"/>
      <c r="B197" s="23"/>
      <c r="C197" s="22"/>
      <c r="D197" s="22"/>
      <c r="E197" s="22"/>
      <c r="F197" s="22"/>
      <c r="G197" s="22"/>
      <c r="H197" s="23"/>
      <c r="I197" s="22"/>
      <c r="J197" s="22"/>
      <c r="K197" s="4" t="str">
        <f>IF(A197="","",SUMIFS(Cash[Оплата],Cash[Документ],A197,Cash[Дата],"&lt;="&amp;ДатаОтчета))</f>
        <v/>
      </c>
      <c r="L197" s="4" t="str">
        <f t="shared" si="10"/>
        <v/>
      </c>
      <c r="M197" s="4" t="str">
        <f t="shared" si="11"/>
        <v/>
      </c>
      <c r="N197" s="4" t="str">
        <f t="shared" si="12"/>
        <v/>
      </c>
      <c r="O197" s="4" t="str">
        <f t="shared" si="13"/>
        <v/>
      </c>
      <c r="P197" s="4" t="str">
        <f>IF(A197="",IF(COUNTA(B197:J197)&gt;0,"НЕТ ID",""),IF(OR(NOT(ISNUMBER(E197)),AND(Форма="ИП",C197="Дивиденды"),COUNTIF(Docs[ID],A197)&lt;&gt;1,NOT(ISNUMBER(B197)),B197&lt;НачалоУчета,YEAR(B197)&lt;&gt;Год,NOT(ISNUMBER(H197)),H197&lt;B197,E197&lt;0,COUNTIF(Виды,C197)&lt;&gt;1,COUNTIF(Категории,D197)&lt;&gt;1,COUNTIF(Контрагенты,F197)&lt;&gt;1,COUNTIF(Проекты,G197)&lt;&gt;1,L197&lt;-0.01,AND(I197&lt;&gt;"Проведён",I197&lt;&gt;"Черновик")),"ОШИБКА","ОК"))</f>
        <v/>
      </c>
      <c r="Q197" s="4" t="str">
        <f t="shared" si="14"/>
        <v/>
      </c>
    </row>
    <row r="198" spans="1:17" x14ac:dyDescent="0.25">
      <c r="A198" s="22"/>
      <c r="B198" s="23"/>
      <c r="C198" s="22"/>
      <c r="D198" s="22"/>
      <c r="E198" s="22"/>
      <c r="F198" s="22"/>
      <c r="G198" s="22"/>
      <c r="H198" s="23"/>
      <c r="I198" s="22"/>
      <c r="J198" s="22"/>
      <c r="K198" s="4" t="str">
        <f>IF(A198="","",SUMIFS(Cash[Оплата],Cash[Документ],A198,Cash[Дата],"&lt;="&amp;ДатаОтчета))</f>
        <v/>
      </c>
      <c r="L198" s="4" t="str">
        <f t="shared" si="10"/>
        <v/>
      </c>
      <c r="M198" s="4" t="str">
        <f t="shared" si="11"/>
        <v/>
      </c>
      <c r="N198" s="4" t="str">
        <f t="shared" si="12"/>
        <v/>
      </c>
      <c r="O198" s="4" t="str">
        <f t="shared" si="13"/>
        <v/>
      </c>
      <c r="P198" s="4" t="str">
        <f>IF(A198="",IF(COUNTA(B198:J198)&gt;0,"НЕТ ID",""),IF(OR(NOT(ISNUMBER(E198)),AND(Форма="ИП",C198="Дивиденды"),COUNTIF(Docs[ID],A198)&lt;&gt;1,NOT(ISNUMBER(B198)),B198&lt;НачалоУчета,YEAR(B198)&lt;&gt;Год,NOT(ISNUMBER(H198)),H198&lt;B198,E198&lt;0,COUNTIF(Виды,C198)&lt;&gt;1,COUNTIF(Категории,D198)&lt;&gt;1,COUNTIF(Контрагенты,F198)&lt;&gt;1,COUNTIF(Проекты,G198)&lt;&gt;1,L198&lt;-0.01,AND(I198&lt;&gt;"Проведён",I198&lt;&gt;"Черновик")),"ОШИБКА","ОК"))</f>
        <v/>
      </c>
      <c r="Q198" s="4" t="str">
        <f t="shared" si="14"/>
        <v/>
      </c>
    </row>
    <row r="199" spans="1:17" x14ac:dyDescent="0.25">
      <c r="A199" s="22"/>
      <c r="B199" s="23"/>
      <c r="C199" s="22"/>
      <c r="D199" s="22"/>
      <c r="E199" s="22"/>
      <c r="F199" s="22"/>
      <c r="G199" s="22"/>
      <c r="H199" s="23"/>
      <c r="I199" s="22"/>
      <c r="J199" s="22"/>
      <c r="K199" s="4" t="str">
        <f>IF(A199="","",SUMIFS(Cash[Оплата],Cash[Документ],A199,Cash[Дата],"&lt;="&amp;ДатаОтчета))</f>
        <v/>
      </c>
      <c r="L199" s="4" t="str">
        <f t="shared" ref="L199:L262" si="15">IF(A199="","",IF(AND(I199="Проведён",B199&lt;=ДатаОтчета),E199-K199,0))</f>
        <v/>
      </c>
      <c r="M199" s="4" t="str">
        <f t="shared" ref="M199:M262" si="16">IF(A199="","",IF(L199&gt;0.01,MAX(0,ДатаОтчета-H199),0))</f>
        <v/>
      </c>
      <c r="N199" s="4" t="str">
        <f t="shared" ref="N199:N262" si="17">IF(A199="","",IF(L199&lt;=0.01,"Закрыта",IF(M199=0,"Не просрочена",IF(M199&lt;=30,"1–30 дней",IF(M199&lt;=60,"31–60 дней",IF(M199&lt;=90,"61–90 дней","Более 90 дней"))))))</f>
        <v/>
      </c>
      <c r="O199" s="4" t="str">
        <f t="shared" ref="O199:O262" si="18">IF(A199="","",IF(L199&lt;-0.01,"Переплата",IF(L199&lt;=0.01,"Оплачено",IF(M199&gt;0,"Просрочено",IF(H199&lt;=ДатаОтчета+7,"Оплата в 7 дней","Открыто")))))</f>
        <v/>
      </c>
      <c r="P199" s="4" t="str">
        <f>IF(A199="",IF(COUNTA(B199:J199)&gt;0,"НЕТ ID",""),IF(OR(NOT(ISNUMBER(E199)),AND(Форма="ИП",C199="Дивиденды"),COUNTIF(Docs[ID],A199)&lt;&gt;1,NOT(ISNUMBER(B199)),B199&lt;НачалоУчета,YEAR(B199)&lt;&gt;Год,NOT(ISNUMBER(H199)),H199&lt;B199,E199&lt;0,COUNTIF(Виды,C199)&lt;&gt;1,COUNTIF(Категории,D199)&lt;&gt;1,COUNTIF(Контрагенты,F199)&lt;&gt;1,COUNTIF(Проекты,G199)&lt;&gt;1,L199&lt;-0.01,AND(I199&lt;&gt;"Проведён",I199&lt;&gt;"Черновик")),"ОШИБКА","ОК"))</f>
        <v/>
      </c>
      <c r="Q199" s="4" t="str">
        <f t="shared" ref="Q199:Q262" si="19">IF(A199="","",IF(OR(C199="Выручка",C199="Начальная ДЗ"),"ДЗ","КЗ"))</f>
        <v/>
      </c>
    </row>
    <row r="200" spans="1:17" x14ac:dyDescent="0.25">
      <c r="A200" s="22"/>
      <c r="B200" s="23"/>
      <c r="C200" s="22"/>
      <c r="D200" s="22"/>
      <c r="E200" s="22"/>
      <c r="F200" s="22"/>
      <c r="G200" s="22"/>
      <c r="H200" s="23"/>
      <c r="I200" s="22"/>
      <c r="J200" s="22"/>
      <c r="K200" s="4" t="str">
        <f>IF(A200="","",SUMIFS(Cash[Оплата],Cash[Документ],A200,Cash[Дата],"&lt;="&amp;ДатаОтчета))</f>
        <v/>
      </c>
      <c r="L200" s="4" t="str">
        <f t="shared" si="15"/>
        <v/>
      </c>
      <c r="M200" s="4" t="str">
        <f t="shared" si="16"/>
        <v/>
      </c>
      <c r="N200" s="4" t="str">
        <f t="shared" si="17"/>
        <v/>
      </c>
      <c r="O200" s="4" t="str">
        <f t="shared" si="18"/>
        <v/>
      </c>
      <c r="P200" s="4" t="str">
        <f>IF(A200="",IF(COUNTA(B200:J200)&gt;0,"НЕТ ID",""),IF(OR(NOT(ISNUMBER(E200)),AND(Форма="ИП",C200="Дивиденды"),COUNTIF(Docs[ID],A200)&lt;&gt;1,NOT(ISNUMBER(B200)),B200&lt;НачалоУчета,YEAR(B200)&lt;&gt;Год,NOT(ISNUMBER(H200)),H200&lt;B200,E200&lt;0,COUNTIF(Виды,C200)&lt;&gt;1,COUNTIF(Категории,D200)&lt;&gt;1,COUNTIF(Контрагенты,F200)&lt;&gt;1,COUNTIF(Проекты,G200)&lt;&gt;1,L200&lt;-0.01,AND(I200&lt;&gt;"Проведён",I200&lt;&gt;"Черновик")),"ОШИБКА","ОК"))</f>
        <v/>
      </c>
      <c r="Q200" s="4" t="str">
        <f t="shared" si="19"/>
        <v/>
      </c>
    </row>
    <row r="201" spans="1:17" x14ac:dyDescent="0.25">
      <c r="A201" s="22"/>
      <c r="B201" s="23"/>
      <c r="C201" s="22"/>
      <c r="D201" s="22"/>
      <c r="E201" s="22"/>
      <c r="F201" s="22"/>
      <c r="G201" s="22"/>
      <c r="H201" s="23"/>
      <c r="I201" s="22"/>
      <c r="J201" s="22"/>
      <c r="K201" s="4" t="str">
        <f>IF(A201="","",SUMIFS(Cash[Оплата],Cash[Документ],A201,Cash[Дата],"&lt;="&amp;ДатаОтчета))</f>
        <v/>
      </c>
      <c r="L201" s="4" t="str">
        <f t="shared" si="15"/>
        <v/>
      </c>
      <c r="M201" s="4" t="str">
        <f t="shared" si="16"/>
        <v/>
      </c>
      <c r="N201" s="4" t="str">
        <f t="shared" si="17"/>
        <v/>
      </c>
      <c r="O201" s="4" t="str">
        <f t="shared" si="18"/>
        <v/>
      </c>
      <c r="P201" s="4" t="str">
        <f>IF(A201="",IF(COUNTA(B201:J201)&gt;0,"НЕТ ID",""),IF(OR(NOT(ISNUMBER(E201)),AND(Форма="ИП",C201="Дивиденды"),COUNTIF(Docs[ID],A201)&lt;&gt;1,NOT(ISNUMBER(B201)),B201&lt;НачалоУчета,YEAR(B201)&lt;&gt;Год,NOT(ISNUMBER(H201)),H201&lt;B201,E201&lt;0,COUNTIF(Виды,C201)&lt;&gt;1,COUNTIF(Категории,D201)&lt;&gt;1,COUNTIF(Контрагенты,F201)&lt;&gt;1,COUNTIF(Проекты,G201)&lt;&gt;1,L201&lt;-0.01,AND(I201&lt;&gt;"Проведён",I201&lt;&gt;"Черновик")),"ОШИБКА","ОК"))</f>
        <v/>
      </c>
      <c r="Q201" s="4" t="str">
        <f t="shared" si="19"/>
        <v/>
      </c>
    </row>
    <row r="202" spans="1:17" x14ac:dyDescent="0.25">
      <c r="A202" s="22"/>
      <c r="B202" s="23"/>
      <c r="C202" s="22"/>
      <c r="D202" s="22"/>
      <c r="E202" s="22"/>
      <c r="F202" s="22"/>
      <c r="G202" s="22"/>
      <c r="H202" s="23"/>
      <c r="I202" s="22"/>
      <c r="J202" s="22"/>
      <c r="K202" s="4" t="str">
        <f>IF(A202="","",SUMIFS(Cash[Оплата],Cash[Документ],A202,Cash[Дата],"&lt;="&amp;ДатаОтчета))</f>
        <v/>
      </c>
      <c r="L202" s="4" t="str">
        <f t="shared" si="15"/>
        <v/>
      </c>
      <c r="M202" s="4" t="str">
        <f t="shared" si="16"/>
        <v/>
      </c>
      <c r="N202" s="4" t="str">
        <f t="shared" si="17"/>
        <v/>
      </c>
      <c r="O202" s="4" t="str">
        <f t="shared" si="18"/>
        <v/>
      </c>
      <c r="P202" s="4" t="str">
        <f>IF(A202="",IF(COUNTA(B202:J202)&gt;0,"НЕТ ID",""),IF(OR(NOT(ISNUMBER(E202)),AND(Форма="ИП",C202="Дивиденды"),COUNTIF(Docs[ID],A202)&lt;&gt;1,NOT(ISNUMBER(B202)),B202&lt;НачалоУчета,YEAR(B202)&lt;&gt;Год,NOT(ISNUMBER(H202)),H202&lt;B202,E202&lt;0,COUNTIF(Виды,C202)&lt;&gt;1,COUNTIF(Категории,D202)&lt;&gt;1,COUNTIF(Контрагенты,F202)&lt;&gt;1,COUNTIF(Проекты,G202)&lt;&gt;1,L202&lt;-0.01,AND(I202&lt;&gt;"Проведён",I202&lt;&gt;"Черновик")),"ОШИБКА","ОК"))</f>
        <v/>
      </c>
      <c r="Q202" s="4" t="str">
        <f t="shared" si="19"/>
        <v/>
      </c>
    </row>
    <row r="203" spans="1:17" x14ac:dyDescent="0.25">
      <c r="A203" s="22"/>
      <c r="B203" s="23"/>
      <c r="C203" s="22"/>
      <c r="D203" s="22"/>
      <c r="E203" s="22"/>
      <c r="F203" s="22"/>
      <c r="G203" s="22"/>
      <c r="H203" s="23"/>
      <c r="I203" s="22"/>
      <c r="J203" s="22"/>
      <c r="K203" s="4" t="str">
        <f>IF(A203="","",SUMIFS(Cash[Оплата],Cash[Документ],A203,Cash[Дата],"&lt;="&amp;ДатаОтчета))</f>
        <v/>
      </c>
      <c r="L203" s="4" t="str">
        <f t="shared" si="15"/>
        <v/>
      </c>
      <c r="M203" s="4" t="str">
        <f t="shared" si="16"/>
        <v/>
      </c>
      <c r="N203" s="4" t="str">
        <f t="shared" si="17"/>
        <v/>
      </c>
      <c r="O203" s="4" t="str">
        <f t="shared" si="18"/>
        <v/>
      </c>
      <c r="P203" s="4" t="str">
        <f>IF(A203="",IF(COUNTA(B203:J203)&gt;0,"НЕТ ID",""),IF(OR(NOT(ISNUMBER(E203)),AND(Форма="ИП",C203="Дивиденды"),COUNTIF(Docs[ID],A203)&lt;&gt;1,NOT(ISNUMBER(B203)),B203&lt;НачалоУчета,YEAR(B203)&lt;&gt;Год,NOT(ISNUMBER(H203)),H203&lt;B203,E203&lt;0,COUNTIF(Виды,C203)&lt;&gt;1,COUNTIF(Категории,D203)&lt;&gt;1,COUNTIF(Контрагенты,F203)&lt;&gt;1,COUNTIF(Проекты,G203)&lt;&gt;1,L203&lt;-0.01,AND(I203&lt;&gt;"Проведён",I203&lt;&gt;"Черновик")),"ОШИБКА","ОК"))</f>
        <v/>
      </c>
      <c r="Q203" s="4" t="str">
        <f t="shared" si="19"/>
        <v/>
      </c>
    </row>
    <row r="204" spans="1:17" x14ac:dyDescent="0.25">
      <c r="A204" s="22"/>
      <c r="B204" s="23"/>
      <c r="C204" s="22"/>
      <c r="D204" s="22"/>
      <c r="E204" s="22"/>
      <c r="F204" s="22"/>
      <c r="G204" s="22"/>
      <c r="H204" s="23"/>
      <c r="I204" s="22"/>
      <c r="J204" s="22"/>
      <c r="K204" s="4" t="str">
        <f>IF(A204="","",SUMIFS(Cash[Оплата],Cash[Документ],A204,Cash[Дата],"&lt;="&amp;ДатаОтчета))</f>
        <v/>
      </c>
      <c r="L204" s="4" t="str">
        <f t="shared" si="15"/>
        <v/>
      </c>
      <c r="M204" s="4" t="str">
        <f t="shared" si="16"/>
        <v/>
      </c>
      <c r="N204" s="4" t="str">
        <f t="shared" si="17"/>
        <v/>
      </c>
      <c r="O204" s="4" t="str">
        <f t="shared" si="18"/>
        <v/>
      </c>
      <c r="P204" s="4" t="str">
        <f>IF(A204="",IF(COUNTA(B204:J204)&gt;0,"НЕТ ID",""),IF(OR(NOT(ISNUMBER(E204)),AND(Форма="ИП",C204="Дивиденды"),COUNTIF(Docs[ID],A204)&lt;&gt;1,NOT(ISNUMBER(B204)),B204&lt;НачалоУчета,YEAR(B204)&lt;&gt;Год,NOT(ISNUMBER(H204)),H204&lt;B204,E204&lt;0,COUNTIF(Виды,C204)&lt;&gt;1,COUNTIF(Категории,D204)&lt;&gt;1,COUNTIF(Контрагенты,F204)&lt;&gt;1,COUNTIF(Проекты,G204)&lt;&gt;1,L204&lt;-0.01,AND(I204&lt;&gt;"Проведён",I204&lt;&gt;"Черновик")),"ОШИБКА","ОК"))</f>
        <v/>
      </c>
      <c r="Q204" s="4" t="str">
        <f t="shared" si="19"/>
        <v/>
      </c>
    </row>
    <row r="205" spans="1:17" x14ac:dyDescent="0.25">
      <c r="A205" s="22"/>
      <c r="B205" s="23"/>
      <c r="C205" s="22"/>
      <c r="D205" s="22"/>
      <c r="E205" s="22"/>
      <c r="F205" s="22"/>
      <c r="G205" s="22"/>
      <c r="H205" s="23"/>
      <c r="I205" s="22"/>
      <c r="J205" s="22"/>
      <c r="K205" s="4" t="str">
        <f>IF(A205="","",SUMIFS(Cash[Оплата],Cash[Документ],A205,Cash[Дата],"&lt;="&amp;ДатаОтчета))</f>
        <v/>
      </c>
      <c r="L205" s="4" t="str">
        <f t="shared" si="15"/>
        <v/>
      </c>
      <c r="M205" s="4" t="str">
        <f t="shared" si="16"/>
        <v/>
      </c>
      <c r="N205" s="4" t="str">
        <f t="shared" si="17"/>
        <v/>
      </c>
      <c r="O205" s="4" t="str">
        <f t="shared" si="18"/>
        <v/>
      </c>
      <c r="P205" s="4" t="str">
        <f>IF(A205="",IF(COUNTA(B205:J205)&gt;0,"НЕТ ID",""),IF(OR(NOT(ISNUMBER(E205)),AND(Форма="ИП",C205="Дивиденды"),COUNTIF(Docs[ID],A205)&lt;&gt;1,NOT(ISNUMBER(B205)),B205&lt;НачалоУчета,YEAR(B205)&lt;&gt;Год,NOT(ISNUMBER(H205)),H205&lt;B205,E205&lt;0,COUNTIF(Виды,C205)&lt;&gt;1,COUNTIF(Категории,D205)&lt;&gt;1,COUNTIF(Контрагенты,F205)&lt;&gt;1,COUNTIF(Проекты,G205)&lt;&gt;1,L205&lt;-0.01,AND(I205&lt;&gt;"Проведён",I205&lt;&gt;"Черновик")),"ОШИБКА","ОК"))</f>
        <v/>
      </c>
      <c r="Q205" s="4" t="str">
        <f t="shared" si="19"/>
        <v/>
      </c>
    </row>
    <row r="206" spans="1:17" x14ac:dyDescent="0.25">
      <c r="A206" s="22"/>
      <c r="B206" s="23"/>
      <c r="C206" s="22"/>
      <c r="D206" s="22"/>
      <c r="E206" s="22"/>
      <c r="F206" s="22"/>
      <c r="G206" s="22"/>
      <c r="H206" s="23"/>
      <c r="I206" s="22"/>
      <c r="J206" s="22"/>
      <c r="K206" s="4" t="str">
        <f>IF(A206="","",SUMIFS(Cash[Оплата],Cash[Документ],A206,Cash[Дата],"&lt;="&amp;ДатаОтчета))</f>
        <v/>
      </c>
      <c r="L206" s="4" t="str">
        <f t="shared" si="15"/>
        <v/>
      </c>
      <c r="M206" s="4" t="str">
        <f t="shared" si="16"/>
        <v/>
      </c>
      <c r="N206" s="4" t="str">
        <f t="shared" si="17"/>
        <v/>
      </c>
      <c r="O206" s="4" t="str">
        <f t="shared" si="18"/>
        <v/>
      </c>
      <c r="P206" s="4" t="str">
        <f>IF(A206="",IF(COUNTA(B206:J206)&gt;0,"НЕТ ID",""),IF(OR(NOT(ISNUMBER(E206)),AND(Форма="ИП",C206="Дивиденды"),COUNTIF(Docs[ID],A206)&lt;&gt;1,NOT(ISNUMBER(B206)),B206&lt;НачалоУчета,YEAR(B206)&lt;&gt;Год,NOT(ISNUMBER(H206)),H206&lt;B206,E206&lt;0,COUNTIF(Виды,C206)&lt;&gt;1,COUNTIF(Категории,D206)&lt;&gt;1,COUNTIF(Контрагенты,F206)&lt;&gt;1,COUNTIF(Проекты,G206)&lt;&gt;1,L206&lt;-0.01,AND(I206&lt;&gt;"Проведён",I206&lt;&gt;"Черновик")),"ОШИБКА","ОК"))</f>
        <v/>
      </c>
      <c r="Q206" s="4" t="str">
        <f t="shared" si="19"/>
        <v/>
      </c>
    </row>
    <row r="207" spans="1:17" x14ac:dyDescent="0.25">
      <c r="A207" s="22"/>
      <c r="B207" s="23"/>
      <c r="C207" s="22"/>
      <c r="D207" s="22"/>
      <c r="E207" s="22"/>
      <c r="F207" s="22"/>
      <c r="G207" s="22"/>
      <c r="H207" s="23"/>
      <c r="I207" s="22"/>
      <c r="J207" s="22"/>
      <c r="K207" s="4" t="str">
        <f>IF(A207="","",SUMIFS(Cash[Оплата],Cash[Документ],A207,Cash[Дата],"&lt;="&amp;ДатаОтчета))</f>
        <v/>
      </c>
      <c r="L207" s="4" t="str">
        <f t="shared" si="15"/>
        <v/>
      </c>
      <c r="M207" s="4" t="str">
        <f t="shared" si="16"/>
        <v/>
      </c>
      <c r="N207" s="4" t="str">
        <f t="shared" si="17"/>
        <v/>
      </c>
      <c r="O207" s="4" t="str">
        <f t="shared" si="18"/>
        <v/>
      </c>
      <c r="P207" s="4" t="str">
        <f>IF(A207="",IF(COUNTA(B207:J207)&gt;0,"НЕТ ID",""),IF(OR(NOT(ISNUMBER(E207)),AND(Форма="ИП",C207="Дивиденды"),COUNTIF(Docs[ID],A207)&lt;&gt;1,NOT(ISNUMBER(B207)),B207&lt;НачалоУчета,YEAR(B207)&lt;&gt;Год,NOT(ISNUMBER(H207)),H207&lt;B207,E207&lt;0,COUNTIF(Виды,C207)&lt;&gt;1,COUNTIF(Категории,D207)&lt;&gt;1,COUNTIF(Контрагенты,F207)&lt;&gt;1,COUNTIF(Проекты,G207)&lt;&gt;1,L207&lt;-0.01,AND(I207&lt;&gt;"Проведён",I207&lt;&gt;"Черновик")),"ОШИБКА","ОК"))</f>
        <v/>
      </c>
      <c r="Q207" s="4" t="str">
        <f t="shared" si="19"/>
        <v/>
      </c>
    </row>
    <row r="208" spans="1:17" x14ac:dyDescent="0.25">
      <c r="A208" s="22"/>
      <c r="B208" s="23"/>
      <c r="C208" s="22"/>
      <c r="D208" s="22"/>
      <c r="E208" s="22"/>
      <c r="F208" s="22"/>
      <c r="G208" s="22"/>
      <c r="H208" s="23"/>
      <c r="I208" s="22"/>
      <c r="J208" s="22"/>
      <c r="K208" s="4" t="str">
        <f>IF(A208="","",SUMIFS(Cash[Оплата],Cash[Документ],A208,Cash[Дата],"&lt;="&amp;ДатаОтчета))</f>
        <v/>
      </c>
      <c r="L208" s="4" t="str">
        <f t="shared" si="15"/>
        <v/>
      </c>
      <c r="M208" s="4" t="str">
        <f t="shared" si="16"/>
        <v/>
      </c>
      <c r="N208" s="4" t="str">
        <f t="shared" si="17"/>
        <v/>
      </c>
      <c r="O208" s="4" t="str">
        <f t="shared" si="18"/>
        <v/>
      </c>
      <c r="P208" s="4" t="str">
        <f>IF(A208="",IF(COUNTA(B208:J208)&gt;0,"НЕТ ID",""),IF(OR(NOT(ISNUMBER(E208)),AND(Форма="ИП",C208="Дивиденды"),COUNTIF(Docs[ID],A208)&lt;&gt;1,NOT(ISNUMBER(B208)),B208&lt;НачалоУчета,YEAR(B208)&lt;&gt;Год,NOT(ISNUMBER(H208)),H208&lt;B208,E208&lt;0,COUNTIF(Виды,C208)&lt;&gt;1,COUNTIF(Категории,D208)&lt;&gt;1,COUNTIF(Контрагенты,F208)&lt;&gt;1,COUNTIF(Проекты,G208)&lt;&gt;1,L208&lt;-0.01,AND(I208&lt;&gt;"Проведён",I208&lt;&gt;"Черновик")),"ОШИБКА","ОК"))</f>
        <v/>
      </c>
      <c r="Q208" s="4" t="str">
        <f t="shared" si="19"/>
        <v/>
      </c>
    </row>
    <row r="209" spans="1:17" x14ac:dyDescent="0.25">
      <c r="A209" s="22"/>
      <c r="B209" s="23"/>
      <c r="C209" s="22"/>
      <c r="D209" s="22"/>
      <c r="E209" s="22"/>
      <c r="F209" s="22"/>
      <c r="G209" s="22"/>
      <c r="H209" s="23"/>
      <c r="I209" s="22"/>
      <c r="J209" s="22"/>
      <c r="K209" s="4" t="str">
        <f>IF(A209="","",SUMIFS(Cash[Оплата],Cash[Документ],A209,Cash[Дата],"&lt;="&amp;ДатаОтчета))</f>
        <v/>
      </c>
      <c r="L209" s="4" t="str">
        <f t="shared" si="15"/>
        <v/>
      </c>
      <c r="M209" s="4" t="str">
        <f t="shared" si="16"/>
        <v/>
      </c>
      <c r="N209" s="4" t="str">
        <f t="shared" si="17"/>
        <v/>
      </c>
      <c r="O209" s="4" t="str">
        <f t="shared" si="18"/>
        <v/>
      </c>
      <c r="P209" s="4" t="str">
        <f>IF(A209="",IF(COUNTA(B209:J209)&gt;0,"НЕТ ID",""),IF(OR(NOT(ISNUMBER(E209)),AND(Форма="ИП",C209="Дивиденды"),COUNTIF(Docs[ID],A209)&lt;&gt;1,NOT(ISNUMBER(B209)),B209&lt;НачалоУчета,YEAR(B209)&lt;&gt;Год,NOT(ISNUMBER(H209)),H209&lt;B209,E209&lt;0,COUNTIF(Виды,C209)&lt;&gt;1,COUNTIF(Категории,D209)&lt;&gt;1,COUNTIF(Контрагенты,F209)&lt;&gt;1,COUNTIF(Проекты,G209)&lt;&gt;1,L209&lt;-0.01,AND(I209&lt;&gt;"Проведён",I209&lt;&gt;"Черновик")),"ОШИБКА","ОК"))</f>
        <v/>
      </c>
      <c r="Q209" s="4" t="str">
        <f t="shared" si="19"/>
        <v/>
      </c>
    </row>
    <row r="210" spans="1:17" x14ac:dyDescent="0.25">
      <c r="A210" s="22"/>
      <c r="B210" s="23"/>
      <c r="C210" s="22"/>
      <c r="D210" s="22"/>
      <c r="E210" s="22"/>
      <c r="F210" s="22"/>
      <c r="G210" s="22"/>
      <c r="H210" s="23"/>
      <c r="I210" s="22"/>
      <c r="J210" s="22"/>
      <c r="K210" s="4" t="str">
        <f>IF(A210="","",SUMIFS(Cash[Оплата],Cash[Документ],A210,Cash[Дата],"&lt;="&amp;ДатаОтчета))</f>
        <v/>
      </c>
      <c r="L210" s="4" t="str">
        <f t="shared" si="15"/>
        <v/>
      </c>
      <c r="M210" s="4" t="str">
        <f t="shared" si="16"/>
        <v/>
      </c>
      <c r="N210" s="4" t="str">
        <f t="shared" si="17"/>
        <v/>
      </c>
      <c r="O210" s="4" t="str">
        <f t="shared" si="18"/>
        <v/>
      </c>
      <c r="P210" s="4" t="str">
        <f>IF(A210="",IF(COUNTA(B210:J210)&gt;0,"НЕТ ID",""),IF(OR(NOT(ISNUMBER(E210)),AND(Форма="ИП",C210="Дивиденды"),COUNTIF(Docs[ID],A210)&lt;&gt;1,NOT(ISNUMBER(B210)),B210&lt;НачалоУчета,YEAR(B210)&lt;&gt;Год,NOT(ISNUMBER(H210)),H210&lt;B210,E210&lt;0,COUNTIF(Виды,C210)&lt;&gt;1,COUNTIF(Категории,D210)&lt;&gt;1,COUNTIF(Контрагенты,F210)&lt;&gt;1,COUNTIF(Проекты,G210)&lt;&gt;1,L210&lt;-0.01,AND(I210&lt;&gt;"Проведён",I210&lt;&gt;"Черновик")),"ОШИБКА","ОК"))</f>
        <v/>
      </c>
      <c r="Q210" s="4" t="str">
        <f t="shared" si="19"/>
        <v/>
      </c>
    </row>
    <row r="211" spans="1:17" x14ac:dyDescent="0.25">
      <c r="A211" s="22"/>
      <c r="B211" s="23"/>
      <c r="C211" s="22"/>
      <c r="D211" s="22"/>
      <c r="E211" s="22"/>
      <c r="F211" s="22"/>
      <c r="G211" s="22"/>
      <c r="H211" s="23"/>
      <c r="I211" s="22"/>
      <c r="J211" s="22"/>
      <c r="K211" s="4" t="str">
        <f>IF(A211="","",SUMIFS(Cash[Оплата],Cash[Документ],A211,Cash[Дата],"&lt;="&amp;ДатаОтчета))</f>
        <v/>
      </c>
      <c r="L211" s="4" t="str">
        <f t="shared" si="15"/>
        <v/>
      </c>
      <c r="M211" s="4" t="str">
        <f t="shared" si="16"/>
        <v/>
      </c>
      <c r="N211" s="4" t="str">
        <f t="shared" si="17"/>
        <v/>
      </c>
      <c r="O211" s="4" t="str">
        <f t="shared" si="18"/>
        <v/>
      </c>
      <c r="P211" s="4" t="str">
        <f>IF(A211="",IF(COUNTA(B211:J211)&gt;0,"НЕТ ID",""),IF(OR(NOT(ISNUMBER(E211)),AND(Форма="ИП",C211="Дивиденды"),COUNTIF(Docs[ID],A211)&lt;&gt;1,NOT(ISNUMBER(B211)),B211&lt;НачалоУчета,YEAR(B211)&lt;&gt;Год,NOT(ISNUMBER(H211)),H211&lt;B211,E211&lt;0,COUNTIF(Виды,C211)&lt;&gt;1,COUNTIF(Категории,D211)&lt;&gt;1,COUNTIF(Контрагенты,F211)&lt;&gt;1,COUNTIF(Проекты,G211)&lt;&gt;1,L211&lt;-0.01,AND(I211&lt;&gt;"Проведён",I211&lt;&gt;"Черновик")),"ОШИБКА","ОК"))</f>
        <v/>
      </c>
      <c r="Q211" s="4" t="str">
        <f t="shared" si="19"/>
        <v/>
      </c>
    </row>
    <row r="212" spans="1:17" x14ac:dyDescent="0.25">
      <c r="A212" s="22"/>
      <c r="B212" s="23"/>
      <c r="C212" s="22"/>
      <c r="D212" s="22"/>
      <c r="E212" s="22"/>
      <c r="F212" s="22"/>
      <c r="G212" s="22"/>
      <c r="H212" s="23"/>
      <c r="I212" s="22"/>
      <c r="J212" s="22"/>
      <c r="K212" s="4" t="str">
        <f>IF(A212="","",SUMIFS(Cash[Оплата],Cash[Документ],A212,Cash[Дата],"&lt;="&amp;ДатаОтчета))</f>
        <v/>
      </c>
      <c r="L212" s="4" t="str">
        <f t="shared" si="15"/>
        <v/>
      </c>
      <c r="M212" s="4" t="str">
        <f t="shared" si="16"/>
        <v/>
      </c>
      <c r="N212" s="4" t="str">
        <f t="shared" si="17"/>
        <v/>
      </c>
      <c r="O212" s="4" t="str">
        <f t="shared" si="18"/>
        <v/>
      </c>
      <c r="P212" s="4" t="str">
        <f>IF(A212="",IF(COUNTA(B212:J212)&gt;0,"НЕТ ID",""),IF(OR(NOT(ISNUMBER(E212)),AND(Форма="ИП",C212="Дивиденды"),COUNTIF(Docs[ID],A212)&lt;&gt;1,NOT(ISNUMBER(B212)),B212&lt;НачалоУчета,YEAR(B212)&lt;&gt;Год,NOT(ISNUMBER(H212)),H212&lt;B212,E212&lt;0,COUNTIF(Виды,C212)&lt;&gt;1,COUNTIF(Категории,D212)&lt;&gt;1,COUNTIF(Контрагенты,F212)&lt;&gt;1,COUNTIF(Проекты,G212)&lt;&gt;1,L212&lt;-0.01,AND(I212&lt;&gt;"Проведён",I212&lt;&gt;"Черновик")),"ОШИБКА","ОК"))</f>
        <v/>
      </c>
      <c r="Q212" s="4" t="str">
        <f t="shared" si="19"/>
        <v/>
      </c>
    </row>
    <row r="213" spans="1:17" x14ac:dyDescent="0.25">
      <c r="A213" s="22"/>
      <c r="B213" s="23"/>
      <c r="C213" s="22"/>
      <c r="D213" s="22"/>
      <c r="E213" s="22"/>
      <c r="F213" s="22"/>
      <c r="G213" s="22"/>
      <c r="H213" s="23"/>
      <c r="I213" s="22"/>
      <c r="J213" s="22"/>
      <c r="K213" s="4" t="str">
        <f>IF(A213="","",SUMIFS(Cash[Оплата],Cash[Документ],A213,Cash[Дата],"&lt;="&amp;ДатаОтчета))</f>
        <v/>
      </c>
      <c r="L213" s="4" t="str">
        <f t="shared" si="15"/>
        <v/>
      </c>
      <c r="M213" s="4" t="str">
        <f t="shared" si="16"/>
        <v/>
      </c>
      <c r="N213" s="4" t="str">
        <f t="shared" si="17"/>
        <v/>
      </c>
      <c r="O213" s="4" t="str">
        <f t="shared" si="18"/>
        <v/>
      </c>
      <c r="P213" s="4" t="str">
        <f>IF(A213="",IF(COUNTA(B213:J213)&gt;0,"НЕТ ID",""),IF(OR(NOT(ISNUMBER(E213)),AND(Форма="ИП",C213="Дивиденды"),COUNTIF(Docs[ID],A213)&lt;&gt;1,NOT(ISNUMBER(B213)),B213&lt;НачалоУчета,YEAR(B213)&lt;&gt;Год,NOT(ISNUMBER(H213)),H213&lt;B213,E213&lt;0,COUNTIF(Виды,C213)&lt;&gt;1,COUNTIF(Категории,D213)&lt;&gt;1,COUNTIF(Контрагенты,F213)&lt;&gt;1,COUNTIF(Проекты,G213)&lt;&gt;1,L213&lt;-0.01,AND(I213&lt;&gt;"Проведён",I213&lt;&gt;"Черновик")),"ОШИБКА","ОК"))</f>
        <v/>
      </c>
      <c r="Q213" s="4" t="str">
        <f t="shared" si="19"/>
        <v/>
      </c>
    </row>
    <row r="214" spans="1:17" x14ac:dyDescent="0.25">
      <c r="A214" s="22"/>
      <c r="B214" s="23"/>
      <c r="C214" s="22"/>
      <c r="D214" s="22"/>
      <c r="E214" s="22"/>
      <c r="F214" s="22"/>
      <c r="G214" s="22"/>
      <c r="H214" s="23"/>
      <c r="I214" s="22"/>
      <c r="J214" s="22"/>
      <c r="K214" s="4" t="str">
        <f>IF(A214="","",SUMIFS(Cash[Оплата],Cash[Документ],A214,Cash[Дата],"&lt;="&amp;ДатаОтчета))</f>
        <v/>
      </c>
      <c r="L214" s="4" t="str">
        <f t="shared" si="15"/>
        <v/>
      </c>
      <c r="M214" s="4" t="str">
        <f t="shared" si="16"/>
        <v/>
      </c>
      <c r="N214" s="4" t="str">
        <f t="shared" si="17"/>
        <v/>
      </c>
      <c r="O214" s="4" t="str">
        <f t="shared" si="18"/>
        <v/>
      </c>
      <c r="P214" s="4" t="str">
        <f>IF(A214="",IF(COUNTA(B214:J214)&gt;0,"НЕТ ID",""),IF(OR(NOT(ISNUMBER(E214)),AND(Форма="ИП",C214="Дивиденды"),COUNTIF(Docs[ID],A214)&lt;&gt;1,NOT(ISNUMBER(B214)),B214&lt;НачалоУчета,YEAR(B214)&lt;&gt;Год,NOT(ISNUMBER(H214)),H214&lt;B214,E214&lt;0,COUNTIF(Виды,C214)&lt;&gt;1,COUNTIF(Категории,D214)&lt;&gt;1,COUNTIF(Контрагенты,F214)&lt;&gt;1,COUNTIF(Проекты,G214)&lt;&gt;1,L214&lt;-0.01,AND(I214&lt;&gt;"Проведён",I214&lt;&gt;"Черновик")),"ОШИБКА","ОК"))</f>
        <v/>
      </c>
      <c r="Q214" s="4" t="str">
        <f t="shared" si="19"/>
        <v/>
      </c>
    </row>
    <row r="215" spans="1:17" x14ac:dyDescent="0.25">
      <c r="A215" s="22"/>
      <c r="B215" s="23"/>
      <c r="C215" s="22"/>
      <c r="D215" s="22"/>
      <c r="E215" s="22"/>
      <c r="F215" s="22"/>
      <c r="G215" s="22"/>
      <c r="H215" s="23"/>
      <c r="I215" s="22"/>
      <c r="J215" s="22"/>
      <c r="K215" s="4" t="str">
        <f>IF(A215="","",SUMIFS(Cash[Оплата],Cash[Документ],A215,Cash[Дата],"&lt;="&amp;ДатаОтчета))</f>
        <v/>
      </c>
      <c r="L215" s="4" t="str">
        <f t="shared" si="15"/>
        <v/>
      </c>
      <c r="M215" s="4" t="str">
        <f t="shared" si="16"/>
        <v/>
      </c>
      <c r="N215" s="4" t="str">
        <f t="shared" si="17"/>
        <v/>
      </c>
      <c r="O215" s="4" t="str">
        <f t="shared" si="18"/>
        <v/>
      </c>
      <c r="P215" s="4" t="str">
        <f>IF(A215="",IF(COUNTA(B215:J215)&gt;0,"НЕТ ID",""),IF(OR(NOT(ISNUMBER(E215)),AND(Форма="ИП",C215="Дивиденды"),COUNTIF(Docs[ID],A215)&lt;&gt;1,NOT(ISNUMBER(B215)),B215&lt;НачалоУчета,YEAR(B215)&lt;&gt;Год,NOT(ISNUMBER(H215)),H215&lt;B215,E215&lt;0,COUNTIF(Виды,C215)&lt;&gt;1,COUNTIF(Категории,D215)&lt;&gt;1,COUNTIF(Контрагенты,F215)&lt;&gt;1,COUNTIF(Проекты,G215)&lt;&gt;1,L215&lt;-0.01,AND(I215&lt;&gt;"Проведён",I215&lt;&gt;"Черновик")),"ОШИБКА","ОК"))</f>
        <v/>
      </c>
      <c r="Q215" s="4" t="str">
        <f t="shared" si="19"/>
        <v/>
      </c>
    </row>
    <row r="216" spans="1:17" x14ac:dyDescent="0.25">
      <c r="A216" s="22"/>
      <c r="B216" s="23"/>
      <c r="C216" s="22"/>
      <c r="D216" s="22"/>
      <c r="E216" s="22"/>
      <c r="F216" s="22"/>
      <c r="G216" s="22"/>
      <c r="H216" s="23"/>
      <c r="I216" s="22"/>
      <c r="J216" s="22"/>
      <c r="K216" s="4" t="str">
        <f>IF(A216="","",SUMIFS(Cash[Оплата],Cash[Документ],A216,Cash[Дата],"&lt;="&amp;ДатаОтчета))</f>
        <v/>
      </c>
      <c r="L216" s="4" t="str">
        <f t="shared" si="15"/>
        <v/>
      </c>
      <c r="M216" s="4" t="str">
        <f t="shared" si="16"/>
        <v/>
      </c>
      <c r="N216" s="4" t="str">
        <f t="shared" si="17"/>
        <v/>
      </c>
      <c r="O216" s="4" t="str">
        <f t="shared" si="18"/>
        <v/>
      </c>
      <c r="P216" s="4" t="str">
        <f>IF(A216="",IF(COUNTA(B216:J216)&gt;0,"НЕТ ID",""),IF(OR(NOT(ISNUMBER(E216)),AND(Форма="ИП",C216="Дивиденды"),COUNTIF(Docs[ID],A216)&lt;&gt;1,NOT(ISNUMBER(B216)),B216&lt;НачалоУчета,YEAR(B216)&lt;&gt;Год,NOT(ISNUMBER(H216)),H216&lt;B216,E216&lt;0,COUNTIF(Виды,C216)&lt;&gt;1,COUNTIF(Категории,D216)&lt;&gt;1,COUNTIF(Контрагенты,F216)&lt;&gt;1,COUNTIF(Проекты,G216)&lt;&gt;1,L216&lt;-0.01,AND(I216&lt;&gt;"Проведён",I216&lt;&gt;"Черновик")),"ОШИБКА","ОК"))</f>
        <v/>
      </c>
      <c r="Q216" s="4" t="str">
        <f t="shared" si="19"/>
        <v/>
      </c>
    </row>
    <row r="217" spans="1:17" x14ac:dyDescent="0.25">
      <c r="A217" s="22"/>
      <c r="B217" s="23"/>
      <c r="C217" s="22"/>
      <c r="D217" s="22"/>
      <c r="E217" s="22"/>
      <c r="F217" s="22"/>
      <c r="G217" s="22"/>
      <c r="H217" s="23"/>
      <c r="I217" s="22"/>
      <c r="J217" s="22"/>
      <c r="K217" s="4" t="str">
        <f>IF(A217="","",SUMIFS(Cash[Оплата],Cash[Документ],A217,Cash[Дата],"&lt;="&amp;ДатаОтчета))</f>
        <v/>
      </c>
      <c r="L217" s="4" t="str">
        <f t="shared" si="15"/>
        <v/>
      </c>
      <c r="M217" s="4" t="str">
        <f t="shared" si="16"/>
        <v/>
      </c>
      <c r="N217" s="4" t="str">
        <f t="shared" si="17"/>
        <v/>
      </c>
      <c r="O217" s="4" t="str">
        <f t="shared" si="18"/>
        <v/>
      </c>
      <c r="P217" s="4" t="str">
        <f>IF(A217="",IF(COUNTA(B217:J217)&gt;0,"НЕТ ID",""),IF(OR(NOT(ISNUMBER(E217)),AND(Форма="ИП",C217="Дивиденды"),COUNTIF(Docs[ID],A217)&lt;&gt;1,NOT(ISNUMBER(B217)),B217&lt;НачалоУчета,YEAR(B217)&lt;&gt;Год,NOT(ISNUMBER(H217)),H217&lt;B217,E217&lt;0,COUNTIF(Виды,C217)&lt;&gt;1,COUNTIF(Категории,D217)&lt;&gt;1,COUNTIF(Контрагенты,F217)&lt;&gt;1,COUNTIF(Проекты,G217)&lt;&gt;1,L217&lt;-0.01,AND(I217&lt;&gt;"Проведён",I217&lt;&gt;"Черновик")),"ОШИБКА","ОК"))</f>
        <v/>
      </c>
      <c r="Q217" s="4" t="str">
        <f t="shared" si="19"/>
        <v/>
      </c>
    </row>
    <row r="218" spans="1:17" x14ac:dyDescent="0.25">
      <c r="A218" s="22"/>
      <c r="B218" s="23"/>
      <c r="C218" s="22"/>
      <c r="D218" s="22"/>
      <c r="E218" s="22"/>
      <c r="F218" s="22"/>
      <c r="G218" s="22"/>
      <c r="H218" s="23"/>
      <c r="I218" s="22"/>
      <c r="J218" s="22"/>
      <c r="K218" s="4" t="str">
        <f>IF(A218="","",SUMIFS(Cash[Оплата],Cash[Документ],A218,Cash[Дата],"&lt;="&amp;ДатаОтчета))</f>
        <v/>
      </c>
      <c r="L218" s="4" t="str">
        <f t="shared" si="15"/>
        <v/>
      </c>
      <c r="M218" s="4" t="str">
        <f t="shared" si="16"/>
        <v/>
      </c>
      <c r="N218" s="4" t="str">
        <f t="shared" si="17"/>
        <v/>
      </c>
      <c r="O218" s="4" t="str">
        <f t="shared" si="18"/>
        <v/>
      </c>
      <c r="P218" s="4" t="str">
        <f>IF(A218="",IF(COUNTA(B218:J218)&gt;0,"НЕТ ID",""),IF(OR(NOT(ISNUMBER(E218)),AND(Форма="ИП",C218="Дивиденды"),COUNTIF(Docs[ID],A218)&lt;&gt;1,NOT(ISNUMBER(B218)),B218&lt;НачалоУчета,YEAR(B218)&lt;&gt;Год,NOT(ISNUMBER(H218)),H218&lt;B218,E218&lt;0,COUNTIF(Виды,C218)&lt;&gt;1,COUNTIF(Категории,D218)&lt;&gt;1,COUNTIF(Контрагенты,F218)&lt;&gt;1,COUNTIF(Проекты,G218)&lt;&gt;1,L218&lt;-0.01,AND(I218&lt;&gt;"Проведён",I218&lt;&gt;"Черновик")),"ОШИБКА","ОК"))</f>
        <v/>
      </c>
      <c r="Q218" s="4" t="str">
        <f t="shared" si="19"/>
        <v/>
      </c>
    </row>
    <row r="219" spans="1:17" x14ac:dyDescent="0.25">
      <c r="A219" s="22"/>
      <c r="B219" s="23"/>
      <c r="C219" s="22"/>
      <c r="D219" s="22"/>
      <c r="E219" s="22"/>
      <c r="F219" s="22"/>
      <c r="G219" s="22"/>
      <c r="H219" s="23"/>
      <c r="I219" s="22"/>
      <c r="J219" s="22"/>
      <c r="K219" s="4" t="str">
        <f>IF(A219="","",SUMIFS(Cash[Оплата],Cash[Документ],A219,Cash[Дата],"&lt;="&amp;ДатаОтчета))</f>
        <v/>
      </c>
      <c r="L219" s="4" t="str">
        <f t="shared" si="15"/>
        <v/>
      </c>
      <c r="M219" s="4" t="str">
        <f t="shared" si="16"/>
        <v/>
      </c>
      <c r="N219" s="4" t="str">
        <f t="shared" si="17"/>
        <v/>
      </c>
      <c r="O219" s="4" t="str">
        <f t="shared" si="18"/>
        <v/>
      </c>
      <c r="P219" s="4" t="str">
        <f>IF(A219="",IF(COUNTA(B219:J219)&gt;0,"НЕТ ID",""),IF(OR(NOT(ISNUMBER(E219)),AND(Форма="ИП",C219="Дивиденды"),COUNTIF(Docs[ID],A219)&lt;&gt;1,NOT(ISNUMBER(B219)),B219&lt;НачалоУчета,YEAR(B219)&lt;&gt;Год,NOT(ISNUMBER(H219)),H219&lt;B219,E219&lt;0,COUNTIF(Виды,C219)&lt;&gt;1,COUNTIF(Категории,D219)&lt;&gt;1,COUNTIF(Контрагенты,F219)&lt;&gt;1,COUNTIF(Проекты,G219)&lt;&gt;1,L219&lt;-0.01,AND(I219&lt;&gt;"Проведён",I219&lt;&gt;"Черновик")),"ОШИБКА","ОК"))</f>
        <v/>
      </c>
      <c r="Q219" s="4" t="str">
        <f t="shared" si="19"/>
        <v/>
      </c>
    </row>
    <row r="220" spans="1:17" x14ac:dyDescent="0.25">
      <c r="A220" s="22"/>
      <c r="B220" s="23"/>
      <c r="C220" s="22"/>
      <c r="D220" s="22"/>
      <c r="E220" s="22"/>
      <c r="F220" s="22"/>
      <c r="G220" s="22"/>
      <c r="H220" s="23"/>
      <c r="I220" s="22"/>
      <c r="J220" s="22"/>
      <c r="K220" s="4" t="str">
        <f>IF(A220="","",SUMIFS(Cash[Оплата],Cash[Документ],A220,Cash[Дата],"&lt;="&amp;ДатаОтчета))</f>
        <v/>
      </c>
      <c r="L220" s="4" t="str">
        <f t="shared" si="15"/>
        <v/>
      </c>
      <c r="M220" s="4" t="str">
        <f t="shared" si="16"/>
        <v/>
      </c>
      <c r="N220" s="4" t="str">
        <f t="shared" si="17"/>
        <v/>
      </c>
      <c r="O220" s="4" t="str">
        <f t="shared" si="18"/>
        <v/>
      </c>
      <c r="P220" s="4" t="str">
        <f>IF(A220="",IF(COUNTA(B220:J220)&gt;0,"НЕТ ID",""),IF(OR(NOT(ISNUMBER(E220)),AND(Форма="ИП",C220="Дивиденды"),COUNTIF(Docs[ID],A220)&lt;&gt;1,NOT(ISNUMBER(B220)),B220&lt;НачалоУчета,YEAR(B220)&lt;&gt;Год,NOT(ISNUMBER(H220)),H220&lt;B220,E220&lt;0,COUNTIF(Виды,C220)&lt;&gt;1,COUNTIF(Категории,D220)&lt;&gt;1,COUNTIF(Контрагенты,F220)&lt;&gt;1,COUNTIF(Проекты,G220)&lt;&gt;1,L220&lt;-0.01,AND(I220&lt;&gt;"Проведён",I220&lt;&gt;"Черновик")),"ОШИБКА","ОК"))</f>
        <v/>
      </c>
      <c r="Q220" s="4" t="str">
        <f t="shared" si="19"/>
        <v/>
      </c>
    </row>
    <row r="221" spans="1:17" x14ac:dyDescent="0.25">
      <c r="A221" s="22"/>
      <c r="B221" s="23"/>
      <c r="C221" s="22"/>
      <c r="D221" s="22"/>
      <c r="E221" s="22"/>
      <c r="F221" s="22"/>
      <c r="G221" s="22"/>
      <c r="H221" s="23"/>
      <c r="I221" s="22"/>
      <c r="J221" s="22"/>
      <c r="K221" s="4" t="str">
        <f>IF(A221="","",SUMIFS(Cash[Оплата],Cash[Документ],A221,Cash[Дата],"&lt;="&amp;ДатаОтчета))</f>
        <v/>
      </c>
      <c r="L221" s="4" t="str">
        <f t="shared" si="15"/>
        <v/>
      </c>
      <c r="M221" s="4" t="str">
        <f t="shared" si="16"/>
        <v/>
      </c>
      <c r="N221" s="4" t="str">
        <f t="shared" si="17"/>
        <v/>
      </c>
      <c r="O221" s="4" t="str">
        <f t="shared" si="18"/>
        <v/>
      </c>
      <c r="P221" s="4" t="str">
        <f>IF(A221="",IF(COUNTA(B221:J221)&gt;0,"НЕТ ID",""),IF(OR(NOT(ISNUMBER(E221)),AND(Форма="ИП",C221="Дивиденды"),COUNTIF(Docs[ID],A221)&lt;&gt;1,NOT(ISNUMBER(B221)),B221&lt;НачалоУчета,YEAR(B221)&lt;&gt;Год,NOT(ISNUMBER(H221)),H221&lt;B221,E221&lt;0,COUNTIF(Виды,C221)&lt;&gt;1,COUNTIF(Категории,D221)&lt;&gt;1,COUNTIF(Контрагенты,F221)&lt;&gt;1,COUNTIF(Проекты,G221)&lt;&gt;1,L221&lt;-0.01,AND(I221&lt;&gt;"Проведён",I221&lt;&gt;"Черновик")),"ОШИБКА","ОК"))</f>
        <v/>
      </c>
      <c r="Q221" s="4" t="str">
        <f t="shared" si="19"/>
        <v/>
      </c>
    </row>
    <row r="222" spans="1:17" x14ac:dyDescent="0.25">
      <c r="A222" s="22"/>
      <c r="B222" s="23"/>
      <c r="C222" s="22"/>
      <c r="D222" s="22"/>
      <c r="E222" s="22"/>
      <c r="F222" s="22"/>
      <c r="G222" s="22"/>
      <c r="H222" s="23"/>
      <c r="I222" s="22"/>
      <c r="J222" s="22"/>
      <c r="K222" s="4" t="str">
        <f>IF(A222="","",SUMIFS(Cash[Оплата],Cash[Документ],A222,Cash[Дата],"&lt;="&amp;ДатаОтчета))</f>
        <v/>
      </c>
      <c r="L222" s="4" t="str">
        <f t="shared" si="15"/>
        <v/>
      </c>
      <c r="M222" s="4" t="str">
        <f t="shared" si="16"/>
        <v/>
      </c>
      <c r="N222" s="4" t="str">
        <f t="shared" si="17"/>
        <v/>
      </c>
      <c r="O222" s="4" t="str">
        <f t="shared" si="18"/>
        <v/>
      </c>
      <c r="P222" s="4" t="str">
        <f>IF(A222="",IF(COUNTA(B222:J222)&gt;0,"НЕТ ID",""),IF(OR(NOT(ISNUMBER(E222)),AND(Форма="ИП",C222="Дивиденды"),COUNTIF(Docs[ID],A222)&lt;&gt;1,NOT(ISNUMBER(B222)),B222&lt;НачалоУчета,YEAR(B222)&lt;&gt;Год,NOT(ISNUMBER(H222)),H222&lt;B222,E222&lt;0,COUNTIF(Виды,C222)&lt;&gt;1,COUNTIF(Категории,D222)&lt;&gt;1,COUNTIF(Контрагенты,F222)&lt;&gt;1,COUNTIF(Проекты,G222)&lt;&gt;1,L222&lt;-0.01,AND(I222&lt;&gt;"Проведён",I222&lt;&gt;"Черновик")),"ОШИБКА","ОК"))</f>
        <v/>
      </c>
      <c r="Q222" s="4" t="str">
        <f t="shared" si="19"/>
        <v/>
      </c>
    </row>
    <row r="223" spans="1:17" x14ac:dyDescent="0.25">
      <c r="A223" s="22"/>
      <c r="B223" s="23"/>
      <c r="C223" s="22"/>
      <c r="D223" s="22"/>
      <c r="E223" s="22"/>
      <c r="F223" s="22"/>
      <c r="G223" s="22"/>
      <c r="H223" s="23"/>
      <c r="I223" s="22"/>
      <c r="J223" s="22"/>
      <c r="K223" s="4" t="str">
        <f>IF(A223="","",SUMIFS(Cash[Оплата],Cash[Документ],A223,Cash[Дата],"&lt;="&amp;ДатаОтчета))</f>
        <v/>
      </c>
      <c r="L223" s="4" t="str">
        <f t="shared" si="15"/>
        <v/>
      </c>
      <c r="M223" s="4" t="str">
        <f t="shared" si="16"/>
        <v/>
      </c>
      <c r="N223" s="4" t="str">
        <f t="shared" si="17"/>
        <v/>
      </c>
      <c r="O223" s="4" t="str">
        <f t="shared" si="18"/>
        <v/>
      </c>
      <c r="P223" s="4" t="str">
        <f>IF(A223="",IF(COUNTA(B223:J223)&gt;0,"НЕТ ID",""),IF(OR(NOT(ISNUMBER(E223)),AND(Форма="ИП",C223="Дивиденды"),COUNTIF(Docs[ID],A223)&lt;&gt;1,NOT(ISNUMBER(B223)),B223&lt;НачалоУчета,YEAR(B223)&lt;&gt;Год,NOT(ISNUMBER(H223)),H223&lt;B223,E223&lt;0,COUNTIF(Виды,C223)&lt;&gt;1,COUNTIF(Категории,D223)&lt;&gt;1,COUNTIF(Контрагенты,F223)&lt;&gt;1,COUNTIF(Проекты,G223)&lt;&gt;1,L223&lt;-0.01,AND(I223&lt;&gt;"Проведён",I223&lt;&gt;"Черновик")),"ОШИБКА","ОК"))</f>
        <v/>
      </c>
      <c r="Q223" s="4" t="str">
        <f t="shared" si="19"/>
        <v/>
      </c>
    </row>
    <row r="224" spans="1:17" x14ac:dyDescent="0.25">
      <c r="A224" s="22"/>
      <c r="B224" s="23"/>
      <c r="C224" s="22"/>
      <c r="D224" s="22"/>
      <c r="E224" s="22"/>
      <c r="F224" s="22"/>
      <c r="G224" s="22"/>
      <c r="H224" s="23"/>
      <c r="I224" s="22"/>
      <c r="J224" s="22"/>
      <c r="K224" s="4" t="str">
        <f>IF(A224="","",SUMIFS(Cash[Оплата],Cash[Документ],A224,Cash[Дата],"&lt;="&amp;ДатаОтчета))</f>
        <v/>
      </c>
      <c r="L224" s="4" t="str">
        <f t="shared" si="15"/>
        <v/>
      </c>
      <c r="M224" s="4" t="str">
        <f t="shared" si="16"/>
        <v/>
      </c>
      <c r="N224" s="4" t="str">
        <f t="shared" si="17"/>
        <v/>
      </c>
      <c r="O224" s="4" t="str">
        <f t="shared" si="18"/>
        <v/>
      </c>
      <c r="P224" s="4" t="str">
        <f>IF(A224="",IF(COUNTA(B224:J224)&gt;0,"НЕТ ID",""),IF(OR(NOT(ISNUMBER(E224)),AND(Форма="ИП",C224="Дивиденды"),COUNTIF(Docs[ID],A224)&lt;&gt;1,NOT(ISNUMBER(B224)),B224&lt;НачалоУчета,YEAR(B224)&lt;&gt;Год,NOT(ISNUMBER(H224)),H224&lt;B224,E224&lt;0,COUNTIF(Виды,C224)&lt;&gt;1,COUNTIF(Категории,D224)&lt;&gt;1,COUNTIF(Контрагенты,F224)&lt;&gt;1,COUNTIF(Проекты,G224)&lt;&gt;1,L224&lt;-0.01,AND(I224&lt;&gt;"Проведён",I224&lt;&gt;"Черновик")),"ОШИБКА","ОК"))</f>
        <v/>
      </c>
      <c r="Q224" s="4" t="str">
        <f t="shared" si="19"/>
        <v/>
      </c>
    </row>
    <row r="225" spans="1:17" x14ac:dyDescent="0.25">
      <c r="A225" s="22"/>
      <c r="B225" s="23"/>
      <c r="C225" s="22"/>
      <c r="D225" s="22"/>
      <c r="E225" s="22"/>
      <c r="F225" s="22"/>
      <c r="G225" s="22"/>
      <c r="H225" s="23"/>
      <c r="I225" s="22"/>
      <c r="J225" s="22"/>
      <c r="K225" s="4" t="str">
        <f>IF(A225="","",SUMIFS(Cash[Оплата],Cash[Документ],A225,Cash[Дата],"&lt;="&amp;ДатаОтчета))</f>
        <v/>
      </c>
      <c r="L225" s="4" t="str">
        <f t="shared" si="15"/>
        <v/>
      </c>
      <c r="M225" s="4" t="str">
        <f t="shared" si="16"/>
        <v/>
      </c>
      <c r="N225" s="4" t="str">
        <f t="shared" si="17"/>
        <v/>
      </c>
      <c r="O225" s="4" t="str">
        <f t="shared" si="18"/>
        <v/>
      </c>
      <c r="P225" s="4" t="str">
        <f>IF(A225="",IF(COUNTA(B225:J225)&gt;0,"НЕТ ID",""),IF(OR(NOT(ISNUMBER(E225)),AND(Форма="ИП",C225="Дивиденды"),COUNTIF(Docs[ID],A225)&lt;&gt;1,NOT(ISNUMBER(B225)),B225&lt;НачалоУчета,YEAR(B225)&lt;&gt;Год,NOT(ISNUMBER(H225)),H225&lt;B225,E225&lt;0,COUNTIF(Виды,C225)&lt;&gt;1,COUNTIF(Категории,D225)&lt;&gt;1,COUNTIF(Контрагенты,F225)&lt;&gt;1,COUNTIF(Проекты,G225)&lt;&gt;1,L225&lt;-0.01,AND(I225&lt;&gt;"Проведён",I225&lt;&gt;"Черновик")),"ОШИБКА","ОК"))</f>
        <v/>
      </c>
      <c r="Q225" s="4" t="str">
        <f t="shared" si="19"/>
        <v/>
      </c>
    </row>
    <row r="226" spans="1:17" x14ac:dyDescent="0.25">
      <c r="A226" s="22"/>
      <c r="B226" s="23"/>
      <c r="C226" s="22"/>
      <c r="D226" s="22"/>
      <c r="E226" s="22"/>
      <c r="F226" s="22"/>
      <c r="G226" s="22"/>
      <c r="H226" s="23"/>
      <c r="I226" s="22"/>
      <c r="J226" s="22"/>
      <c r="K226" s="4" t="str">
        <f>IF(A226="","",SUMIFS(Cash[Оплата],Cash[Документ],A226,Cash[Дата],"&lt;="&amp;ДатаОтчета))</f>
        <v/>
      </c>
      <c r="L226" s="4" t="str">
        <f t="shared" si="15"/>
        <v/>
      </c>
      <c r="M226" s="4" t="str">
        <f t="shared" si="16"/>
        <v/>
      </c>
      <c r="N226" s="4" t="str">
        <f t="shared" si="17"/>
        <v/>
      </c>
      <c r="O226" s="4" t="str">
        <f t="shared" si="18"/>
        <v/>
      </c>
      <c r="P226" s="4" t="str">
        <f>IF(A226="",IF(COUNTA(B226:J226)&gt;0,"НЕТ ID",""),IF(OR(NOT(ISNUMBER(E226)),AND(Форма="ИП",C226="Дивиденды"),COUNTIF(Docs[ID],A226)&lt;&gt;1,NOT(ISNUMBER(B226)),B226&lt;НачалоУчета,YEAR(B226)&lt;&gt;Год,NOT(ISNUMBER(H226)),H226&lt;B226,E226&lt;0,COUNTIF(Виды,C226)&lt;&gt;1,COUNTIF(Категории,D226)&lt;&gt;1,COUNTIF(Контрагенты,F226)&lt;&gt;1,COUNTIF(Проекты,G226)&lt;&gt;1,L226&lt;-0.01,AND(I226&lt;&gt;"Проведён",I226&lt;&gt;"Черновик")),"ОШИБКА","ОК"))</f>
        <v/>
      </c>
      <c r="Q226" s="4" t="str">
        <f t="shared" si="19"/>
        <v/>
      </c>
    </row>
    <row r="227" spans="1:17" x14ac:dyDescent="0.25">
      <c r="A227" s="22"/>
      <c r="B227" s="23"/>
      <c r="C227" s="22"/>
      <c r="D227" s="22"/>
      <c r="E227" s="22"/>
      <c r="F227" s="22"/>
      <c r="G227" s="22"/>
      <c r="H227" s="23"/>
      <c r="I227" s="22"/>
      <c r="J227" s="22"/>
      <c r="K227" s="4" t="str">
        <f>IF(A227="","",SUMIFS(Cash[Оплата],Cash[Документ],A227,Cash[Дата],"&lt;="&amp;ДатаОтчета))</f>
        <v/>
      </c>
      <c r="L227" s="4" t="str">
        <f t="shared" si="15"/>
        <v/>
      </c>
      <c r="M227" s="4" t="str">
        <f t="shared" si="16"/>
        <v/>
      </c>
      <c r="N227" s="4" t="str">
        <f t="shared" si="17"/>
        <v/>
      </c>
      <c r="O227" s="4" t="str">
        <f t="shared" si="18"/>
        <v/>
      </c>
      <c r="P227" s="4" t="str">
        <f>IF(A227="",IF(COUNTA(B227:J227)&gt;0,"НЕТ ID",""),IF(OR(NOT(ISNUMBER(E227)),AND(Форма="ИП",C227="Дивиденды"),COUNTIF(Docs[ID],A227)&lt;&gt;1,NOT(ISNUMBER(B227)),B227&lt;НачалоУчета,YEAR(B227)&lt;&gt;Год,NOT(ISNUMBER(H227)),H227&lt;B227,E227&lt;0,COUNTIF(Виды,C227)&lt;&gt;1,COUNTIF(Категории,D227)&lt;&gt;1,COUNTIF(Контрагенты,F227)&lt;&gt;1,COUNTIF(Проекты,G227)&lt;&gt;1,L227&lt;-0.01,AND(I227&lt;&gt;"Проведён",I227&lt;&gt;"Черновик")),"ОШИБКА","ОК"))</f>
        <v/>
      </c>
      <c r="Q227" s="4" t="str">
        <f t="shared" si="19"/>
        <v/>
      </c>
    </row>
    <row r="228" spans="1:17" x14ac:dyDescent="0.25">
      <c r="A228" s="22"/>
      <c r="B228" s="23"/>
      <c r="C228" s="22"/>
      <c r="D228" s="22"/>
      <c r="E228" s="22"/>
      <c r="F228" s="22"/>
      <c r="G228" s="22"/>
      <c r="H228" s="23"/>
      <c r="I228" s="22"/>
      <c r="J228" s="22"/>
      <c r="K228" s="4" t="str">
        <f>IF(A228="","",SUMIFS(Cash[Оплата],Cash[Документ],A228,Cash[Дата],"&lt;="&amp;ДатаОтчета))</f>
        <v/>
      </c>
      <c r="L228" s="4" t="str">
        <f t="shared" si="15"/>
        <v/>
      </c>
      <c r="M228" s="4" t="str">
        <f t="shared" si="16"/>
        <v/>
      </c>
      <c r="N228" s="4" t="str">
        <f t="shared" si="17"/>
        <v/>
      </c>
      <c r="O228" s="4" t="str">
        <f t="shared" si="18"/>
        <v/>
      </c>
      <c r="P228" s="4" t="str">
        <f>IF(A228="",IF(COUNTA(B228:J228)&gt;0,"НЕТ ID",""),IF(OR(NOT(ISNUMBER(E228)),AND(Форма="ИП",C228="Дивиденды"),COUNTIF(Docs[ID],A228)&lt;&gt;1,NOT(ISNUMBER(B228)),B228&lt;НачалоУчета,YEAR(B228)&lt;&gt;Год,NOT(ISNUMBER(H228)),H228&lt;B228,E228&lt;0,COUNTIF(Виды,C228)&lt;&gt;1,COUNTIF(Категории,D228)&lt;&gt;1,COUNTIF(Контрагенты,F228)&lt;&gt;1,COUNTIF(Проекты,G228)&lt;&gt;1,L228&lt;-0.01,AND(I228&lt;&gt;"Проведён",I228&lt;&gt;"Черновик")),"ОШИБКА","ОК"))</f>
        <v/>
      </c>
      <c r="Q228" s="4" t="str">
        <f t="shared" si="19"/>
        <v/>
      </c>
    </row>
    <row r="229" spans="1:17" x14ac:dyDescent="0.25">
      <c r="A229" s="22"/>
      <c r="B229" s="23"/>
      <c r="C229" s="22"/>
      <c r="D229" s="22"/>
      <c r="E229" s="22"/>
      <c r="F229" s="22"/>
      <c r="G229" s="22"/>
      <c r="H229" s="23"/>
      <c r="I229" s="22"/>
      <c r="J229" s="22"/>
      <c r="K229" s="4" t="str">
        <f>IF(A229="","",SUMIFS(Cash[Оплата],Cash[Документ],A229,Cash[Дата],"&lt;="&amp;ДатаОтчета))</f>
        <v/>
      </c>
      <c r="L229" s="4" t="str">
        <f t="shared" si="15"/>
        <v/>
      </c>
      <c r="M229" s="4" t="str">
        <f t="shared" si="16"/>
        <v/>
      </c>
      <c r="N229" s="4" t="str">
        <f t="shared" si="17"/>
        <v/>
      </c>
      <c r="O229" s="4" t="str">
        <f t="shared" si="18"/>
        <v/>
      </c>
      <c r="P229" s="4" t="str">
        <f>IF(A229="",IF(COUNTA(B229:J229)&gt;0,"НЕТ ID",""),IF(OR(NOT(ISNUMBER(E229)),AND(Форма="ИП",C229="Дивиденды"),COUNTIF(Docs[ID],A229)&lt;&gt;1,NOT(ISNUMBER(B229)),B229&lt;НачалоУчета,YEAR(B229)&lt;&gt;Год,NOT(ISNUMBER(H229)),H229&lt;B229,E229&lt;0,COUNTIF(Виды,C229)&lt;&gt;1,COUNTIF(Категории,D229)&lt;&gt;1,COUNTIF(Контрагенты,F229)&lt;&gt;1,COUNTIF(Проекты,G229)&lt;&gt;1,L229&lt;-0.01,AND(I229&lt;&gt;"Проведён",I229&lt;&gt;"Черновик")),"ОШИБКА","ОК"))</f>
        <v/>
      </c>
      <c r="Q229" s="4" t="str">
        <f t="shared" si="19"/>
        <v/>
      </c>
    </row>
    <row r="230" spans="1:17" x14ac:dyDescent="0.25">
      <c r="A230" s="22"/>
      <c r="B230" s="23"/>
      <c r="C230" s="22"/>
      <c r="D230" s="22"/>
      <c r="E230" s="22"/>
      <c r="F230" s="22"/>
      <c r="G230" s="22"/>
      <c r="H230" s="23"/>
      <c r="I230" s="22"/>
      <c r="J230" s="22"/>
      <c r="K230" s="4" t="str">
        <f>IF(A230="","",SUMIFS(Cash[Оплата],Cash[Документ],A230,Cash[Дата],"&lt;="&amp;ДатаОтчета))</f>
        <v/>
      </c>
      <c r="L230" s="4" t="str">
        <f t="shared" si="15"/>
        <v/>
      </c>
      <c r="M230" s="4" t="str">
        <f t="shared" si="16"/>
        <v/>
      </c>
      <c r="N230" s="4" t="str">
        <f t="shared" si="17"/>
        <v/>
      </c>
      <c r="O230" s="4" t="str">
        <f t="shared" si="18"/>
        <v/>
      </c>
      <c r="P230" s="4" t="str">
        <f>IF(A230="",IF(COUNTA(B230:J230)&gt;0,"НЕТ ID",""),IF(OR(NOT(ISNUMBER(E230)),AND(Форма="ИП",C230="Дивиденды"),COUNTIF(Docs[ID],A230)&lt;&gt;1,NOT(ISNUMBER(B230)),B230&lt;НачалоУчета,YEAR(B230)&lt;&gt;Год,NOT(ISNUMBER(H230)),H230&lt;B230,E230&lt;0,COUNTIF(Виды,C230)&lt;&gt;1,COUNTIF(Категории,D230)&lt;&gt;1,COUNTIF(Контрагенты,F230)&lt;&gt;1,COUNTIF(Проекты,G230)&lt;&gt;1,L230&lt;-0.01,AND(I230&lt;&gt;"Проведён",I230&lt;&gt;"Черновик")),"ОШИБКА","ОК"))</f>
        <v/>
      </c>
      <c r="Q230" s="4" t="str">
        <f t="shared" si="19"/>
        <v/>
      </c>
    </row>
    <row r="231" spans="1:17" x14ac:dyDescent="0.25">
      <c r="A231" s="22"/>
      <c r="B231" s="23"/>
      <c r="C231" s="22"/>
      <c r="D231" s="22"/>
      <c r="E231" s="22"/>
      <c r="F231" s="22"/>
      <c r="G231" s="22"/>
      <c r="H231" s="23"/>
      <c r="I231" s="22"/>
      <c r="J231" s="22"/>
      <c r="K231" s="4" t="str">
        <f>IF(A231="","",SUMIFS(Cash[Оплата],Cash[Документ],A231,Cash[Дата],"&lt;="&amp;ДатаОтчета))</f>
        <v/>
      </c>
      <c r="L231" s="4" t="str">
        <f t="shared" si="15"/>
        <v/>
      </c>
      <c r="M231" s="4" t="str">
        <f t="shared" si="16"/>
        <v/>
      </c>
      <c r="N231" s="4" t="str">
        <f t="shared" si="17"/>
        <v/>
      </c>
      <c r="O231" s="4" t="str">
        <f t="shared" si="18"/>
        <v/>
      </c>
      <c r="P231" s="4" t="str">
        <f>IF(A231="",IF(COUNTA(B231:J231)&gt;0,"НЕТ ID",""),IF(OR(NOT(ISNUMBER(E231)),AND(Форма="ИП",C231="Дивиденды"),COUNTIF(Docs[ID],A231)&lt;&gt;1,NOT(ISNUMBER(B231)),B231&lt;НачалоУчета,YEAR(B231)&lt;&gt;Год,NOT(ISNUMBER(H231)),H231&lt;B231,E231&lt;0,COUNTIF(Виды,C231)&lt;&gt;1,COUNTIF(Категории,D231)&lt;&gt;1,COUNTIF(Контрагенты,F231)&lt;&gt;1,COUNTIF(Проекты,G231)&lt;&gt;1,L231&lt;-0.01,AND(I231&lt;&gt;"Проведён",I231&lt;&gt;"Черновик")),"ОШИБКА","ОК"))</f>
        <v/>
      </c>
      <c r="Q231" s="4" t="str">
        <f t="shared" si="19"/>
        <v/>
      </c>
    </row>
    <row r="232" spans="1:17" x14ac:dyDescent="0.25">
      <c r="A232" s="22"/>
      <c r="B232" s="23"/>
      <c r="C232" s="22"/>
      <c r="D232" s="22"/>
      <c r="E232" s="22"/>
      <c r="F232" s="22"/>
      <c r="G232" s="22"/>
      <c r="H232" s="23"/>
      <c r="I232" s="22"/>
      <c r="J232" s="22"/>
      <c r="K232" s="4" t="str">
        <f>IF(A232="","",SUMIFS(Cash[Оплата],Cash[Документ],A232,Cash[Дата],"&lt;="&amp;ДатаОтчета))</f>
        <v/>
      </c>
      <c r="L232" s="4" t="str">
        <f t="shared" si="15"/>
        <v/>
      </c>
      <c r="M232" s="4" t="str">
        <f t="shared" si="16"/>
        <v/>
      </c>
      <c r="N232" s="4" t="str">
        <f t="shared" si="17"/>
        <v/>
      </c>
      <c r="O232" s="4" t="str">
        <f t="shared" si="18"/>
        <v/>
      </c>
      <c r="P232" s="4" t="str">
        <f>IF(A232="",IF(COUNTA(B232:J232)&gt;0,"НЕТ ID",""),IF(OR(NOT(ISNUMBER(E232)),AND(Форма="ИП",C232="Дивиденды"),COUNTIF(Docs[ID],A232)&lt;&gt;1,NOT(ISNUMBER(B232)),B232&lt;НачалоУчета,YEAR(B232)&lt;&gt;Год,NOT(ISNUMBER(H232)),H232&lt;B232,E232&lt;0,COUNTIF(Виды,C232)&lt;&gt;1,COUNTIF(Категории,D232)&lt;&gt;1,COUNTIF(Контрагенты,F232)&lt;&gt;1,COUNTIF(Проекты,G232)&lt;&gt;1,L232&lt;-0.01,AND(I232&lt;&gt;"Проведён",I232&lt;&gt;"Черновик")),"ОШИБКА","ОК"))</f>
        <v/>
      </c>
      <c r="Q232" s="4" t="str">
        <f t="shared" si="19"/>
        <v/>
      </c>
    </row>
    <row r="233" spans="1:17" x14ac:dyDescent="0.25">
      <c r="A233" s="22"/>
      <c r="B233" s="23"/>
      <c r="C233" s="22"/>
      <c r="D233" s="22"/>
      <c r="E233" s="22"/>
      <c r="F233" s="22"/>
      <c r="G233" s="22"/>
      <c r="H233" s="23"/>
      <c r="I233" s="22"/>
      <c r="J233" s="22"/>
      <c r="K233" s="4" t="str">
        <f>IF(A233="","",SUMIFS(Cash[Оплата],Cash[Документ],A233,Cash[Дата],"&lt;="&amp;ДатаОтчета))</f>
        <v/>
      </c>
      <c r="L233" s="4" t="str">
        <f t="shared" si="15"/>
        <v/>
      </c>
      <c r="M233" s="4" t="str">
        <f t="shared" si="16"/>
        <v/>
      </c>
      <c r="N233" s="4" t="str">
        <f t="shared" si="17"/>
        <v/>
      </c>
      <c r="O233" s="4" t="str">
        <f t="shared" si="18"/>
        <v/>
      </c>
      <c r="P233" s="4" t="str">
        <f>IF(A233="",IF(COUNTA(B233:J233)&gt;0,"НЕТ ID",""),IF(OR(NOT(ISNUMBER(E233)),AND(Форма="ИП",C233="Дивиденды"),COUNTIF(Docs[ID],A233)&lt;&gt;1,NOT(ISNUMBER(B233)),B233&lt;НачалоУчета,YEAR(B233)&lt;&gt;Год,NOT(ISNUMBER(H233)),H233&lt;B233,E233&lt;0,COUNTIF(Виды,C233)&lt;&gt;1,COUNTIF(Категории,D233)&lt;&gt;1,COUNTIF(Контрагенты,F233)&lt;&gt;1,COUNTIF(Проекты,G233)&lt;&gt;1,L233&lt;-0.01,AND(I233&lt;&gt;"Проведён",I233&lt;&gt;"Черновик")),"ОШИБКА","ОК"))</f>
        <v/>
      </c>
      <c r="Q233" s="4" t="str">
        <f t="shared" si="19"/>
        <v/>
      </c>
    </row>
    <row r="234" spans="1:17" x14ac:dyDescent="0.25">
      <c r="A234" s="22"/>
      <c r="B234" s="23"/>
      <c r="C234" s="22"/>
      <c r="D234" s="22"/>
      <c r="E234" s="22"/>
      <c r="F234" s="22"/>
      <c r="G234" s="22"/>
      <c r="H234" s="23"/>
      <c r="I234" s="22"/>
      <c r="J234" s="22"/>
      <c r="K234" s="4" t="str">
        <f>IF(A234="","",SUMIFS(Cash[Оплата],Cash[Документ],A234,Cash[Дата],"&lt;="&amp;ДатаОтчета))</f>
        <v/>
      </c>
      <c r="L234" s="4" t="str">
        <f t="shared" si="15"/>
        <v/>
      </c>
      <c r="M234" s="4" t="str">
        <f t="shared" si="16"/>
        <v/>
      </c>
      <c r="N234" s="4" t="str">
        <f t="shared" si="17"/>
        <v/>
      </c>
      <c r="O234" s="4" t="str">
        <f t="shared" si="18"/>
        <v/>
      </c>
      <c r="P234" s="4" t="str">
        <f>IF(A234="",IF(COUNTA(B234:J234)&gt;0,"НЕТ ID",""),IF(OR(NOT(ISNUMBER(E234)),AND(Форма="ИП",C234="Дивиденды"),COUNTIF(Docs[ID],A234)&lt;&gt;1,NOT(ISNUMBER(B234)),B234&lt;НачалоУчета,YEAR(B234)&lt;&gt;Год,NOT(ISNUMBER(H234)),H234&lt;B234,E234&lt;0,COUNTIF(Виды,C234)&lt;&gt;1,COUNTIF(Категории,D234)&lt;&gt;1,COUNTIF(Контрагенты,F234)&lt;&gt;1,COUNTIF(Проекты,G234)&lt;&gt;1,L234&lt;-0.01,AND(I234&lt;&gt;"Проведён",I234&lt;&gt;"Черновик")),"ОШИБКА","ОК"))</f>
        <v/>
      </c>
      <c r="Q234" s="4" t="str">
        <f t="shared" si="19"/>
        <v/>
      </c>
    </row>
    <row r="235" spans="1:17" x14ac:dyDescent="0.25">
      <c r="A235" s="22"/>
      <c r="B235" s="23"/>
      <c r="C235" s="22"/>
      <c r="D235" s="22"/>
      <c r="E235" s="22"/>
      <c r="F235" s="22"/>
      <c r="G235" s="22"/>
      <c r="H235" s="23"/>
      <c r="I235" s="22"/>
      <c r="J235" s="22"/>
      <c r="K235" s="4" t="str">
        <f>IF(A235="","",SUMIFS(Cash[Оплата],Cash[Документ],A235,Cash[Дата],"&lt;="&amp;ДатаОтчета))</f>
        <v/>
      </c>
      <c r="L235" s="4" t="str">
        <f t="shared" si="15"/>
        <v/>
      </c>
      <c r="M235" s="4" t="str">
        <f t="shared" si="16"/>
        <v/>
      </c>
      <c r="N235" s="4" t="str">
        <f t="shared" si="17"/>
        <v/>
      </c>
      <c r="O235" s="4" t="str">
        <f t="shared" si="18"/>
        <v/>
      </c>
      <c r="P235" s="4" t="str">
        <f>IF(A235="",IF(COUNTA(B235:J235)&gt;0,"НЕТ ID",""),IF(OR(NOT(ISNUMBER(E235)),AND(Форма="ИП",C235="Дивиденды"),COUNTIF(Docs[ID],A235)&lt;&gt;1,NOT(ISNUMBER(B235)),B235&lt;НачалоУчета,YEAR(B235)&lt;&gt;Год,NOT(ISNUMBER(H235)),H235&lt;B235,E235&lt;0,COUNTIF(Виды,C235)&lt;&gt;1,COUNTIF(Категории,D235)&lt;&gt;1,COUNTIF(Контрагенты,F235)&lt;&gt;1,COUNTIF(Проекты,G235)&lt;&gt;1,L235&lt;-0.01,AND(I235&lt;&gt;"Проведён",I235&lt;&gt;"Черновик")),"ОШИБКА","ОК"))</f>
        <v/>
      </c>
      <c r="Q235" s="4" t="str">
        <f t="shared" si="19"/>
        <v/>
      </c>
    </row>
    <row r="236" spans="1:17" x14ac:dyDescent="0.25">
      <c r="A236" s="22"/>
      <c r="B236" s="23"/>
      <c r="C236" s="22"/>
      <c r="D236" s="22"/>
      <c r="E236" s="22"/>
      <c r="F236" s="22"/>
      <c r="G236" s="22"/>
      <c r="H236" s="23"/>
      <c r="I236" s="22"/>
      <c r="J236" s="22"/>
      <c r="K236" s="4" t="str">
        <f>IF(A236="","",SUMIFS(Cash[Оплата],Cash[Документ],A236,Cash[Дата],"&lt;="&amp;ДатаОтчета))</f>
        <v/>
      </c>
      <c r="L236" s="4" t="str">
        <f t="shared" si="15"/>
        <v/>
      </c>
      <c r="M236" s="4" t="str">
        <f t="shared" si="16"/>
        <v/>
      </c>
      <c r="N236" s="4" t="str">
        <f t="shared" si="17"/>
        <v/>
      </c>
      <c r="O236" s="4" t="str">
        <f t="shared" si="18"/>
        <v/>
      </c>
      <c r="P236" s="4" t="str">
        <f>IF(A236="",IF(COUNTA(B236:J236)&gt;0,"НЕТ ID",""),IF(OR(NOT(ISNUMBER(E236)),AND(Форма="ИП",C236="Дивиденды"),COUNTIF(Docs[ID],A236)&lt;&gt;1,NOT(ISNUMBER(B236)),B236&lt;НачалоУчета,YEAR(B236)&lt;&gt;Год,NOT(ISNUMBER(H236)),H236&lt;B236,E236&lt;0,COUNTIF(Виды,C236)&lt;&gt;1,COUNTIF(Категории,D236)&lt;&gt;1,COUNTIF(Контрагенты,F236)&lt;&gt;1,COUNTIF(Проекты,G236)&lt;&gt;1,L236&lt;-0.01,AND(I236&lt;&gt;"Проведён",I236&lt;&gt;"Черновик")),"ОШИБКА","ОК"))</f>
        <v/>
      </c>
      <c r="Q236" s="4" t="str">
        <f t="shared" si="19"/>
        <v/>
      </c>
    </row>
    <row r="237" spans="1:17" x14ac:dyDescent="0.25">
      <c r="A237" s="22"/>
      <c r="B237" s="23"/>
      <c r="C237" s="22"/>
      <c r="D237" s="22"/>
      <c r="E237" s="22"/>
      <c r="F237" s="22"/>
      <c r="G237" s="22"/>
      <c r="H237" s="23"/>
      <c r="I237" s="22"/>
      <c r="J237" s="22"/>
      <c r="K237" s="4" t="str">
        <f>IF(A237="","",SUMIFS(Cash[Оплата],Cash[Документ],A237,Cash[Дата],"&lt;="&amp;ДатаОтчета))</f>
        <v/>
      </c>
      <c r="L237" s="4" t="str">
        <f t="shared" si="15"/>
        <v/>
      </c>
      <c r="M237" s="4" t="str">
        <f t="shared" si="16"/>
        <v/>
      </c>
      <c r="N237" s="4" t="str">
        <f t="shared" si="17"/>
        <v/>
      </c>
      <c r="O237" s="4" t="str">
        <f t="shared" si="18"/>
        <v/>
      </c>
      <c r="P237" s="4" t="str">
        <f>IF(A237="",IF(COUNTA(B237:J237)&gt;0,"НЕТ ID",""),IF(OR(NOT(ISNUMBER(E237)),AND(Форма="ИП",C237="Дивиденды"),COUNTIF(Docs[ID],A237)&lt;&gt;1,NOT(ISNUMBER(B237)),B237&lt;НачалоУчета,YEAR(B237)&lt;&gt;Год,NOT(ISNUMBER(H237)),H237&lt;B237,E237&lt;0,COUNTIF(Виды,C237)&lt;&gt;1,COUNTIF(Категории,D237)&lt;&gt;1,COUNTIF(Контрагенты,F237)&lt;&gt;1,COUNTIF(Проекты,G237)&lt;&gt;1,L237&lt;-0.01,AND(I237&lt;&gt;"Проведён",I237&lt;&gt;"Черновик")),"ОШИБКА","ОК"))</f>
        <v/>
      </c>
      <c r="Q237" s="4" t="str">
        <f t="shared" si="19"/>
        <v/>
      </c>
    </row>
    <row r="238" spans="1:17" x14ac:dyDescent="0.25">
      <c r="A238" s="22"/>
      <c r="B238" s="23"/>
      <c r="C238" s="22"/>
      <c r="D238" s="22"/>
      <c r="E238" s="22"/>
      <c r="F238" s="22"/>
      <c r="G238" s="22"/>
      <c r="H238" s="23"/>
      <c r="I238" s="22"/>
      <c r="J238" s="22"/>
      <c r="K238" s="4" t="str">
        <f>IF(A238="","",SUMIFS(Cash[Оплата],Cash[Документ],A238,Cash[Дата],"&lt;="&amp;ДатаОтчета))</f>
        <v/>
      </c>
      <c r="L238" s="4" t="str">
        <f t="shared" si="15"/>
        <v/>
      </c>
      <c r="M238" s="4" t="str">
        <f t="shared" si="16"/>
        <v/>
      </c>
      <c r="N238" s="4" t="str">
        <f t="shared" si="17"/>
        <v/>
      </c>
      <c r="O238" s="4" t="str">
        <f t="shared" si="18"/>
        <v/>
      </c>
      <c r="P238" s="4" t="str">
        <f>IF(A238="",IF(COUNTA(B238:J238)&gt;0,"НЕТ ID",""),IF(OR(NOT(ISNUMBER(E238)),AND(Форма="ИП",C238="Дивиденды"),COUNTIF(Docs[ID],A238)&lt;&gt;1,NOT(ISNUMBER(B238)),B238&lt;НачалоУчета,YEAR(B238)&lt;&gt;Год,NOT(ISNUMBER(H238)),H238&lt;B238,E238&lt;0,COUNTIF(Виды,C238)&lt;&gt;1,COUNTIF(Категории,D238)&lt;&gt;1,COUNTIF(Контрагенты,F238)&lt;&gt;1,COUNTIF(Проекты,G238)&lt;&gt;1,L238&lt;-0.01,AND(I238&lt;&gt;"Проведён",I238&lt;&gt;"Черновик")),"ОШИБКА","ОК"))</f>
        <v/>
      </c>
      <c r="Q238" s="4" t="str">
        <f t="shared" si="19"/>
        <v/>
      </c>
    </row>
    <row r="239" spans="1:17" x14ac:dyDescent="0.25">
      <c r="A239" s="22"/>
      <c r="B239" s="23"/>
      <c r="C239" s="22"/>
      <c r="D239" s="22"/>
      <c r="E239" s="22"/>
      <c r="F239" s="22"/>
      <c r="G239" s="22"/>
      <c r="H239" s="23"/>
      <c r="I239" s="22"/>
      <c r="J239" s="22"/>
      <c r="K239" s="4" t="str">
        <f>IF(A239="","",SUMIFS(Cash[Оплата],Cash[Документ],A239,Cash[Дата],"&lt;="&amp;ДатаОтчета))</f>
        <v/>
      </c>
      <c r="L239" s="4" t="str">
        <f t="shared" si="15"/>
        <v/>
      </c>
      <c r="M239" s="4" t="str">
        <f t="shared" si="16"/>
        <v/>
      </c>
      <c r="N239" s="4" t="str">
        <f t="shared" si="17"/>
        <v/>
      </c>
      <c r="O239" s="4" t="str">
        <f t="shared" si="18"/>
        <v/>
      </c>
      <c r="P239" s="4" t="str">
        <f>IF(A239="",IF(COUNTA(B239:J239)&gt;0,"НЕТ ID",""),IF(OR(NOT(ISNUMBER(E239)),AND(Форма="ИП",C239="Дивиденды"),COUNTIF(Docs[ID],A239)&lt;&gt;1,NOT(ISNUMBER(B239)),B239&lt;НачалоУчета,YEAR(B239)&lt;&gt;Год,NOT(ISNUMBER(H239)),H239&lt;B239,E239&lt;0,COUNTIF(Виды,C239)&lt;&gt;1,COUNTIF(Категории,D239)&lt;&gt;1,COUNTIF(Контрагенты,F239)&lt;&gt;1,COUNTIF(Проекты,G239)&lt;&gt;1,L239&lt;-0.01,AND(I239&lt;&gt;"Проведён",I239&lt;&gt;"Черновик")),"ОШИБКА","ОК"))</f>
        <v/>
      </c>
      <c r="Q239" s="4" t="str">
        <f t="shared" si="19"/>
        <v/>
      </c>
    </row>
    <row r="240" spans="1:17" x14ac:dyDescent="0.25">
      <c r="A240" s="22"/>
      <c r="B240" s="23"/>
      <c r="C240" s="22"/>
      <c r="D240" s="22"/>
      <c r="E240" s="22"/>
      <c r="F240" s="22"/>
      <c r="G240" s="22"/>
      <c r="H240" s="23"/>
      <c r="I240" s="22"/>
      <c r="J240" s="22"/>
      <c r="K240" s="4" t="str">
        <f>IF(A240="","",SUMIFS(Cash[Оплата],Cash[Документ],A240,Cash[Дата],"&lt;="&amp;ДатаОтчета))</f>
        <v/>
      </c>
      <c r="L240" s="4" t="str">
        <f t="shared" si="15"/>
        <v/>
      </c>
      <c r="M240" s="4" t="str">
        <f t="shared" si="16"/>
        <v/>
      </c>
      <c r="N240" s="4" t="str">
        <f t="shared" si="17"/>
        <v/>
      </c>
      <c r="O240" s="4" t="str">
        <f t="shared" si="18"/>
        <v/>
      </c>
      <c r="P240" s="4" t="str">
        <f>IF(A240="",IF(COUNTA(B240:J240)&gt;0,"НЕТ ID",""),IF(OR(NOT(ISNUMBER(E240)),AND(Форма="ИП",C240="Дивиденды"),COUNTIF(Docs[ID],A240)&lt;&gt;1,NOT(ISNUMBER(B240)),B240&lt;НачалоУчета,YEAR(B240)&lt;&gt;Год,NOT(ISNUMBER(H240)),H240&lt;B240,E240&lt;0,COUNTIF(Виды,C240)&lt;&gt;1,COUNTIF(Категории,D240)&lt;&gt;1,COUNTIF(Контрагенты,F240)&lt;&gt;1,COUNTIF(Проекты,G240)&lt;&gt;1,L240&lt;-0.01,AND(I240&lt;&gt;"Проведён",I240&lt;&gt;"Черновик")),"ОШИБКА","ОК"))</f>
        <v/>
      </c>
      <c r="Q240" s="4" t="str">
        <f t="shared" si="19"/>
        <v/>
      </c>
    </row>
    <row r="241" spans="1:17" x14ac:dyDescent="0.25">
      <c r="A241" s="22"/>
      <c r="B241" s="23"/>
      <c r="C241" s="22"/>
      <c r="D241" s="22"/>
      <c r="E241" s="22"/>
      <c r="F241" s="22"/>
      <c r="G241" s="22"/>
      <c r="H241" s="23"/>
      <c r="I241" s="22"/>
      <c r="J241" s="22"/>
      <c r="K241" s="4" t="str">
        <f>IF(A241="","",SUMIFS(Cash[Оплата],Cash[Документ],A241,Cash[Дата],"&lt;="&amp;ДатаОтчета))</f>
        <v/>
      </c>
      <c r="L241" s="4" t="str">
        <f t="shared" si="15"/>
        <v/>
      </c>
      <c r="M241" s="4" t="str">
        <f t="shared" si="16"/>
        <v/>
      </c>
      <c r="N241" s="4" t="str">
        <f t="shared" si="17"/>
        <v/>
      </c>
      <c r="O241" s="4" t="str">
        <f t="shared" si="18"/>
        <v/>
      </c>
      <c r="P241" s="4" t="str">
        <f>IF(A241="",IF(COUNTA(B241:J241)&gt;0,"НЕТ ID",""),IF(OR(NOT(ISNUMBER(E241)),AND(Форма="ИП",C241="Дивиденды"),COUNTIF(Docs[ID],A241)&lt;&gt;1,NOT(ISNUMBER(B241)),B241&lt;НачалоУчета,YEAR(B241)&lt;&gt;Год,NOT(ISNUMBER(H241)),H241&lt;B241,E241&lt;0,COUNTIF(Виды,C241)&lt;&gt;1,COUNTIF(Категории,D241)&lt;&gt;1,COUNTIF(Контрагенты,F241)&lt;&gt;1,COUNTIF(Проекты,G241)&lt;&gt;1,L241&lt;-0.01,AND(I241&lt;&gt;"Проведён",I241&lt;&gt;"Черновик")),"ОШИБКА","ОК"))</f>
        <v/>
      </c>
      <c r="Q241" s="4" t="str">
        <f t="shared" si="19"/>
        <v/>
      </c>
    </row>
    <row r="242" spans="1:17" x14ac:dyDescent="0.25">
      <c r="A242" s="22"/>
      <c r="B242" s="23"/>
      <c r="C242" s="22"/>
      <c r="D242" s="22"/>
      <c r="E242" s="22"/>
      <c r="F242" s="22"/>
      <c r="G242" s="22"/>
      <c r="H242" s="23"/>
      <c r="I242" s="22"/>
      <c r="J242" s="22"/>
      <c r="K242" s="4" t="str">
        <f>IF(A242="","",SUMIFS(Cash[Оплата],Cash[Документ],A242,Cash[Дата],"&lt;="&amp;ДатаОтчета))</f>
        <v/>
      </c>
      <c r="L242" s="4" t="str">
        <f t="shared" si="15"/>
        <v/>
      </c>
      <c r="M242" s="4" t="str">
        <f t="shared" si="16"/>
        <v/>
      </c>
      <c r="N242" s="4" t="str">
        <f t="shared" si="17"/>
        <v/>
      </c>
      <c r="O242" s="4" t="str">
        <f t="shared" si="18"/>
        <v/>
      </c>
      <c r="P242" s="4" t="str">
        <f>IF(A242="",IF(COUNTA(B242:J242)&gt;0,"НЕТ ID",""),IF(OR(NOT(ISNUMBER(E242)),AND(Форма="ИП",C242="Дивиденды"),COUNTIF(Docs[ID],A242)&lt;&gt;1,NOT(ISNUMBER(B242)),B242&lt;НачалоУчета,YEAR(B242)&lt;&gt;Год,NOT(ISNUMBER(H242)),H242&lt;B242,E242&lt;0,COUNTIF(Виды,C242)&lt;&gt;1,COUNTIF(Категории,D242)&lt;&gt;1,COUNTIF(Контрагенты,F242)&lt;&gt;1,COUNTIF(Проекты,G242)&lt;&gt;1,L242&lt;-0.01,AND(I242&lt;&gt;"Проведён",I242&lt;&gt;"Черновик")),"ОШИБКА","ОК"))</f>
        <v/>
      </c>
      <c r="Q242" s="4" t="str">
        <f t="shared" si="19"/>
        <v/>
      </c>
    </row>
    <row r="243" spans="1:17" x14ac:dyDescent="0.25">
      <c r="A243" s="22"/>
      <c r="B243" s="23"/>
      <c r="C243" s="22"/>
      <c r="D243" s="22"/>
      <c r="E243" s="22"/>
      <c r="F243" s="22"/>
      <c r="G243" s="22"/>
      <c r="H243" s="23"/>
      <c r="I243" s="22"/>
      <c r="J243" s="22"/>
      <c r="K243" s="4" t="str">
        <f>IF(A243="","",SUMIFS(Cash[Оплата],Cash[Документ],A243,Cash[Дата],"&lt;="&amp;ДатаОтчета))</f>
        <v/>
      </c>
      <c r="L243" s="4" t="str">
        <f t="shared" si="15"/>
        <v/>
      </c>
      <c r="M243" s="4" t="str">
        <f t="shared" si="16"/>
        <v/>
      </c>
      <c r="N243" s="4" t="str">
        <f t="shared" si="17"/>
        <v/>
      </c>
      <c r="O243" s="4" t="str">
        <f t="shared" si="18"/>
        <v/>
      </c>
      <c r="P243" s="4" t="str">
        <f>IF(A243="",IF(COUNTA(B243:J243)&gt;0,"НЕТ ID",""),IF(OR(NOT(ISNUMBER(E243)),AND(Форма="ИП",C243="Дивиденды"),COUNTIF(Docs[ID],A243)&lt;&gt;1,NOT(ISNUMBER(B243)),B243&lt;НачалоУчета,YEAR(B243)&lt;&gt;Год,NOT(ISNUMBER(H243)),H243&lt;B243,E243&lt;0,COUNTIF(Виды,C243)&lt;&gt;1,COUNTIF(Категории,D243)&lt;&gt;1,COUNTIF(Контрагенты,F243)&lt;&gt;1,COUNTIF(Проекты,G243)&lt;&gt;1,L243&lt;-0.01,AND(I243&lt;&gt;"Проведён",I243&lt;&gt;"Черновик")),"ОШИБКА","ОК"))</f>
        <v/>
      </c>
      <c r="Q243" s="4" t="str">
        <f t="shared" si="19"/>
        <v/>
      </c>
    </row>
    <row r="244" spans="1:17" x14ac:dyDescent="0.25">
      <c r="A244" s="22"/>
      <c r="B244" s="23"/>
      <c r="C244" s="22"/>
      <c r="D244" s="22"/>
      <c r="E244" s="22"/>
      <c r="F244" s="22"/>
      <c r="G244" s="22"/>
      <c r="H244" s="23"/>
      <c r="I244" s="22"/>
      <c r="J244" s="22"/>
      <c r="K244" s="4" t="str">
        <f>IF(A244="","",SUMIFS(Cash[Оплата],Cash[Документ],A244,Cash[Дата],"&lt;="&amp;ДатаОтчета))</f>
        <v/>
      </c>
      <c r="L244" s="4" t="str">
        <f t="shared" si="15"/>
        <v/>
      </c>
      <c r="M244" s="4" t="str">
        <f t="shared" si="16"/>
        <v/>
      </c>
      <c r="N244" s="4" t="str">
        <f t="shared" si="17"/>
        <v/>
      </c>
      <c r="O244" s="4" t="str">
        <f t="shared" si="18"/>
        <v/>
      </c>
      <c r="P244" s="4" t="str">
        <f>IF(A244="",IF(COUNTA(B244:J244)&gt;0,"НЕТ ID",""),IF(OR(NOT(ISNUMBER(E244)),AND(Форма="ИП",C244="Дивиденды"),COUNTIF(Docs[ID],A244)&lt;&gt;1,NOT(ISNUMBER(B244)),B244&lt;НачалоУчета,YEAR(B244)&lt;&gt;Год,NOT(ISNUMBER(H244)),H244&lt;B244,E244&lt;0,COUNTIF(Виды,C244)&lt;&gt;1,COUNTIF(Категории,D244)&lt;&gt;1,COUNTIF(Контрагенты,F244)&lt;&gt;1,COUNTIF(Проекты,G244)&lt;&gt;1,L244&lt;-0.01,AND(I244&lt;&gt;"Проведён",I244&lt;&gt;"Черновик")),"ОШИБКА","ОК"))</f>
        <v/>
      </c>
      <c r="Q244" s="4" t="str">
        <f t="shared" si="19"/>
        <v/>
      </c>
    </row>
    <row r="245" spans="1:17" x14ac:dyDescent="0.25">
      <c r="A245" s="22"/>
      <c r="B245" s="23"/>
      <c r="C245" s="22"/>
      <c r="D245" s="22"/>
      <c r="E245" s="22"/>
      <c r="F245" s="22"/>
      <c r="G245" s="22"/>
      <c r="H245" s="23"/>
      <c r="I245" s="22"/>
      <c r="J245" s="22"/>
      <c r="K245" s="4" t="str">
        <f>IF(A245="","",SUMIFS(Cash[Оплата],Cash[Документ],A245,Cash[Дата],"&lt;="&amp;ДатаОтчета))</f>
        <v/>
      </c>
      <c r="L245" s="4" t="str">
        <f t="shared" si="15"/>
        <v/>
      </c>
      <c r="M245" s="4" t="str">
        <f t="shared" si="16"/>
        <v/>
      </c>
      <c r="N245" s="4" t="str">
        <f t="shared" si="17"/>
        <v/>
      </c>
      <c r="O245" s="4" t="str">
        <f t="shared" si="18"/>
        <v/>
      </c>
      <c r="P245" s="4" t="str">
        <f>IF(A245="",IF(COUNTA(B245:J245)&gt;0,"НЕТ ID",""),IF(OR(NOT(ISNUMBER(E245)),AND(Форма="ИП",C245="Дивиденды"),COUNTIF(Docs[ID],A245)&lt;&gt;1,NOT(ISNUMBER(B245)),B245&lt;НачалоУчета,YEAR(B245)&lt;&gt;Год,NOT(ISNUMBER(H245)),H245&lt;B245,E245&lt;0,COUNTIF(Виды,C245)&lt;&gt;1,COUNTIF(Категории,D245)&lt;&gt;1,COUNTIF(Контрагенты,F245)&lt;&gt;1,COUNTIF(Проекты,G245)&lt;&gt;1,L245&lt;-0.01,AND(I245&lt;&gt;"Проведён",I245&lt;&gt;"Черновик")),"ОШИБКА","ОК"))</f>
        <v/>
      </c>
      <c r="Q245" s="4" t="str">
        <f t="shared" si="19"/>
        <v/>
      </c>
    </row>
    <row r="246" spans="1:17" x14ac:dyDescent="0.25">
      <c r="A246" s="22"/>
      <c r="B246" s="23"/>
      <c r="C246" s="22"/>
      <c r="D246" s="22"/>
      <c r="E246" s="22"/>
      <c r="F246" s="22"/>
      <c r="G246" s="22"/>
      <c r="H246" s="23"/>
      <c r="I246" s="22"/>
      <c r="J246" s="22"/>
      <c r="K246" s="4" t="str">
        <f>IF(A246="","",SUMIFS(Cash[Оплата],Cash[Документ],A246,Cash[Дата],"&lt;="&amp;ДатаОтчета))</f>
        <v/>
      </c>
      <c r="L246" s="4" t="str">
        <f t="shared" si="15"/>
        <v/>
      </c>
      <c r="M246" s="4" t="str">
        <f t="shared" si="16"/>
        <v/>
      </c>
      <c r="N246" s="4" t="str">
        <f t="shared" si="17"/>
        <v/>
      </c>
      <c r="O246" s="4" t="str">
        <f t="shared" si="18"/>
        <v/>
      </c>
      <c r="P246" s="4" t="str">
        <f>IF(A246="",IF(COUNTA(B246:J246)&gt;0,"НЕТ ID",""),IF(OR(NOT(ISNUMBER(E246)),AND(Форма="ИП",C246="Дивиденды"),COUNTIF(Docs[ID],A246)&lt;&gt;1,NOT(ISNUMBER(B246)),B246&lt;НачалоУчета,YEAR(B246)&lt;&gt;Год,NOT(ISNUMBER(H246)),H246&lt;B246,E246&lt;0,COUNTIF(Виды,C246)&lt;&gt;1,COUNTIF(Категории,D246)&lt;&gt;1,COUNTIF(Контрагенты,F246)&lt;&gt;1,COUNTIF(Проекты,G246)&lt;&gt;1,L246&lt;-0.01,AND(I246&lt;&gt;"Проведён",I246&lt;&gt;"Черновик")),"ОШИБКА","ОК"))</f>
        <v/>
      </c>
      <c r="Q246" s="4" t="str">
        <f t="shared" si="19"/>
        <v/>
      </c>
    </row>
    <row r="247" spans="1:17" x14ac:dyDescent="0.25">
      <c r="A247" s="22"/>
      <c r="B247" s="23"/>
      <c r="C247" s="22"/>
      <c r="D247" s="22"/>
      <c r="E247" s="22"/>
      <c r="F247" s="22"/>
      <c r="G247" s="22"/>
      <c r="H247" s="23"/>
      <c r="I247" s="22"/>
      <c r="J247" s="22"/>
      <c r="K247" s="4" t="str">
        <f>IF(A247="","",SUMIFS(Cash[Оплата],Cash[Документ],A247,Cash[Дата],"&lt;="&amp;ДатаОтчета))</f>
        <v/>
      </c>
      <c r="L247" s="4" t="str">
        <f t="shared" si="15"/>
        <v/>
      </c>
      <c r="M247" s="4" t="str">
        <f t="shared" si="16"/>
        <v/>
      </c>
      <c r="N247" s="4" t="str">
        <f t="shared" si="17"/>
        <v/>
      </c>
      <c r="O247" s="4" t="str">
        <f t="shared" si="18"/>
        <v/>
      </c>
      <c r="P247" s="4" t="str">
        <f>IF(A247="",IF(COUNTA(B247:J247)&gt;0,"НЕТ ID",""),IF(OR(NOT(ISNUMBER(E247)),AND(Форма="ИП",C247="Дивиденды"),COUNTIF(Docs[ID],A247)&lt;&gt;1,NOT(ISNUMBER(B247)),B247&lt;НачалоУчета,YEAR(B247)&lt;&gt;Год,NOT(ISNUMBER(H247)),H247&lt;B247,E247&lt;0,COUNTIF(Виды,C247)&lt;&gt;1,COUNTIF(Категории,D247)&lt;&gt;1,COUNTIF(Контрагенты,F247)&lt;&gt;1,COUNTIF(Проекты,G247)&lt;&gt;1,L247&lt;-0.01,AND(I247&lt;&gt;"Проведён",I247&lt;&gt;"Черновик")),"ОШИБКА","ОК"))</f>
        <v/>
      </c>
      <c r="Q247" s="4" t="str">
        <f t="shared" si="19"/>
        <v/>
      </c>
    </row>
    <row r="248" spans="1:17" x14ac:dyDescent="0.25">
      <c r="A248" s="22"/>
      <c r="B248" s="23"/>
      <c r="C248" s="22"/>
      <c r="D248" s="22"/>
      <c r="E248" s="22"/>
      <c r="F248" s="22"/>
      <c r="G248" s="22"/>
      <c r="H248" s="23"/>
      <c r="I248" s="22"/>
      <c r="J248" s="22"/>
      <c r="K248" s="4" t="str">
        <f>IF(A248="","",SUMIFS(Cash[Оплата],Cash[Документ],A248,Cash[Дата],"&lt;="&amp;ДатаОтчета))</f>
        <v/>
      </c>
      <c r="L248" s="4" t="str">
        <f t="shared" si="15"/>
        <v/>
      </c>
      <c r="M248" s="4" t="str">
        <f t="shared" si="16"/>
        <v/>
      </c>
      <c r="N248" s="4" t="str">
        <f t="shared" si="17"/>
        <v/>
      </c>
      <c r="O248" s="4" t="str">
        <f t="shared" si="18"/>
        <v/>
      </c>
      <c r="P248" s="4" t="str">
        <f>IF(A248="",IF(COUNTA(B248:J248)&gt;0,"НЕТ ID",""),IF(OR(NOT(ISNUMBER(E248)),AND(Форма="ИП",C248="Дивиденды"),COUNTIF(Docs[ID],A248)&lt;&gt;1,NOT(ISNUMBER(B248)),B248&lt;НачалоУчета,YEAR(B248)&lt;&gt;Год,NOT(ISNUMBER(H248)),H248&lt;B248,E248&lt;0,COUNTIF(Виды,C248)&lt;&gt;1,COUNTIF(Категории,D248)&lt;&gt;1,COUNTIF(Контрагенты,F248)&lt;&gt;1,COUNTIF(Проекты,G248)&lt;&gt;1,L248&lt;-0.01,AND(I248&lt;&gt;"Проведён",I248&lt;&gt;"Черновик")),"ОШИБКА","ОК"))</f>
        <v/>
      </c>
      <c r="Q248" s="4" t="str">
        <f t="shared" si="19"/>
        <v/>
      </c>
    </row>
    <row r="249" spans="1:17" x14ac:dyDescent="0.25">
      <c r="A249" s="22"/>
      <c r="B249" s="23"/>
      <c r="C249" s="22"/>
      <c r="D249" s="22"/>
      <c r="E249" s="22"/>
      <c r="F249" s="22"/>
      <c r="G249" s="22"/>
      <c r="H249" s="23"/>
      <c r="I249" s="22"/>
      <c r="J249" s="22"/>
      <c r="K249" s="4" t="str">
        <f>IF(A249="","",SUMIFS(Cash[Оплата],Cash[Документ],A249,Cash[Дата],"&lt;="&amp;ДатаОтчета))</f>
        <v/>
      </c>
      <c r="L249" s="4" t="str">
        <f t="shared" si="15"/>
        <v/>
      </c>
      <c r="M249" s="4" t="str">
        <f t="shared" si="16"/>
        <v/>
      </c>
      <c r="N249" s="4" t="str">
        <f t="shared" si="17"/>
        <v/>
      </c>
      <c r="O249" s="4" t="str">
        <f t="shared" si="18"/>
        <v/>
      </c>
      <c r="P249" s="4" t="str">
        <f>IF(A249="",IF(COUNTA(B249:J249)&gt;0,"НЕТ ID",""),IF(OR(NOT(ISNUMBER(E249)),AND(Форма="ИП",C249="Дивиденды"),COUNTIF(Docs[ID],A249)&lt;&gt;1,NOT(ISNUMBER(B249)),B249&lt;НачалоУчета,YEAR(B249)&lt;&gt;Год,NOT(ISNUMBER(H249)),H249&lt;B249,E249&lt;0,COUNTIF(Виды,C249)&lt;&gt;1,COUNTIF(Категории,D249)&lt;&gt;1,COUNTIF(Контрагенты,F249)&lt;&gt;1,COUNTIF(Проекты,G249)&lt;&gt;1,L249&lt;-0.01,AND(I249&lt;&gt;"Проведён",I249&lt;&gt;"Черновик")),"ОШИБКА","ОК"))</f>
        <v/>
      </c>
      <c r="Q249" s="4" t="str">
        <f t="shared" si="19"/>
        <v/>
      </c>
    </row>
    <row r="250" spans="1:17" x14ac:dyDescent="0.25">
      <c r="A250" s="22"/>
      <c r="B250" s="23"/>
      <c r="C250" s="22"/>
      <c r="D250" s="22"/>
      <c r="E250" s="22"/>
      <c r="F250" s="22"/>
      <c r="G250" s="22"/>
      <c r="H250" s="23"/>
      <c r="I250" s="22"/>
      <c r="J250" s="22"/>
      <c r="K250" s="4" t="str">
        <f>IF(A250="","",SUMIFS(Cash[Оплата],Cash[Документ],A250,Cash[Дата],"&lt;="&amp;ДатаОтчета))</f>
        <v/>
      </c>
      <c r="L250" s="4" t="str">
        <f t="shared" si="15"/>
        <v/>
      </c>
      <c r="M250" s="4" t="str">
        <f t="shared" si="16"/>
        <v/>
      </c>
      <c r="N250" s="4" t="str">
        <f t="shared" si="17"/>
        <v/>
      </c>
      <c r="O250" s="4" t="str">
        <f t="shared" si="18"/>
        <v/>
      </c>
      <c r="P250" s="4" t="str">
        <f>IF(A250="",IF(COUNTA(B250:J250)&gt;0,"НЕТ ID",""),IF(OR(NOT(ISNUMBER(E250)),AND(Форма="ИП",C250="Дивиденды"),COUNTIF(Docs[ID],A250)&lt;&gt;1,NOT(ISNUMBER(B250)),B250&lt;НачалоУчета,YEAR(B250)&lt;&gt;Год,NOT(ISNUMBER(H250)),H250&lt;B250,E250&lt;0,COUNTIF(Виды,C250)&lt;&gt;1,COUNTIF(Категории,D250)&lt;&gt;1,COUNTIF(Контрагенты,F250)&lt;&gt;1,COUNTIF(Проекты,G250)&lt;&gt;1,L250&lt;-0.01,AND(I250&lt;&gt;"Проведён",I250&lt;&gt;"Черновик")),"ОШИБКА","ОК"))</f>
        <v/>
      </c>
      <c r="Q250" s="4" t="str">
        <f t="shared" si="19"/>
        <v/>
      </c>
    </row>
    <row r="251" spans="1:17" x14ac:dyDescent="0.25">
      <c r="A251" s="22"/>
      <c r="B251" s="23"/>
      <c r="C251" s="22"/>
      <c r="D251" s="22"/>
      <c r="E251" s="22"/>
      <c r="F251" s="22"/>
      <c r="G251" s="22"/>
      <c r="H251" s="23"/>
      <c r="I251" s="22"/>
      <c r="J251" s="22"/>
      <c r="K251" s="4" t="str">
        <f>IF(A251="","",SUMIFS(Cash[Оплата],Cash[Документ],A251,Cash[Дата],"&lt;="&amp;ДатаОтчета))</f>
        <v/>
      </c>
      <c r="L251" s="4" t="str">
        <f t="shared" si="15"/>
        <v/>
      </c>
      <c r="M251" s="4" t="str">
        <f t="shared" si="16"/>
        <v/>
      </c>
      <c r="N251" s="4" t="str">
        <f t="shared" si="17"/>
        <v/>
      </c>
      <c r="O251" s="4" t="str">
        <f t="shared" si="18"/>
        <v/>
      </c>
      <c r="P251" s="4" t="str">
        <f>IF(A251="",IF(COUNTA(B251:J251)&gt;0,"НЕТ ID",""),IF(OR(NOT(ISNUMBER(E251)),AND(Форма="ИП",C251="Дивиденды"),COUNTIF(Docs[ID],A251)&lt;&gt;1,NOT(ISNUMBER(B251)),B251&lt;НачалоУчета,YEAR(B251)&lt;&gt;Год,NOT(ISNUMBER(H251)),H251&lt;B251,E251&lt;0,COUNTIF(Виды,C251)&lt;&gt;1,COUNTIF(Категории,D251)&lt;&gt;1,COUNTIF(Контрагенты,F251)&lt;&gt;1,COUNTIF(Проекты,G251)&lt;&gt;1,L251&lt;-0.01,AND(I251&lt;&gt;"Проведён",I251&lt;&gt;"Черновик")),"ОШИБКА","ОК"))</f>
        <v/>
      </c>
      <c r="Q251" s="4" t="str">
        <f t="shared" si="19"/>
        <v/>
      </c>
    </row>
    <row r="252" spans="1:17" x14ac:dyDescent="0.25">
      <c r="A252" s="22"/>
      <c r="B252" s="23"/>
      <c r="C252" s="22"/>
      <c r="D252" s="22"/>
      <c r="E252" s="22"/>
      <c r="F252" s="22"/>
      <c r="G252" s="22"/>
      <c r="H252" s="23"/>
      <c r="I252" s="22"/>
      <c r="J252" s="22"/>
      <c r="K252" s="4" t="str">
        <f>IF(A252="","",SUMIFS(Cash[Оплата],Cash[Документ],A252,Cash[Дата],"&lt;="&amp;ДатаОтчета))</f>
        <v/>
      </c>
      <c r="L252" s="4" t="str">
        <f t="shared" si="15"/>
        <v/>
      </c>
      <c r="M252" s="4" t="str">
        <f t="shared" si="16"/>
        <v/>
      </c>
      <c r="N252" s="4" t="str">
        <f t="shared" si="17"/>
        <v/>
      </c>
      <c r="O252" s="4" t="str">
        <f t="shared" si="18"/>
        <v/>
      </c>
      <c r="P252" s="4" t="str">
        <f>IF(A252="",IF(COUNTA(B252:J252)&gt;0,"НЕТ ID",""),IF(OR(NOT(ISNUMBER(E252)),AND(Форма="ИП",C252="Дивиденды"),COUNTIF(Docs[ID],A252)&lt;&gt;1,NOT(ISNUMBER(B252)),B252&lt;НачалоУчета,YEAR(B252)&lt;&gt;Год,NOT(ISNUMBER(H252)),H252&lt;B252,E252&lt;0,COUNTIF(Виды,C252)&lt;&gt;1,COUNTIF(Категории,D252)&lt;&gt;1,COUNTIF(Контрагенты,F252)&lt;&gt;1,COUNTIF(Проекты,G252)&lt;&gt;1,L252&lt;-0.01,AND(I252&lt;&gt;"Проведён",I252&lt;&gt;"Черновик")),"ОШИБКА","ОК"))</f>
        <v/>
      </c>
      <c r="Q252" s="4" t="str">
        <f t="shared" si="19"/>
        <v/>
      </c>
    </row>
    <row r="253" spans="1:17" x14ac:dyDescent="0.25">
      <c r="A253" s="22"/>
      <c r="B253" s="23"/>
      <c r="C253" s="22"/>
      <c r="D253" s="22"/>
      <c r="E253" s="22"/>
      <c r="F253" s="22"/>
      <c r="G253" s="22"/>
      <c r="H253" s="23"/>
      <c r="I253" s="22"/>
      <c r="J253" s="22"/>
      <c r="K253" s="4" t="str">
        <f>IF(A253="","",SUMIFS(Cash[Оплата],Cash[Документ],A253,Cash[Дата],"&lt;="&amp;ДатаОтчета))</f>
        <v/>
      </c>
      <c r="L253" s="4" t="str">
        <f t="shared" si="15"/>
        <v/>
      </c>
      <c r="M253" s="4" t="str">
        <f t="shared" si="16"/>
        <v/>
      </c>
      <c r="N253" s="4" t="str">
        <f t="shared" si="17"/>
        <v/>
      </c>
      <c r="O253" s="4" t="str">
        <f t="shared" si="18"/>
        <v/>
      </c>
      <c r="P253" s="4" t="str">
        <f>IF(A253="",IF(COUNTA(B253:J253)&gt;0,"НЕТ ID",""),IF(OR(NOT(ISNUMBER(E253)),AND(Форма="ИП",C253="Дивиденды"),COUNTIF(Docs[ID],A253)&lt;&gt;1,NOT(ISNUMBER(B253)),B253&lt;НачалоУчета,YEAR(B253)&lt;&gt;Год,NOT(ISNUMBER(H253)),H253&lt;B253,E253&lt;0,COUNTIF(Виды,C253)&lt;&gt;1,COUNTIF(Категории,D253)&lt;&gt;1,COUNTIF(Контрагенты,F253)&lt;&gt;1,COUNTIF(Проекты,G253)&lt;&gt;1,L253&lt;-0.01,AND(I253&lt;&gt;"Проведён",I253&lt;&gt;"Черновик")),"ОШИБКА","ОК"))</f>
        <v/>
      </c>
      <c r="Q253" s="4" t="str">
        <f t="shared" si="19"/>
        <v/>
      </c>
    </row>
    <row r="254" spans="1:17" x14ac:dyDescent="0.25">
      <c r="A254" s="22"/>
      <c r="B254" s="23"/>
      <c r="C254" s="22"/>
      <c r="D254" s="22"/>
      <c r="E254" s="22"/>
      <c r="F254" s="22"/>
      <c r="G254" s="22"/>
      <c r="H254" s="23"/>
      <c r="I254" s="22"/>
      <c r="J254" s="22"/>
      <c r="K254" s="4" t="str">
        <f>IF(A254="","",SUMIFS(Cash[Оплата],Cash[Документ],A254,Cash[Дата],"&lt;="&amp;ДатаОтчета))</f>
        <v/>
      </c>
      <c r="L254" s="4" t="str">
        <f t="shared" si="15"/>
        <v/>
      </c>
      <c r="M254" s="4" t="str">
        <f t="shared" si="16"/>
        <v/>
      </c>
      <c r="N254" s="4" t="str">
        <f t="shared" si="17"/>
        <v/>
      </c>
      <c r="O254" s="4" t="str">
        <f t="shared" si="18"/>
        <v/>
      </c>
      <c r="P254" s="4" t="str">
        <f>IF(A254="",IF(COUNTA(B254:J254)&gt;0,"НЕТ ID",""),IF(OR(NOT(ISNUMBER(E254)),AND(Форма="ИП",C254="Дивиденды"),COUNTIF(Docs[ID],A254)&lt;&gt;1,NOT(ISNUMBER(B254)),B254&lt;НачалоУчета,YEAR(B254)&lt;&gt;Год,NOT(ISNUMBER(H254)),H254&lt;B254,E254&lt;0,COUNTIF(Виды,C254)&lt;&gt;1,COUNTIF(Категории,D254)&lt;&gt;1,COUNTIF(Контрагенты,F254)&lt;&gt;1,COUNTIF(Проекты,G254)&lt;&gt;1,L254&lt;-0.01,AND(I254&lt;&gt;"Проведён",I254&lt;&gt;"Черновик")),"ОШИБКА","ОК"))</f>
        <v/>
      </c>
      <c r="Q254" s="4" t="str">
        <f t="shared" si="19"/>
        <v/>
      </c>
    </row>
    <row r="255" spans="1:17" x14ac:dyDescent="0.25">
      <c r="A255" s="22"/>
      <c r="B255" s="23"/>
      <c r="C255" s="22"/>
      <c r="D255" s="22"/>
      <c r="E255" s="22"/>
      <c r="F255" s="22"/>
      <c r="G255" s="22"/>
      <c r="H255" s="23"/>
      <c r="I255" s="22"/>
      <c r="J255" s="22"/>
      <c r="K255" s="4" t="str">
        <f>IF(A255="","",SUMIFS(Cash[Оплата],Cash[Документ],A255,Cash[Дата],"&lt;="&amp;ДатаОтчета))</f>
        <v/>
      </c>
      <c r="L255" s="4" t="str">
        <f t="shared" si="15"/>
        <v/>
      </c>
      <c r="M255" s="4" t="str">
        <f t="shared" si="16"/>
        <v/>
      </c>
      <c r="N255" s="4" t="str">
        <f t="shared" si="17"/>
        <v/>
      </c>
      <c r="O255" s="4" t="str">
        <f t="shared" si="18"/>
        <v/>
      </c>
      <c r="P255" s="4" t="str">
        <f>IF(A255="",IF(COUNTA(B255:J255)&gt;0,"НЕТ ID",""),IF(OR(NOT(ISNUMBER(E255)),AND(Форма="ИП",C255="Дивиденды"),COUNTIF(Docs[ID],A255)&lt;&gt;1,NOT(ISNUMBER(B255)),B255&lt;НачалоУчета,YEAR(B255)&lt;&gt;Год,NOT(ISNUMBER(H255)),H255&lt;B255,E255&lt;0,COUNTIF(Виды,C255)&lt;&gt;1,COUNTIF(Категории,D255)&lt;&gt;1,COUNTIF(Контрагенты,F255)&lt;&gt;1,COUNTIF(Проекты,G255)&lt;&gt;1,L255&lt;-0.01,AND(I255&lt;&gt;"Проведён",I255&lt;&gt;"Черновик")),"ОШИБКА","ОК"))</f>
        <v/>
      </c>
      <c r="Q255" s="4" t="str">
        <f t="shared" si="19"/>
        <v/>
      </c>
    </row>
    <row r="256" spans="1:17" x14ac:dyDescent="0.25">
      <c r="A256" s="22"/>
      <c r="B256" s="23"/>
      <c r="C256" s="22"/>
      <c r="D256" s="22"/>
      <c r="E256" s="22"/>
      <c r="F256" s="22"/>
      <c r="G256" s="22"/>
      <c r="H256" s="23"/>
      <c r="I256" s="22"/>
      <c r="J256" s="22"/>
      <c r="K256" s="4" t="str">
        <f>IF(A256="","",SUMIFS(Cash[Оплата],Cash[Документ],A256,Cash[Дата],"&lt;="&amp;ДатаОтчета))</f>
        <v/>
      </c>
      <c r="L256" s="4" t="str">
        <f t="shared" si="15"/>
        <v/>
      </c>
      <c r="M256" s="4" t="str">
        <f t="shared" si="16"/>
        <v/>
      </c>
      <c r="N256" s="4" t="str">
        <f t="shared" si="17"/>
        <v/>
      </c>
      <c r="O256" s="4" t="str">
        <f t="shared" si="18"/>
        <v/>
      </c>
      <c r="P256" s="4" t="str">
        <f>IF(A256="",IF(COUNTA(B256:J256)&gt;0,"НЕТ ID",""),IF(OR(NOT(ISNUMBER(E256)),AND(Форма="ИП",C256="Дивиденды"),COUNTIF(Docs[ID],A256)&lt;&gt;1,NOT(ISNUMBER(B256)),B256&lt;НачалоУчета,YEAR(B256)&lt;&gt;Год,NOT(ISNUMBER(H256)),H256&lt;B256,E256&lt;0,COUNTIF(Виды,C256)&lt;&gt;1,COUNTIF(Категории,D256)&lt;&gt;1,COUNTIF(Контрагенты,F256)&lt;&gt;1,COUNTIF(Проекты,G256)&lt;&gt;1,L256&lt;-0.01,AND(I256&lt;&gt;"Проведён",I256&lt;&gt;"Черновик")),"ОШИБКА","ОК"))</f>
        <v/>
      </c>
      <c r="Q256" s="4" t="str">
        <f t="shared" si="19"/>
        <v/>
      </c>
    </row>
    <row r="257" spans="1:17" x14ac:dyDescent="0.25">
      <c r="A257" s="22"/>
      <c r="B257" s="23"/>
      <c r="C257" s="22"/>
      <c r="D257" s="22"/>
      <c r="E257" s="22"/>
      <c r="F257" s="22"/>
      <c r="G257" s="22"/>
      <c r="H257" s="23"/>
      <c r="I257" s="22"/>
      <c r="J257" s="22"/>
      <c r="K257" s="4" t="str">
        <f>IF(A257="","",SUMIFS(Cash[Оплата],Cash[Документ],A257,Cash[Дата],"&lt;="&amp;ДатаОтчета))</f>
        <v/>
      </c>
      <c r="L257" s="4" t="str">
        <f t="shared" si="15"/>
        <v/>
      </c>
      <c r="M257" s="4" t="str">
        <f t="shared" si="16"/>
        <v/>
      </c>
      <c r="N257" s="4" t="str">
        <f t="shared" si="17"/>
        <v/>
      </c>
      <c r="O257" s="4" t="str">
        <f t="shared" si="18"/>
        <v/>
      </c>
      <c r="P257" s="4" t="str">
        <f>IF(A257="",IF(COUNTA(B257:J257)&gt;0,"НЕТ ID",""),IF(OR(NOT(ISNUMBER(E257)),AND(Форма="ИП",C257="Дивиденды"),COUNTIF(Docs[ID],A257)&lt;&gt;1,NOT(ISNUMBER(B257)),B257&lt;НачалоУчета,YEAR(B257)&lt;&gt;Год,NOT(ISNUMBER(H257)),H257&lt;B257,E257&lt;0,COUNTIF(Виды,C257)&lt;&gt;1,COUNTIF(Категории,D257)&lt;&gt;1,COUNTIF(Контрагенты,F257)&lt;&gt;1,COUNTIF(Проекты,G257)&lt;&gt;1,L257&lt;-0.01,AND(I257&lt;&gt;"Проведён",I257&lt;&gt;"Черновик")),"ОШИБКА","ОК"))</f>
        <v/>
      </c>
      <c r="Q257" s="4" t="str">
        <f t="shared" si="19"/>
        <v/>
      </c>
    </row>
    <row r="258" spans="1:17" x14ac:dyDescent="0.25">
      <c r="A258" s="22"/>
      <c r="B258" s="23"/>
      <c r="C258" s="22"/>
      <c r="D258" s="22"/>
      <c r="E258" s="22"/>
      <c r="F258" s="22"/>
      <c r="G258" s="22"/>
      <c r="H258" s="23"/>
      <c r="I258" s="22"/>
      <c r="J258" s="22"/>
      <c r="K258" s="4" t="str">
        <f>IF(A258="","",SUMIFS(Cash[Оплата],Cash[Документ],A258,Cash[Дата],"&lt;="&amp;ДатаОтчета))</f>
        <v/>
      </c>
      <c r="L258" s="4" t="str">
        <f t="shared" si="15"/>
        <v/>
      </c>
      <c r="M258" s="4" t="str">
        <f t="shared" si="16"/>
        <v/>
      </c>
      <c r="N258" s="4" t="str">
        <f t="shared" si="17"/>
        <v/>
      </c>
      <c r="O258" s="4" t="str">
        <f t="shared" si="18"/>
        <v/>
      </c>
      <c r="P258" s="4" t="str">
        <f>IF(A258="",IF(COUNTA(B258:J258)&gt;0,"НЕТ ID",""),IF(OR(NOT(ISNUMBER(E258)),AND(Форма="ИП",C258="Дивиденды"),COUNTIF(Docs[ID],A258)&lt;&gt;1,NOT(ISNUMBER(B258)),B258&lt;НачалоУчета,YEAR(B258)&lt;&gt;Год,NOT(ISNUMBER(H258)),H258&lt;B258,E258&lt;0,COUNTIF(Виды,C258)&lt;&gt;1,COUNTIF(Категории,D258)&lt;&gt;1,COUNTIF(Контрагенты,F258)&lt;&gt;1,COUNTIF(Проекты,G258)&lt;&gt;1,L258&lt;-0.01,AND(I258&lt;&gt;"Проведён",I258&lt;&gt;"Черновик")),"ОШИБКА","ОК"))</f>
        <v/>
      </c>
      <c r="Q258" s="4" t="str">
        <f t="shared" si="19"/>
        <v/>
      </c>
    </row>
    <row r="259" spans="1:17" x14ac:dyDescent="0.25">
      <c r="A259" s="22"/>
      <c r="B259" s="23"/>
      <c r="C259" s="22"/>
      <c r="D259" s="22"/>
      <c r="E259" s="22"/>
      <c r="F259" s="22"/>
      <c r="G259" s="22"/>
      <c r="H259" s="23"/>
      <c r="I259" s="22"/>
      <c r="J259" s="22"/>
      <c r="K259" s="4" t="str">
        <f>IF(A259="","",SUMIFS(Cash[Оплата],Cash[Документ],A259,Cash[Дата],"&lt;="&amp;ДатаОтчета))</f>
        <v/>
      </c>
      <c r="L259" s="4" t="str">
        <f t="shared" si="15"/>
        <v/>
      </c>
      <c r="M259" s="4" t="str">
        <f t="shared" si="16"/>
        <v/>
      </c>
      <c r="N259" s="4" t="str">
        <f t="shared" si="17"/>
        <v/>
      </c>
      <c r="O259" s="4" t="str">
        <f t="shared" si="18"/>
        <v/>
      </c>
      <c r="P259" s="4" t="str">
        <f>IF(A259="",IF(COUNTA(B259:J259)&gt;0,"НЕТ ID",""),IF(OR(NOT(ISNUMBER(E259)),AND(Форма="ИП",C259="Дивиденды"),COUNTIF(Docs[ID],A259)&lt;&gt;1,NOT(ISNUMBER(B259)),B259&lt;НачалоУчета,YEAR(B259)&lt;&gt;Год,NOT(ISNUMBER(H259)),H259&lt;B259,E259&lt;0,COUNTIF(Виды,C259)&lt;&gt;1,COUNTIF(Категории,D259)&lt;&gt;1,COUNTIF(Контрагенты,F259)&lt;&gt;1,COUNTIF(Проекты,G259)&lt;&gt;1,L259&lt;-0.01,AND(I259&lt;&gt;"Проведён",I259&lt;&gt;"Черновик")),"ОШИБКА","ОК"))</f>
        <v/>
      </c>
      <c r="Q259" s="4" t="str">
        <f t="shared" si="19"/>
        <v/>
      </c>
    </row>
    <row r="260" spans="1:17" x14ac:dyDescent="0.25">
      <c r="A260" s="22"/>
      <c r="B260" s="23"/>
      <c r="C260" s="22"/>
      <c r="D260" s="22"/>
      <c r="E260" s="22"/>
      <c r="F260" s="22"/>
      <c r="G260" s="22"/>
      <c r="H260" s="23"/>
      <c r="I260" s="22"/>
      <c r="J260" s="22"/>
      <c r="K260" s="4" t="str">
        <f>IF(A260="","",SUMIFS(Cash[Оплата],Cash[Документ],A260,Cash[Дата],"&lt;="&amp;ДатаОтчета))</f>
        <v/>
      </c>
      <c r="L260" s="4" t="str">
        <f t="shared" si="15"/>
        <v/>
      </c>
      <c r="M260" s="4" t="str">
        <f t="shared" si="16"/>
        <v/>
      </c>
      <c r="N260" s="4" t="str">
        <f t="shared" si="17"/>
        <v/>
      </c>
      <c r="O260" s="4" t="str">
        <f t="shared" si="18"/>
        <v/>
      </c>
      <c r="P260" s="4" t="str">
        <f>IF(A260="",IF(COUNTA(B260:J260)&gt;0,"НЕТ ID",""),IF(OR(NOT(ISNUMBER(E260)),AND(Форма="ИП",C260="Дивиденды"),COUNTIF(Docs[ID],A260)&lt;&gt;1,NOT(ISNUMBER(B260)),B260&lt;НачалоУчета,YEAR(B260)&lt;&gt;Год,NOT(ISNUMBER(H260)),H260&lt;B260,E260&lt;0,COUNTIF(Виды,C260)&lt;&gt;1,COUNTIF(Категории,D260)&lt;&gt;1,COUNTIF(Контрагенты,F260)&lt;&gt;1,COUNTIF(Проекты,G260)&lt;&gt;1,L260&lt;-0.01,AND(I260&lt;&gt;"Проведён",I260&lt;&gt;"Черновик")),"ОШИБКА","ОК"))</f>
        <v/>
      </c>
      <c r="Q260" s="4" t="str">
        <f t="shared" si="19"/>
        <v/>
      </c>
    </row>
    <row r="261" spans="1:17" x14ac:dyDescent="0.25">
      <c r="A261" s="22"/>
      <c r="B261" s="23"/>
      <c r="C261" s="22"/>
      <c r="D261" s="22"/>
      <c r="E261" s="22"/>
      <c r="F261" s="22"/>
      <c r="G261" s="22"/>
      <c r="H261" s="23"/>
      <c r="I261" s="22"/>
      <c r="J261" s="22"/>
      <c r="K261" s="4" t="str">
        <f>IF(A261="","",SUMIFS(Cash[Оплата],Cash[Документ],A261,Cash[Дата],"&lt;="&amp;ДатаОтчета))</f>
        <v/>
      </c>
      <c r="L261" s="4" t="str">
        <f t="shared" si="15"/>
        <v/>
      </c>
      <c r="M261" s="4" t="str">
        <f t="shared" si="16"/>
        <v/>
      </c>
      <c r="N261" s="4" t="str">
        <f t="shared" si="17"/>
        <v/>
      </c>
      <c r="O261" s="4" t="str">
        <f t="shared" si="18"/>
        <v/>
      </c>
      <c r="P261" s="4" t="str">
        <f>IF(A261="",IF(COUNTA(B261:J261)&gt;0,"НЕТ ID",""),IF(OR(NOT(ISNUMBER(E261)),AND(Форма="ИП",C261="Дивиденды"),COUNTIF(Docs[ID],A261)&lt;&gt;1,NOT(ISNUMBER(B261)),B261&lt;НачалоУчета,YEAR(B261)&lt;&gt;Год,NOT(ISNUMBER(H261)),H261&lt;B261,E261&lt;0,COUNTIF(Виды,C261)&lt;&gt;1,COUNTIF(Категории,D261)&lt;&gt;1,COUNTIF(Контрагенты,F261)&lt;&gt;1,COUNTIF(Проекты,G261)&lt;&gt;1,L261&lt;-0.01,AND(I261&lt;&gt;"Проведён",I261&lt;&gt;"Черновик")),"ОШИБКА","ОК"))</f>
        <v/>
      </c>
      <c r="Q261" s="4" t="str">
        <f t="shared" si="19"/>
        <v/>
      </c>
    </row>
    <row r="262" spans="1:17" x14ac:dyDescent="0.25">
      <c r="A262" s="22"/>
      <c r="B262" s="23"/>
      <c r="C262" s="22"/>
      <c r="D262" s="22"/>
      <c r="E262" s="22"/>
      <c r="F262" s="22"/>
      <c r="G262" s="22"/>
      <c r="H262" s="23"/>
      <c r="I262" s="22"/>
      <c r="J262" s="22"/>
      <c r="K262" s="4" t="str">
        <f>IF(A262="","",SUMIFS(Cash[Оплата],Cash[Документ],A262,Cash[Дата],"&lt;="&amp;ДатаОтчета))</f>
        <v/>
      </c>
      <c r="L262" s="4" t="str">
        <f t="shared" si="15"/>
        <v/>
      </c>
      <c r="M262" s="4" t="str">
        <f t="shared" si="16"/>
        <v/>
      </c>
      <c r="N262" s="4" t="str">
        <f t="shared" si="17"/>
        <v/>
      </c>
      <c r="O262" s="4" t="str">
        <f t="shared" si="18"/>
        <v/>
      </c>
      <c r="P262" s="4" t="str">
        <f>IF(A262="",IF(COUNTA(B262:J262)&gt;0,"НЕТ ID",""),IF(OR(NOT(ISNUMBER(E262)),AND(Форма="ИП",C262="Дивиденды"),COUNTIF(Docs[ID],A262)&lt;&gt;1,NOT(ISNUMBER(B262)),B262&lt;НачалоУчета,YEAR(B262)&lt;&gt;Год,NOT(ISNUMBER(H262)),H262&lt;B262,E262&lt;0,COUNTIF(Виды,C262)&lt;&gt;1,COUNTIF(Категории,D262)&lt;&gt;1,COUNTIF(Контрагенты,F262)&lt;&gt;1,COUNTIF(Проекты,G262)&lt;&gt;1,L262&lt;-0.01,AND(I262&lt;&gt;"Проведён",I262&lt;&gt;"Черновик")),"ОШИБКА","ОК"))</f>
        <v/>
      </c>
      <c r="Q262" s="4" t="str">
        <f t="shared" si="19"/>
        <v/>
      </c>
    </row>
    <row r="263" spans="1:17" x14ac:dyDescent="0.25">
      <c r="A263" s="22"/>
      <c r="B263" s="23"/>
      <c r="C263" s="22"/>
      <c r="D263" s="22"/>
      <c r="E263" s="22"/>
      <c r="F263" s="22"/>
      <c r="G263" s="22"/>
      <c r="H263" s="23"/>
      <c r="I263" s="22"/>
      <c r="J263" s="22"/>
      <c r="K263" s="4" t="str">
        <f>IF(A263="","",SUMIFS(Cash[Оплата],Cash[Документ],A263,Cash[Дата],"&lt;="&amp;ДатаОтчета))</f>
        <v/>
      </c>
      <c r="L263" s="4" t="str">
        <f t="shared" ref="L263:L326" si="20">IF(A263="","",IF(AND(I263="Проведён",B263&lt;=ДатаОтчета),E263-K263,0))</f>
        <v/>
      </c>
      <c r="M263" s="4" t="str">
        <f t="shared" ref="M263:M326" si="21">IF(A263="","",IF(L263&gt;0.01,MAX(0,ДатаОтчета-H263),0))</f>
        <v/>
      </c>
      <c r="N263" s="4" t="str">
        <f t="shared" ref="N263:N326" si="22">IF(A263="","",IF(L263&lt;=0.01,"Закрыта",IF(M263=0,"Не просрочена",IF(M263&lt;=30,"1–30 дней",IF(M263&lt;=60,"31–60 дней",IF(M263&lt;=90,"61–90 дней","Более 90 дней"))))))</f>
        <v/>
      </c>
      <c r="O263" s="4" t="str">
        <f t="shared" ref="O263:O326" si="23">IF(A263="","",IF(L263&lt;-0.01,"Переплата",IF(L263&lt;=0.01,"Оплачено",IF(M263&gt;0,"Просрочено",IF(H263&lt;=ДатаОтчета+7,"Оплата в 7 дней","Открыто")))))</f>
        <v/>
      </c>
      <c r="P263" s="4" t="str">
        <f>IF(A263="",IF(COUNTA(B263:J263)&gt;0,"НЕТ ID",""),IF(OR(NOT(ISNUMBER(E263)),AND(Форма="ИП",C263="Дивиденды"),COUNTIF(Docs[ID],A263)&lt;&gt;1,NOT(ISNUMBER(B263)),B263&lt;НачалоУчета,YEAR(B263)&lt;&gt;Год,NOT(ISNUMBER(H263)),H263&lt;B263,E263&lt;0,COUNTIF(Виды,C263)&lt;&gt;1,COUNTIF(Категории,D263)&lt;&gt;1,COUNTIF(Контрагенты,F263)&lt;&gt;1,COUNTIF(Проекты,G263)&lt;&gt;1,L263&lt;-0.01,AND(I263&lt;&gt;"Проведён",I263&lt;&gt;"Черновик")),"ОШИБКА","ОК"))</f>
        <v/>
      </c>
      <c r="Q263" s="4" t="str">
        <f t="shared" ref="Q263:Q326" si="24">IF(A263="","",IF(OR(C263="Выручка",C263="Начальная ДЗ"),"ДЗ","КЗ"))</f>
        <v/>
      </c>
    </row>
    <row r="264" spans="1:17" x14ac:dyDescent="0.25">
      <c r="A264" s="22"/>
      <c r="B264" s="23"/>
      <c r="C264" s="22"/>
      <c r="D264" s="22"/>
      <c r="E264" s="22"/>
      <c r="F264" s="22"/>
      <c r="G264" s="22"/>
      <c r="H264" s="23"/>
      <c r="I264" s="22"/>
      <c r="J264" s="22"/>
      <c r="K264" s="4" t="str">
        <f>IF(A264="","",SUMIFS(Cash[Оплата],Cash[Документ],A264,Cash[Дата],"&lt;="&amp;ДатаОтчета))</f>
        <v/>
      </c>
      <c r="L264" s="4" t="str">
        <f t="shared" si="20"/>
        <v/>
      </c>
      <c r="M264" s="4" t="str">
        <f t="shared" si="21"/>
        <v/>
      </c>
      <c r="N264" s="4" t="str">
        <f t="shared" si="22"/>
        <v/>
      </c>
      <c r="O264" s="4" t="str">
        <f t="shared" si="23"/>
        <v/>
      </c>
      <c r="P264" s="4" t="str">
        <f>IF(A264="",IF(COUNTA(B264:J264)&gt;0,"НЕТ ID",""),IF(OR(NOT(ISNUMBER(E264)),AND(Форма="ИП",C264="Дивиденды"),COUNTIF(Docs[ID],A264)&lt;&gt;1,NOT(ISNUMBER(B264)),B264&lt;НачалоУчета,YEAR(B264)&lt;&gt;Год,NOT(ISNUMBER(H264)),H264&lt;B264,E264&lt;0,COUNTIF(Виды,C264)&lt;&gt;1,COUNTIF(Категории,D264)&lt;&gt;1,COUNTIF(Контрагенты,F264)&lt;&gt;1,COUNTIF(Проекты,G264)&lt;&gt;1,L264&lt;-0.01,AND(I264&lt;&gt;"Проведён",I264&lt;&gt;"Черновик")),"ОШИБКА","ОК"))</f>
        <v/>
      </c>
      <c r="Q264" s="4" t="str">
        <f t="shared" si="24"/>
        <v/>
      </c>
    </row>
    <row r="265" spans="1:17" x14ac:dyDescent="0.25">
      <c r="A265" s="22"/>
      <c r="B265" s="23"/>
      <c r="C265" s="22"/>
      <c r="D265" s="22"/>
      <c r="E265" s="22"/>
      <c r="F265" s="22"/>
      <c r="G265" s="22"/>
      <c r="H265" s="23"/>
      <c r="I265" s="22"/>
      <c r="J265" s="22"/>
      <c r="K265" s="4" t="str">
        <f>IF(A265="","",SUMIFS(Cash[Оплата],Cash[Документ],A265,Cash[Дата],"&lt;="&amp;ДатаОтчета))</f>
        <v/>
      </c>
      <c r="L265" s="4" t="str">
        <f t="shared" si="20"/>
        <v/>
      </c>
      <c r="M265" s="4" t="str">
        <f t="shared" si="21"/>
        <v/>
      </c>
      <c r="N265" s="4" t="str">
        <f t="shared" si="22"/>
        <v/>
      </c>
      <c r="O265" s="4" t="str">
        <f t="shared" si="23"/>
        <v/>
      </c>
      <c r="P265" s="4" t="str">
        <f>IF(A265="",IF(COUNTA(B265:J265)&gt;0,"НЕТ ID",""),IF(OR(NOT(ISNUMBER(E265)),AND(Форма="ИП",C265="Дивиденды"),COUNTIF(Docs[ID],A265)&lt;&gt;1,NOT(ISNUMBER(B265)),B265&lt;НачалоУчета,YEAR(B265)&lt;&gt;Год,NOT(ISNUMBER(H265)),H265&lt;B265,E265&lt;0,COUNTIF(Виды,C265)&lt;&gt;1,COUNTIF(Категории,D265)&lt;&gt;1,COUNTIF(Контрагенты,F265)&lt;&gt;1,COUNTIF(Проекты,G265)&lt;&gt;1,L265&lt;-0.01,AND(I265&lt;&gt;"Проведён",I265&lt;&gt;"Черновик")),"ОШИБКА","ОК"))</f>
        <v/>
      </c>
      <c r="Q265" s="4" t="str">
        <f t="shared" si="24"/>
        <v/>
      </c>
    </row>
    <row r="266" spans="1:17" x14ac:dyDescent="0.25">
      <c r="A266" s="22"/>
      <c r="B266" s="23"/>
      <c r="C266" s="22"/>
      <c r="D266" s="22"/>
      <c r="E266" s="22"/>
      <c r="F266" s="22"/>
      <c r="G266" s="22"/>
      <c r="H266" s="23"/>
      <c r="I266" s="22"/>
      <c r="J266" s="22"/>
      <c r="K266" s="4" t="str">
        <f>IF(A266="","",SUMIFS(Cash[Оплата],Cash[Документ],A266,Cash[Дата],"&lt;="&amp;ДатаОтчета))</f>
        <v/>
      </c>
      <c r="L266" s="4" t="str">
        <f t="shared" si="20"/>
        <v/>
      </c>
      <c r="M266" s="4" t="str">
        <f t="shared" si="21"/>
        <v/>
      </c>
      <c r="N266" s="4" t="str">
        <f t="shared" si="22"/>
        <v/>
      </c>
      <c r="O266" s="4" t="str">
        <f t="shared" si="23"/>
        <v/>
      </c>
      <c r="P266" s="4" t="str">
        <f>IF(A266="",IF(COUNTA(B266:J266)&gt;0,"НЕТ ID",""),IF(OR(NOT(ISNUMBER(E266)),AND(Форма="ИП",C266="Дивиденды"),COUNTIF(Docs[ID],A266)&lt;&gt;1,NOT(ISNUMBER(B266)),B266&lt;НачалоУчета,YEAR(B266)&lt;&gt;Год,NOT(ISNUMBER(H266)),H266&lt;B266,E266&lt;0,COUNTIF(Виды,C266)&lt;&gt;1,COUNTIF(Категории,D266)&lt;&gt;1,COUNTIF(Контрагенты,F266)&lt;&gt;1,COUNTIF(Проекты,G266)&lt;&gt;1,L266&lt;-0.01,AND(I266&lt;&gt;"Проведён",I266&lt;&gt;"Черновик")),"ОШИБКА","ОК"))</f>
        <v/>
      </c>
      <c r="Q266" s="4" t="str">
        <f t="shared" si="24"/>
        <v/>
      </c>
    </row>
    <row r="267" spans="1:17" x14ac:dyDescent="0.25">
      <c r="A267" s="22"/>
      <c r="B267" s="23"/>
      <c r="C267" s="22"/>
      <c r="D267" s="22"/>
      <c r="E267" s="22"/>
      <c r="F267" s="22"/>
      <c r="G267" s="22"/>
      <c r="H267" s="23"/>
      <c r="I267" s="22"/>
      <c r="J267" s="22"/>
      <c r="K267" s="4" t="str">
        <f>IF(A267="","",SUMIFS(Cash[Оплата],Cash[Документ],A267,Cash[Дата],"&lt;="&amp;ДатаОтчета))</f>
        <v/>
      </c>
      <c r="L267" s="4" t="str">
        <f t="shared" si="20"/>
        <v/>
      </c>
      <c r="M267" s="4" t="str">
        <f t="shared" si="21"/>
        <v/>
      </c>
      <c r="N267" s="4" t="str">
        <f t="shared" si="22"/>
        <v/>
      </c>
      <c r="O267" s="4" t="str">
        <f t="shared" si="23"/>
        <v/>
      </c>
      <c r="P267" s="4" t="str">
        <f>IF(A267="",IF(COUNTA(B267:J267)&gt;0,"НЕТ ID",""),IF(OR(NOT(ISNUMBER(E267)),AND(Форма="ИП",C267="Дивиденды"),COUNTIF(Docs[ID],A267)&lt;&gt;1,NOT(ISNUMBER(B267)),B267&lt;НачалоУчета,YEAR(B267)&lt;&gt;Год,NOT(ISNUMBER(H267)),H267&lt;B267,E267&lt;0,COUNTIF(Виды,C267)&lt;&gt;1,COUNTIF(Категории,D267)&lt;&gt;1,COUNTIF(Контрагенты,F267)&lt;&gt;1,COUNTIF(Проекты,G267)&lt;&gt;1,L267&lt;-0.01,AND(I267&lt;&gt;"Проведён",I267&lt;&gt;"Черновик")),"ОШИБКА","ОК"))</f>
        <v/>
      </c>
      <c r="Q267" s="4" t="str">
        <f t="shared" si="24"/>
        <v/>
      </c>
    </row>
    <row r="268" spans="1:17" x14ac:dyDescent="0.25">
      <c r="A268" s="22"/>
      <c r="B268" s="23"/>
      <c r="C268" s="22"/>
      <c r="D268" s="22"/>
      <c r="E268" s="22"/>
      <c r="F268" s="22"/>
      <c r="G268" s="22"/>
      <c r="H268" s="23"/>
      <c r="I268" s="22"/>
      <c r="J268" s="22"/>
      <c r="K268" s="4" t="str">
        <f>IF(A268="","",SUMIFS(Cash[Оплата],Cash[Документ],A268,Cash[Дата],"&lt;="&amp;ДатаОтчета))</f>
        <v/>
      </c>
      <c r="L268" s="4" t="str">
        <f t="shared" si="20"/>
        <v/>
      </c>
      <c r="M268" s="4" t="str">
        <f t="shared" si="21"/>
        <v/>
      </c>
      <c r="N268" s="4" t="str">
        <f t="shared" si="22"/>
        <v/>
      </c>
      <c r="O268" s="4" t="str">
        <f t="shared" si="23"/>
        <v/>
      </c>
      <c r="P268" s="4" t="str">
        <f>IF(A268="",IF(COUNTA(B268:J268)&gt;0,"НЕТ ID",""),IF(OR(NOT(ISNUMBER(E268)),AND(Форма="ИП",C268="Дивиденды"),COUNTIF(Docs[ID],A268)&lt;&gt;1,NOT(ISNUMBER(B268)),B268&lt;НачалоУчета,YEAR(B268)&lt;&gt;Год,NOT(ISNUMBER(H268)),H268&lt;B268,E268&lt;0,COUNTIF(Виды,C268)&lt;&gt;1,COUNTIF(Категории,D268)&lt;&gt;1,COUNTIF(Контрагенты,F268)&lt;&gt;1,COUNTIF(Проекты,G268)&lt;&gt;1,L268&lt;-0.01,AND(I268&lt;&gt;"Проведён",I268&lt;&gt;"Черновик")),"ОШИБКА","ОК"))</f>
        <v/>
      </c>
      <c r="Q268" s="4" t="str">
        <f t="shared" si="24"/>
        <v/>
      </c>
    </row>
    <row r="269" spans="1:17" x14ac:dyDescent="0.25">
      <c r="A269" s="22"/>
      <c r="B269" s="23"/>
      <c r="C269" s="22"/>
      <c r="D269" s="22"/>
      <c r="E269" s="22"/>
      <c r="F269" s="22"/>
      <c r="G269" s="22"/>
      <c r="H269" s="23"/>
      <c r="I269" s="22"/>
      <c r="J269" s="22"/>
      <c r="K269" s="4" t="str">
        <f>IF(A269="","",SUMIFS(Cash[Оплата],Cash[Документ],A269,Cash[Дата],"&lt;="&amp;ДатаОтчета))</f>
        <v/>
      </c>
      <c r="L269" s="4" t="str">
        <f t="shared" si="20"/>
        <v/>
      </c>
      <c r="M269" s="4" t="str">
        <f t="shared" si="21"/>
        <v/>
      </c>
      <c r="N269" s="4" t="str">
        <f t="shared" si="22"/>
        <v/>
      </c>
      <c r="O269" s="4" t="str">
        <f t="shared" si="23"/>
        <v/>
      </c>
      <c r="P269" s="4" t="str">
        <f>IF(A269="",IF(COUNTA(B269:J269)&gt;0,"НЕТ ID",""),IF(OR(NOT(ISNUMBER(E269)),AND(Форма="ИП",C269="Дивиденды"),COUNTIF(Docs[ID],A269)&lt;&gt;1,NOT(ISNUMBER(B269)),B269&lt;НачалоУчета,YEAR(B269)&lt;&gt;Год,NOT(ISNUMBER(H269)),H269&lt;B269,E269&lt;0,COUNTIF(Виды,C269)&lt;&gt;1,COUNTIF(Категории,D269)&lt;&gt;1,COUNTIF(Контрагенты,F269)&lt;&gt;1,COUNTIF(Проекты,G269)&lt;&gt;1,L269&lt;-0.01,AND(I269&lt;&gt;"Проведён",I269&lt;&gt;"Черновик")),"ОШИБКА","ОК"))</f>
        <v/>
      </c>
      <c r="Q269" s="4" t="str">
        <f t="shared" si="24"/>
        <v/>
      </c>
    </row>
    <row r="270" spans="1:17" x14ac:dyDescent="0.25">
      <c r="A270" s="22"/>
      <c r="B270" s="23"/>
      <c r="C270" s="22"/>
      <c r="D270" s="22"/>
      <c r="E270" s="22"/>
      <c r="F270" s="22"/>
      <c r="G270" s="22"/>
      <c r="H270" s="23"/>
      <c r="I270" s="22"/>
      <c r="J270" s="22"/>
      <c r="K270" s="4" t="str">
        <f>IF(A270="","",SUMIFS(Cash[Оплата],Cash[Документ],A270,Cash[Дата],"&lt;="&amp;ДатаОтчета))</f>
        <v/>
      </c>
      <c r="L270" s="4" t="str">
        <f t="shared" si="20"/>
        <v/>
      </c>
      <c r="M270" s="4" t="str">
        <f t="shared" si="21"/>
        <v/>
      </c>
      <c r="N270" s="4" t="str">
        <f t="shared" si="22"/>
        <v/>
      </c>
      <c r="O270" s="4" t="str">
        <f t="shared" si="23"/>
        <v/>
      </c>
      <c r="P270" s="4" t="str">
        <f>IF(A270="",IF(COUNTA(B270:J270)&gt;0,"НЕТ ID",""),IF(OR(NOT(ISNUMBER(E270)),AND(Форма="ИП",C270="Дивиденды"),COUNTIF(Docs[ID],A270)&lt;&gt;1,NOT(ISNUMBER(B270)),B270&lt;НачалоУчета,YEAR(B270)&lt;&gt;Год,NOT(ISNUMBER(H270)),H270&lt;B270,E270&lt;0,COUNTIF(Виды,C270)&lt;&gt;1,COUNTIF(Категории,D270)&lt;&gt;1,COUNTIF(Контрагенты,F270)&lt;&gt;1,COUNTIF(Проекты,G270)&lt;&gt;1,L270&lt;-0.01,AND(I270&lt;&gt;"Проведён",I270&lt;&gt;"Черновик")),"ОШИБКА","ОК"))</f>
        <v/>
      </c>
      <c r="Q270" s="4" t="str">
        <f t="shared" si="24"/>
        <v/>
      </c>
    </row>
    <row r="271" spans="1:17" x14ac:dyDescent="0.25">
      <c r="A271" s="22"/>
      <c r="B271" s="23"/>
      <c r="C271" s="22"/>
      <c r="D271" s="22"/>
      <c r="E271" s="22"/>
      <c r="F271" s="22"/>
      <c r="G271" s="22"/>
      <c r="H271" s="23"/>
      <c r="I271" s="22"/>
      <c r="J271" s="22"/>
      <c r="K271" s="4" t="str">
        <f>IF(A271="","",SUMIFS(Cash[Оплата],Cash[Документ],A271,Cash[Дата],"&lt;="&amp;ДатаОтчета))</f>
        <v/>
      </c>
      <c r="L271" s="4" t="str">
        <f t="shared" si="20"/>
        <v/>
      </c>
      <c r="M271" s="4" t="str">
        <f t="shared" si="21"/>
        <v/>
      </c>
      <c r="N271" s="4" t="str">
        <f t="shared" si="22"/>
        <v/>
      </c>
      <c r="O271" s="4" t="str">
        <f t="shared" si="23"/>
        <v/>
      </c>
      <c r="P271" s="4" t="str">
        <f>IF(A271="",IF(COUNTA(B271:J271)&gt;0,"НЕТ ID",""),IF(OR(NOT(ISNUMBER(E271)),AND(Форма="ИП",C271="Дивиденды"),COUNTIF(Docs[ID],A271)&lt;&gt;1,NOT(ISNUMBER(B271)),B271&lt;НачалоУчета,YEAR(B271)&lt;&gt;Год,NOT(ISNUMBER(H271)),H271&lt;B271,E271&lt;0,COUNTIF(Виды,C271)&lt;&gt;1,COUNTIF(Категории,D271)&lt;&gt;1,COUNTIF(Контрагенты,F271)&lt;&gt;1,COUNTIF(Проекты,G271)&lt;&gt;1,L271&lt;-0.01,AND(I271&lt;&gt;"Проведён",I271&lt;&gt;"Черновик")),"ОШИБКА","ОК"))</f>
        <v/>
      </c>
      <c r="Q271" s="4" t="str">
        <f t="shared" si="24"/>
        <v/>
      </c>
    </row>
    <row r="272" spans="1:17" x14ac:dyDescent="0.25">
      <c r="A272" s="22"/>
      <c r="B272" s="23"/>
      <c r="C272" s="22"/>
      <c r="D272" s="22"/>
      <c r="E272" s="22"/>
      <c r="F272" s="22"/>
      <c r="G272" s="22"/>
      <c r="H272" s="23"/>
      <c r="I272" s="22"/>
      <c r="J272" s="22"/>
      <c r="K272" s="4" t="str">
        <f>IF(A272="","",SUMIFS(Cash[Оплата],Cash[Документ],A272,Cash[Дата],"&lt;="&amp;ДатаОтчета))</f>
        <v/>
      </c>
      <c r="L272" s="4" t="str">
        <f t="shared" si="20"/>
        <v/>
      </c>
      <c r="M272" s="4" t="str">
        <f t="shared" si="21"/>
        <v/>
      </c>
      <c r="N272" s="4" t="str">
        <f t="shared" si="22"/>
        <v/>
      </c>
      <c r="O272" s="4" t="str">
        <f t="shared" si="23"/>
        <v/>
      </c>
      <c r="P272" s="4" t="str">
        <f>IF(A272="",IF(COUNTA(B272:J272)&gt;0,"НЕТ ID",""),IF(OR(NOT(ISNUMBER(E272)),AND(Форма="ИП",C272="Дивиденды"),COUNTIF(Docs[ID],A272)&lt;&gt;1,NOT(ISNUMBER(B272)),B272&lt;НачалоУчета,YEAR(B272)&lt;&gt;Год,NOT(ISNUMBER(H272)),H272&lt;B272,E272&lt;0,COUNTIF(Виды,C272)&lt;&gt;1,COUNTIF(Категории,D272)&lt;&gt;1,COUNTIF(Контрагенты,F272)&lt;&gt;1,COUNTIF(Проекты,G272)&lt;&gt;1,L272&lt;-0.01,AND(I272&lt;&gt;"Проведён",I272&lt;&gt;"Черновик")),"ОШИБКА","ОК"))</f>
        <v/>
      </c>
      <c r="Q272" s="4" t="str">
        <f t="shared" si="24"/>
        <v/>
      </c>
    </row>
    <row r="273" spans="1:17" x14ac:dyDescent="0.25">
      <c r="A273" s="22"/>
      <c r="B273" s="23"/>
      <c r="C273" s="22"/>
      <c r="D273" s="22"/>
      <c r="E273" s="22"/>
      <c r="F273" s="22"/>
      <c r="G273" s="22"/>
      <c r="H273" s="23"/>
      <c r="I273" s="22"/>
      <c r="J273" s="22"/>
      <c r="K273" s="4" t="str">
        <f>IF(A273="","",SUMIFS(Cash[Оплата],Cash[Документ],A273,Cash[Дата],"&lt;="&amp;ДатаОтчета))</f>
        <v/>
      </c>
      <c r="L273" s="4" t="str">
        <f t="shared" si="20"/>
        <v/>
      </c>
      <c r="M273" s="4" t="str">
        <f t="shared" si="21"/>
        <v/>
      </c>
      <c r="N273" s="4" t="str">
        <f t="shared" si="22"/>
        <v/>
      </c>
      <c r="O273" s="4" t="str">
        <f t="shared" si="23"/>
        <v/>
      </c>
      <c r="P273" s="4" t="str">
        <f>IF(A273="",IF(COUNTA(B273:J273)&gt;0,"НЕТ ID",""),IF(OR(NOT(ISNUMBER(E273)),AND(Форма="ИП",C273="Дивиденды"),COUNTIF(Docs[ID],A273)&lt;&gt;1,NOT(ISNUMBER(B273)),B273&lt;НачалоУчета,YEAR(B273)&lt;&gt;Год,NOT(ISNUMBER(H273)),H273&lt;B273,E273&lt;0,COUNTIF(Виды,C273)&lt;&gt;1,COUNTIF(Категории,D273)&lt;&gt;1,COUNTIF(Контрагенты,F273)&lt;&gt;1,COUNTIF(Проекты,G273)&lt;&gt;1,L273&lt;-0.01,AND(I273&lt;&gt;"Проведён",I273&lt;&gt;"Черновик")),"ОШИБКА","ОК"))</f>
        <v/>
      </c>
      <c r="Q273" s="4" t="str">
        <f t="shared" si="24"/>
        <v/>
      </c>
    </row>
    <row r="274" spans="1:17" x14ac:dyDescent="0.25">
      <c r="A274" s="22"/>
      <c r="B274" s="23"/>
      <c r="C274" s="22"/>
      <c r="D274" s="22"/>
      <c r="E274" s="22"/>
      <c r="F274" s="22"/>
      <c r="G274" s="22"/>
      <c r="H274" s="23"/>
      <c r="I274" s="22"/>
      <c r="J274" s="22"/>
      <c r="K274" s="4" t="str">
        <f>IF(A274="","",SUMIFS(Cash[Оплата],Cash[Документ],A274,Cash[Дата],"&lt;="&amp;ДатаОтчета))</f>
        <v/>
      </c>
      <c r="L274" s="4" t="str">
        <f t="shared" si="20"/>
        <v/>
      </c>
      <c r="M274" s="4" t="str">
        <f t="shared" si="21"/>
        <v/>
      </c>
      <c r="N274" s="4" t="str">
        <f t="shared" si="22"/>
        <v/>
      </c>
      <c r="O274" s="4" t="str">
        <f t="shared" si="23"/>
        <v/>
      </c>
      <c r="P274" s="4" t="str">
        <f>IF(A274="",IF(COUNTA(B274:J274)&gt;0,"НЕТ ID",""),IF(OR(NOT(ISNUMBER(E274)),AND(Форма="ИП",C274="Дивиденды"),COUNTIF(Docs[ID],A274)&lt;&gt;1,NOT(ISNUMBER(B274)),B274&lt;НачалоУчета,YEAR(B274)&lt;&gt;Год,NOT(ISNUMBER(H274)),H274&lt;B274,E274&lt;0,COUNTIF(Виды,C274)&lt;&gt;1,COUNTIF(Категории,D274)&lt;&gt;1,COUNTIF(Контрагенты,F274)&lt;&gt;1,COUNTIF(Проекты,G274)&lt;&gt;1,L274&lt;-0.01,AND(I274&lt;&gt;"Проведён",I274&lt;&gt;"Черновик")),"ОШИБКА","ОК"))</f>
        <v/>
      </c>
      <c r="Q274" s="4" t="str">
        <f t="shared" si="24"/>
        <v/>
      </c>
    </row>
    <row r="275" spans="1:17" x14ac:dyDescent="0.25">
      <c r="A275" s="22"/>
      <c r="B275" s="23"/>
      <c r="C275" s="22"/>
      <c r="D275" s="22"/>
      <c r="E275" s="22"/>
      <c r="F275" s="22"/>
      <c r="G275" s="22"/>
      <c r="H275" s="23"/>
      <c r="I275" s="22"/>
      <c r="J275" s="22"/>
      <c r="K275" s="4" t="str">
        <f>IF(A275="","",SUMIFS(Cash[Оплата],Cash[Документ],A275,Cash[Дата],"&lt;="&amp;ДатаОтчета))</f>
        <v/>
      </c>
      <c r="L275" s="4" t="str">
        <f t="shared" si="20"/>
        <v/>
      </c>
      <c r="M275" s="4" t="str">
        <f t="shared" si="21"/>
        <v/>
      </c>
      <c r="N275" s="4" t="str">
        <f t="shared" si="22"/>
        <v/>
      </c>
      <c r="O275" s="4" t="str">
        <f t="shared" si="23"/>
        <v/>
      </c>
      <c r="P275" s="4" t="str">
        <f>IF(A275="",IF(COUNTA(B275:J275)&gt;0,"НЕТ ID",""),IF(OR(NOT(ISNUMBER(E275)),AND(Форма="ИП",C275="Дивиденды"),COUNTIF(Docs[ID],A275)&lt;&gt;1,NOT(ISNUMBER(B275)),B275&lt;НачалоУчета,YEAR(B275)&lt;&gt;Год,NOT(ISNUMBER(H275)),H275&lt;B275,E275&lt;0,COUNTIF(Виды,C275)&lt;&gt;1,COUNTIF(Категории,D275)&lt;&gt;1,COUNTIF(Контрагенты,F275)&lt;&gt;1,COUNTIF(Проекты,G275)&lt;&gt;1,L275&lt;-0.01,AND(I275&lt;&gt;"Проведён",I275&lt;&gt;"Черновик")),"ОШИБКА","ОК"))</f>
        <v/>
      </c>
      <c r="Q275" s="4" t="str">
        <f t="shared" si="24"/>
        <v/>
      </c>
    </row>
    <row r="276" spans="1:17" x14ac:dyDescent="0.25">
      <c r="A276" s="22"/>
      <c r="B276" s="23"/>
      <c r="C276" s="22"/>
      <c r="D276" s="22"/>
      <c r="E276" s="22"/>
      <c r="F276" s="22"/>
      <c r="G276" s="22"/>
      <c r="H276" s="23"/>
      <c r="I276" s="22"/>
      <c r="J276" s="22"/>
      <c r="K276" s="4" t="str">
        <f>IF(A276="","",SUMIFS(Cash[Оплата],Cash[Документ],A276,Cash[Дата],"&lt;="&amp;ДатаОтчета))</f>
        <v/>
      </c>
      <c r="L276" s="4" t="str">
        <f t="shared" si="20"/>
        <v/>
      </c>
      <c r="M276" s="4" t="str">
        <f t="shared" si="21"/>
        <v/>
      </c>
      <c r="N276" s="4" t="str">
        <f t="shared" si="22"/>
        <v/>
      </c>
      <c r="O276" s="4" t="str">
        <f t="shared" si="23"/>
        <v/>
      </c>
      <c r="P276" s="4" t="str">
        <f>IF(A276="",IF(COUNTA(B276:J276)&gt;0,"НЕТ ID",""),IF(OR(NOT(ISNUMBER(E276)),AND(Форма="ИП",C276="Дивиденды"),COUNTIF(Docs[ID],A276)&lt;&gt;1,NOT(ISNUMBER(B276)),B276&lt;НачалоУчета,YEAR(B276)&lt;&gt;Год,NOT(ISNUMBER(H276)),H276&lt;B276,E276&lt;0,COUNTIF(Виды,C276)&lt;&gt;1,COUNTIF(Категории,D276)&lt;&gt;1,COUNTIF(Контрагенты,F276)&lt;&gt;1,COUNTIF(Проекты,G276)&lt;&gt;1,L276&lt;-0.01,AND(I276&lt;&gt;"Проведён",I276&lt;&gt;"Черновик")),"ОШИБКА","ОК"))</f>
        <v/>
      </c>
      <c r="Q276" s="4" t="str">
        <f t="shared" si="24"/>
        <v/>
      </c>
    </row>
    <row r="277" spans="1:17" x14ac:dyDescent="0.25">
      <c r="A277" s="22"/>
      <c r="B277" s="23"/>
      <c r="C277" s="22"/>
      <c r="D277" s="22"/>
      <c r="E277" s="22"/>
      <c r="F277" s="22"/>
      <c r="G277" s="22"/>
      <c r="H277" s="23"/>
      <c r="I277" s="22"/>
      <c r="J277" s="22"/>
      <c r="K277" s="4" t="str">
        <f>IF(A277="","",SUMIFS(Cash[Оплата],Cash[Документ],A277,Cash[Дата],"&lt;="&amp;ДатаОтчета))</f>
        <v/>
      </c>
      <c r="L277" s="4" t="str">
        <f t="shared" si="20"/>
        <v/>
      </c>
      <c r="M277" s="4" t="str">
        <f t="shared" si="21"/>
        <v/>
      </c>
      <c r="N277" s="4" t="str">
        <f t="shared" si="22"/>
        <v/>
      </c>
      <c r="O277" s="4" t="str">
        <f t="shared" si="23"/>
        <v/>
      </c>
      <c r="P277" s="4" t="str">
        <f>IF(A277="",IF(COUNTA(B277:J277)&gt;0,"НЕТ ID",""),IF(OR(NOT(ISNUMBER(E277)),AND(Форма="ИП",C277="Дивиденды"),COUNTIF(Docs[ID],A277)&lt;&gt;1,NOT(ISNUMBER(B277)),B277&lt;НачалоУчета,YEAR(B277)&lt;&gt;Год,NOT(ISNUMBER(H277)),H277&lt;B277,E277&lt;0,COUNTIF(Виды,C277)&lt;&gt;1,COUNTIF(Категории,D277)&lt;&gt;1,COUNTIF(Контрагенты,F277)&lt;&gt;1,COUNTIF(Проекты,G277)&lt;&gt;1,L277&lt;-0.01,AND(I277&lt;&gt;"Проведён",I277&lt;&gt;"Черновик")),"ОШИБКА","ОК"))</f>
        <v/>
      </c>
      <c r="Q277" s="4" t="str">
        <f t="shared" si="24"/>
        <v/>
      </c>
    </row>
    <row r="278" spans="1:17" x14ac:dyDescent="0.25">
      <c r="A278" s="22"/>
      <c r="B278" s="23"/>
      <c r="C278" s="22"/>
      <c r="D278" s="22"/>
      <c r="E278" s="22"/>
      <c r="F278" s="22"/>
      <c r="G278" s="22"/>
      <c r="H278" s="23"/>
      <c r="I278" s="22"/>
      <c r="J278" s="22"/>
      <c r="K278" s="4" t="str">
        <f>IF(A278="","",SUMIFS(Cash[Оплата],Cash[Документ],A278,Cash[Дата],"&lt;="&amp;ДатаОтчета))</f>
        <v/>
      </c>
      <c r="L278" s="4" t="str">
        <f t="shared" si="20"/>
        <v/>
      </c>
      <c r="M278" s="4" t="str">
        <f t="shared" si="21"/>
        <v/>
      </c>
      <c r="N278" s="4" t="str">
        <f t="shared" si="22"/>
        <v/>
      </c>
      <c r="O278" s="4" t="str">
        <f t="shared" si="23"/>
        <v/>
      </c>
      <c r="P278" s="4" t="str">
        <f>IF(A278="",IF(COUNTA(B278:J278)&gt;0,"НЕТ ID",""),IF(OR(NOT(ISNUMBER(E278)),AND(Форма="ИП",C278="Дивиденды"),COUNTIF(Docs[ID],A278)&lt;&gt;1,NOT(ISNUMBER(B278)),B278&lt;НачалоУчета,YEAR(B278)&lt;&gt;Год,NOT(ISNUMBER(H278)),H278&lt;B278,E278&lt;0,COUNTIF(Виды,C278)&lt;&gt;1,COUNTIF(Категории,D278)&lt;&gt;1,COUNTIF(Контрагенты,F278)&lt;&gt;1,COUNTIF(Проекты,G278)&lt;&gt;1,L278&lt;-0.01,AND(I278&lt;&gt;"Проведён",I278&lt;&gt;"Черновик")),"ОШИБКА","ОК"))</f>
        <v/>
      </c>
      <c r="Q278" s="4" t="str">
        <f t="shared" si="24"/>
        <v/>
      </c>
    </row>
    <row r="279" spans="1:17" x14ac:dyDescent="0.25">
      <c r="A279" s="22"/>
      <c r="B279" s="23"/>
      <c r="C279" s="22"/>
      <c r="D279" s="22"/>
      <c r="E279" s="22"/>
      <c r="F279" s="22"/>
      <c r="G279" s="22"/>
      <c r="H279" s="23"/>
      <c r="I279" s="22"/>
      <c r="J279" s="22"/>
      <c r="K279" s="4" t="str">
        <f>IF(A279="","",SUMIFS(Cash[Оплата],Cash[Документ],A279,Cash[Дата],"&lt;="&amp;ДатаОтчета))</f>
        <v/>
      </c>
      <c r="L279" s="4" t="str">
        <f t="shared" si="20"/>
        <v/>
      </c>
      <c r="M279" s="4" t="str">
        <f t="shared" si="21"/>
        <v/>
      </c>
      <c r="N279" s="4" t="str">
        <f t="shared" si="22"/>
        <v/>
      </c>
      <c r="O279" s="4" t="str">
        <f t="shared" si="23"/>
        <v/>
      </c>
      <c r="P279" s="4" t="str">
        <f>IF(A279="",IF(COUNTA(B279:J279)&gt;0,"НЕТ ID",""),IF(OR(NOT(ISNUMBER(E279)),AND(Форма="ИП",C279="Дивиденды"),COUNTIF(Docs[ID],A279)&lt;&gt;1,NOT(ISNUMBER(B279)),B279&lt;НачалоУчета,YEAR(B279)&lt;&gt;Год,NOT(ISNUMBER(H279)),H279&lt;B279,E279&lt;0,COUNTIF(Виды,C279)&lt;&gt;1,COUNTIF(Категории,D279)&lt;&gt;1,COUNTIF(Контрагенты,F279)&lt;&gt;1,COUNTIF(Проекты,G279)&lt;&gt;1,L279&lt;-0.01,AND(I279&lt;&gt;"Проведён",I279&lt;&gt;"Черновик")),"ОШИБКА","ОК"))</f>
        <v/>
      </c>
      <c r="Q279" s="4" t="str">
        <f t="shared" si="24"/>
        <v/>
      </c>
    </row>
    <row r="280" spans="1:17" x14ac:dyDescent="0.25">
      <c r="A280" s="22"/>
      <c r="B280" s="23"/>
      <c r="C280" s="22"/>
      <c r="D280" s="22"/>
      <c r="E280" s="22"/>
      <c r="F280" s="22"/>
      <c r="G280" s="22"/>
      <c r="H280" s="23"/>
      <c r="I280" s="22"/>
      <c r="J280" s="22"/>
      <c r="K280" s="4" t="str">
        <f>IF(A280="","",SUMIFS(Cash[Оплата],Cash[Документ],A280,Cash[Дата],"&lt;="&amp;ДатаОтчета))</f>
        <v/>
      </c>
      <c r="L280" s="4" t="str">
        <f t="shared" si="20"/>
        <v/>
      </c>
      <c r="M280" s="4" t="str">
        <f t="shared" si="21"/>
        <v/>
      </c>
      <c r="N280" s="4" t="str">
        <f t="shared" si="22"/>
        <v/>
      </c>
      <c r="O280" s="4" t="str">
        <f t="shared" si="23"/>
        <v/>
      </c>
      <c r="P280" s="4" t="str">
        <f>IF(A280="",IF(COUNTA(B280:J280)&gt;0,"НЕТ ID",""),IF(OR(NOT(ISNUMBER(E280)),AND(Форма="ИП",C280="Дивиденды"),COUNTIF(Docs[ID],A280)&lt;&gt;1,NOT(ISNUMBER(B280)),B280&lt;НачалоУчета,YEAR(B280)&lt;&gt;Год,NOT(ISNUMBER(H280)),H280&lt;B280,E280&lt;0,COUNTIF(Виды,C280)&lt;&gt;1,COUNTIF(Категории,D280)&lt;&gt;1,COUNTIF(Контрагенты,F280)&lt;&gt;1,COUNTIF(Проекты,G280)&lt;&gt;1,L280&lt;-0.01,AND(I280&lt;&gt;"Проведён",I280&lt;&gt;"Черновик")),"ОШИБКА","ОК"))</f>
        <v/>
      </c>
      <c r="Q280" s="4" t="str">
        <f t="shared" si="24"/>
        <v/>
      </c>
    </row>
    <row r="281" spans="1:17" x14ac:dyDescent="0.25">
      <c r="A281" s="22"/>
      <c r="B281" s="23"/>
      <c r="C281" s="22"/>
      <c r="D281" s="22"/>
      <c r="E281" s="22"/>
      <c r="F281" s="22"/>
      <c r="G281" s="22"/>
      <c r="H281" s="23"/>
      <c r="I281" s="22"/>
      <c r="J281" s="22"/>
      <c r="K281" s="4" t="str">
        <f>IF(A281="","",SUMIFS(Cash[Оплата],Cash[Документ],A281,Cash[Дата],"&lt;="&amp;ДатаОтчета))</f>
        <v/>
      </c>
      <c r="L281" s="4" t="str">
        <f t="shared" si="20"/>
        <v/>
      </c>
      <c r="M281" s="4" t="str">
        <f t="shared" si="21"/>
        <v/>
      </c>
      <c r="N281" s="4" t="str">
        <f t="shared" si="22"/>
        <v/>
      </c>
      <c r="O281" s="4" t="str">
        <f t="shared" si="23"/>
        <v/>
      </c>
      <c r="P281" s="4" t="str">
        <f>IF(A281="",IF(COUNTA(B281:J281)&gt;0,"НЕТ ID",""),IF(OR(NOT(ISNUMBER(E281)),AND(Форма="ИП",C281="Дивиденды"),COUNTIF(Docs[ID],A281)&lt;&gt;1,NOT(ISNUMBER(B281)),B281&lt;НачалоУчета,YEAR(B281)&lt;&gt;Год,NOT(ISNUMBER(H281)),H281&lt;B281,E281&lt;0,COUNTIF(Виды,C281)&lt;&gt;1,COUNTIF(Категории,D281)&lt;&gt;1,COUNTIF(Контрагенты,F281)&lt;&gt;1,COUNTIF(Проекты,G281)&lt;&gt;1,L281&lt;-0.01,AND(I281&lt;&gt;"Проведён",I281&lt;&gt;"Черновик")),"ОШИБКА","ОК"))</f>
        <v/>
      </c>
      <c r="Q281" s="4" t="str">
        <f t="shared" si="24"/>
        <v/>
      </c>
    </row>
    <row r="282" spans="1:17" x14ac:dyDescent="0.25">
      <c r="A282" s="22"/>
      <c r="B282" s="23"/>
      <c r="C282" s="22"/>
      <c r="D282" s="22"/>
      <c r="E282" s="22"/>
      <c r="F282" s="22"/>
      <c r="G282" s="22"/>
      <c r="H282" s="23"/>
      <c r="I282" s="22"/>
      <c r="J282" s="22"/>
      <c r="K282" s="4" t="str">
        <f>IF(A282="","",SUMIFS(Cash[Оплата],Cash[Документ],A282,Cash[Дата],"&lt;="&amp;ДатаОтчета))</f>
        <v/>
      </c>
      <c r="L282" s="4" t="str">
        <f t="shared" si="20"/>
        <v/>
      </c>
      <c r="M282" s="4" t="str">
        <f t="shared" si="21"/>
        <v/>
      </c>
      <c r="N282" s="4" t="str">
        <f t="shared" si="22"/>
        <v/>
      </c>
      <c r="O282" s="4" t="str">
        <f t="shared" si="23"/>
        <v/>
      </c>
      <c r="P282" s="4" t="str">
        <f>IF(A282="",IF(COUNTA(B282:J282)&gt;0,"НЕТ ID",""),IF(OR(NOT(ISNUMBER(E282)),AND(Форма="ИП",C282="Дивиденды"),COUNTIF(Docs[ID],A282)&lt;&gt;1,NOT(ISNUMBER(B282)),B282&lt;НачалоУчета,YEAR(B282)&lt;&gt;Год,NOT(ISNUMBER(H282)),H282&lt;B282,E282&lt;0,COUNTIF(Виды,C282)&lt;&gt;1,COUNTIF(Категории,D282)&lt;&gt;1,COUNTIF(Контрагенты,F282)&lt;&gt;1,COUNTIF(Проекты,G282)&lt;&gt;1,L282&lt;-0.01,AND(I282&lt;&gt;"Проведён",I282&lt;&gt;"Черновик")),"ОШИБКА","ОК"))</f>
        <v/>
      </c>
      <c r="Q282" s="4" t="str">
        <f t="shared" si="24"/>
        <v/>
      </c>
    </row>
    <row r="283" spans="1:17" x14ac:dyDescent="0.25">
      <c r="A283" s="22"/>
      <c r="B283" s="23"/>
      <c r="C283" s="22"/>
      <c r="D283" s="22"/>
      <c r="E283" s="22"/>
      <c r="F283" s="22"/>
      <c r="G283" s="22"/>
      <c r="H283" s="23"/>
      <c r="I283" s="22"/>
      <c r="J283" s="22"/>
      <c r="K283" s="4" t="str">
        <f>IF(A283="","",SUMIFS(Cash[Оплата],Cash[Документ],A283,Cash[Дата],"&lt;="&amp;ДатаОтчета))</f>
        <v/>
      </c>
      <c r="L283" s="4" t="str">
        <f t="shared" si="20"/>
        <v/>
      </c>
      <c r="M283" s="4" t="str">
        <f t="shared" si="21"/>
        <v/>
      </c>
      <c r="N283" s="4" t="str">
        <f t="shared" si="22"/>
        <v/>
      </c>
      <c r="O283" s="4" t="str">
        <f t="shared" si="23"/>
        <v/>
      </c>
      <c r="P283" s="4" t="str">
        <f>IF(A283="",IF(COUNTA(B283:J283)&gt;0,"НЕТ ID",""),IF(OR(NOT(ISNUMBER(E283)),AND(Форма="ИП",C283="Дивиденды"),COUNTIF(Docs[ID],A283)&lt;&gt;1,NOT(ISNUMBER(B283)),B283&lt;НачалоУчета,YEAR(B283)&lt;&gt;Год,NOT(ISNUMBER(H283)),H283&lt;B283,E283&lt;0,COUNTIF(Виды,C283)&lt;&gt;1,COUNTIF(Категории,D283)&lt;&gt;1,COUNTIF(Контрагенты,F283)&lt;&gt;1,COUNTIF(Проекты,G283)&lt;&gt;1,L283&lt;-0.01,AND(I283&lt;&gt;"Проведён",I283&lt;&gt;"Черновик")),"ОШИБКА","ОК"))</f>
        <v/>
      </c>
      <c r="Q283" s="4" t="str">
        <f t="shared" si="24"/>
        <v/>
      </c>
    </row>
    <row r="284" spans="1:17" x14ac:dyDescent="0.25">
      <c r="A284" s="22"/>
      <c r="B284" s="23"/>
      <c r="C284" s="22"/>
      <c r="D284" s="22"/>
      <c r="E284" s="22"/>
      <c r="F284" s="22"/>
      <c r="G284" s="22"/>
      <c r="H284" s="23"/>
      <c r="I284" s="22"/>
      <c r="J284" s="22"/>
      <c r="K284" s="4" t="str">
        <f>IF(A284="","",SUMIFS(Cash[Оплата],Cash[Документ],A284,Cash[Дата],"&lt;="&amp;ДатаОтчета))</f>
        <v/>
      </c>
      <c r="L284" s="4" t="str">
        <f t="shared" si="20"/>
        <v/>
      </c>
      <c r="M284" s="4" t="str">
        <f t="shared" si="21"/>
        <v/>
      </c>
      <c r="N284" s="4" t="str">
        <f t="shared" si="22"/>
        <v/>
      </c>
      <c r="O284" s="4" t="str">
        <f t="shared" si="23"/>
        <v/>
      </c>
      <c r="P284" s="4" t="str">
        <f>IF(A284="",IF(COUNTA(B284:J284)&gt;0,"НЕТ ID",""),IF(OR(NOT(ISNUMBER(E284)),AND(Форма="ИП",C284="Дивиденды"),COUNTIF(Docs[ID],A284)&lt;&gt;1,NOT(ISNUMBER(B284)),B284&lt;НачалоУчета,YEAR(B284)&lt;&gt;Год,NOT(ISNUMBER(H284)),H284&lt;B284,E284&lt;0,COUNTIF(Виды,C284)&lt;&gt;1,COUNTIF(Категории,D284)&lt;&gt;1,COUNTIF(Контрагенты,F284)&lt;&gt;1,COUNTIF(Проекты,G284)&lt;&gt;1,L284&lt;-0.01,AND(I284&lt;&gt;"Проведён",I284&lt;&gt;"Черновик")),"ОШИБКА","ОК"))</f>
        <v/>
      </c>
      <c r="Q284" s="4" t="str">
        <f t="shared" si="24"/>
        <v/>
      </c>
    </row>
    <row r="285" spans="1:17" x14ac:dyDescent="0.25">
      <c r="A285" s="22"/>
      <c r="B285" s="23"/>
      <c r="C285" s="22"/>
      <c r="D285" s="22"/>
      <c r="E285" s="22"/>
      <c r="F285" s="22"/>
      <c r="G285" s="22"/>
      <c r="H285" s="23"/>
      <c r="I285" s="22"/>
      <c r="J285" s="22"/>
      <c r="K285" s="4" t="str">
        <f>IF(A285="","",SUMIFS(Cash[Оплата],Cash[Документ],A285,Cash[Дата],"&lt;="&amp;ДатаОтчета))</f>
        <v/>
      </c>
      <c r="L285" s="4" t="str">
        <f t="shared" si="20"/>
        <v/>
      </c>
      <c r="M285" s="4" t="str">
        <f t="shared" si="21"/>
        <v/>
      </c>
      <c r="N285" s="4" t="str">
        <f t="shared" si="22"/>
        <v/>
      </c>
      <c r="O285" s="4" t="str">
        <f t="shared" si="23"/>
        <v/>
      </c>
      <c r="P285" s="4" t="str">
        <f>IF(A285="",IF(COUNTA(B285:J285)&gt;0,"НЕТ ID",""),IF(OR(NOT(ISNUMBER(E285)),AND(Форма="ИП",C285="Дивиденды"),COUNTIF(Docs[ID],A285)&lt;&gt;1,NOT(ISNUMBER(B285)),B285&lt;НачалоУчета,YEAR(B285)&lt;&gt;Год,NOT(ISNUMBER(H285)),H285&lt;B285,E285&lt;0,COUNTIF(Виды,C285)&lt;&gt;1,COUNTIF(Категории,D285)&lt;&gt;1,COUNTIF(Контрагенты,F285)&lt;&gt;1,COUNTIF(Проекты,G285)&lt;&gt;1,L285&lt;-0.01,AND(I285&lt;&gt;"Проведён",I285&lt;&gt;"Черновик")),"ОШИБКА","ОК"))</f>
        <v/>
      </c>
      <c r="Q285" s="4" t="str">
        <f t="shared" si="24"/>
        <v/>
      </c>
    </row>
    <row r="286" spans="1:17" x14ac:dyDescent="0.25">
      <c r="A286" s="22"/>
      <c r="B286" s="23"/>
      <c r="C286" s="22"/>
      <c r="D286" s="22"/>
      <c r="E286" s="22"/>
      <c r="F286" s="22"/>
      <c r="G286" s="22"/>
      <c r="H286" s="23"/>
      <c r="I286" s="22"/>
      <c r="J286" s="22"/>
      <c r="K286" s="4" t="str">
        <f>IF(A286="","",SUMIFS(Cash[Оплата],Cash[Документ],A286,Cash[Дата],"&lt;="&amp;ДатаОтчета))</f>
        <v/>
      </c>
      <c r="L286" s="4" t="str">
        <f t="shared" si="20"/>
        <v/>
      </c>
      <c r="M286" s="4" t="str">
        <f t="shared" si="21"/>
        <v/>
      </c>
      <c r="N286" s="4" t="str">
        <f t="shared" si="22"/>
        <v/>
      </c>
      <c r="O286" s="4" t="str">
        <f t="shared" si="23"/>
        <v/>
      </c>
      <c r="P286" s="4" t="str">
        <f>IF(A286="",IF(COUNTA(B286:J286)&gt;0,"НЕТ ID",""),IF(OR(NOT(ISNUMBER(E286)),AND(Форма="ИП",C286="Дивиденды"),COUNTIF(Docs[ID],A286)&lt;&gt;1,NOT(ISNUMBER(B286)),B286&lt;НачалоУчета,YEAR(B286)&lt;&gt;Год,NOT(ISNUMBER(H286)),H286&lt;B286,E286&lt;0,COUNTIF(Виды,C286)&lt;&gt;1,COUNTIF(Категории,D286)&lt;&gt;1,COUNTIF(Контрагенты,F286)&lt;&gt;1,COUNTIF(Проекты,G286)&lt;&gt;1,L286&lt;-0.01,AND(I286&lt;&gt;"Проведён",I286&lt;&gt;"Черновик")),"ОШИБКА","ОК"))</f>
        <v/>
      </c>
      <c r="Q286" s="4" t="str">
        <f t="shared" si="24"/>
        <v/>
      </c>
    </row>
    <row r="287" spans="1:17" x14ac:dyDescent="0.25">
      <c r="A287" s="22"/>
      <c r="B287" s="23"/>
      <c r="C287" s="22"/>
      <c r="D287" s="22"/>
      <c r="E287" s="22"/>
      <c r="F287" s="22"/>
      <c r="G287" s="22"/>
      <c r="H287" s="23"/>
      <c r="I287" s="22"/>
      <c r="J287" s="22"/>
      <c r="K287" s="4" t="str">
        <f>IF(A287="","",SUMIFS(Cash[Оплата],Cash[Документ],A287,Cash[Дата],"&lt;="&amp;ДатаОтчета))</f>
        <v/>
      </c>
      <c r="L287" s="4" t="str">
        <f t="shared" si="20"/>
        <v/>
      </c>
      <c r="M287" s="4" t="str">
        <f t="shared" si="21"/>
        <v/>
      </c>
      <c r="N287" s="4" t="str">
        <f t="shared" si="22"/>
        <v/>
      </c>
      <c r="O287" s="4" t="str">
        <f t="shared" si="23"/>
        <v/>
      </c>
      <c r="P287" s="4" t="str">
        <f>IF(A287="",IF(COUNTA(B287:J287)&gt;0,"НЕТ ID",""),IF(OR(NOT(ISNUMBER(E287)),AND(Форма="ИП",C287="Дивиденды"),COUNTIF(Docs[ID],A287)&lt;&gt;1,NOT(ISNUMBER(B287)),B287&lt;НачалоУчета,YEAR(B287)&lt;&gt;Год,NOT(ISNUMBER(H287)),H287&lt;B287,E287&lt;0,COUNTIF(Виды,C287)&lt;&gt;1,COUNTIF(Категории,D287)&lt;&gt;1,COUNTIF(Контрагенты,F287)&lt;&gt;1,COUNTIF(Проекты,G287)&lt;&gt;1,L287&lt;-0.01,AND(I287&lt;&gt;"Проведён",I287&lt;&gt;"Черновик")),"ОШИБКА","ОК"))</f>
        <v/>
      </c>
      <c r="Q287" s="4" t="str">
        <f t="shared" si="24"/>
        <v/>
      </c>
    </row>
    <row r="288" spans="1:17" x14ac:dyDescent="0.25">
      <c r="A288" s="22"/>
      <c r="B288" s="23"/>
      <c r="C288" s="22"/>
      <c r="D288" s="22"/>
      <c r="E288" s="22"/>
      <c r="F288" s="22"/>
      <c r="G288" s="22"/>
      <c r="H288" s="23"/>
      <c r="I288" s="22"/>
      <c r="J288" s="22"/>
      <c r="K288" s="4" t="str">
        <f>IF(A288="","",SUMIFS(Cash[Оплата],Cash[Документ],A288,Cash[Дата],"&lt;="&amp;ДатаОтчета))</f>
        <v/>
      </c>
      <c r="L288" s="4" t="str">
        <f t="shared" si="20"/>
        <v/>
      </c>
      <c r="M288" s="4" t="str">
        <f t="shared" si="21"/>
        <v/>
      </c>
      <c r="N288" s="4" t="str">
        <f t="shared" si="22"/>
        <v/>
      </c>
      <c r="O288" s="4" t="str">
        <f t="shared" si="23"/>
        <v/>
      </c>
      <c r="P288" s="4" t="str">
        <f>IF(A288="",IF(COUNTA(B288:J288)&gt;0,"НЕТ ID",""),IF(OR(NOT(ISNUMBER(E288)),AND(Форма="ИП",C288="Дивиденды"),COUNTIF(Docs[ID],A288)&lt;&gt;1,NOT(ISNUMBER(B288)),B288&lt;НачалоУчета,YEAR(B288)&lt;&gt;Год,NOT(ISNUMBER(H288)),H288&lt;B288,E288&lt;0,COUNTIF(Виды,C288)&lt;&gt;1,COUNTIF(Категории,D288)&lt;&gt;1,COUNTIF(Контрагенты,F288)&lt;&gt;1,COUNTIF(Проекты,G288)&lt;&gt;1,L288&lt;-0.01,AND(I288&lt;&gt;"Проведён",I288&lt;&gt;"Черновик")),"ОШИБКА","ОК"))</f>
        <v/>
      </c>
      <c r="Q288" s="4" t="str">
        <f t="shared" si="24"/>
        <v/>
      </c>
    </row>
    <row r="289" spans="1:17" x14ac:dyDescent="0.25">
      <c r="A289" s="22"/>
      <c r="B289" s="23"/>
      <c r="C289" s="22"/>
      <c r="D289" s="22"/>
      <c r="E289" s="22"/>
      <c r="F289" s="22"/>
      <c r="G289" s="22"/>
      <c r="H289" s="23"/>
      <c r="I289" s="22"/>
      <c r="J289" s="22"/>
      <c r="K289" s="4" t="str">
        <f>IF(A289="","",SUMIFS(Cash[Оплата],Cash[Документ],A289,Cash[Дата],"&lt;="&amp;ДатаОтчета))</f>
        <v/>
      </c>
      <c r="L289" s="4" t="str">
        <f t="shared" si="20"/>
        <v/>
      </c>
      <c r="M289" s="4" t="str">
        <f t="shared" si="21"/>
        <v/>
      </c>
      <c r="N289" s="4" t="str">
        <f t="shared" si="22"/>
        <v/>
      </c>
      <c r="O289" s="4" t="str">
        <f t="shared" si="23"/>
        <v/>
      </c>
      <c r="P289" s="4" t="str">
        <f>IF(A289="",IF(COUNTA(B289:J289)&gt;0,"НЕТ ID",""),IF(OR(NOT(ISNUMBER(E289)),AND(Форма="ИП",C289="Дивиденды"),COUNTIF(Docs[ID],A289)&lt;&gt;1,NOT(ISNUMBER(B289)),B289&lt;НачалоУчета,YEAR(B289)&lt;&gt;Год,NOT(ISNUMBER(H289)),H289&lt;B289,E289&lt;0,COUNTIF(Виды,C289)&lt;&gt;1,COUNTIF(Категории,D289)&lt;&gt;1,COUNTIF(Контрагенты,F289)&lt;&gt;1,COUNTIF(Проекты,G289)&lt;&gt;1,L289&lt;-0.01,AND(I289&lt;&gt;"Проведён",I289&lt;&gt;"Черновик")),"ОШИБКА","ОК"))</f>
        <v/>
      </c>
      <c r="Q289" s="4" t="str">
        <f t="shared" si="24"/>
        <v/>
      </c>
    </row>
    <row r="290" spans="1:17" x14ac:dyDescent="0.25">
      <c r="A290" s="22"/>
      <c r="B290" s="23"/>
      <c r="C290" s="22"/>
      <c r="D290" s="22"/>
      <c r="E290" s="22"/>
      <c r="F290" s="22"/>
      <c r="G290" s="22"/>
      <c r="H290" s="23"/>
      <c r="I290" s="22"/>
      <c r="J290" s="22"/>
      <c r="K290" s="4" t="str">
        <f>IF(A290="","",SUMIFS(Cash[Оплата],Cash[Документ],A290,Cash[Дата],"&lt;="&amp;ДатаОтчета))</f>
        <v/>
      </c>
      <c r="L290" s="4" t="str">
        <f t="shared" si="20"/>
        <v/>
      </c>
      <c r="M290" s="4" t="str">
        <f t="shared" si="21"/>
        <v/>
      </c>
      <c r="N290" s="4" t="str">
        <f t="shared" si="22"/>
        <v/>
      </c>
      <c r="O290" s="4" t="str">
        <f t="shared" si="23"/>
        <v/>
      </c>
      <c r="P290" s="4" t="str">
        <f>IF(A290="",IF(COUNTA(B290:J290)&gt;0,"НЕТ ID",""),IF(OR(NOT(ISNUMBER(E290)),AND(Форма="ИП",C290="Дивиденды"),COUNTIF(Docs[ID],A290)&lt;&gt;1,NOT(ISNUMBER(B290)),B290&lt;НачалоУчета,YEAR(B290)&lt;&gt;Год,NOT(ISNUMBER(H290)),H290&lt;B290,E290&lt;0,COUNTIF(Виды,C290)&lt;&gt;1,COUNTIF(Категории,D290)&lt;&gt;1,COUNTIF(Контрагенты,F290)&lt;&gt;1,COUNTIF(Проекты,G290)&lt;&gt;1,L290&lt;-0.01,AND(I290&lt;&gt;"Проведён",I290&lt;&gt;"Черновик")),"ОШИБКА","ОК"))</f>
        <v/>
      </c>
      <c r="Q290" s="4" t="str">
        <f t="shared" si="24"/>
        <v/>
      </c>
    </row>
    <row r="291" spans="1:17" x14ac:dyDescent="0.25">
      <c r="A291" s="22"/>
      <c r="B291" s="23"/>
      <c r="C291" s="22"/>
      <c r="D291" s="22"/>
      <c r="E291" s="22"/>
      <c r="F291" s="22"/>
      <c r="G291" s="22"/>
      <c r="H291" s="23"/>
      <c r="I291" s="22"/>
      <c r="J291" s="22"/>
      <c r="K291" s="4" t="str">
        <f>IF(A291="","",SUMIFS(Cash[Оплата],Cash[Документ],A291,Cash[Дата],"&lt;="&amp;ДатаОтчета))</f>
        <v/>
      </c>
      <c r="L291" s="4" t="str">
        <f t="shared" si="20"/>
        <v/>
      </c>
      <c r="M291" s="4" t="str">
        <f t="shared" si="21"/>
        <v/>
      </c>
      <c r="N291" s="4" t="str">
        <f t="shared" si="22"/>
        <v/>
      </c>
      <c r="O291" s="4" t="str">
        <f t="shared" si="23"/>
        <v/>
      </c>
      <c r="P291" s="4" t="str">
        <f>IF(A291="",IF(COUNTA(B291:J291)&gt;0,"НЕТ ID",""),IF(OR(NOT(ISNUMBER(E291)),AND(Форма="ИП",C291="Дивиденды"),COUNTIF(Docs[ID],A291)&lt;&gt;1,NOT(ISNUMBER(B291)),B291&lt;НачалоУчета,YEAR(B291)&lt;&gt;Год,NOT(ISNUMBER(H291)),H291&lt;B291,E291&lt;0,COUNTIF(Виды,C291)&lt;&gt;1,COUNTIF(Категории,D291)&lt;&gt;1,COUNTIF(Контрагенты,F291)&lt;&gt;1,COUNTIF(Проекты,G291)&lt;&gt;1,L291&lt;-0.01,AND(I291&lt;&gt;"Проведён",I291&lt;&gt;"Черновик")),"ОШИБКА","ОК"))</f>
        <v/>
      </c>
      <c r="Q291" s="4" t="str">
        <f t="shared" si="24"/>
        <v/>
      </c>
    </row>
    <row r="292" spans="1:17" x14ac:dyDescent="0.25">
      <c r="A292" s="22"/>
      <c r="B292" s="23"/>
      <c r="C292" s="22"/>
      <c r="D292" s="22"/>
      <c r="E292" s="22"/>
      <c r="F292" s="22"/>
      <c r="G292" s="22"/>
      <c r="H292" s="23"/>
      <c r="I292" s="22"/>
      <c r="J292" s="22"/>
      <c r="K292" s="4" t="str">
        <f>IF(A292="","",SUMIFS(Cash[Оплата],Cash[Документ],A292,Cash[Дата],"&lt;="&amp;ДатаОтчета))</f>
        <v/>
      </c>
      <c r="L292" s="4" t="str">
        <f t="shared" si="20"/>
        <v/>
      </c>
      <c r="M292" s="4" t="str">
        <f t="shared" si="21"/>
        <v/>
      </c>
      <c r="N292" s="4" t="str">
        <f t="shared" si="22"/>
        <v/>
      </c>
      <c r="O292" s="4" t="str">
        <f t="shared" si="23"/>
        <v/>
      </c>
      <c r="P292" s="4" t="str">
        <f>IF(A292="",IF(COUNTA(B292:J292)&gt;0,"НЕТ ID",""),IF(OR(NOT(ISNUMBER(E292)),AND(Форма="ИП",C292="Дивиденды"),COUNTIF(Docs[ID],A292)&lt;&gt;1,NOT(ISNUMBER(B292)),B292&lt;НачалоУчета,YEAR(B292)&lt;&gt;Год,NOT(ISNUMBER(H292)),H292&lt;B292,E292&lt;0,COUNTIF(Виды,C292)&lt;&gt;1,COUNTIF(Категории,D292)&lt;&gt;1,COUNTIF(Контрагенты,F292)&lt;&gt;1,COUNTIF(Проекты,G292)&lt;&gt;1,L292&lt;-0.01,AND(I292&lt;&gt;"Проведён",I292&lt;&gt;"Черновик")),"ОШИБКА","ОК"))</f>
        <v/>
      </c>
      <c r="Q292" s="4" t="str">
        <f t="shared" si="24"/>
        <v/>
      </c>
    </row>
    <row r="293" spans="1:17" x14ac:dyDescent="0.25">
      <c r="A293" s="22"/>
      <c r="B293" s="23"/>
      <c r="C293" s="22"/>
      <c r="D293" s="22"/>
      <c r="E293" s="22"/>
      <c r="F293" s="22"/>
      <c r="G293" s="22"/>
      <c r="H293" s="23"/>
      <c r="I293" s="22"/>
      <c r="J293" s="22"/>
      <c r="K293" s="4" t="str">
        <f>IF(A293="","",SUMIFS(Cash[Оплата],Cash[Документ],A293,Cash[Дата],"&lt;="&amp;ДатаОтчета))</f>
        <v/>
      </c>
      <c r="L293" s="4" t="str">
        <f t="shared" si="20"/>
        <v/>
      </c>
      <c r="M293" s="4" t="str">
        <f t="shared" si="21"/>
        <v/>
      </c>
      <c r="N293" s="4" t="str">
        <f t="shared" si="22"/>
        <v/>
      </c>
      <c r="O293" s="4" t="str">
        <f t="shared" si="23"/>
        <v/>
      </c>
      <c r="P293" s="4" t="str">
        <f>IF(A293="",IF(COUNTA(B293:J293)&gt;0,"НЕТ ID",""),IF(OR(NOT(ISNUMBER(E293)),AND(Форма="ИП",C293="Дивиденды"),COUNTIF(Docs[ID],A293)&lt;&gt;1,NOT(ISNUMBER(B293)),B293&lt;НачалоУчета,YEAR(B293)&lt;&gt;Год,NOT(ISNUMBER(H293)),H293&lt;B293,E293&lt;0,COUNTIF(Виды,C293)&lt;&gt;1,COUNTIF(Категории,D293)&lt;&gt;1,COUNTIF(Контрагенты,F293)&lt;&gt;1,COUNTIF(Проекты,G293)&lt;&gt;1,L293&lt;-0.01,AND(I293&lt;&gt;"Проведён",I293&lt;&gt;"Черновик")),"ОШИБКА","ОК"))</f>
        <v/>
      </c>
      <c r="Q293" s="4" t="str">
        <f t="shared" si="24"/>
        <v/>
      </c>
    </row>
    <row r="294" spans="1:17" x14ac:dyDescent="0.25">
      <c r="A294" s="22"/>
      <c r="B294" s="23"/>
      <c r="C294" s="22"/>
      <c r="D294" s="22"/>
      <c r="E294" s="22"/>
      <c r="F294" s="22"/>
      <c r="G294" s="22"/>
      <c r="H294" s="23"/>
      <c r="I294" s="22"/>
      <c r="J294" s="22"/>
      <c r="K294" s="4" t="str">
        <f>IF(A294="","",SUMIFS(Cash[Оплата],Cash[Документ],A294,Cash[Дата],"&lt;="&amp;ДатаОтчета))</f>
        <v/>
      </c>
      <c r="L294" s="4" t="str">
        <f t="shared" si="20"/>
        <v/>
      </c>
      <c r="M294" s="4" t="str">
        <f t="shared" si="21"/>
        <v/>
      </c>
      <c r="N294" s="4" t="str">
        <f t="shared" si="22"/>
        <v/>
      </c>
      <c r="O294" s="4" t="str">
        <f t="shared" si="23"/>
        <v/>
      </c>
      <c r="P294" s="4" t="str">
        <f>IF(A294="",IF(COUNTA(B294:J294)&gt;0,"НЕТ ID",""),IF(OR(NOT(ISNUMBER(E294)),AND(Форма="ИП",C294="Дивиденды"),COUNTIF(Docs[ID],A294)&lt;&gt;1,NOT(ISNUMBER(B294)),B294&lt;НачалоУчета,YEAR(B294)&lt;&gt;Год,NOT(ISNUMBER(H294)),H294&lt;B294,E294&lt;0,COUNTIF(Виды,C294)&lt;&gt;1,COUNTIF(Категории,D294)&lt;&gt;1,COUNTIF(Контрагенты,F294)&lt;&gt;1,COUNTIF(Проекты,G294)&lt;&gt;1,L294&lt;-0.01,AND(I294&lt;&gt;"Проведён",I294&lt;&gt;"Черновик")),"ОШИБКА","ОК"))</f>
        <v/>
      </c>
      <c r="Q294" s="4" t="str">
        <f t="shared" si="24"/>
        <v/>
      </c>
    </row>
    <row r="295" spans="1:17" x14ac:dyDescent="0.25">
      <c r="A295" s="22"/>
      <c r="B295" s="23"/>
      <c r="C295" s="22"/>
      <c r="D295" s="22"/>
      <c r="E295" s="22"/>
      <c r="F295" s="22"/>
      <c r="G295" s="22"/>
      <c r="H295" s="23"/>
      <c r="I295" s="22"/>
      <c r="J295" s="22"/>
      <c r="K295" s="4" t="str">
        <f>IF(A295="","",SUMIFS(Cash[Оплата],Cash[Документ],A295,Cash[Дата],"&lt;="&amp;ДатаОтчета))</f>
        <v/>
      </c>
      <c r="L295" s="4" t="str">
        <f t="shared" si="20"/>
        <v/>
      </c>
      <c r="M295" s="4" t="str">
        <f t="shared" si="21"/>
        <v/>
      </c>
      <c r="N295" s="4" t="str">
        <f t="shared" si="22"/>
        <v/>
      </c>
      <c r="O295" s="4" t="str">
        <f t="shared" si="23"/>
        <v/>
      </c>
      <c r="P295" s="4" t="str">
        <f>IF(A295="",IF(COUNTA(B295:J295)&gt;0,"НЕТ ID",""),IF(OR(NOT(ISNUMBER(E295)),AND(Форма="ИП",C295="Дивиденды"),COUNTIF(Docs[ID],A295)&lt;&gt;1,NOT(ISNUMBER(B295)),B295&lt;НачалоУчета,YEAR(B295)&lt;&gt;Год,NOT(ISNUMBER(H295)),H295&lt;B295,E295&lt;0,COUNTIF(Виды,C295)&lt;&gt;1,COUNTIF(Категории,D295)&lt;&gt;1,COUNTIF(Контрагенты,F295)&lt;&gt;1,COUNTIF(Проекты,G295)&lt;&gt;1,L295&lt;-0.01,AND(I295&lt;&gt;"Проведён",I295&lt;&gt;"Черновик")),"ОШИБКА","ОК"))</f>
        <v/>
      </c>
      <c r="Q295" s="4" t="str">
        <f t="shared" si="24"/>
        <v/>
      </c>
    </row>
    <row r="296" spans="1:17" x14ac:dyDescent="0.25">
      <c r="A296" s="22"/>
      <c r="B296" s="23"/>
      <c r="C296" s="22"/>
      <c r="D296" s="22"/>
      <c r="E296" s="22"/>
      <c r="F296" s="22"/>
      <c r="G296" s="22"/>
      <c r="H296" s="23"/>
      <c r="I296" s="22"/>
      <c r="J296" s="22"/>
      <c r="K296" s="4" t="str">
        <f>IF(A296="","",SUMIFS(Cash[Оплата],Cash[Документ],A296,Cash[Дата],"&lt;="&amp;ДатаОтчета))</f>
        <v/>
      </c>
      <c r="L296" s="4" t="str">
        <f t="shared" si="20"/>
        <v/>
      </c>
      <c r="M296" s="4" t="str">
        <f t="shared" si="21"/>
        <v/>
      </c>
      <c r="N296" s="4" t="str">
        <f t="shared" si="22"/>
        <v/>
      </c>
      <c r="O296" s="4" t="str">
        <f t="shared" si="23"/>
        <v/>
      </c>
      <c r="P296" s="4" t="str">
        <f>IF(A296="",IF(COUNTA(B296:J296)&gt;0,"НЕТ ID",""),IF(OR(NOT(ISNUMBER(E296)),AND(Форма="ИП",C296="Дивиденды"),COUNTIF(Docs[ID],A296)&lt;&gt;1,NOT(ISNUMBER(B296)),B296&lt;НачалоУчета,YEAR(B296)&lt;&gt;Год,NOT(ISNUMBER(H296)),H296&lt;B296,E296&lt;0,COUNTIF(Виды,C296)&lt;&gt;1,COUNTIF(Категории,D296)&lt;&gt;1,COUNTIF(Контрагенты,F296)&lt;&gt;1,COUNTIF(Проекты,G296)&lt;&gt;1,L296&lt;-0.01,AND(I296&lt;&gt;"Проведён",I296&lt;&gt;"Черновик")),"ОШИБКА","ОК"))</f>
        <v/>
      </c>
      <c r="Q296" s="4" t="str">
        <f t="shared" si="24"/>
        <v/>
      </c>
    </row>
    <row r="297" spans="1:17" x14ac:dyDescent="0.25">
      <c r="A297" s="22"/>
      <c r="B297" s="23"/>
      <c r="C297" s="22"/>
      <c r="D297" s="22"/>
      <c r="E297" s="22"/>
      <c r="F297" s="22"/>
      <c r="G297" s="22"/>
      <c r="H297" s="23"/>
      <c r="I297" s="22"/>
      <c r="J297" s="22"/>
      <c r="K297" s="4" t="str">
        <f>IF(A297="","",SUMIFS(Cash[Оплата],Cash[Документ],A297,Cash[Дата],"&lt;="&amp;ДатаОтчета))</f>
        <v/>
      </c>
      <c r="L297" s="4" t="str">
        <f t="shared" si="20"/>
        <v/>
      </c>
      <c r="M297" s="4" t="str">
        <f t="shared" si="21"/>
        <v/>
      </c>
      <c r="N297" s="4" t="str">
        <f t="shared" si="22"/>
        <v/>
      </c>
      <c r="O297" s="4" t="str">
        <f t="shared" si="23"/>
        <v/>
      </c>
      <c r="P297" s="4" t="str">
        <f>IF(A297="",IF(COUNTA(B297:J297)&gt;0,"НЕТ ID",""),IF(OR(NOT(ISNUMBER(E297)),AND(Форма="ИП",C297="Дивиденды"),COUNTIF(Docs[ID],A297)&lt;&gt;1,NOT(ISNUMBER(B297)),B297&lt;НачалоУчета,YEAR(B297)&lt;&gt;Год,NOT(ISNUMBER(H297)),H297&lt;B297,E297&lt;0,COUNTIF(Виды,C297)&lt;&gt;1,COUNTIF(Категории,D297)&lt;&gt;1,COUNTIF(Контрагенты,F297)&lt;&gt;1,COUNTIF(Проекты,G297)&lt;&gt;1,L297&lt;-0.01,AND(I297&lt;&gt;"Проведён",I297&lt;&gt;"Черновик")),"ОШИБКА","ОК"))</f>
        <v/>
      </c>
      <c r="Q297" s="4" t="str">
        <f t="shared" si="24"/>
        <v/>
      </c>
    </row>
    <row r="298" spans="1:17" x14ac:dyDescent="0.25">
      <c r="A298" s="22"/>
      <c r="B298" s="23"/>
      <c r="C298" s="22"/>
      <c r="D298" s="22"/>
      <c r="E298" s="22"/>
      <c r="F298" s="22"/>
      <c r="G298" s="22"/>
      <c r="H298" s="23"/>
      <c r="I298" s="22"/>
      <c r="J298" s="22"/>
      <c r="K298" s="4" t="str">
        <f>IF(A298="","",SUMIFS(Cash[Оплата],Cash[Документ],A298,Cash[Дата],"&lt;="&amp;ДатаОтчета))</f>
        <v/>
      </c>
      <c r="L298" s="4" t="str">
        <f t="shared" si="20"/>
        <v/>
      </c>
      <c r="M298" s="4" t="str">
        <f t="shared" si="21"/>
        <v/>
      </c>
      <c r="N298" s="4" t="str">
        <f t="shared" si="22"/>
        <v/>
      </c>
      <c r="O298" s="4" t="str">
        <f t="shared" si="23"/>
        <v/>
      </c>
      <c r="P298" s="4" t="str">
        <f>IF(A298="",IF(COUNTA(B298:J298)&gt;0,"НЕТ ID",""),IF(OR(NOT(ISNUMBER(E298)),AND(Форма="ИП",C298="Дивиденды"),COUNTIF(Docs[ID],A298)&lt;&gt;1,NOT(ISNUMBER(B298)),B298&lt;НачалоУчета,YEAR(B298)&lt;&gt;Год,NOT(ISNUMBER(H298)),H298&lt;B298,E298&lt;0,COUNTIF(Виды,C298)&lt;&gt;1,COUNTIF(Категории,D298)&lt;&gt;1,COUNTIF(Контрагенты,F298)&lt;&gt;1,COUNTIF(Проекты,G298)&lt;&gt;1,L298&lt;-0.01,AND(I298&lt;&gt;"Проведён",I298&lt;&gt;"Черновик")),"ОШИБКА","ОК"))</f>
        <v/>
      </c>
      <c r="Q298" s="4" t="str">
        <f t="shared" si="24"/>
        <v/>
      </c>
    </row>
    <row r="299" spans="1:17" x14ac:dyDescent="0.25">
      <c r="A299" s="22"/>
      <c r="B299" s="23"/>
      <c r="C299" s="22"/>
      <c r="D299" s="22"/>
      <c r="E299" s="22"/>
      <c r="F299" s="22"/>
      <c r="G299" s="22"/>
      <c r="H299" s="23"/>
      <c r="I299" s="22"/>
      <c r="J299" s="22"/>
      <c r="K299" s="4" t="str">
        <f>IF(A299="","",SUMIFS(Cash[Оплата],Cash[Документ],A299,Cash[Дата],"&lt;="&amp;ДатаОтчета))</f>
        <v/>
      </c>
      <c r="L299" s="4" t="str">
        <f t="shared" si="20"/>
        <v/>
      </c>
      <c r="M299" s="4" t="str">
        <f t="shared" si="21"/>
        <v/>
      </c>
      <c r="N299" s="4" t="str">
        <f t="shared" si="22"/>
        <v/>
      </c>
      <c r="O299" s="4" t="str">
        <f t="shared" si="23"/>
        <v/>
      </c>
      <c r="P299" s="4" t="str">
        <f>IF(A299="",IF(COUNTA(B299:J299)&gt;0,"НЕТ ID",""),IF(OR(NOT(ISNUMBER(E299)),AND(Форма="ИП",C299="Дивиденды"),COUNTIF(Docs[ID],A299)&lt;&gt;1,NOT(ISNUMBER(B299)),B299&lt;НачалоУчета,YEAR(B299)&lt;&gt;Год,NOT(ISNUMBER(H299)),H299&lt;B299,E299&lt;0,COUNTIF(Виды,C299)&lt;&gt;1,COUNTIF(Категории,D299)&lt;&gt;1,COUNTIF(Контрагенты,F299)&lt;&gt;1,COUNTIF(Проекты,G299)&lt;&gt;1,L299&lt;-0.01,AND(I299&lt;&gt;"Проведён",I299&lt;&gt;"Черновик")),"ОШИБКА","ОК"))</f>
        <v/>
      </c>
      <c r="Q299" s="4" t="str">
        <f t="shared" si="24"/>
        <v/>
      </c>
    </row>
    <row r="300" spans="1:17" x14ac:dyDescent="0.25">
      <c r="A300" s="22"/>
      <c r="B300" s="23"/>
      <c r="C300" s="22"/>
      <c r="D300" s="22"/>
      <c r="E300" s="22"/>
      <c r="F300" s="22"/>
      <c r="G300" s="22"/>
      <c r="H300" s="23"/>
      <c r="I300" s="22"/>
      <c r="J300" s="22"/>
      <c r="K300" s="4" t="str">
        <f>IF(A300="","",SUMIFS(Cash[Оплата],Cash[Документ],A300,Cash[Дата],"&lt;="&amp;ДатаОтчета))</f>
        <v/>
      </c>
      <c r="L300" s="4" t="str">
        <f t="shared" si="20"/>
        <v/>
      </c>
      <c r="M300" s="4" t="str">
        <f t="shared" si="21"/>
        <v/>
      </c>
      <c r="N300" s="4" t="str">
        <f t="shared" si="22"/>
        <v/>
      </c>
      <c r="O300" s="4" t="str">
        <f t="shared" si="23"/>
        <v/>
      </c>
      <c r="P300" s="4" t="str">
        <f>IF(A300="",IF(COUNTA(B300:J300)&gt;0,"НЕТ ID",""),IF(OR(NOT(ISNUMBER(E300)),AND(Форма="ИП",C300="Дивиденды"),COUNTIF(Docs[ID],A300)&lt;&gt;1,NOT(ISNUMBER(B300)),B300&lt;НачалоУчета,YEAR(B300)&lt;&gt;Год,NOT(ISNUMBER(H300)),H300&lt;B300,E300&lt;0,COUNTIF(Виды,C300)&lt;&gt;1,COUNTIF(Категории,D300)&lt;&gt;1,COUNTIF(Контрагенты,F300)&lt;&gt;1,COUNTIF(Проекты,G300)&lt;&gt;1,L300&lt;-0.01,AND(I300&lt;&gt;"Проведён",I300&lt;&gt;"Черновик")),"ОШИБКА","ОК"))</f>
        <v/>
      </c>
      <c r="Q300" s="4" t="str">
        <f t="shared" si="24"/>
        <v/>
      </c>
    </row>
    <row r="301" spans="1:17" x14ac:dyDescent="0.25">
      <c r="A301" s="22"/>
      <c r="B301" s="23"/>
      <c r="C301" s="22"/>
      <c r="D301" s="22"/>
      <c r="E301" s="22"/>
      <c r="F301" s="22"/>
      <c r="G301" s="22"/>
      <c r="H301" s="23"/>
      <c r="I301" s="22"/>
      <c r="J301" s="22"/>
      <c r="K301" s="4" t="str">
        <f>IF(A301="","",SUMIFS(Cash[Оплата],Cash[Документ],A301,Cash[Дата],"&lt;="&amp;ДатаОтчета))</f>
        <v/>
      </c>
      <c r="L301" s="4" t="str">
        <f t="shared" si="20"/>
        <v/>
      </c>
      <c r="M301" s="4" t="str">
        <f t="shared" si="21"/>
        <v/>
      </c>
      <c r="N301" s="4" t="str">
        <f t="shared" si="22"/>
        <v/>
      </c>
      <c r="O301" s="4" t="str">
        <f t="shared" si="23"/>
        <v/>
      </c>
      <c r="P301" s="4" t="str">
        <f>IF(A301="",IF(COUNTA(B301:J301)&gt;0,"НЕТ ID",""),IF(OR(NOT(ISNUMBER(E301)),AND(Форма="ИП",C301="Дивиденды"),COUNTIF(Docs[ID],A301)&lt;&gt;1,NOT(ISNUMBER(B301)),B301&lt;НачалоУчета,YEAR(B301)&lt;&gt;Год,NOT(ISNUMBER(H301)),H301&lt;B301,E301&lt;0,COUNTIF(Виды,C301)&lt;&gt;1,COUNTIF(Категории,D301)&lt;&gt;1,COUNTIF(Контрагенты,F301)&lt;&gt;1,COUNTIF(Проекты,G301)&lt;&gt;1,L301&lt;-0.01,AND(I301&lt;&gt;"Проведён",I301&lt;&gt;"Черновик")),"ОШИБКА","ОК"))</f>
        <v/>
      </c>
      <c r="Q301" s="4" t="str">
        <f t="shared" si="24"/>
        <v/>
      </c>
    </row>
    <row r="302" spans="1:17" x14ac:dyDescent="0.25">
      <c r="A302" s="22"/>
      <c r="B302" s="23"/>
      <c r="C302" s="22"/>
      <c r="D302" s="22"/>
      <c r="E302" s="22"/>
      <c r="F302" s="22"/>
      <c r="G302" s="22"/>
      <c r="H302" s="23"/>
      <c r="I302" s="22"/>
      <c r="J302" s="22"/>
      <c r="K302" s="4" t="str">
        <f>IF(A302="","",SUMIFS(Cash[Оплата],Cash[Документ],A302,Cash[Дата],"&lt;="&amp;ДатаОтчета))</f>
        <v/>
      </c>
      <c r="L302" s="4" t="str">
        <f t="shared" si="20"/>
        <v/>
      </c>
      <c r="M302" s="4" t="str">
        <f t="shared" si="21"/>
        <v/>
      </c>
      <c r="N302" s="4" t="str">
        <f t="shared" si="22"/>
        <v/>
      </c>
      <c r="O302" s="4" t="str">
        <f t="shared" si="23"/>
        <v/>
      </c>
      <c r="P302" s="4" t="str">
        <f>IF(A302="",IF(COUNTA(B302:J302)&gt;0,"НЕТ ID",""),IF(OR(NOT(ISNUMBER(E302)),AND(Форма="ИП",C302="Дивиденды"),COUNTIF(Docs[ID],A302)&lt;&gt;1,NOT(ISNUMBER(B302)),B302&lt;НачалоУчета,YEAR(B302)&lt;&gt;Год,NOT(ISNUMBER(H302)),H302&lt;B302,E302&lt;0,COUNTIF(Виды,C302)&lt;&gt;1,COUNTIF(Категории,D302)&lt;&gt;1,COUNTIF(Контрагенты,F302)&lt;&gt;1,COUNTIF(Проекты,G302)&lt;&gt;1,L302&lt;-0.01,AND(I302&lt;&gt;"Проведён",I302&lt;&gt;"Черновик")),"ОШИБКА","ОК"))</f>
        <v/>
      </c>
      <c r="Q302" s="4" t="str">
        <f t="shared" si="24"/>
        <v/>
      </c>
    </row>
    <row r="303" spans="1:17" x14ac:dyDescent="0.25">
      <c r="A303" s="22"/>
      <c r="B303" s="23"/>
      <c r="C303" s="22"/>
      <c r="D303" s="22"/>
      <c r="E303" s="22"/>
      <c r="F303" s="22"/>
      <c r="G303" s="22"/>
      <c r="H303" s="23"/>
      <c r="I303" s="22"/>
      <c r="J303" s="22"/>
      <c r="K303" s="4" t="str">
        <f>IF(A303="","",SUMIFS(Cash[Оплата],Cash[Документ],A303,Cash[Дата],"&lt;="&amp;ДатаОтчета))</f>
        <v/>
      </c>
      <c r="L303" s="4" t="str">
        <f t="shared" si="20"/>
        <v/>
      </c>
      <c r="M303" s="4" t="str">
        <f t="shared" si="21"/>
        <v/>
      </c>
      <c r="N303" s="4" t="str">
        <f t="shared" si="22"/>
        <v/>
      </c>
      <c r="O303" s="4" t="str">
        <f t="shared" si="23"/>
        <v/>
      </c>
      <c r="P303" s="4" t="str">
        <f>IF(A303="",IF(COUNTA(B303:J303)&gt;0,"НЕТ ID",""),IF(OR(NOT(ISNUMBER(E303)),AND(Форма="ИП",C303="Дивиденды"),COUNTIF(Docs[ID],A303)&lt;&gt;1,NOT(ISNUMBER(B303)),B303&lt;НачалоУчета,YEAR(B303)&lt;&gt;Год,NOT(ISNUMBER(H303)),H303&lt;B303,E303&lt;0,COUNTIF(Виды,C303)&lt;&gt;1,COUNTIF(Категории,D303)&lt;&gt;1,COUNTIF(Контрагенты,F303)&lt;&gt;1,COUNTIF(Проекты,G303)&lt;&gt;1,L303&lt;-0.01,AND(I303&lt;&gt;"Проведён",I303&lt;&gt;"Черновик")),"ОШИБКА","ОК"))</f>
        <v/>
      </c>
      <c r="Q303" s="4" t="str">
        <f t="shared" si="24"/>
        <v/>
      </c>
    </row>
    <row r="304" spans="1:17" x14ac:dyDescent="0.25">
      <c r="A304" s="22"/>
      <c r="B304" s="23"/>
      <c r="C304" s="22"/>
      <c r="D304" s="22"/>
      <c r="E304" s="22"/>
      <c r="F304" s="22"/>
      <c r="G304" s="22"/>
      <c r="H304" s="23"/>
      <c r="I304" s="22"/>
      <c r="J304" s="22"/>
      <c r="K304" s="4" t="str">
        <f>IF(A304="","",SUMIFS(Cash[Оплата],Cash[Документ],A304,Cash[Дата],"&lt;="&amp;ДатаОтчета))</f>
        <v/>
      </c>
      <c r="L304" s="4" t="str">
        <f t="shared" si="20"/>
        <v/>
      </c>
      <c r="M304" s="4" t="str">
        <f t="shared" si="21"/>
        <v/>
      </c>
      <c r="N304" s="4" t="str">
        <f t="shared" si="22"/>
        <v/>
      </c>
      <c r="O304" s="4" t="str">
        <f t="shared" si="23"/>
        <v/>
      </c>
      <c r="P304" s="4" t="str">
        <f>IF(A304="",IF(COUNTA(B304:J304)&gt;0,"НЕТ ID",""),IF(OR(NOT(ISNUMBER(E304)),AND(Форма="ИП",C304="Дивиденды"),COUNTIF(Docs[ID],A304)&lt;&gt;1,NOT(ISNUMBER(B304)),B304&lt;НачалоУчета,YEAR(B304)&lt;&gt;Год,NOT(ISNUMBER(H304)),H304&lt;B304,E304&lt;0,COUNTIF(Виды,C304)&lt;&gt;1,COUNTIF(Категории,D304)&lt;&gt;1,COUNTIF(Контрагенты,F304)&lt;&gt;1,COUNTIF(Проекты,G304)&lt;&gt;1,L304&lt;-0.01,AND(I304&lt;&gt;"Проведён",I304&lt;&gt;"Черновик")),"ОШИБКА","ОК"))</f>
        <v/>
      </c>
      <c r="Q304" s="4" t="str">
        <f t="shared" si="24"/>
        <v/>
      </c>
    </row>
    <row r="305" spans="1:17" x14ac:dyDescent="0.25">
      <c r="A305" s="22"/>
      <c r="B305" s="23"/>
      <c r="C305" s="22"/>
      <c r="D305" s="22"/>
      <c r="E305" s="22"/>
      <c r="F305" s="22"/>
      <c r="G305" s="22"/>
      <c r="H305" s="23"/>
      <c r="I305" s="22"/>
      <c r="J305" s="22"/>
      <c r="K305" s="4" t="str">
        <f>IF(A305="","",SUMIFS(Cash[Оплата],Cash[Документ],A305,Cash[Дата],"&lt;="&amp;ДатаОтчета))</f>
        <v/>
      </c>
      <c r="L305" s="4" t="str">
        <f t="shared" si="20"/>
        <v/>
      </c>
      <c r="M305" s="4" t="str">
        <f t="shared" si="21"/>
        <v/>
      </c>
      <c r="N305" s="4" t="str">
        <f t="shared" si="22"/>
        <v/>
      </c>
      <c r="O305" s="4" t="str">
        <f t="shared" si="23"/>
        <v/>
      </c>
      <c r="P305" s="4" t="str">
        <f>IF(A305="",IF(COUNTA(B305:J305)&gt;0,"НЕТ ID",""),IF(OR(NOT(ISNUMBER(E305)),AND(Форма="ИП",C305="Дивиденды"),COUNTIF(Docs[ID],A305)&lt;&gt;1,NOT(ISNUMBER(B305)),B305&lt;НачалоУчета,YEAR(B305)&lt;&gt;Год,NOT(ISNUMBER(H305)),H305&lt;B305,E305&lt;0,COUNTIF(Виды,C305)&lt;&gt;1,COUNTIF(Категории,D305)&lt;&gt;1,COUNTIF(Контрагенты,F305)&lt;&gt;1,COUNTIF(Проекты,G305)&lt;&gt;1,L305&lt;-0.01,AND(I305&lt;&gt;"Проведён",I305&lt;&gt;"Черновик")),"ОШИБКА","ОК"))</f>
        <v/>
      </c>
      <c r="Q305" s="4" t="str">
        <f t="shared" si="24"/>
        <v/>
      </c>
    </row>
    <row r="306" spans="1:17" x14ac:dyDescent="0.25">
      <c r="A306" s="22"/>
      <c r="B306" s="23"/>
      <c r="C306" s="22"/>
      <c r="D306" s="22"/>
      <c r="E306" s="22"/>
      <c r="F306" s="22"/>
      <c r="G306" s="22"/>
      <c r="H306" s="23"/>
      <c r="I306" s="22"/>
      <c r="J306" s="22"/>
      <c r="K306" s="4" t="str">
        <f>IF(A306="","",SUMIFS(Cash[Оплата],Cash[Документ],A306,Cash[Дата],"&lt;="&amp;ДатаОтчета))</f>
        <v/>
      </c>
      <c r="L306" s="4" t="str">
        <f t="shared" si="20"/>
        <v/>
      </c>
      <c r="M306" s="4" t="str">
        <f t="shared" si="21"/>
        <v/>
      </c>
      <c r="N306" s="4" t="str">
        <f t="shared" si="22"/>
        <v/>
      </c>
      <c r="O306" s="4" t="str">
        <f t="shared" si="23"/>
        <v/>
      </c>
      <c r="P306" s="4" t="str">
        <f>IF(A306="",IF(COUNTA(B306:J306)&gt;0,"НЕТ ID",""),IF(OR(NOT(ISNUMBER(E306)),AND(Форма="ИП",C306="Дивиденды"),COUNTIF(Docs[ID],A306)&lt;&gt;1,NOT(ISNUMBER(B306)),B306&lt;НачалоУчета,YEAR(B306)&lt;&gt;Год,NOT(ISNUMBER(H306)),H306&lt;B306,E306&lt;0,COUNTIF(Виды,C306)&lt;&gt;1,COUNTIF(Категории,D306)&lt;&gt;1,COUNTIF(Контрагенты,F306)&lt;&gt;1,COUNTIF(Проекты,G306)&lt;&gt;1,L306&lt;-0.01,AND(I306&lt;&gt;"Проведён",I306&lt;&gt;"Черновик")),"ОШИБКА","ОК"))</f>
        <v/>
      </c>
      <c r="Q306" s="4" t="str">
        <f t="shared" si="24"/>
        <v/>
      </c>
    </row>
    <row r="307" spans="1:17" x14ac:dyDescent="0.25">
      <c r="A307" s="22"/>
      <c r="B307" s="23"/>
      <c r="C307" s="22"/>
      <c r="D307" s="22"/>
      <c r="E307" s="22"/>
      <c r="F307" s="22"/>
      <c r="G307" s="22"/>
      <c r="H307" s="23"/>
      <c r="I307" s="22"/>
      <c r="J307" s="22"/>
      <c r="K307" s="4" t="str">
        <f>IF(A307="","",SUMIFS(Cash[Оплата],Cash[Документ],A307,Cash[Дата],"&lt;="&amp;ДатаОтчета))</f>
        <v/>
      </c>
      <c r="L307" s="4" t="str">
        <f t="shared" si="20"/>
        <v/>
      </c>
      <c r="M307" s="4" t="str">
        <f t="shared" si="21"/>
        <v/>
      </c>
      <c r="N307" s="4" t="str">
        <f t="shared" si="22"/>
        <v/>
      </c>
      <c r="O307" s="4" t="str">
        <f t="shared" si="23"/>
        <v/>
      </c>
      <c r="P307" s="4" t="str">
        <f>IF(A307="",IF(COUNTA(B307:J307)&gt;0,"НЕТ ID",""),IF(OR(NOT(ISNUMBER(E307)),AND(Форма="ИП",C307="Дивиденды"),COUNTIF(Docs[ID],A307)&lt;&gt;1,NOT(ISNUMBER(B307)),B307&lt;НачалоУчета,YEAR(B307)&lt;&gt;Год,NOT(ISNUMBER(H307)),H307&lt;B307,E307&lt;0,COUNTIF(Виды,C307)&lt;&gt;1,COUNTIF(Категории,D307)&lt;&gt;1,COUNTIF(Контрагенты,F307)&lt;&gt;1,COUNTIF(Проекты,G307)&lt;&gt;1,L307&lt;-0.01,AND(I307&lt;&gt;"Проведён",I307&lt;&gt;"Черновик")),"ОШИБКА","ОК"))</f>
        <v/>
      </c>
      <c r="Q307" s="4" t="str">
        <f t="shared" si="24"/>
        <v/>
      </c>
    </row>
    <row r="308" spans="1:17" x14ac:dyDescent="0.25">
      <c r="A308" s="22"/>
      <c r="B308" s="23"/>
      <c r="C308" s="22"/>
      <c r="D308" s="22"/>
      <c r="E308" s="22"/>
      <c r="F308" s="22"/>
      <c r="G308" s="22"/>
      <c r="H308" s="23"/>
      <c r="I308" s="22"/>
      <c r="J308" s="22"/>
      <c r="K308" s="4" t="str">
        <f>IF(A308="","",SUMIFS(Cash[Оплата],Cash[Документ],A308,Cash[Дата],"&lt;="&amp;ДатаОтчета))</f>
        <v/>
      </c>
      <c r="L308" s="4" t="str">
        <f t="shared" si="20"/>
        <v/>
      </c>
      <c r="M308" s="4" t="str">
        <f t="shared" si="21"/>
        <v/>
      </c>
      <c r="N308" s="4" t="str">
        <f t="shared" si="22"/>
        <v/>
      </c>
      <c r="O308" s="4" t="str">
        <f t="shared" si="23"/>
        <v/>
      </c>
      <c r="P308" s="4" t="str">
        <f>IF(A308="",IF(COUNTA(B308:J308)&gt;0,"НЕТ ID",""),IF(OR(NOT(ISNUMBER(E308)),AND(Форма="ИП",C308="Дивиденды"),COUNTIF(Docs[ID],A308)&lt;&gt;1,NOT(ISNUMBER(B308)),B308&lt;НачалоУчета,YEAR(B308)&lt;&gt;Год,NOT(ISNUMBER(H308)),H308&lt;B308,E308&lt;0,COUNTIF(Виды,C308)&lt;&gt;1,COUNTIF(Категории,D308)&lt;&gt;1,COUNTIF(Контрагенты,F308)&lt;&gt;1,COUNTIF(Проекты,G308)&lt;&gt;1,L308&lt;-0.01,AND(I308&lt;&gt;"Проведён",I308&lt;&gt;"Черновик")),"ОШИБКА","ОК"))</f>
        <v/>
      </c>
      <c r="Q308" s="4" t="str">
        <f t="shared" si="24"/>
        <v/>
      </c>
    </row>
    <row r="309" spans="1:17" x14ac:dyDescent="0.25">
      <c r="A309" s="22"/>
      <c r="B309" s="23"/>
      <c r="C309" s="22"/>
      <c r="D309" s="22"/>
      <c r="E309" s="22"/>
      <c r="F309" s="22"/>
      <c r="G309" s="22"/>
      <c r="H309" s="23"/>
      <c r="I309" s="22"/>
      <c r="J309" s="22"/>
      <c r="K309" s="4" t="str">
        <f>IF(A309="","",SUMIFS(Cash[Оплата],Cash[Документ],A309,Cash[Дата],"&lt;="&amp;ДатаОтчета))</f>
        <v/>
      </c>
      <c r="L309" s="4" t="str">
        <f t="shared" si="20"/>
        <v/>
      </c>
      <c r="M309" s="4" t="str">
        <f t="shared" si="21"/>
        <v/>
      </c>
      <c r="N309" s="4" t="str">
        <f t="shared" si="22"/>
        <v/>
      </c>
      <c r="O309" s="4" t="str">
        <f t="shared" si="23"/>
        <v/>
      </c>
      <c r="P309" s="4" t="str">
        <f>IF(A309="",IF(COUNTA(B309:J309)&gt;0,"НЕТ ID",""),IF(OR(NOT(ISNUMBER(E309)),AND(Форма="ИП",C309="Дивиденды"),COUNTIF(Docs[ID],A309)&lt;&gt;1,NOT(ISNUMBER(B309)),B309&lt;НачалоУчета,YEAR(B309)&lt;&gt;Год,NOT(ISNUMBER(H309)),H309&lt;B309,E309&lt;0,COUNTIF(Виды,C309)&lt;&gt;1,COUNTIF(Категории,D309)&lt;&gt;1,COUNTIF(Контрагенты,F309)&lt;&gt;1,COUNTIF(Проекты,G309)&lt;&gt;1,L309&lt;-0.01,AND(I309&lt;&gt;"Проведён",I309&lt;&gt;"Черновик")),"ОШИБКА","ОК"))</f>
        <v/>
      </c>
      <c r="Q309" s="4" t="str">
        <f t="shared" si="24"/>
        <v/>
      </c>
    </row>
    <row r="310" spans="1:17" x14ac:dyDescent="0.25">
      <c r="A310" s="22"/>
      <c r="B310" s="23"/>
      <c r="C310" s="22"/>
      <c r="D310" s="22"/>
      <c r="E310" s="22"/>
      <c r="F310" s="22"/>
      <c r="G310" s="22"/>
      <c r="H310" s="23"/>
      <c r="I310" s="22"/>
      <c r="J310" s="22"/>
      <c r="K310" s="4" t="str">
        <f>IF(A310="","",SUMIFS(Cash[Оплата],Cash[Документ],A310,Cash[Дата],"&lt;="&amp;ДатаОтчета))</f>
        <v/>
      </c>
      <c r="L310" s="4" t="str">
        <f t="shared" si="20"/>
        <v/>
      </c>
      <c r="M310" s="4" t="str">
        <f t="shared" si="21"/>
        <v/>
      </c>
      <c r="N310" s="4" t="str">
        <f t="shared" si="22"/>
        <v/>
      </c>
      <c r="O310" s="4" t="str">
        <f t="shared" si="23"/>
        <v/>
      </c>
      <c r="P310" s="4" t="str">
        <f>IF(A310="",IF(COUNTA(B310:J310)&gt;0,"НЕТ ID",""),IF(OR(NOT(ISNUMBER(E310)),AND(Форма="ИП",C310="Дивиденды"),COUNTIF(Docs[ID],A310)&lt;&gt;1,NOT(ISNUMBER(B310)),B310&lt;НачалоУчета,YEAR(B310)&lt;&gt;Год,NOT(ISNUMBER(H310)),H310&lt;B310,E310&lt;0,COUNTIF(Виды,C310)&lt;&gt;1,COUNTIF(Категории,D310)&lt;&gt;1,COUNTIF(Контрагенты,F310)&lt;&gt;1,COUNTIF(Проекты,G310)&lt;&gt;1,L310&lt;-0.01,AND(I310&lt;&gt;"Проведён",I310&lt;&gt;"Черновик")),"ОШИБКА","ОК"))</f>
        <v/>
      </c>
      <c r="Q310" s="4" t="str">
        <f t="shared" si="24"/>
        <v/>
      </c>
    </row>
    <row r="311" spans="1:17" x14ac:dyDescent="0.25">
      <c r="A311" s="22"/>
      <c r="B311" s="23"/>
      <c r="C311" s="22"/>
      <c r="D311" s="22"/>
      <c r="E311" s="22"/>
      <c r="F311" s="22"/>
      <c r="G311" s="22"/>
      <c r="H311" s="23"/>
      <c r="I311" s="22"/>
      <c r="J311" s="22"/>
      <c r="K311" s="4" t="str">
        <f>IF(A311="","",SUMIFS(Cash[Оплата],Cash[Документ],A311,Cash[Дата],"&lt;="&amp;ДатаОтчета))</f>
        <v/>
      </c>
      <c r="L311" s="4" t="str">
        <f t="shared" si="20"/>
        <v/>
      </c>
      <c r="M311" s="4" t="str">
        <f t="shared" si="21"/>
        <v/>
      </c>
      <c r="N311" s="4" t="str">
        <f t="shared" si="22"/>
        <v/>
      </c>
      <c r="O311" s="4" t="str">
        <f t="shared" si="23"/>
        <v/>
      </c>
      <c r="P311" s="4" t="str">
        <f>IF(A311="",IF(COUNTA(B311:J311)&gt;0,"НЕТ ID",""),IF(OR(NOT(ISNUMBER(E311)),AND(Форма="ИП",C311="Дивиденды"),COUNTIF(Docs[ID],A311)&lt;&gt;1,NOT(ISNUMBER(B311)),B311&lt;НачалоУчета,YEAR(B311)&lt;&gt;Год,NOT(ISNUMBER(H311)),H311&lt;B311,E311&lt;0,COUNTIF(Виды,C311)&lt;&gt;1,COUNTIF(Категории,D311)&lt;&gt;1,COUNTIF(Контрагенты,F311)&lt;&gt;1,COUNTIF(Проекты,G311)&lt;&gt;1,L311&lt;-0.01,AND(I311&lt;&gt;"Проведён",I311&lt;&gt;"Черновик")),"ОШИБКА","ОК"))</f>
        <v/>
      </c>
      <c r="Q311" s="4" t="str">
        <f t="shared" si="24"/>
        <v/>
      </c>
    </row>
    <row r="312" spans="1:17" x14ac:dyDescent="0.25">
      <c r="A312" s="22"/>
      <c r="B312" s="23"/>
      <c r="C312" s="22"/>
      <c r="D312" s="22"/>
      <c r="E312" s="22"/>
      <c r="F312" s="22"/>
      <c r="G312" s="22"/>
      <c r="H312" s="23"/>
      <c r="I312" s="22"/>
      <c r="J312" s="22"/>
      <c r="K312" s="4" t="str">
        <f>IF(A312="","",SUMIFS(Cash[Оплата],Cash[Документ],A312,Cash[Дата],"&lt;="&amp;ДатаОтчета))</f>
        <v/>
      </c>
      <c r="L312" s="4" t="str">
        <f t="shared" si="20"/>
        <v/>
      </c>
      <c r="M312" s="4" t="str">
        <f t="shared" si="21"/>
        <v/>
      </c>
      <c r="N312" s="4" t="str">
        <f t="shared" si="22"/>
        <v/>
      </c>
      <c r="O312" s="4" t="str">
        <f t="shared" si="23"/>
        <v/>
      </c>
      <c r="P312" s="4" t="str">
        <f>IF(A312="",IF(COUNTA(B312:J312)&gt;0,"НЕТ ID",""),IF(OR(NOT(ISNUMBER(E312)),AND(Форма="ИП",C312="Дивиденды"),COUNTIF(Docs[ID],A312)&lt;&gt;1,NOT(ISNUMBER(B312)),B312&lt;НачалоУчета,YEAR(B312)&lt;&gt;Год,NOT(ISNUMBER(H312)),H312&lt;B312,E312&lt;0,COUNTIF(Виды,C312)&lt;&gt;1,COUNTIF(Категории,D312)&lt;&gt;1,COUNTIF(Контрагенты,F312)&lt;&gt;1,COUNTIF(Проекты,G312)&lt;&gt;1,L312&lt;-0.01,AND(I312&lt;&gt;"Проведён",I312&lt;&gt;"Черновик")),"ОШИБКА","ОК"))</f>
        <v/>
      </c>
      <c r="Q312" s="4" t="str">
        <f t="shared" si="24"/>
        <v/>
      </c>
    </row>
    <row r="313" spans="1:17" x14ac:dyDescent="0.25">
      <c r="A313" s="22"/>
      <c r="B313" s="23"/>
      <c r="C313" s="22"/>
      <c r="D313" s="22"/>
      <c r="E313" s="22"/>
      <c r="F313" s="22"/>
      <c r="G313" s="22"/>
      <c r="H313" s="23"/>
      <c r="I313" s="22"/>
      <c r="J313" s="22"/>
      <c r="K313" s="4" t="str">
        <f>IF(A313="","",SUMIFS(Cash[Оплата],Cash[Документ],A313,Cash[Дата],"&lt;="&amp;ДатаОтчета))</f>
        <v/>
      </c>
      <c r="L313" s="4" t="str">
        <f t="shared" si="20"/>
        <v/>
      </c>
      <c r="M313" s="4" t="str">
        <f t="shared" si="21"/>
        <v/>
      </c>
      <c r="N313" s="4" t="str">
        <f t="shared" si="22"/>
        <v/>
      </c>
      <c r="O313" s="4" t="str">
        <f t="shared" si="23"/>
        <v/>
      </c>
      <c r="P313" s="4" t="str">
        <f>IF(A313="",IF(COUNTA(B313:J313)&gt;0,"НЕТ ID",""),IF(OR(NOT(ISNUMBER(E313)),AND(Форма="ИП",C313="Дивиденды"),COUNTIF(Docs[ID],A313)&lt;&gt;1,NOT(ISNUMBER(B313)),B313&lt;НачалоУчета,YEAR(B313)&lt;&gt;Год,NOT(ISNUMBER(H313)),H313&lt;B313,E313&lt;0,COUNTIF(Виды,C313)&lt;&gt;1,COUNTIF(Категории,D313)&lt;&gt;1,COUNTIF(Контрагенты,F313)&lt;&gt;1,COUNTIF(Проекты,G313)&lt;&gt;1,L313&lt;-0.01,AND(I313&lt;&gt;"Проведён",I313&lt;&gt;"Черновик")),"ОШИБКА","ОК"))</f>
        <v/>
      </c>
      <c r="Q313" s="4" t="str">
        <f t="shared" si="24"/>
        <v/>
      </c>
    </row>
    <row r="314" spans="1:17" x14ac:dyDescent="0.25">
      <c r="A314" s="22"/>
      <c r="B314" s="23"/>
      <c r="C314" s="22"/>
      <c r="D314" s="22"/>
      <c r="E314" s="22"/>
      <c r="F314" s="22"/>
      <c r="G314" s="22"/>
      <c r="H314" s="23"/>
      <c r="I314" s="22"/>
      <c r="J314" s="22"/>
      <c r="K314" s="4" t="str">
        <f>IF(A314="","",SUMIFS(Cash[Оплата],Cash[Документ],A314,Cash[Дата],"&lt;="&amp;ДатаОтчета))</f>
        <v/>
      </c>
      <c r="L314" s="4" t="str">
        <f t="shared" si="20"/>
        <v/>
      </c>
      <c r="M314" s="4" t="str">
        <f t="shared" si="21"/>
        <v/>
      </c>
      <c r="N314" s="4" t="str">
        <f t="shared" si="22"/>
        <v/>
      </c>
      <c r="O314" s="4" t="str">
        <f t="shared" si="23"/>
        <v/>
      </c>
      <c r="P314" s="4" t="str">
        <f>IF(A314="",IF(COUNTA(B314:J314)&gt;0,"НЕТ ID",""),IF(OR(NOT(ISNUMBER(E314)),AND(Форма="ИП",C314="Дивиденды"),COUNTIF(Docs[ID],A314)&lt;&gt;1,NOT(ISNUMBER(B314)),B314&lt;НачалоУчета,YEAR(B314)&lt;&gt;Год,NOT(ISNUMBER(H314)),H314&lt;B314,E314&lt;0,COUNTIF(Виды,C314)&lt;&gt;1,COUNTIF(Категории,D314)&lt;&gt;1,COUNTIF(Контрагенты,F314)&lt;&gt;1,COUNTIF(Проекты,G314)&lt;&gt;1,L314&lt;-0.01,AND(I314&lt;&gt;"Проведён",I314&lt;&gt;"Черновик")),"ОШИБКА","ОК"))</f>
        <v/>
      </c>
      <c r="Q314" s="4" t="str">
        <f t="shared" si="24"/>
        <v/>
      </c>
    </row>
    <row r="315" spans="1:17" x14ac:dyDescent="0.25">
      <c r="A315" s="22"/>
      <c r="B315" s="23"/>
      <c r="C315" s="22"/>
      <c r="D315" s="22"/>
      <c r="E315" s="22"/>
      <c r="F315" s="22"/>
      <c r="G315" s="22"/>
      <c r="H315" s="23"/>
      <c r="I315" s="22"/>
      <c r="J315" s="22"/>
      <c r="K315" s="4" t="str">
        <f>IF(A315="","",SUMIFS(Cash[Оплата],Cash[Документ],A315,Cash[Дата],"&lt;="&amp;ДатаОтчета))</f>
        <v/>
      </c>
      <c r="L315" s="4" t="str">
        <f t="shared" si="20"/>
        <v/>
      </c>
      <c r="M315" s="4" t="str">
        <f t="shared" si="21"/>
        <v/>
      </c>
      <c r="N315" s="4" t="str">
        <f t="shared" si="22"/>
        <v/>
      </c>
      <c r="O315" s="4" t="str">
        <f t="shared" si="23"/>
        <v/>
      </c>
      <c r="P315" s="4" t="str">
        <f>IF(A315="",IF(COUNTA(B315:J315)&gt;0,"НЕТ ID",""),IF(OR(NOT(ISNUMBER(E315)),AND(Форма="ИП",C315="Дивиденды"),COUNTIF(Docs[ID],A315)&lt;&gt;1,NOT(ISNUMBER(B315)),B315&lt;НачалоУчета,YEAR(B315)&lt;&gt;Год,NOT(ISNUMBER(H315)),H315&lt;B315,E315&lt;0,COUNTIF(Виды,C315)&lt;&gt;1,COUNTIF(Категории,D315)&lt;&gt;1,COUNTIF(Контрагенты,F315)&lt;&gt;1,COUNTIF(Проекты,G315)&lt;&gt;1,L315&lt;-0.01,AND(I315&lt;&gt;"Проведён",I315&lt;&gt;"Черновик")),"ОШИБКА","ОК"))</f>
        <v/>
      </c>
      <c r="Q315" s="4" t="str">
        <f t="shared" si="24"/>
        <v/>
      </c>
    </row>
    <row r="316" spans="1:17" x14ac:dyDescent="0.25">
      <c r="A316" s="22"/>
      <c r="B316" s="23"/>
      <c r="C316" s="22"/>
      <c r="D316" s="22"/>
      <c r="E316" s="22"/>
      <c r="F316" s="22"/>
      <c r="G316" s="22"/>
      <c r="H316" s="23"/>
      <c r="I316" s="22"/>
      <c r="J316" s="22"/>
      <c r="K316" s="4" t="str">
        <f>IF(A316="","",SUMIFS(Cash[Оплата],Cash[Документ],A316,Cash[Дата],"&lt;="&amp;ДатаОтчета))</f>
        <v/>
      </c>
      <c r="L316" s="4" t="str">
        <f t="shared" si="20"/>
        <v/>
      </c>
      <c r="M316" s="4" t="str">
        <f t="shared" si="21"/>
        <v/>
      </c>
      <c r="N316" s="4" t="str">
        <f t="shared" si="22"/>
        <v/>
      </c>
      <c r="O316" s="4" t="str">
        <f t="shared" si="23"/>
        <v/>
      </c>
      <c r="P316" s="4" t="str">
        <f>IF(A316="",IF(COUNTA(B316:J316)&gt;0,"НЕТ ID",""),IF(OR(NOT(ISNUMBER(E316)),AND(Форма="ИП",C316="Дивиденды"),COUNTIF(Docs[ID],A316)&lt;&gt;1,NOT(ISNUMBER(B316)),B316&lt;НачалоУчета,YEAR(B316)&lt;&gt;Год,NOT(ISNUMBER(H316)),H316&lt;B316,E316&lt;0,COUNTIF(Виды,C316)&lt;&gt;1,COUNTIF(Категории,D316)&lt;&gt;1,COUNTIF(Контрагенты,F316)&lt;&gt;1,COUNTIF(Проекты,G316)&lt;&gt;1,L316&lt;-0.01,AND(I316&lt;&gt;"Проведён",I316&lt;&gt;"Черновик")),"ОШИБКА","ОК"))</f>
        <v/>
      </c>
      <c r="Q316" s="4" t="str">
        <f t="shared" si="24"/>
        <v/>
      </c>
    </row>
    <row r="317" spans="1:17" x14ac:dyDescent="0.25">
      <c r="A317" s="22"/>
      <c r="B317" s="23"/>
      <c r="C317" s="22"/>
      <c r="D317" s="22"/>
      <c r="E317" s="22"/>
      <c r="F317" s="22"/>
      <c r="G317" s="22"/>
      <c r="H317" s="23"/>
      <c r="I317" s="22"/>
      <c r="J317" s="22"/>
      <c r="K317" s="4" t="str">
        <f>IF(A317="","",SUMIFS(Cash[Оплата],Cash[Документ],A317,Cash[Дата],"&lt;="&amp;ДатаОтчета))</f>
        <v/>
      </c>
      <c r="L317" s="4" t="str">
        <f t="shared" si="20"/>
        <v/>
      </c>
      <c r="M317" s="4" t="str">
        <f t="shared" si="21"/>
        <v/>
      </c>
      <c r="N317" s="4" t="str">
        <f t="shared" si="22"/>
        <v/>
      </c>
      <c r="O317" s="4" t="str">
        <f t="shared" si="23"/>
        <v/>
      </c>
      <c r="P317" s="4" t="str">
        <f>IF(A317="",IF(COUNTA(B317:J317)&gt;0,"НЕТ ID",""),IF(OR(NOT(ISNUMBER(E317)),AND(Форма="ИП",C317="Дивиденды"),COUNTIF(Docs[ID],A317)&lt;&gt;1,NOT(ISNUMBER(B317)),B317&lt;НачалоУчета,YEAR(B317)&lt;&gt;Год,NOT(ISNUMBER(H317)),H317&lt;B317,E317&lt;0,COUNTIF(Виды,C317)&lt;&gt;1,COUNTIF(Категории,D317)&lt;&gt;1,COUNTIF(Контрагенты,F317)&lt;&gt;1,COUNTIF(Проекты,G317)&lt;&gt;1,L317&lt;-0.01,AND(I317&lt;&gt;"Проведён",I317&lt;&gt;"Черновик")),"ОШИБКА","ОК"))</f>
        <v/>
      </c>
      <c r="Q317" s="4" t="str">
        <f t="shared" si="24"/>
        <v/>
      </c>
    </row>
    <row r="318" spans="1:17" x14ac:dyDescent="0.25">
      <c r="A318" s="22"/>
      <c r="B318" s="23"/>
      <c r="C318" s="22"/>
      <c r="D318" s="22"/>
      <c r="E318" s="22"/>
      <c r="F318" s="22"/>
      <c r="G318" s="22"/>
      <c r="H318" s="23"/>
      <c r="I318" s="22"/>
      <c r="J318" s="22"/>
      <c r="K318" s="4" t="str">
        <f>IF(A318="","",SUMIFS(Cash[Оплата],Cash[Документ],A318,Cash[Дата],"&lt;="&amp;ДатаОтчета))</f>
        <v/>
      </c>
      <c r="L318" s="4" t="str">
        <f t="shared" si="20"/>
        <v/>
      </c>
      <c r="M318" s="4" t="str">
        <f t="shared" si="21"/>
        <v/>
      </c>
      <c r="N318" s="4" t="str">
        <f t="shared" si="22"/>
        <v/>
      </c>
      <c r="O318" s="4" t="str">
        <f t="shared" si="23"/>
        <v/>
      </c>
      <c r="P318" s="4" t="str">
        <f>IF(A318="",IF(COUNTA(B318:J318)&gt;0,"НЕТ ID",""),IF(OR(NOT(ISNUMBER(E318)),AND(Форма="ИП",C318="Дивиденды"),COUNTIF(Docs[ID],A318)&lt;&gt;1,NOT(ISNUMBER(B318)),B318&lt;НачалоУчета,YEAR(B318)&lt;&gt;Год,NOT(ISNUMBER(H318)),H318&lt;B318,E318&lt;0,COUNTIF(Виды,C318)&lt;&gt;1,COUNTIF(Категории,D318)&lt;&gt;1,COUNTIF(Контрагенты,F318)&lt;&gt;1,COUNTIF(Проекты,G318)&lt;&gt;1,L318&lt;-0.01,AND(I318&lt;&gt;"Проведён",I318&lt;&gt;"Черновик")),"ОШИБКА","ОК"))</f>
        <v/>
      </c>
      <c r="Q318" s="4" t="str">
        <f t="shared" si="24"/>
        <v/>
      </c>
    </row>
    <row r="319" spans="1:17" x14ac:dyDescent="0.25">
      <c r="A319" s="22"/>
      <c r="B319" s="23"/>
      <c r="C319" s="22"/>
      <c r="D319" s="22"/>
      <c r="E319" s="22"/>
      <c r="F319" s="22"/>
      <c r="G319" s="22"/>
      <c r="H319" s="23"/>
      <c r="I319" s="22"/>
      <c r="J319" s="22"/>
      <c r="K319" s="4" t="str">
        <f>IF(A319="","",SUMIFS(Cash[Оплата],Cash[Документ],A319,Cash[Дата],"&lt;="&amp;ДатаОтчета))</f>
        <v/>
      </c>
      <c r="L319" s="4" t="str">
        <f t="shared" si="20"/>
        <v/>
      </c>
      <c r="M319" s="4" t="str">
        <f t="shared" si="21"/>
        <v/>
      </c>
      <c r="N319" s="4" t="str">
        <f t="shared" si="22"/>
        <v/>
      </c>
      <c r="O319" s="4" t="str">
        <f t="shared" si="23"/>
        <v/>
      </c>
      <c r="P319" s="4" t="str">
        <f>IF(A319="",IF(COUNTA(B319:J319)&gt;0,"НЕТ ID",""),IF(OR(NOT(ISNUMBER(E319)),AND(Форма="ИП",C319="Дивиденды"),COUNTIF(Docs[ID],A319)&lt;&gt;1,NOT(ISNUMBER(B319)),B319&lt;НачалоУчета,YEAR(B319)&lt;&gt;Год,NOT(ISNUMBER(H319)),H319&lt;B319,E319&lt;0,COUNTIF(Виды,C319)&lt;&gt;1,COUNTIF(Категории,D319)&lt;&gt;1,COUNTIF(Контрагенты,F319)&lt;&gt;1,COUNTIF(Проекты,G319)&lt;&gt;1,L319&lt;-0.01,AND(I319&lt;&gt;"Проведён",I319&lt;&gt;"Черновик")),"ОШИБКА","ОК"))</f>
        <v/>
      </c>
      <c r="Q319" s="4" t="str">
        <f t="shared" si="24"/>
        <v/>
      </c>
    </row>
    <row r="320" spans="1:17" x14ac:dyDescent="0.25">
      <c r="A320" s="22"/>
      <c r="B320" s="23"/>
      <c r="C320" s="22"/>
      <c r="D320" s="22"/>
      <c r="E320" s="22"/>
      <c r="F320" s="22"/>
      <c r="G320" s="22"/>
      <c r="H320" s="23"/>
      <c r="I320" s="22"/>
      <c r="J320" s="22"/>
      <c r="K320" s="4" t="str">
        <f>IF(A320="","",SUMIFS(Cash[Оплата],Cash[Документ],A320,Cash[Дата],"&lt;="&amp;ДатаОтчета))</f>
        <v/>
      </c>
      <c r="L320" s="4" t="str">
        <f t="shared" si="20"/>
        <v/>
      </c>
      <c r="M320" s="4" t="str">
        <f t="shared" si="21"/>
        <v/>
      </c>
      <c r="N320" s="4" t="str">
        <f t="shared" si="22"/>
        <v/>
      </c>
      <c r="O320" s="4" t="str">
        <f t="shared" si="23"/>
        <v/>
      </c>
      <c r="P320" s="4" t="str">
        <f>IF(A320="",IF(COUNTA(B320:J320)&gt;0,"НЕТ ID",""),IF(OR(NOT(ISNUMBER(E320)),AND(Форма="ИП",C320="Дивиденды"),COUNTIF(Docs[ID],A320)&lt;&gt;1,NOT(ISNUMBER(B320)),B320&lt;НачалоУчета,YEAR(B320)&lt;&gt;Год,NOT(ISNUMBER(H320)),H320&lt;B320,E320&lt;0,COUNTIF(Виды,C320)&lt;&gt;1,COUNTIF(Категории,D320)&lt;&gt;1,COUNTIF(Контрагенты,F320)&lt;&gt;1,COUNTIF(Проекты,G320)&lt;&gt;1,L320&lt;-0.01,AND(I320&lt;&gt;"Проведён",I320&lt;&gt;"Черновик")),"ОШИБКА","ОК"))</f>
        <v/>
      </c>
      <c r="Q320" s="4" t="str">
        <f t="shared" si="24"/>
        <v/>
      </c>
    </row>
    <row r="321" spans="1:17" x14ac:dyDescent="0.25">
      <c r="A321" s="22"/>
      <c r="B321" s="23"/>
      <c r="C321" s="22"/>
      <c r="D321" s="22"/>
      <c r="E321" s="22"/>
      <c r="F321" s="22"/>
      <c r="G321" s="22"/>
      <c r="H321" s="23"/>
      <c r="I321" s="22"/>
      <c r="J321" s="22"/>
      <c r="K321" s="4" t="str">
        <f>IF(A321="","",SUMIFS(Cash[Оплата],Cash[Документ],A321,Cash[Дата],"&lt;="&amp;ДатаОтчета))</f>
        <v/>
      </c>
      <c r="L321" s="4" t="str">
        <f t="shared" si="20"/>
        <v/>
      </c>
      <c r="M321" s="4" t="str">
        <f t="shared" si="21"/>
        <v/>
      </c>
      <c r="N321" s="4" t="str">
        <f t="shared" si="22"/>
        <v/>
      </c>
      <c r="O321" s="4" t="str">
        <f t="shared" si="23"/>
        <v/>
      </c>
      <c r="P321" s="4" t="str">
        <f>IF(A321="",IF(COUNTA(B321:J321)&gt;0,"НЕТ ID",""),IF(OR(NOT(ISNUMBER(E321)),AND(Форма="ИП",C321="Дивиденды"),COUNTIF(Docs[ID],A321)&lt;&gt;1,NOT(ISNUMBER(B321)),B321&lt;НачалоУчета,YEAR(B321)&lt;&gt;Год,NOT(ISNUMBER(H321)),H321&lt;B321,E321&lt;0,COUNTIF(Виды,C321)&lt;&gt;1,COUNTIF(Категории,D321)&lt;&gt;1,COUNTIF(Контрагенты,F321)&lt;&gt;1,COUNTIF(Проекты,G321)&lt;&gt;1,L321&lt;-0.01,AND(I321&lt;&gt;"Проведён",I321&lt;&gt;"Черновик")),"ОШИБКА","ОК"))</f>
        <v/>
      </c>
      <c r="Q321" s="4" t="str">
        <f t="shared" si="24"/>
        <v/>
      </c>
    </row>
    <row r="322" spans="1:17" x14ac:dyDescent="0.25">
      <c r="A322" s="22"/>
      <c r="B322" s="23"/>
      <c r="C322" s="22"/>
      <c r="D322" s="22"/>
      <c r="E322" s="22"/>
      <c r="F322" s="22"/>
      <c r="G322" s="22"/>
      <c r="H322" s="23"/>
      <c r="I322" s="22"/>
      <c r="J322" s="22"/>
      <c r="K322" s="4" t="str">
        <f>IF(A322="","",SUMIFS(Cash[Оплата],Cash[Документ],A322,Cash[Дата],"&lt;="&amp;ДатаОтчета))</f>
        <v/>
      </c>
      <c r="L322" s="4" t="str">
        <f t="shared" si="20"/>
        <v/>
      </c>
      <c r="M322" s="4" t="str">
        <f t="shared" si="21"/>
        <v/>
      </c>
      <c r="N322" s="4" t="str">
        <f t="shared" si="22"/>
        <v/>
      </c>
      <c r="O322" s="4" t="str">
        <f t="shared" si="23"/>
        <v/>
      </c>
      <c r="P322" s="4" t="str">
        <f>IF(A322="",IF(COUNTA(B322:J322)&gt;0,"НЕТ ID",""),IF(OR(NOT(ISNUMBER(E322)),AND(Форма="ИП",C322="Дивиденды"),COUNTIF(Docs[ID],A322)&lt;&gt;1,NOT(ISNUMBER(B322)),B322&lt;НачалоУчета,YEAR(B322)&lt;&gt;Год,NOT(ISNUMBER(H322)),H322&lt;B322,E322&lt;0,COUNTIF(Виды,C322)&lt;&gt;1,COUNTIF(Категории,D322)&lt;&gt;1,COUNTIF(Контрагенты,F322)&lt;&gt;1,COUNTIF(Проекты,G322)&lt;&gt;1,L322&lt;-0.01,AND(I322&lt;&gt;"Проведён",I322&lt;&gt;"Черновик")),"ОШИБКА","ОК"))</f>
        <v/>
      </c>
      <c r="Q322" s="4" t="str">
        <f t="shared" si="24"/>
        <v/>
      </c>
    </row>
    <row r="323" spans="1:17" x14ac:dyDescent="0.25">
      <c r="A323" s="22"/>
      <c r="B323" s="23"/>
      <c r="C323" s="22"/>
      <c r="D323" s="22"/>
      <c r="E323" s="22"/>
      <c r="F323" s="22"/>
      <c r="G323" s="22"/>
      <c r="H323" s="23"/>
      <c r="I323" s="22"/>
      <c r="J323" s="22"/>
      <c r="K323" s="4" t="str">
        <f>IF(A323="","",SUMIFS(Cash[Оплата],Cash[Документ],A323,Cash[Дата],"&lt;="&amp;ДатаОтчета))</f>
        <v/>
      </c>
      <c r="L323" s="4" t="str">
        <f t="shared" si="20"/>
        <v/>
      </c>
      <c r="M323" s="4" t="str">
        <f t="shared" si="21"/>
        <v/>
      </c>
      <c r="N323" s="4" t="str">
        <f t="shared" si="22"/>
        <v/>
      </c>
      <c r="O323" s="4" t="str">
        <f t="shared" si="23"/>
        <v/>
      </c>
      <c r="P323" s="4" t="str">
        <f>IF(A323="",IF(COUNTA(B323:J323)&gt;0,"НЕТ ID",""),IF(OR(NOT(ISNUMBER(E323)),AND(Форма="ИП",C323="Дивиденды"),COUNTIF(Docs[ID],A323)&lt;&gt;1,NOT(ISNUMBER(B323)),B323&lt;НачалоУчета,YEAR(B323)&lt;&gt;Год,NOT(ISNUMBER(H323)),H323&lt;B323,E323&lt;0,COUNTIF(Виды,C323)&lt;&gt;1,COUNTIF(Категории,D323)&lt;&gt;1,COUNTIF(Контрагенты,F323)&lt;&gt;1,COUNTIF(Проекты,G323)&lt;&gt;1,L323&lt;-0.01,AND(I323&lt;&gt;"Проведён",I323&lt;&gt;"Черновик")),"ОШИБКА","ОК"))</f>
        <v/>
      </c>
      <c r="Q323" s="4" t="str">
        <f t="shared" si="24"/>
        <v/>
      </c>
    </row>
    <row r="324" spans="1:17" x14ac:dyDescent="0.25">
      <c r="A324" s="22"/>
      <c r="B324" s="23"/>
      <c r="C324" s="22"/>
      <c r="D324" s="22"/>
      <c r="E324" s="22"/>
      <c r="F324" s="22"/>
      <c r="G324" s="22"/>
      <c r="H324" s="23"/>
      <c r="I324" s="22"/>
      <c r="J324" s="22"/>
      <c r="K324" s="4" t="str">
        <f>IF(A324="","",SUMIFS(Cash[Оплата],Cash[Документ],A324,Cash[Дата],"&lt;="&amp;ДатаОтчета))</f>
        <v/>
      </c>
      <c r="L324" s="4" t="str">
        <f t="shared" si="20"/>
        <v/>
      </c>
      <c r="M324" s="4" t="str">
        <f t="shared" si="21"/>
        <v/>
      </c>
      <c r="N324" s="4" t="str">
        <f t="shared" si="22"/>
        <v/>
      </c>
      <c r="O324" s="4" t="str">
        <f t="shared" si="23"/>
        <v/>
      </c>
      <c r="P324" s="4" t="str">
        <f>IF(A324="",IF(COUNTA(B324:J324)&gt;0,"НЕТ ID",""),IF(OR(NOT(ISNUMBER(E324)),AND(Форма="ИП",C324="Дивиденды"),COUNTIF(Docs[ID],A324)&lt;&gt;1,NOT(ISNUMBER(B324)),B324&lt;НачалоУчета,YEAR(B324)&lt;&gt;Год,NOT(ISNUMBER(H324)),H324&lt;B324,E324&lt;0,COUNTIF(Виды,C324)&lt;&gt;1,COUNTIF(Категории,D324)&lt;&gt;1,COUNTIF(Контрагенты,F324)&lt;&gt;1,COUNTIF(Проекты,G324)&lt;&gt;1,L324&lt;-0.01,AND(I324&lt;&gt;"Проведён",I324&lt;&gt;"Черновик")),"ОШИБКА","ОК"))</f>
        <v/>
      </c>
      <c r="Q324" s="4" t="str">
        <f t="shared" si="24"/>
        <v/>
      </c>
    </row>
    <row r="325" spans="1:17" x14ac:dyDescent="0.25">
      <c r="A325" s="22"/>
      <c r="B325" s="23"/>
      <c r="C325" s="22"/>
      <c r="D325" s="22"/>
      <c r="E325" s="22"/>
      <c r="F325" s="22"/>
      <c r="G325" s="22"/>
      <c r="H325" s="23"/>
      <c r="I325" s="22"/>
      <c r="J325" s="22"/>
      <c r="K325" s="4" t="str">
        <f>IF(A325="","",SUMIFS(Cash[Оплата],Cash[Документ],A325,Cash[Дата],"&lt;="&amp;ДатаОтчета))</f>
        <v/>
      </c>
      <c r="L325" s="4" t="str">
        <f t="shared" si="20"/>
        <v/>
      </c>
      <c r="M325" s="4" t="str">
        <f t="shared" si="21"/>
        <v/>
      </c>
      <c r="N325" s="4" t="str">
        <f t="shared" si="22"/>
        <v/>
      </c>
      <c r="O325" s="4" t="str">
        <f t="shared" si="23"/>
        <v/>
      </c>
      <c r="P325" s="4" t="str">
        <f>IF(A325="",IF(COUNTA(B325:J325)&gt;0,"НЕТ ID",""),IF(OR(NOT(ISNUMBER(E325)),AND(Форма="ИП",C325="Дивиденды"),COUNTIF(Docs[ID],A325)&lt;&gt;1,NOT(ISNUMBER(B325)),B325&lt;НачалоУчета,YEAR(B325)&lt;&gt;Год,NOT(ISNUMBER(H325)),H325&lt;B325,E325&lt;0,COUNTIF(Виды,C325)&lt;&gt;1,COUNTIF(Категории,D325)&lt;&gt;1,COUNTIF(Контрагенты,F325)&lt;&gt;1,COUNTIF(Проекты,G325)&lt;&gt;1,L325&lt;-0.01,AND(I325&lt;&gt;"Проведён",I325&lt;&gt;"Черновик")),"ОШИБКА","ОК"))</f>
        <v/>
      </c>
      <c r="Q325" s="4" t="str">
        <f t="shared" si="24"/>
        <v/>
      </c>
    </row>
    <row r="326" spans="1:17" x14ac:dyDescent="0.25">
      <c r="A326" s="22"/>
      <c r="B326" s="23"/>
      <c r="C326" s="22"/>
      <c r="D326" s="22"/>
      <c r="E326" s="22"/>
      <c r="F326" s="22"/>
      <c r="G326" s="22"/>
      <c r="H326" s="23"/>
      <c r="I326" s="22"/>
      <c r="J326" s="22"/>
      <c r="K326" s="4" t="str">
        <f>IF(A326="","",SUMIFS(Cash[Оплата],Cash[Документ],A326,Cash[Дата],"&lt;="&amp;ДатаОтчета))</f>
        <v/>
      </c>
      <c r="L326" s="4" t="str">
        <f t="shared" si="20"/>
        <v/>
      </c>
      <c r="M326" s="4" t="str">
        <f t="shared" si="21"/>
        <v/>
      </c>
      <c r="N326" s="4" t="str">
        <f t="shared" si="22"/>
        <v/>
      </c>
      <c r="O326" s="4" t="str">
        <f t="shared" si="23"/>
        <v/>
      </c>
      <c r="P326" s="4" t="str">
        <f>IF(A326="",IF(COUNTA(B326:J326)&gt;0,"НЕТ ID",""),IF(OR(NOT(ISNUMBER(E326)),AND(Форма="ИП",C326="Дивиденды"),COUNTIF(Docs[ID],A326)&lt;&gt;1,NOT(ISNUMBER(B326)),B326&lt;НачалоУчета,YEAR(B326)&lt;&gt;Год,NOT(ISNUMBER(H326)),H326&lt;B326,E326&lt;0,COUNTIF(Виды,C326)&lt;&gt;1,COUNTIF(Категории,D326)&lt;&gt;1,COUNTIF(Контрагенты,F326)&lt;&gt;1,COUNTIF(Проекты,G326)&lt;&gt;1,L326&lt;-0.01,AND(I326&lt;&gt;"Проведён",I326&lt;&gt;"Черновик")),"ОШИБКА","ОК"))</f>
        <v/>
      </c>
      <c r="Q326" s="4" t="str">
        <f t="shared" si="24"/>
        <v/>
      </c>
    </row>
    <row r="327" spans="1:17" x14ac:dyDescent="0.25">
      <c r="A327" s="22"/>
      <c r="B327" s="23"/>
      <c r="C327" s="22"/>
      <c r="D327" s="22"/>
      <c r="E327" s="22"/>
      <c r="F327" s="22"/>
      <c r="G327" s="22"/>
      <c r="H327" s="23"/>
      <c r="I327" s="22"/>
      <c r="J327" s="22"/>
      <c r="K327" s="4" t="str">
        <f>IF(A327="","",SUMIFS(Cash[Оплата],Cash[Документ],A327,Cash[Дата],"&lt;="&amp;ДатаОтчета))</f>
        <v/>
      </c>
      <c r="L327" s="4" t="str">
        <f t="shared" ref="L327:L390" si="25">IF(A327="","",IF(AND(I327="Проведён",B327&lt;=ДатаОтчета),E327-K327,0))</f>
        <v/>
      </c>
      <c r="M327" s="4" t="str">
        <f t="shared" ref="M327:M390" si="26">IF(A327="","",IF(L327&gt;0.01,MAX(0,ДатаОтчета-H327),0))</f>
        <v/>
      </c>
      <c r="N327" s="4" t="str">
        <f t="shared" ref="N327:N390" si="27">IF(A327="","",IF(L327&lt;=0.01,"Закрыта",IF(M327=0,"Не просрочена",IF(M327&lt;=30,"1–30 дней",IF(M327&lt;=60,"31–60 дней",IF(M327&lt;=90,"61–90 дней","Более 90 дней"))))))</f>
        <v/>
      </c>
      <c r="O327" s="4" t="str">
        <f t="shared" ref="O327:O390" si="28">IF(A327="","",IF(L327&lt;-0.01,"Переплата",IF(L327&lt;=0.01,"Оплачено",IF(M327&gt;0,"Просрочено",IF(H327&lt;=ДатаОтчета+7,"Оплата в 7 дней","Открыто")))))</f>
        <v/>
      </c>
      <c r="P327" s="4" t="str">
        <f>IF(A327="",IF(COUNTA(B327:J327)&gt;0,"НЕТ ID",""),IF(OR(NOT(ISNUMBER(E327)),AND(Форма="ИП",C327="Дивиденды"),COUNTIF(Docs[ID],A327)&lt;&gt;1,NOT(ISNUMBER(B327)),B327&lt;НачалоУчета,YEAR(B327)&lt;&gt;Год,NOT(ISNUMBER(H327)),H327&lt;B327,E327&lt;0,COUNTIF(Виды,C327)&lt;&gt;1,COUNTIF(Категории,D327)&lt;&gt;1,COUNTIF(Контрагенты,F327)&lt;&gt;1,COUNTIF(Проекты,G327)&lt;&gt;1,L327&lt;-0.01,AND(I327&lt;&gt;"Проведён",I327&lt;&gt;"Черновик")),"ОШИБКА","ОК"))</f>
        <v/>
      </c>
      <c r="Q327" s="4" t="str">
        <f t="shared" ref="Q327:Q390" si="29">IF(A327="","",IF(OR(C327="Выручка",C327="Начальная ДЗ"),"ДЗ","КЗ"))</f>
        <v/>
      </c>
    </row>
    <row r="328" spans="1:17" x14ac:dyDescent="0.25">
      <c r="A328" s="22"/>
      <c r="B328" s="23"/>
      <c r="C328" s="22"/>
      <c r="D328" s="22"/>
      <c r="E328" s="22"/>
      <c r="F328" s="22"/>
      <c r="G328" s="22"/>
      <c r="H328" s="23"/>
      <c r="I328" s="22"/>
      <c r="J328" s="22"/>
      <c r="K328" s="4" t="str">
        <f>IF(A328="","",SUMIFS(Cash[Оплата],Cash[Документ],A328,Cash[Дата],"&lt;="&amp;ДатаОтчета))</f>
        <v/>
      </c>
      <c r="L328" s="4" t="str">
        <f t="shared" si="25"/>
        <v/>
      </c>
      <c r="M328" s="4" t="str">
        <f t="shared" si="26"/>
        <v/>
      </c>
      <c r="N328" s="4" t="str">
        <f t="shared" si="27"/>
        <v/>
      </c>
      <c r="O328" s="4" t="str">
        <f t="shared" si="28"/>
        <v/>
      </c>
      <c r="P328" s="4" t="str">
        <f>IF(A328="",IF(COUNTA(B328:J328)&gt;0,"НЕТ ID",""),IF(OR(NOT(ISNUMBER(E328)),AND(Форма="ИП",C328="Дивиденды"),COUNTIF(Docs[ID],A328)&lt;&gt;1,NOT(ISNUMBER(B328)),B328&lt;НачалоУчета,YEAR(B328)&lt;&gt;Год,NOT(ISNUMBER(H328)),H328&lt;B328,E328&lt;0,COUNTIF(Виды,C328)&lt;&gt;1,COUNTIF(Категории,D328)&lt;&gt;1,COUNTIF(Контрагенты,F328)&lt;&gt;1,COUNTIF(Проекты,G328)&lt;&gt;1,L328&lt;-0.01,AND(I328&lt;&gt;"Проведён",I328&lt;&gt;"Черновик")),"ОШИБКА","ОК"))</f>
        <v/>
      </c>
      <c r="Q328" s="4" t="str">
        <f t="shared" si="29"/>
        <v/>
      </c>
    </row>
    <row r="329" spans="1:17" x14ac:dyDescent="0.25">
      <c r="A329" s="22"/>
      <c r="B329" s="23"/>
      <c r="C329" s="22"/>
      <c r="D329" s="22"/>
      <c r="E329" s="22"/>
      <c r="F329" s="22"/>
      <c r="G329" s="22"/>
      <c r="H329" s="23"/>
      <c r="I329" s="22"/>
      <c r="J329" s="22"/>
      <c r="K329" s="4" t="str">
        <f>IF(A329="","",SUMIFS(Cash[Оплата],Cash[Документ],A329,Cash[Дата],"&lt;="&amp;ДатаОтчета))</f>
        <v/>
      </c>
      <c r="L329" s="4" t="str">
        <f t="shared" si="25"/>
        <v/>
      </c>
      <c r="M329" s="4" t="str">
        <f t="shared" si="26"/>
        <v/>
      </c>
      <c r="N329" s="4" t="str">
        <f t="shared" si="27"/>
        <v/>
      </c>
      <c r="O329" s="4" t="str">
        <f t="shared" si="28"/>
        <v/>
      </c>
      <c r="P329" s="4" t="str">
        <f>IF(A329="",IF(COUNTA(B329:J329)&gt;0,"НЕТ ID",""),IF(OR(NOT(ISNUMBER(E329)),AND(Форма="ИП",C329="Дивиденды"),COUNTIF(Docs[ID],A329)&lt;&gt;1,NOT(ISNUMBER(B329)),B329&lt;НачалоУчета,YEAR(B329)&lt;&gt;Год,NOT(ISNUMBER(H329)),H329&lt;B329,E329&lt;0,COUNTIF(Виды,C329)&lt;&gt;1,COUNTIF(Категории,D329)&lt;&gt;1,COUNTIF(Контрагенты,F329)&lt;&gt;1,COUNTIF(Проекты,G329)&lt;&gt;1,L329&lt;-0.01,AND(I329&lt;&gt;"Проведён",I329&lt;&gt;"Черновик")),"ОШИБКА","ОК"))</f>
        <v/>
      </c>
      <c r="Q329" s="4" t="str">
        <f t="shared" si="29"/>
        <v/>
      </c>
    </row>
    <row r="330" spans="1:17" x14ac:dyDescent="0.25">
      <c r="A330" s="22"/>
      <c r="B330" s="23"/>
      <c r="C330" s="22"/>
      <c r="D330" s="22"/>
      <c r="E330" s="22"/>
      <c r="F330" s="22"/>
      <c r="G330" s="22"/>
      <c r="H330" s="23"/>
      <c r="I330" s="22"/>
      <c r="J330" s="22"/>
      <c r="K330" s="4" t="str">
        <f>IF(A330="","",SUMIFS(Cash[Оплата],Cash[Документ],A330,Cash[Дата],"&lt;="&amp;ДатаОтчета))</f>
        <v/>
      </c>
      <c r="L330" s="4" t="str">
        <f t="shared" si="25"/>
        <v/>
      </c>
      <c r="M330" s="4" t="str">
        <f t="shared" si="26"/>
        <v/>
      </c>
      <c r="N330" s="4" t="str">
        <f t="shared" si="27"/>
        <v/>
      </c>
      <c r="O330" s="4" t="str">
        <f t="shared" si="28"/>
        <v/>
      </c>
      <c r="P330" s="4" t="str">
        <f>IF(A330="",IF(COUNTA(B330:J330)&gt;0,"НЕТ ID",""),IF(OR(NOT(ISNUMBER(E330)),AND(Форма="ИП",C330="Дивиденды"),COUNTIF(Docs[ID],A330)&lt;&gt;1,NOT(ISNUMBER(B330)),B330&lt;НачалоУчета,YEAR(B330)&lt;&gt;Год,NOT(ISNUMBER(H330)),H330&lt;B330,E330&lt;0,COUNTIF(Виды,C330)&lt;&gt;1,COUNTIF(Категории,D330)&lt;&gt;1,COUNTIF(Контрагенты,F330)&lt;&gt;1,COUNTIF(Проекты,G330)&lt;&gt;1,L330&lt;-0.01,AND(I330&lt;&gt;"Проведён",I330&lt;&gt;"Черновик")),"ОШИБКА","ОК"))</f>
        <v/>
      </c>
      <c r="Q330" s="4" t="str">
        <f t="shared" si="29"/>
        <v/>
      </c>
    </row>
    <row r="331" spans="1:17" x14ac:dyDescent="0.25">
      <c r="A331" s="22"/>
      <c r="B331" s="23"/>
      <c r="C331" s="22"/>
      <c r="D331" s="22"/>
      <c r="E331" s="22"/>
      <c r="F331" s="22"/>
      <c r="G331" s="22"/>
      <c r="H331" s="23"/>
      <c r="I331" s="22"/>
      <c r="J331" s="22"/>
      <c r="K331" s="4" t="str">
        <f>IF(A331="","",SUMIFS(Cash[Оплата],Cash[Документ],A331,Cash[Дата],"&lt;="&amp;ДатаОтчета))</f>
        <v/>
      </c>
      <c r="L331" s="4" t="str">
        <f t="shared" si="25"/>
        <v/>
      </c>
      <c r="M331" s="4" t="str">
        <f t="shared" si="26"/>
        <v/>
      </c>
      <c r="N331" s="4" t="str">
        <f t="shared" si="27"/>
        <v/>
      </c>
      <c r="O331" s="4" t="str">
        <f t="shared" si="28"/>
        <v/>
      </c>
      <c r="P331" s="4" t="str">
        <f>IF(A331="",IF(COUNTA(B331:J331)&gt;0,"НЕТ ID",""),IF(OR(NOT(ISNUMBER(E331)),AND(Форма="ИП",C331="Дивиденды"),COUNTIF(Docs[ID],A331)&lt;&gt;1,NOT(ISNUMBER(B331)),B331&lt;НачалоУчета,YEAR(B331)&lt;&gt;Год,NOT(ISNUMBER(H331)),H331&lt;B331,E331&lt;0,COUNTIF(Виды,C331)&lt;&gt;1,COUNTIF(Категории,D331)&lt;&gt;1,COUNTIF(Контрагенты,F331)&lt;&gt;1,COUNTIF(Проекты,G331)&lt;&gt;1,L331&lt;-0.01,AND(I331&lt;&gt;"Проведён",I331&lt;&gt;"Черновик")),"ОШИБКА","ОК"))</f>
        <v/>
      </c>
      <c r="Q331" s="4" t="str">
        <f t="shared" si="29"/>
        <v/>
      </c>
    </row>
    <row r="332" spans="1:17" x14ac:dyDescent="0.25">
      <c r="A332" s="22"/>
      <c r="B332" s="23"/>
      <c r="C332" s="22"/>
      <c r="D332" s="22"/>
      <c r="E332" s="22"/>
      <c r="F332" s="22"/>
      <c r="G332" s="22"/>
      <c r="H332" s="23"/>
      <c r="I332" s="22"/>
      <c r="J332" s="22"/>
      <c r="K332" s="4" t="str">
        <f>IF(A332="","",SUMIFS(Cash[Оплата],Cash[Документ],A332,Cash[Дата],"&lt;="&amp;ДатаОтчета))</f>
        <v/>
      </c>
      <c r="L332" s="4" t="str">
        <f t="shared" si="25"/>
        <v/>
      </c>
      <c r="M332" s="4" t="str">
        <f t="shared" si="26"/>
        <v/>
      </c>
      <c r="N332" s="4" t="str">
        <f t="shared" si="27"/>
        <v/>
      </c>
      <c r="O332" s="4" t="str">
        <f t="shared" si="28"/>
        <v/>
      </c>
      <c r="P332" s="4" t="str">
        <f>IF(A332="",IF(COUNTA(B332:J332)&gt;0,"НЕТ ID",""),IF(OR(NOT(ISNUMBER(E332)),AND(Форма="ИП",C332="Дивиденды"),COUNTIF(Docs[ID],A332)&lt;&gt;1,NOT(ISNUMBER(B332)),B332&lt;НачалоУчета,YEAR(B332)&lt;&gt;Год,NOT(ISNUMBER(H332)),H332&lt;B332,E332&lt;0,COUNTIF(Виды,C332)&lt;&gt;1,COUNTIF(Категории,D332)&lt;&gt;1,COUNTIF(Контрагенты,F332)&lt;&gt;1,COUNTIF(Проекты,G332)&lt;&gt;1,L332&lt;-0.01,AND(I332&lt;&gt;"Проведён",I332&lt;&gt;"Черновик")),"ОШИБКА","ОК"))</f>
        <v/>
      </c>
      <c r="Q332" s="4" t="str">
        <f t="shared" si="29"/>
        <v/>
      </c>
    </row>
    <row r="333" spans="1:17" x14ac:dyDescent="0.25">
      <c r="A333" s="22"/>
      <c r="B333" s="23"/>
      <c r="C333" s="22"/>
      <c r="D333" s="22"/>
      <c r="E333" s="22"/>
      <c r="F333" s="22"/>
      <c r="G333" s="22"/>
      <c r="H333" s="23"/>
      <c r="I333" s="22"/>
      <c r="J333" s="22"/>
      <c r="K333" s="4" t="str">
        <f>IF(A333="","",SUMIFS(Cash[Оплата],Cash[Документ],A333,Cash[Дата],"&lt;="&amp;ДатаОтчета))</f>
        <v/>
      </c>
      <c r="L333" s="4" t="str">
        <f t="shared" si="25"/>
        <v/>
      </c>
      <c r="M333" s="4" t="str">
        <f t="shared" si="26"/>
        <v/>
      </c>
      <c r="N333" s="4" t="str">
        <f t="shared" si="27"/>
        <v/>
      </c>
      <c r="O333" s="4" t="str">
        <f t="shared" si="28"/>
        <v/>
      </c>
      <c r="P333" s="4" t="str">
        <f>IF(A333="",IF(COUNTA(B333:J333)&gt;0,"НЕТ ID",""),IF(OR(NOT(ISNUMBER(E333)),AND(Форма="ИП",C333="Дивиденды"),COUNTIF(Docs[ID],A333)&lt;&gt;1,NOT(ISNUMBER(B333)),B333&lt;НачалоУчета,YEAR(B333)&lt;&gt;Год,NOT(ISNUMBER(H333)),H333&lt;B333,E333&lt;0,COUNTIF(Виды,C333)&lt;&gt;1,COUNTIF(Категории,D333)&lt;&gt;1,COUNTIF(Контрагенты,F333)&lt;&gt;1,COUNTIF(Проекты,G333)&lt;&gt;1,L333&lt;-0.01,AND(I333&lt;&gt;"Проведён",I333&lt;&gt;"Черновик")),"ОШИБКА","ОК"))</f>
        <v/>
      </c>
      <c r="Q333" s="4" t="str">
        <f t="shared" si="29"/>
        <v/>
      </c>
    </row>
    <row r="334" spans="1:17" x14ac:dyDescent="0.25">
      <c r="A334" s="22"/>
      <c r="B334" s="23"/>
      <c r="C334" s="22"/>
      <c r="D334" s="22"/>
      <c r="E334" s="22"/>
      <c r="F334" s="22"/>
      <c r="G334" s="22"/>
      <c r="H334" s="23"/>
      <c r="I334" s="22"/>
      <c r="J334" s="22"/>
      <c r="K334" s="4" t="str">
        <f>IF(A334="","",SUMIFS(Cash[Оплата],Cash[Документ],A334,Cash[Дата],"&lt;="&amp;ДатаОтчета))</f>
        <v/>
      </c>
      <c r="L334" s="4" t="str">
        <f t="shared" si="25"/>
        <v/>
      </c>
      <c r="M334" s="4" t="str">
        <f t="shared" si="26"/>
        <v/>
      </c>
      <c r="N334" s="4" t="str">
        <f t="shared" si="27"/>
        <v/>
      </c>
      <c r="O334" s="4" t="str">
        <f t="shared" si="28"/>
        <v/>
      </c>
      <c r="P334" s="4" t="str">
        <f>IF(A334="",IF(COUNTA(B334:J334)&gt;0,"НЕТ ID",""),IF(OR(NOT(ISNUMBER(E334)),AND(Форма="ИП",C334="Дивиденды"),COUNTIF(Docs[ID],A334)&lt;&gt;1,NOT(ISNUMBER(B334)),B334&lt;НачалоУчета,YEAR(B334)&lt;&gt;Год,NOT(ISNUMBER(H334)),H334&lt;B334,E334&lt;0,COUNTIF(Виды,C334)&lt;&gt;1,COUNTIF(Категории,D334)&lt;&gt;1,COUNTIF(Контрагенты,F334)&lt;&gt;1,COUNTIF(Проекты,G334)&lt;&gt;1,L334&lt;-0.01,AND(I334&lt;&gt;"Проведён",I334&lt;&gt;"Черновик")),"ОШИБКА","ОК"))</f>
        <v/>
      </c>
      <c r="Q334" s="4" t="str">
        <f t="shared" si="29"/>
        <v/>
      </c>
    </row>
    <row r="335" spans="1:17" x14ac:dyDescent="0.25">
      <c r="A335" s="22"/>
      <c r="B335" s="23"/>
      <c r="C335" s="22"/>
      <c r="D335" s="22"/>
      <c r="E335" s="22"/>
      <c r="F335" s="22"/>
      <c r="G335" s="22"/>
      <c r="H335" s="23"/>
      <c r="I335" s="22"/>
      <c r="J335" s="22"/>
      <c r="K335" s="4" t="str">
        <f>IF(A335="","",SUMIFS(Cash[Оплата],Cash[Документ],A335,Cash[Дата],"&lt;="&amp;ДатаОтчета))</f>
        <v/>
      </c>
      <c r="L335" s="4" t="str">
        <f t="shared" si="25"/>
        <v/>
      </c>
      <c r="M335" s="4" t="str">
        <f t="shared" si="26"/>
        <v/>
      </c>
      <c r="N335" s="4" t="str">
        <f t="shared" si="27"/>
        <v/>
      </c>
      <c r="O335" s="4" t="str">
        <f t="shared" si="28"/>
        <v/>
      </c>
      <c r="P335" s="4" t="str">
        <f>IF(A335="",IF(COUNTA(B335:J335)&gt;0,"НЕТ ID",""),IF(OR(NOT(ISNUMBER(E335)),AND(Форма="ИП",C335="Дивиденды"),COUNTIF(Docs[ID],A335)&lt;&gt;1,NOT(ISNUMBER(B335)),B335&lt;НачалоУчета,YEAR(B335)&lt;&gt;Год,NOT(ISNUMBER(H335)),H335&lt;B335,E335&lt;0,COUNTIF(Виды,C335)&lt;&gt;1,COUNTIF(Категории,D335)&lt;&gt;1,COUNTIF(Контрагенты,F335)&lt;&gt;1,COUNTIF(Проекты,G335)&lt;&gt;1,L335&lt;-0.01,AND(I335&lt;&gt;"Проведён",I335&lt;&gt;"Черновик")),"ОШИБКА","ОК"))</f>
        <v/>
      </c>
      <c r="Q335" s="4" t="str">
        <f t="shared" si="29"/>
        <v/>
      </c>
    </row>
    <row r="336" spans="1:17" x14ac:dyDescent="0.25">
      <c r="A336" s="22"/>
      <c r="B336" s="23"/>
      <c r="C336" s="22"/>
      <c r="D336" s="22"/>
      <c r="E336" s="22"/>
      <c r="F336" s="22"/>
      <c r="G336" s="22"/>
      <c r="H336" s="23"/>
      <c r="I336" s="22"/>
      <c r="J336" s="22"/>
      <c r="K336" s="4" t="str">
        <f>IF(A336="","",SUMIFS(Cash[Оплата],Cash[Документ],A336,Cash[Дата],"&lt;="&amp;ДатаОтчета))</f>
        <v/>
      </c>
      <c r="L336" s="4" t="str">
        <f t="shared" si="25"/>
        <v/>
      </c>
      <c r="M336" s="4" t="str">
        <f t="shared" si="26"/>
        <v/>
      </c>
      <c r="N336" s="4" t="str">
        <f t="shared" si="27"/>
        <v/>
      </c>
      <c r="O336" s="4" t="str">
        <f t="shared" si="28"/>
        <v/>
      </c>
      <c r="P336" s="4" t="str">
        <f>IF(A336="",IF(COUNTA(B336:J336)&gt;0,"НЕТ ID",""),IF(OR(NOT(ISNUMBER(E336)),AND(Форма="ИП",C336="Дивиденды"),COUNTIF(Docs[ID],A336)&lt;&gt;1,NOT(ISNUMBER(B336)),B336&lt;НачалоУчета,YEAR(B336)&lt;&gt;Год,NOT(ISNUMBER(H336)),H336&lt;B336,E336&lt;0,COUNTIF(Виды,C336)&lt;&gt;1,COUNTIF(Категории,D336)&lt;&gt;1,COUNTIF(Контрагенты,F336)&lt;&gt;1,COUNTIF(Проекты,G336)&lt;&gt;1,L336&lt;-0.01,AND(I336&lt;&gt;"Проведён",I336&lt;&gt;"Черновик")),"ОШИБКА","ОК"))</f>
        <v/>
      </c>
      <c r="Q336" s="4" t="str">
        <f t="shared" si="29"/>
        <v/>
      </c>
    </row>
    <row r="337" spans="1:17" x14ac:dyDescent="0.25">
      <c r="A337" s="22"/>
      <c r="B337" s="23"/>
      <c r="C337" s="22"/>
      <c r="D337" s="22"/>
      <c r="E337" s="22"/>
      <c r="F337" s="22"/>
      <c r="G337" s="22"/>
      <c r="H337" s="23"/>
      <c r="I337" s="22"/>
      <c r="J337" s="22"/>
      <c r="K337" s="4" t="str">
        <f>IF(A337="","",SUMIFS(Cash[Оплата],Cash[Документ],A337,Cash[Дата],"&lt;="&amp;ДатаОтчета))</f>
        <v/>
      </c>
      <c r="L337" s="4" t="str">
        <f t="shared" si="25"/>
        <v/>
      </c>
      <c r="M337" s="4" t="str">
        <f t="shared" si="26"/>
        <v/>
      </c>
      <c r="N337" s="4" t="str">
        <f t="shared" si="27"/>
        <v/>
      </c>
      <c r="O337" s="4" t="str">
        <f t="shared" si="28"/>
        <v/>
      </c>
      <c r="P337" s="4" t="str">
        <f>IF(A337="",IF(COUNTA(B337:J337)&gt;0,"НЕТ ID",""),IF(OR(NOT(ISNUMBER(E337)),AND(Форма="ИП",C337="Дивиденды"),COUNTIF(Docs[ID],A337)&lt;&gt;1,NOT(ISNUMBER(B337)),B337&lt;НачалоУчета,YEAR(B337)&lt;&gt;Год,NOT(ISNUMBER(H337)),H337&lt;B337,E337&lt;0,COUNTIF(Виды,C337)&lt;&gt;1,COUNTIF(Категории,D337)&lt;&gt;1,COUNTIF(Контрагенты,F337)&lt;&gt;1,COUNTIF(Проекты,G337)&lt;&gt;1,L337&lt;-0.01,AND(I337&lt;&gt;"Проведён",I337&lt;&gt;"Черновик")),"ОШИБКА","ОК"))</f>
        <v/>
      </c>
      <c r="Q337" s="4" t="str">
        <f t="shared" si="29"/>
        <v/>
      </c>
    </row>
    <row r="338" spans="1:17" x14ac:dyDescent="0.25">
      <c r="A338" s="22"/>
      <c r="B338" s="23"/>
      <c r="C338" s="22"/>
      <c r="D338" s="22"/>
      <c r="E338" s="22"/>
      <c r="F338" s="22"/>
      <c r="G338" s="22"/>
      <c r="H338" s="23"/>
      <c r="I338" s="22"/>
      <c r="J338" s="22"/>
      <c r="K338" s="4" t="str">
        <f>IF(A338="","",SUMIFS(Cash[Оплата],Cash[Документ],A338,Cash[Дата],"&lt;="&amp;ДатаОтчета))</f>
        <v/>
      </c>
      <c r="L338" s="4" t="str">
        <f t="shared" si="25"/>
        <v/>
      </c>
      <c r="M338" s="4" t="str">
        <f t="shared" si="26"/>
        <v/>
      </c>
      <c r="N338" s="4" t="str">
        <f t="shared" si="27"/>
        <v/>
      </c>
      <c r="O338" s="4" t="str">
        <f t="shared" si="28"/>
        <v/>
      </c>
      <c r="P338" s="4" t="str">
        <f>IF(A338="",IF(COUNTA(B338:J338)&gt;0,"НЕТ ID",""),IF(OR(NOT(ISNUMBER(E338)),AND(Форма="ИП",C338="Дивиденды"),COUNTIF(Docs[ID],A338)&lt;&gt;1,NOT(ISNUMBER(B338)),B338&lt;НачалоУчета,YEAR(B338)&lt;&gt;Год,NOT(ISNUMBER(H338)),H338&lt;B338,E338&lt;0,COUNTIF(Виды,C338)&lt;&gt;1,COUNTIF(Категории,D338)&lt;&gt;1,COUNTIF(Контрагенты,F338)&lt;&gt;1,COUNTIF(Проекты,G338)&lt;&gt;1,L338&lt;-0.01,AND(I338&lt;&gt;"Проведён",I338&lt;&gt;"Черновик")),"ОШИБКА","ОК"))</f>
        <v/>
      </c>
      <c r="Q338" s="4" t="str">
        <f t="shared" si="29"/>
        <v/>
      </c>
    </row>
    <row r="339" spans="1:17" x14ac:dyDescent="0.25">
      <c r="A339" s="22"/>
      <c r="B339" s="23"/>
      <c r="C339" s="22"/>
      <c r="D339" s="22"/>
      <c r="E339" s="22"/>
      <c r="F339" s="22"/>
      <c r="G339" s="22"/>
      <c r="H339" s="23"/>
      <c r="I339" s="22"/>
      <c r="J339" s="22"/>
      <c r="K339" s="4" t="str">
        <f>IF(A339="","",SUMIFS(Cash[Оплата],Cash[Документ],A339,Cash[Дата],"&lt;="&amp;ДатаОтчета))</f>
        <v/>
      </c>
      <c r="L339" s="4" t="str">
        <f t="shared" si="25"/>
        <v/>
      </c>
      <c r="M339" s="4" t="str">
        <f t="shared" si="26"/>
        <v/>
      </c>
      <c r="N339" s="4" t="str">
        <f t="shared" si="27"/>
        <v/>
      </c>
      <c r="O339" s="4" t="str">
        <f t="shared" si="28"/>
        <v/>
      </c>
      <c r="P339" s="4" t="str">
        <f>IF(A339="",IF(COUNTA(B339:J339)&gt;0,"НЕТ ID",""),IF(OR(NOT(ISNUMBER(E339)),AND(Форма="ИП",C339="Дивиденды"),COUNTIF(Docs[ID],A339)&lt;&gt;1,NOT(ISNUMBER(B339)),B339&lt;НачалоУчета,YEAR(B339)&lt;&gt;Год,NOT(ISNUMBER(H339)),H339&lt;B339,E339&lt;0,COUNTIF(Виды,C339)&lt;&gt;1,COUNTIF(Категории,D339)&lt;&gt;1,COUNTIF(Контрагенты,F339)&lt;&gt;1,COUNTIF(Проекты,G339)&lt;&gt;1,L339&lt;-0.01,AND(I339&lt;&gt;"Проведён",I339&lt;&gt;"Черновик")),"ОШИБКА","ОК"))</f>
        <v/>
      </c>
      <c r="Q339" s="4" t="str">
        <f t="shared" si="29"/>
        <v/>
      </c>
    </row>
    <row r="340" spans="1:17" x14ac:dyDescent="0.25">
      <c r="A340" s="22"/>
      <c r="B340" s="23"/>
      <c r="C340" s="22"/>
      <c r="D340" s="22"/>
      <c r="E340" s="22"/>
      <c r="F340" s="22"/>
      <c r="G340" s="22"/>
      <c r="H340" s="23"/>
      <c r="I340" s="22"/>
      <c r="J340" s="22"/>
      <c r="K340" s="4" t="str">
        <f>IF(A340="","",SUMIFS(Cash[Оплата],Cash[Документ],A340,Cash[Дата],"&lt;="&amp;ДатаОтчета))</f>
        <v/>
      </c>
      <c r="L340" s="4" t="str">
        <f t="shared" si="25"/>
        <v/>
      </c>
      <c r="M340" s="4" t="str">
        <f t="shared" si="26"/>
        <v/>
      </c>
      <c r="N340" s="4" t="str">
        <f t="shared" si="27"/>
        <v/>
      </c>
      <c r="O340" s="4" t="str">
        <f t="shared" si="28"/>
        <v/>
      </c>
      <c r="P340" s="4" t="str">
        <f>IF(A340="",IF(COUNTA(B340:J340)&gt;0,"НЕТ ID",""),IF(OR(NOT(ISNUMBER(E340)),AND(Форма="ИП",C340="Дивиденды"),COUNTIF(Docs[ID],A340)&lt;&gt;1,NOT(ISNUMBER(B340)),B340&lt;НачалоУчета,YEAR(B340)&lt;&gt;Год,NOT(ISNUMBER(H340)),H340&lt;B340,E340&lt;0,COUNTIF(Виды,C340)&lt;&gt;1,COUNTIF(Категории,D340)&lt;&gt;1,COUNTIF(Контрагенты,F340)&lt;&gt;1,COUNTIF(Проекты,G340)&lt;&gt;1,L340&lt;-0.01,AND(I340&lt;&gt;"Проведён",I340&lt;&gt;"Черновик")),"ОШИБКА","ОК"))</f>
        <v/>
      </c>
      <c r="Q340" s="4" t="str">
        <f t="shared" si="29"/>
        <v/>
      </c>
    </row>
    <row r="341" spans="1:17" x14ac:dyDescent="0.25">
      <c r="A341" s="22"/>
      <c r="B341" s="23"/>
      <c r="C341" s="22"/>
      <c r="D341" s="22"/>
      <c r="E341" s="22"/>
      <c r="F341" s="22"/>
      <c r="G341" s="22"/>
      <c r="H341" s="23"/>
      <c r="I341" s="22"/>
      <c r="J341" s="22"/>
      <c r="K341" s="4" t="str">
        <f>IF(A341="","",SUMIFS(Cash[Оплата],Cash[Документ],A341,Cash[Дата],"&lt;="&amp;ДатаОтчета))</f>
        <v/>
      </c>
      <c r="L341" s="4" t="str">
        <f t="shared" si="25"/>
        <v/>
      </c>
      <c r="M341" s="4" t="str">
        <f t="shared" si="26"/>
        <v/>
      </c>
      <c r="N341" s="4" t="str">
        <f t="shared" si="27"/>
        <v/>
      </c>
      <c r="O341" s="4" t="str">
        <f t="shared" si="28"/>
        <v/>
      </c>
      <c r="P341" s="4" t="str">
        <f>IF(A341="",IF(COUNTA(B341:J341)&gt;0,"НЕТ ID",""),IF(OR(NOT(ISNUMBER(E341)),AND(Форма="ИП",C341="Дивиденды"),COUNTIF(Docs[ID],A341)&lt;&gt;1,NOT(ISNUMBER(B341)),B341&lt;НачалоУчета,YEAR(B341)&lt;&gt;Год,NOT(ISNUMBER(H341)),H341&lt;B341,E341&lt;0,COUNTIF(Виды,C341)&lt;&gt;1,COUNTIF(Категории,D341)&lt;&gt;1,COUNTIF(Контрагенты,F341)&lt;&gt;1,COUNTIF(Проекты,G341)&lt;&gt;1,L341&lt;-0.01,AND(I341&lt;&gt;"Проведён",I341&lt;&gt;"Черновик")),"ОШИБКА","ОК"))</f>
        <v/>
      </c>
      <c r="Q341" s="4" t="str">
        <f t="shared" si="29"/>
        <v/>
      </c>
    </row>
    <row r="342" spans="1:17" x14ac:dyDescent="0.25">
      <c r="A342" s="22"/>
      <c r="B342" s="23"/>
      <c r="C342" s="22"/>
      <c r="D342" s="22"/>
      <c r="E342" s="22"/>
      <c r="F342" s="22"/>
      <c r="G342" s="22"/>
      <c r="H342" s="23"/>
      <c r="I342" s="22"/>
      <c r="J342" s="22"/>
      <c r="K342" s="4" t="str">
        <f>IF(A342="","",SUMIFS(Cash[Оплата],Cash[Документ],A342,Cash[Дата],"&lt;="&amp;ДатаОтчета))</f>
        <v/>
      </c>
      <c r="L342" s="4" t="str">
        <f t="shared" si="25"/>
        <v/>
      </c>
      <c r="M342" s="4" t="str">
        <f t="shared" si="26"/>
        <v/>
      </c>
      <c r="N342" s="4" t="str">
        <f t="shared" si="27"/>
        <v/>
      </c>
      <c r="O342" s="4" t="str">
        <f t="shared" si="28"/>
        <v/>
      </c>
      <c r="P342" s="4" t="str">
        <f>IF(A342="",IF(COUNTA(B342:J342)&gt;0,"НЕТ ID",""),IF(OR(NOT(ISNUMBER(E342)),AND(Форма="ИП",C342="Дивиденды"),COUNTIF(Docs[ID],A342)&lt;&gt;1,NOT(ISNUMBER(B342)),B342&lt;НачалоУчета,YEAR(B342)&lt;&gt;Год,NOT(ISNUMBER(H342)),H342&lt;B342,E342&lt;0,COUNTIF(Виды,C342)&lt;&gt;1,COUNTIF(Категории,D342)&lt;&gt;1,COUNTIF(Контрагенты,F342)&lt;&gt;1,COUNTIF(Проекты,G342)&lt;&gt;1,L342&lt;-0.01,AND(I342&lt;&gt;"Проведён",I342&lt;&gt;"Черновик")),"ОШИБКА","ОК"))</f>
        <v/>
      </c>
      <c r="Q342" s="4" t="str">
        <f t="shared" si="29"/>
        <v/>
      </c>
    </row>
    <row r="343" spans="1:17" x14ac:dyDescent="0.25">
      <c r="A343" s="22"/>
      <c r="B343" s="23"/>
      <c r="C343" s="22"/>
      <c r="D343" s="22"/>
      <c r="E343" s="22"/>
      <c r="F343" s="22"/>
      <c r="G343" s="22"/>
      <c r="H343" s="23"/>
      <c r="I343" s="22"/>
      <c r="J343" s="22"/>
      <c r="K343" s="4" t="str">
        <f>IF(A343="","",SUMIFS(Cash[Оплата],Cash[Документ],A343,Cash[Дата],"&lt;="&amp;ДатаОтчета))</f>
        <v/>
      </c>
      <c r="L343" s="4" t="str">
        <f t="shared" si="25"/>
        <v/>
      </c>
      <c r="M343" s="4" t="str">
        <f t="shared" si="26"/>
        <v/>
      </c>
      <c r="N343" s="4" t="str">
        <f t="shared" si="27"/>
        <v/>
      </c>
      <c r="O343" s="4" t="str">
        <f t="shared" si="28"/>
        <v/>
      </c>
      <c r="P343" s="4" t="str">
        <f>IF(A343="",IF(COUNTA(B343:J343)&gt;0,"НЕТ ID",""),IF(OR(NOT(ISNUMBER(E343)),AND(Форма="ИП",C343="Дивиденды"),COUNTIF(Docs[ID],A343)&lt;&gt;1,NOT(ISNUMBER(B343)),B343&lt;НачалоУчета,YEAR(B343)&lt;&gt;Год,NOT(ISNUMBER(H343)),H343&lt;B343,E343&lt;0,COUNTIF(Виды,C343)&lt;&gt;1,COUNTIF(Категории,D343)&lt;&gt;1,COUNTIF(Контрагенты,F343)&lt;&gt;1,COUNTIF(Проекты,G343)&lt;&gt;1,L343&lt;-0.01,AND(I343&lt;&gt;"Проведён",I343&lt;&gt;"Черновик")),"ОШИБКА","ОК"))</f>
        <v/>
      </c>
      <c r="Q343" s="4" t="str">
        <f t="shared" si="29"/>
        <v/>
      </c>
    </row>
    <row r="344" spans="1:17" x14ac:dyDescent="0.25">
      <c r="A344" s="22"/>
      <c r="B344" s="23"/>
      <c r="C344" s="22"/>
      <c r="D344" s="22"/>
      <c r="E344" s="22"/>
      <c r="F344" s="22"/>
      <c r="G344" s="22"/>
      <c r="H344" s="23"/>
      <c r="I344" s="22"/>
      <c r="J344" s="22"/>
      <c r="K344" s="4" t="str">
        <f>IF(A344="","",SUMIFS(Cash[Оплата],Cash[Документ],A344,Cash[Дата],"&lt;="&amp;ДатаОтчета))</f>
        <v/>
      </c>
      <c r="L344" s="4" t="str">
        <f t="shared" si="25"/>
        <v/>
      </c>
      <c r="M344" s="4" t="str">
        <f t="shared" si="26"/>
        <v/>
      </c>
      <c r="N344" s="4" t="str">
        <f t="shared" si="27"/>
        <v/>
      </c>
      <c r="O344" s="4" t="str">
        <f t="shared" si="28"/>
        <v/>
      </c>
      <c r="P344" s="4" t="str">
        <f>IF(A344="",IF(COUNTA(B344:J344)&gt;0,"НЕТ ID",""),IF(OR(NOT(ISNUMBER(E344)),AND(Форма="ИП",C344="Дивиденды"),COUNTIF(Docs[ID],A344)&lt;&gt;1,NOT(ISNUMBER(B344)),B344&lt;НачалоУчета,YEAR(B344)&lt;&gt;Год,NOT(ISNUMBER(H344)),H344&lt;B344,E344&lt;0,COUNTIF(Виды,C344)&lt;&gt;1,COUNTIF(Категории,D344)&lt;&gt;1,COUNTIF(Контрагенты,F344)&lt;&gt;1,COUNTIF(Проекты,G344)&lt;&gt;1,L344&lt;-0.01,AND(I344&lt;&gt;"Проведён",I344&lt;&gt;"Черновик")),"ОШИБКА","ОК"))</f>
        <v/>
      </c>
      <c r="Q344" s="4" t="str">
        <f t="shared" si="29"/>
        <v/>
      </c>
    </row>
    <row r="345" spans="1:17" x14ac:dyDescent="0.25">
      <c r="A345" s="22"/>
      <c r="B345" s="23"/>
      <c r="C345" s="22"/>
      <c r="D345" s="22"/>
      <c r="E345" s="22"/>
      <c r="F345" s="22"/>
      <c r="G345" s="22"/>
      <c r="H345" s="23"/>
      <c r="I345" s="22"/>
      <c r="J345" s="22"/>
      <c r="K345" s="4" t="str">
        <f>IF(A345="","",SUMIFS(Cash[Оплата],Cash[Документ],A345,Cash[Дата],"&lt;="&amp;ДатаОтчета))</f>
        <v/>
      </c>
      <c r="L345" s="4" t="str">
        <f t="shared" si="25"/>
        <v/>
      </c>
      <c r="M345" s="4" t="str">
        <f t="shared" si="26"/>
        <v/>
      </c>
      <c r="N345" s="4" t="str">
        <f t="shared" si="27"/>
        <v/>
      </c>
      <c r="O345" s="4" t="str">
        <f t="shared" si="28"/>
        <v/>
      </c>
      <c r="P345" s="4" t="str">
        <f>IF(A345="",IF(COUNTA(B345:J345)&gt;0,"НЕТ ID",""),IF(OR(NOT(ISNUMBER(E345)),AND(Форма="ИП",C345="Дивиденды"),COUNTIF(Docs[ID],A345)&lt;&gt;1,NOT(ISNUMBER(B345)),B345&lt;НачалоУчета,YEAR(B345)&lt;&gt;Год,NOT(ISNUMBER(H345)),H345&lt;B345,E345&lt;0,COUNTIF(Виды,C345)&lt;&gt;1,COUNTIF(Категории,D345)&lt;&gt;1,COUNTIF(Контрагенты,F345)&lt;&gt;1,COUNTIF(Проекты,G345)&lt;&gt;1,L345&lt;-0.01,AND(I345&lt;&gt;"Проведён",I345&lt;&gt;"Черновик")),"ОШИБКА","ОК"))</f>
        <v/>
      </c>
      <c r="Q345" s="4" t="str">
        <f t="shared" si="29"/>
        <v/>
      </c>
    </row>
    <row r="346" spans="1:17" x14ac:dyDescent="0.25">
      <c r="A346" s="22"/>
      <c r="B346" s="23"/>
      <c r="C346" s="22"/>
      <c r="D346" s="22"/>
      <c r="E346" s="22"/>
      <c r="F346" s="22"/>
      <c r="G346" s="22"/>
      <c r="H346" s="23"/>
      <c r="I346" s="22"/>
      <c r="J346" s="22"/>
      <c r="K346" s="4" t="str">
        <f>IF(A346="","",SUMIFS(Cash[Оплата],Cash[Документ],A346,Cash[Дата],"&lt;="&amp;ДатаОтчета))</f>
        <v/>
      </c>
      <c r="L346" s="4" t="str">
        <f t="shared" si="25"/>
        <v/>
      </c>
      <c r="M346" s="4" t="str">
        <f t="shared" si="26"/>
        <v/>
      </c>
      <c r="N346" s="4" t="str">
        <f t="shared" si="27"/>
        <v/>
      </c>
      <c r="O346" s="4" t="str">
        <f t="shared" si="28"/>
        <v/>
      </c>
      <c r="P346" s="4" t="str">
        <f>IF(A346="",IF(COUNTA(B346:J346)&gt;0,"НЕТ ID",""),IF(OR(NOT(ISNUMBER(E346)),AND(Форма="ИП",C346="Дивиденды"),COUNTIF(Docs[ID],A346)&lt;&gt;1,NOT(ISNUMBER(B346)),B346&lt;НачалоУчета,YEAR(B346)&lt;&gt;Год,NOT(ISNUMBER(H346)),H346&lt;B346,E346&lt;0,COUNTIF(Виды,C346)&lt;&gt;1,COUNTIF(Категории,D346)&lt;&gt;1,COUNTIF(Контрагенты,F346)&lt;&gt;1,COUNTIF(Проекты,G346)&lt;&gt;1,L346&lt;-0.01,AND(I346&lt;&gt;"Проведён",I346&lt;&gt;"Черновик")),"ОШИБКА","ОК"))</f>
        <v/>
      </c>
      <c r="Q346" s="4" t="str">
        <f t="shared" si="29"/>
        <v/>
      </c>
    </row>
    <row r="347" spans="1:17" x14ac:dyDescent="0.25">
      <c r="A347" s="22"/>
      <c r="B347" s="23"/>
      <c r="C347" s="22"/>
      <c r="D347" s="22"/>
      <c r="E347" s="22"/>
      <c r="F347" s="22"/>
      <c r="G347" s="22"/>
      <c r="H347" s="23"/>
      <c r="I347" s="22"/>
      <c r="J347" s="22"/>
      <c r="K347" s="4" t="str">
        <f>IF(A347="","",SUMIFS(Cash[Оплата],Cash[Документ],A347,Cash[Дата],"&lt;="&amp;ДатаОтчета))</f>
        <v/>
      </c>
      <c r="L347" s="4" t="str">
        <f t="shared" si="25"/>
        <v/>
      </c>
      <c r="M347" s="4" t="str">
        <f t="shared" si="26"/>
        <v/>
      </c>
      <c r="N347" s="4" t="str">
        <f t="shared" si="27"/>
        <v/>
      </c>
      <c r="O347" s="4" t="str">
        <f t="shared" si="28"/>
        <v/>
      </c>
      <c r="P347" s="4" t="str">
        <f>IF(A347="",IF(COUNTA(B347:J347)&gt;0,"НЕТ ID",""),IF(OR(NOT(ISNUMBER(E347)),AND(Форма="ИП",C347="Дивиденды"),COUNTIF(Docs[ID],A347)&lt;&gt;1,NOT(ISNUMBER(B347)),B347&lt;НачалоУчета,YEAR(B347)&lt;&gt;Год,NOT(ISNUMBER(H347)),H347&lt;B347,E347&lt;0,COUNTIF(Виды,C347)&lt;&gt;1,COUNTIF(Категории,D347)&lt;&gt;1,COUNTIF(Контрагенты,F347)&lt;&gt;1,COUNTIF(Проекты,G347)&lt;&gt;1,L347&lt;-0.01,AND(I347&lt;&gt;"Проведён",I347&lt;&gt;"Черновик")),"ОШИБКА","ОК"))</f>
        <v/>
      </c>
      <c r="Q347" s="4" t="str">
        <f t="shared" si="29"/>
        <v/>
      </c>
    </row>
    <row r="348" spans="1:17" x14ac:dyDescent="0.25">
      <c r="A348" s="22"/>
      <c r="B348" s="23"/>
      <c r="C348" s="22"/>
      <c r="D348" s="22"/>
      <c r="E348" s="22"/>
      <c r="F348" s="22"/>
      <c r="G348" s="22"/>
      <c r="H348" s="23"/>
      <c r="I348" s="22"/>
      <c r="J348" s="22"/>
      <c r="K348" s="4" t="str">
        <f>IF(A348="","",SUMIFS(Cash[Оплата],Cash[Документ],A348,Cash[Дата],"&lt;="&amp;ДатаОтчета))</f>
        <v/>
      </c>
      <c r="L348" s="4" t="str">
        <f t="shared" si="25"/>
        <v/>
      </c>
      <c r="M348" s="4" t="str">
        <f t="shared" si="26"/>
        <v/>
      </c>
      <c r="N348" s="4" t="str">
        <f t="shared" si="27"/>
        <v/>
      </c>
      <c r="O348" s="4" t="str">
        <f t="shared" si="28"/>
        <v/>
      </c>
      <c r="P348" s="4" t="str">
        <f>IF(A348="",IF(COUNTA(B348:J348)&gt;0,"НЕТ ID",""),IF(OR(NOT(ISNUMBER(E348)),AND(Форма="ИП",C348="Дивиденды"),COUNTIF(Docs[ID],A348)&lt;&gt;1,NOT(ISNUMBER(B348)),B348&lt;НачалоУчета,YEAR(B348)&lt;&gt;Год,NOT(ISNUMBER(H348)),H348&lt;B348,E348&lt;0,COUNTIF(Виды,C348)&lt;&gt;1,COUNTIF(Категории,D348)&lt;&gt;1,COUNTIF(Контрагенты,F348)&lt;&gt;1,COUNTIF(Проекты,G348)&lt;&gt;1,L348&lt;-0.01,AND(I348&lt;&gt;"Проведён",I348&lt;&gt;"Черновик")),"ОШИБКА","ОК"))</f>
        <v/>
      </c>
      <c r="Q348" s="4" t="str">
        <f t="shared" si="29"/>
        <v/>
      </c>
    </row>
    <row r="349" spans="1:17" x14ac:dyDescent="0.25">
      <c r="A349" s="22"/>
      <c r="B349" s="23"/>
      <c r="C349" s="22"/>
      <c r="D349" s="22"/>
      <c r="E349" s="22"/>
      <c r="F349" s="22"/>
      <c r="G349" s="22"/>
      <c r="H349" s="23"/>
      <c r="I349" s="22"/>
      <c r="J349" s="22"/>
      <c r="K349" s="4" t="str">
        <f>IF(A349="","",SUMIFS(Cash[Оплата],Cash[Документ],A349,Cash[Дата],"&lt;="&amp;ДатаОтчета))</f>
        <v/>
      </c>
      <c r="L349" s="4" t="str">
        <f t="shared" si="25"/>
        <v/>
      </c>
      <c r="M349" s="4" t="str">
        <f t="shared" si="26"/>
        <v/>
      </c>
      <c r="N349" s="4" t="str">
        <f t="shared" si="27"/>
        <v/>
      </c>
      <c r="O349" s="4" t="str">
        <f t="shared" si="28"/>
        <v/>
      </c>
      <c r="P349" s="4" t="str">
        <f>IF(A349="",IF(COUNTA(B349:J349)&gt;0,"НЕТ ID",""),IF(OR(NOT(ISNUMBER(E349)),AND(Форма="ИП",C349="Дивиденды"),COUNTIF(Docs[ID],A349)&lt;&gt;1,NOT(ISNUMBER(B349)),B349&lt;НачалоУчета,YEAR(B349)&lt;&gt;Год,NOT(ISNUMBER(H349)),H349&lt;B349,E349&lt;0,COUNTIF(Виды,C349)&lt;&gt;1,COUNTIF(Категории,D349)&lt;&gt;1,COUNTIF(Контрагенты,F349)&lt;&gt;1,COUNTIF(Проекты,G349)&lt;&gt;1,L349&lt;-0.01,AND(I349&lt;&gt;"Проведён",I349&lt;&gt;"Черновик")),"ОШИБКА","ОК"))</f>
        <v/>
      </c>
      <c r="Q349" s="4" t="str">
        <f t="shared" si="29"/>
        <v/>
      </c>
    </row>
    <row r="350" spans="1:17" x14ac:dyDescent="0.25">
      <c r="A350" s="22"/>
      <c r="B350" s="23"/>
      <c r="C350" s="22"/>
      <c r="D350" s="22"/>
      <c r="E350" s="22"/>
      <c r="F350" s="22"/>
      <c r="G350" s="22"/>
      <c r="H350" s="23"/>
      <c r="I350" s="22"/>
      <c r="J350" s="22"/>
      <c r="K350" s="4" t="str">
        <f>IF(A350="","",SUMIFS(Cash[Оплата],Cash[Документ],A350,Cash[Дата],"&lt;="&amp;ДатаОтчета))</f>
        <v/>
      </c>
      <c r="L350" s="4" t="str">
        <f t="shared" si="25"/>
        <v/>
      </c>
      <c r="M350" s="4" t="str">
        <f t="shared" si="26"/>
        <v/>
      </c>
      <c r="N350" s="4" t="str">
        <f t="shared" si="27"/>
        <v/>
      </c>
      <c r="O350" s="4" t="str">
        <f t="shared" si="28"/>
        <v/>
      </c>
      <c r="P350" s="4" t="str">
        <f>IF(A350="",IF(COUNTA(B350:J350)&gt;0,"НЕТ ID",""),IF(OR(NOT(ISNUMBER(E350)),AND(Форма="ИП",C350="Дивиденды"),COUNTIF(Docs[ID],A350)&lt;&gt;1,NOT(ISNUMBER(B350)),B350&lt;НачалоУчета,YEAR(B350)&lt;&gt;Год,NOT(ISNUMBER(H350)),H350&lt;B350,E350&lt;0,COUNTIF(Виды,C350)&lt;&gt;1,COUNTIF(Категории,D350)&lt;&gt;1,COUNTIF(Контрагенты,F350)&lt;&gt;1,COUNTIF(Проекты,G350)&lt;&gt;1,L350&lt;-0.01,AND(I350&lt;&gt;"Проведён",I350&lt;&gt;"Черновик")),"ОШИБКА","ОК"))</f>
        <v/>
      </c>
      <c r="Q350" s="4" t="str">
        <f t="shared" si="29"/>
        <v/>
      </c>
    </row>
    <row r="351" spans="1:17" x14ac:dyDescent="0.25">
      <c r="A351" s="22"/>
      <c r="B351" s="23"/>
      <c r="C351" s="22"/>
      <c r="D351" s="22"/>
      <c r="E351" s="22"/>
      <c r="F351" s="22"/>
      <c r="G351" s="22"/>
      <c r="H351" s="23"/>
      <c r="I351" s="22"/>
      <c r="J351" s="22"/>
      <c r="K351" s="4" t="str">
        <f>IF(A351="","",SUMIFS(Cash[Оплата],Cash[Документ],A351,Cash[Дата],"&lt;="&amp;ДатаОтчета))</f>
        <v/>
      </c>
      <c r="L351" s="4" t="str">
        <f t="shared" si="25"/>
        <v/>
      </c>
      <c r="M351" s="4" t="str">
        <f t="shared" si="26"/>
        <v/>
      </c>
      <c r="N351" s="4" t="str">
        <f t="shared" si="27"/>
        <v/>
      </c>
      <c r="O351" s="4" t="str">
        <f t="shared" si="28"/>
        <v/>
      </c>
      <c r="P351" s="4" t="str">
        <f>IF(A351="",IF(COUNTA(B351:J351)&gt;0,"НЕТ ID",""),IF(OR(NOT(ISNUMBER(E351)),AND(Форма="ИП",C351="Дивиденды"),COUNTIF(Docs[ID],A351)&lt;&gt;1,NOT(ISNUMBER(B351)),B351&lt;НачалоУчета,YEAR(B351)&lt;&gt;Год,NOT(ISNUMBER(H351)),H351&lt;B351,E351&lt;0,COUNTIF(Виды,C351)&lt;&gt;1,COUNTIF(Категории,D351)&lt;&gt;1,COUNTIF(Контрагенты,F351)&lt;&gt;1,COUNTIF(Проекты,G351)&lt;&gt;1,L351&lt;-0.01,AND(I351&lt;&gt;"Проведён",I351&lt;&gt;"Черновик")),"ОШИБКА","ОК"))</f>
        <v/>
      </c>
      <c r="Q351" s="4" t="str">
        <f t="shared" si="29"/>
        <v/>
      </c>
    </row>
    <row r="352" spans="1:17" x14ac:dyDescent="0.25">
      <c r="A352" s="22"/>
      <c r="B352" s="23"/>
      <c r="C352" s="22"/>
      <c r="D352" s="22"/>
      <c r="E352" s="22"/>
      <c r="F352" s="22"/>
      <c r="G352" s="22"/>
      <c r="H352" s="23"/>
      <c r="I352" s="22"/>
      <c r="J352" s="22"/>
      <c r="K352" s="4" t="str">
        <f>IF(A352="","",SUMIFS(Cash[Оплата],Cash[Документ],A352,Cash[Дата],"&lt;="&amp;ДатаОтчета))</f>
        <v/>
      </c>
      <c r="L352" s="4" t="str">
        <f t="shared" si="25"/>
        <v/>
      </c>
      <c r="M352" s="4" t="str">
        <f t="shared" si="26"/>
        <v/>
      </c>
      <c r="N352" s="4" t="str">
        <f t="shared" si="27"/>
        <v/>
      </c>
      <c r="O352" s="4" t="str">
        <f t="shared" si="28"/>
        <v/>
      </c>
      <c r="P352" s="4" t="str">
        <f>IF(A352="",IF(COUNTA(B352:J352)&gt;0,"НЕТ ID",""),IF(OR(NOT(ISNUMBER(E352)),AND(Форма="ИП",C352="Дивиденды"),COUNTIF(Docs[ID],A352)&lt;&gt;1,NOT(ISNUMBER(B352)),B352&lt;НачалоУчета,YEAR(B352)&lt;&gt;Год,NOT(ISNUMBER(H352)),H352&lt;B352,E352&lt;0,COUNTIF(Виды,C352)&lt;&gt;1,COUNTIF(Категории,D352)&lt;&gt;1,COUNTIF(Контрагенты,F352)&lt;&gt;1,COUNTIF(Проекты,G352)&lt;&gt;1,L352&lt;-0.01,AND(I352&lt;&gt;"Проведён",I352&lt;&gt;"Черновик")),"ОШИБКА","ОК"))</f>
        <v/>
      </c>
      <c r="Q352" s="4" t="str">
        <f t="shared" si="29"/>
        <v/>
      </c>
    </row>
    <row r="353" spans="1:17" x14ac:dyDescent="0.25">
      <c r="A353" s="22"/>
      <c r="B353" s="23"/>
      <c r="C353" s="22"/>
      <c r="D353" s="22"/>
      <c r="E353" s="22"/>
      <c r="F353" s="22"/>
      <c r="G353" s="22"/>
      <c r="H353" s="23"/>
      <c r="I353" s="22"/>
      <c r="J353" s="22"/>
      <c r="K353" s="4" t="str">
        <f>IF(A353="","",SUMIFS(Cash[Оплата],Cash[Документ],A353,Cash[Дата],"&lt;="&amp;ДатаОтчета))</f>
        <v/>
      </c>
      <c r="L353" s="4" t="str">
        <f t="shared" si="25"/>
        <v/>
      </c>
      <c r="M353" s="4" t="str">
        <f t="shared" si="26"/>
        <v/>
      </c>
      <c r="N353" s="4" t="str">
        <f t="shared" si="27"/>
        <v/>
      </c>
      <c r="O353" s="4" t="str">
        <f t="shared" si="28"/>
        <v/>
      </c>
      <c r="P353" s="4" t="str">
        <f>IF(A353="",IF(COUNTA(B353:J353)&gt;0,"НЕТ ID",""),IF(OR(NOT(ISNUMBER(E353)),AND(Форма="ИП",C353="Дивиденды"),COUNTIF(Docs[ID],A353)&lt;&gt;1,NOT(ISNUMBER(B353)),B353&lt;НачалоУчета,YEAR(B353)&lt;&gt;Год,NOT(ISNUMBER(H353)),H353&lt;B353,E353&lt;0,COUNTIF(Виды,C353)&lt;&gt;1,COUNTIF(Категории,D353)&lt;&gt;1,COUNTIF(Контрагенты,F353)&lt;&gt;1,COUNTIF(Проекты,G353)&lt;&gt;1,L353&lt;-0.01,AND(I353&lt;&gt;"Проведён",I353&lt;&gt;"Черновик")),"ОШИБКА","ОК"))</f>
        <v/>
      </c>
      <c r="Q353" s="4" t="str">
        <f t="shared" si="29"/>
        <v/>
      </c>
    </row>
    <row r="354" spans="1:17" x14ac:dyDescent="0.25">
      <c r="A354" s="22"/>
      <c r="B354" s="23"/>
      <c r="C354" s="22"/>
      <c r="D354" s="22"/>
      <c r="E354" s="22"/>
      <c r="F354" s="22"/>
      <c r="G354" s="22"/>
      <c r="H354" s="23"/>
      <c r="I354" s="22"/>
      <c r="J354" s="22"/>
      <c r="K354" s="4" t="str">
        <f>IF(A354="","",SUMIFS(Cash[Оплата],Cash[Документ],A354,Cash[Дата],"&lt;="&amp;ДатаОтчета))</f>
        <v/>
      </c>
      <c r="L354" s="4" t="str">
        <f t="shared" si="25"/>
        <v/>
      </c>
      <c r="M354" s="4" t="str">
        <f t="shared" si="26"/>
        <v/>
      </c>
      <c r="N354" s="4" t="str">
        <f t="shared" si="27"/>
        <v/>
      </c>
      <c r="O354" s="4" t="str">
        <f t="shared" si="28"/>
        <v/>
      </c>
      <c r="P354" s="4" t="str">
        <f>IF(A354="",IF(COUNTA(B354:J354)&gt;0,"НЕТ ID",""),IF(OR(NOT(ISNUMBER(E354)),AND(Форма="ИП",C354="Дивиденды"),COUNTIF(Docs[ID],A354)&lt;&gt;1,NOT(ISNUMBER(B354)),B354&lt;НачалоУчета,YEAR(B354)&lt;&gt;Год,NOT(ISNUMBER(H354)),H354&lt;B354,E354&lt;0,COUNTIF(Виды,C354)&lt;&gt;1,COUNTIF(Категории,D354)&lt;&gt;1,COUNTIF(Контрагенты,F354)&lt;&gt;1,COUNTIF(Проекты,G354)&lt;&gt;1,L354&lt;-0.01,AND(I354&lt;&gt;"Проведён",I354&lt;&gt;"Черновик")),"ОШИБКА","ОК"))</f>
        <v/>
      </c>
      <c r="Q354" s="4" t="str">
        <f t="shared" si="29"/>
        <v/>
      </c>
    </row>
    <row r="355" spans="1:17" x14ac:dyDescent="0.25">
      <c r="A355" s="22"/>
      <c r="B355" s="23"/>
      <c r="C355" s="22"/>
      <c r="D355" s="22"/>
      <c r="E355" s="22"/>
      <c r="F355" s="22"/>
      <c r="G355" s="22"/>
      <c r="H355" s="23"/>
      <c r="I355" s="22"/>
      <c r="J355" s="22"/>
      <c r="K355" s="4" t="str">
        <f>IF(A355="","",SUMIFS(Cash[Оплата],Cash[Документ],A355,Cash[Дата],"&lt;="&amp;ДатаОтчета))</f>
        <v/>
      </c>
      <c r="L355" s="4" t="str">
        <f t="shared" si="25"/>
        <v/>
      </c>
      <c r="M355" s="4" t="str">
        <f t="shared" si="26"/>
        <v/>
      </c>
      <c r="N355" s="4" t="str">
        <f t="shared" si="27"/>
        <v/>
      </c>
      <c r="O355" s="4" t="str">
        <f t="shared" si="28"/>
        <v/>
      </c>
      <c r="P355" s="4" t="str">
        <f>IF(A355="",IF(COUNTA(B355:J355)&gt;0,"НЕТ ID",""),IF(OR(NOT(ISNUMBER(E355)),AND(Форма="ИП",C355="Дивиденды"),COUNTIF(Docs[ID],A355)&lt;&gt;1,NOT(ISNUMBER(B355)),B355&lt;НачалоУчета,YEAR(B355)&lt;&gt;Год,NOT(ISNUMBER(H355)),H355&lt;B355,E355&lt;0,COUNTIF(Виды,C355)&lt;&gt;1,COUNTIF(Категории,D355)&lt;&gt;1,COUNTIF(Контрагенты,F355)&lt;&gt;1,COUNTIF(Проекты,G355)&lt;&gt;1,L355&lt;-0.01,AND(I355&lt;&gt;"Проведён",I355&lt;&gt;"Черновик")),"ОШИБКА","ОК"))</f>
        <v/>
      </c>
      <c r="Q355" s="4" t="str">
        <f t="shared" si="29"/>
        <v/>
      </c>
    </row>
    <row r="356" spans="1:17" x14ac:dyDescent="0.25">
      <c r="A356" s="22"/>
      <c r="B356" s="23"/>
      <c r="C356" s="22"/>
      <c r="D356" s="22"/>
      <c r="E356" s="22"/>
      <c r="F356" s="22"/>
      <c r="G356" s="22"/>
      <c r="H356" s="23"/>
      <c r="I356" s="22"/>
      <c r="J356" s="22"/>
      <c r="K356" s="4" t="str">
        <f>IF(A356="","",SUMIFS(Cash[Оплата],Cash[Документ],A356,Cash[Дата],"&lt;="&amp;ДатаОтчета))</f>
        <v/>
      </c>
      <c r="L356" s="4" t="str">
        <f t="shared" si="25"/>
        <v/>
      </c>
      <c r="M356" s="4" t="str">
        <f t="shared" si="26"/>
        <v/>
      </c>
      <c r="N356" s="4" t="str">
        <f t="shared" si="27"/>
        <v/>
      </c>
      <c r="O356" s="4" t="str">
        <f t="shared" si="28"/>
        <v/>
      </c>
      <c r="P356" s="4" t="str">
        <f>IF(A356="",IF(COUNTA(B356:J356)&gt;0,"НЕТ ID",""),IF(OR(NOT(ISNUMBER(E356)),AND(Форма="ИП",C356="Дивиденды"),COUNTIF(Docs[ID],A356)&lt;&gt;1,NOT(ISNUMBER(B356)),B356&lt;НачалоУчета,YEAR(B356)&lt;&gt;Год,NOT(ISNUMBER(H356)),H356&lt;B356,E356&lt;0,COUNTIF(Виды,C356)&lt;&gt;1,COUNTIF(Категории,D356)&lt;&gt;1,COUNTIF(Контрагенты,F356)&lt;&gt;1,COUNTIF(Проекты,G356)&lt;&gt;1,L356&lt;-0.01,AND(I356&lt;&gt;"Проведён",I356&lt;&gt;"Черновик")),"ОШИБКА","ОК"))</f>
        <v/>
      </c>
      <c r="Q356" s="4" t="str">
        <f t="shared" si="29"/>
        <v/>
      </c>
    </row>
    <row r="357" spans="1:17" x14ac:dyDescent="0.25">
      <c r="A357" s="22"/>
      <c r="B357" s="23"/>
      <c r="C357" s="22"/>
      <c r="D357" s="22"/>
      <c r="E357" s="22"/>
      <c r="F357" s="22"/>
      <c r="G357" s="22"/>
      <c r="H357" s="23"/>
      <c r="I357" s="22"/>
      <c r="J357" s="22"/>
      <c r="K357" s="4" t="str">
        <f>IF(A357="","",SUMIFS(Cash[Оплата],Cash[Документ],A357,Cash[Дата],"&lt;="&amp;ДатаОтчета))</f>
        <v/>
      </c>
      <c r="L357" s="4" t="str">
        <f t="shared" si="25"/>
        <v/>
      </c>
      <c r="M357" s="4" t="str">
        <f t="shared" si="26"/>
        <v/>
      </c>
      <c r="N357" s="4" t="str">
        <f t="shared" si="27"/>
        <v/>
      </c>
      <c r="O357" s="4" t="str">
        <f t="shared" si="28"/>
        <v/>
      </c>
      <c r="P357" s="4" t="str">
        <f>IF(A357="",IF(COUNTA(B357:J357)&gt;0,"НЕТ ID",""),IF(OR(NOT(ISNUMBER(E357)),AND(Форма="ИП",C357="Дивиденды"),COUNTIF(Docs[ID],A357)&lt;&gt;1,NOT(ISNUMBER(B357)),B357&lt;НачалоУчета,YEAR(B357)&lt;&gt;Год,NOT(ISNUMBER(H357)),H357&lt;B357,E357&lt;0,COUNTIF(Виды,C357)&lt;&gt;1,COUNTIF(Категории,D357)&lt;&gt;1,COUNTIF(Контрагенты,F357)&lt;&gt;1,COUNTIF(Проекты,G357)&lt;&gt;1,L357&lt;-0.01,AND(I357&lt;&gt;"Проведён",I357&lt;&gt;"Черновик")),"ОШИБКА","ОК"))</f>
        <v/>
      </c>
      <c r="Q357" s="4" t="str">
        <f t="shared" si="29"/>
        <v/>
      </c>
    </row>
    <row r="358" spans="1:17" x14ac:dyDescent="0.25">
      <c r="A358" s="22"/>
      <c r="B358" s="23"/>
      <c r="C358" s="22"/>
      <c r="D358" s="22"/>
      <c r="E358" s="22"/>
      <c r="F358" s="22"/>
      <c r="G358" s="22"/>
      <c r="H358" s="23"/>
      <c r="I358" s="22"/>
      <c r="J358" s="22"/>
      <c r="K358" s="4" t="str">
        <f>IF(A358="","",SUMIFS(Cash[Оплата],Cash[Документ],A358,Cash[Дата],"&lt;="&amp;ДатаОтчета))</f>
        <v/>
      </c>
      <c r="L358" s="4" t="str">
        <f t="shared" si="25"/>
        <v/>
      </c>
      <c r="M358" s="4" t="str">
        <f t="shared" si="26"/>
        <v/>
      </c>
      <c r="N358" s="4" t="str">
        <f t="shared" si="27"/>
        <v/>
      </c>
      <c r="O358" s="4" t="str">
        <f t="shared" si="28"/>
        <v/>
      </c>
      <c r="P358" s="4" t="str">
        <f>IF(A358="",IF(COUNTA(B358:J358)&gt;0,"НЕТ ID",""),IF(OR(NOT(ISNUMBER(E358)),AND(Форма="ИП",C358="Дивиденды"),COUNTIF(Docs[ID],A358)&lt;&gt;1,NOT(ISNUMBER(B358)),B358&lt;НачалоУчета,YEAR(B358)&lt;&gt;Год,NOT(ISNUMBER(H358)),H358&lt;B358,E358&lt;0,COUNTIF(Виды,C358)&lt;&gt;1,COUNTIF(Категории,D358)&lt;&gt;1,COUNTIF(Контрагенты,F358)&lt;&gt;1,COUNTIF(Проекты,G358)&lt;&gt;1,L358&lt;-0.01,AND(I358&lt;&gt;"Проведён",I358&lt;&gt;"Черновик")),"ОШИБКА","ОК"))</f>
        <v/>
      </c>
      <c r="Q358" s="4" t="str">
        <f t="shared" si="29"/>
        <v/>
      </c>
    </row>
    <row r="359" spans="1:17" x14ac:dyDescent="0.25">
      <c r="A359" s="22"/>
      <c r="B359" s="23"/>
      <c r="C359" s="22"/>
      <c r="D359" s="22"/>
      <c r="E359" s="22"/>
      <c r="F359" s="22"/>
      <c r="G359" s="22"/>
      <c r="H359" s="23"/>
      <c r="I359" s="22"/>
      <c r="J359" s="22"/>
      <c r="K359" s="4" t="str">
        <f>IF(A359="","",SUMIFS(Cash[Оплата],Cash[Документ],A359,Cash[Дата],"&lt;="&amp;ДатаОтчета))</f>
        <v/>
      </c>
      <c r="L359" s="4" t="str">
        <f t="shared" si="25"/>
        <v/>
      </c>
      <c r="M359" s="4" t="str">
        <f t="shared" si="26"/>
        <v/>
      </c>
      <c r="N359" s="4" t="str">
        <f t="shared" si="27"/>
        <v/>
      </c>
      <c r="O359" s="4" t="str">
        <f t="shared" si="28"/>
        <v/>
      </c>
      <c r="P359" s="4" t="str">
        <f>IF(A359="",IF(COUNTA(B359:J359)&gt;0,"НЕТ ID",""),IF(OR(NOT(ISNUMBER(E359)),AND(Форма="ИП",C359="Дивиденды"),COUNTIF(Docs[ID],A359)&lt;&gt;1,NOT(ISNUMBER(B359)),B359&lt;НачалоУчета,YEAR(B359)&lt;&gt;Год,NOT(ISNUMBER(H359)),H359&lt;B359,E359&lt;0,COUNTIF(Виды,C359)&lt;&gt;1,COUNTIF(Категории,D359)&lt;&gt;1,COUNTIF(Контрагенты,F359)&lt;&gt;1,COUNTIF(Проекты,G359)&lt;&gt;1,L359&lt;-0.01,AND(I359&lt;&gt;"Проведён",I359&lt;&gt;"Черновик")),"ОШИБКА","ОК"))</f>
        <v/>
      </c>
      <c r="Q359" s="4" t="str">
        <f t="shared" si="29"/>
        <v/>
      </c>
    </row>
    <row r="360" spans="1:17" x14ac:dyDescent="0.25">
      <c r="A360" s="22"/>
      <c r="B360" s="23"/>
      <c r="C360" s="22"/>
      <c r="D360" s="22"/>
      <c r="E360" s="22"/>
      <c r="F360" s="22"/>
      <c r="G360" s="22"/>
      <c r="H360" s="23"/>
      <c r="I360" s="22"/>
      <c r="J360" s="22"/>
      <c r="K360" s="4" t="str">
        <f>IF(A360="","",SUMIFS(Cash[Оплата],Cash[Документ],A360,Cash[Дата],"&lt;="&amp;ДатаОтчета))</f>
        <v/>
      </c>
      <c r="L360" s="4" t="str">
        <f t="shared" si="25"/>
        <v/>
      </c>
      <c r="M360" s="4" t="str">
        <f t="shared" si="26"/>
        <v/>
      </c>
      <c r="N360" s="4" t="str">
        <f t="shared" si="27"/>
        <v/>
      </c>
      <c r="O360" s="4" t="str">
        <f t="shared" si="28"/>
        <v/>
      </c>
      <c r="P360" s="4" t="str">
        <f>IF(A360="",IF(COUNTA(B360:J360)&gt;0,"НЕТ ID",""),IF(OR(NOT(ISNUMBER(E360)),AND(Форма="ИП",C360="Дивиденды"),COUNTIF(Docs[ID],A360)&lt;&gt;1,NOT(ISNUMBER(B360)),B360&lt;НачалоУчета,YEAR(B360)&lt;&gt;Год,NOT(ISNUMBER(H360)),H360&lt;B360,E360&lt;0,COUNTIF(Виды,C360)&lt;&gt;1,COUNTIF(Категории,D360)&lt;&gt;1,COUNTIF(Контрагенты,F360)&lt;&gt;1,COUNTIF(Проекты,G360)&lt;&gt;1,L360&lt;-0.01,AND(I360&lt;&gt;"Проведён",I360&lt;&gt;"Черновик")),"ОШИБКА","ОК"))</f>
        <v/>
      </c>
      <c r="Q360" s="4" t="str">
        <f t="shared" si="29"/>
        <v/>
      </c>
    </row>
    <row r="361" spans="1:17" x14ac:dyDescent="0.25">
      <c r="A361" s="22"/>
      <c r="B361" s="23"/>
      <c r="C361" s="22"/>
      <c r="D361" s="22"/>
      <c r="E361" s="22"/>
      <c r="F361" s="22"/>
      <c r="G361" s="22"/>
      <c r="H361" s="23"/>
      <c r="I361" s="22"/>
      <c r="J361" s="22"/>
      <c r="K361" s="4" t="str">
        <f>IF(A361="","",SUMIFS(Cash[Оплата],Cash[Документ],A361,Cash[Дата],"&lt;="&amp;ДатаОтчета))</f>
        <v/>
      </c>
      <c r="L361" s="4" t="str">
        <f t="shared" si="25"/>
        <v/>
      </c>
      <c r="M361" s="4" t="str">
        <f t="shared" si="26"/>
        <v/>
      </c>
      <c r="N361" s="4" t="str">
        <f t="shared" si="27"/>
        <v/>
      </c>
      <c r="O361" s="4" t="str">
        <f t="shared" si="28"/>
        <v/>
      </c>
      <c r="P361" s="4" t="str">
        <f>IF(A361="",IF(COUNTA(B361:J361)&gt;0,"НЕТ ID",""),IF(OR(NOT(ISNUMBER(E361)),AND(Форма="ИП",C361="Дивиденды"),COUNTIF(Docs[ID],A361)&lt;&gt;1,NOT(ISNUMBER(B361)),B361&lt;НачалоУчета,YEAR(B361)&lt;&gt;Год,NOT(ISNUMBER(H361)),H361&lt;B361,E361&lt;0,COUNTIF(Виды,C361)&lt;&gt;1,COUNTIF(Категории,D361)&lt;&gt;1,COUNTIF(Контрагенты,F361)&lt;&gt;1,COUNTIF(Проекты,G361)&lt;&gt;1,L361&lt;-0.01,AND(I361&lt;&gt;"Проведён",I361&lt;&gt;"Черновик")),"ОШИБКА","ОК"))</f>
        <v/>
      </c>
      <c r="Q361" s="4" t="str">
        <f t="shared" si="29"/>
        <v/>
      </c>
    </row>
    <row r="362" spans="1:17" x14ac:dyDescent="0.25">
      <c r="A362" s="22"/>
      <c r="B362" s="23"/>
      <c r="C362" s="22"/>
      <c r="D362" s="22"/>
      <c r="E362" s="22"/>
      <c r="F362" s="22"/>
      <c r="G362" s="22"/>
      <c r="H362" s="23"/>
      <c r="I362" s="22"/>
      <c r="J362" s="22"/>
      <c r="K362" s="4" t="str">
        <f>IF(A362="","",SUMIFS(Cash[Оплата],Cash[Документ],A362,Cash[Дата],"&lt;="&amp;ДатаОтчета))</f>
        <v/>
      </c>
      <c r="L362" s="4" t="str">
        <f t="shared" si="25"/>
        <v/>
      </c>
      <c r="M362" s="4" t="str">
        <f t="shared" si="26"/>
        <v/>
      </c>
      <c r="N362" s="4" t="str">
        <f t="shared" si="27"/>
        <v/>
      </c>
      <c r="O362" s="4" t="str">
        <f t="shared" si="28"/>
        <v/>
      </c>
      <c r="P362" s="4" t="str">
        <f>IF(A362="",IF(COUNTA(B362:J362)&gt;0,"НЕТ ID",""),IF(OR(NOT(ISNUMBER(E362)),AND(Форма="ИП",C362="Дивиденды"),COUNTIF(Docs[ID],A362)&lt;&gt;1,NOT(ISNUMBER(B362)),B362&lt;НачалоУчета,YEAR(B362)&lt;&gt;Год,NOT(ISNUMBER(H362)),H362&lt;B362,E362&lt;0,COUNTIF(Виды,C362)&lt;&gt;1,COUNTIF(Категории,D362)&lt;&gt;1,COUNTIF(Контрагенты,F362)&lt;&gt;1,COUNTIF(Проекты,G362)&lt;&gt;1,L362&lt;-0.01,AND(I362&lt;&gt;"Проведён",I362&lt;&gt;"Черновик")),"ОШИБКА","ОК"))</f>
        <v/>
      </c>
      <c r="Q362" s="4" t="str">
        <f t="shared" si="29"/>
        <v/>
      </c>
    </row>
    <row r="363" spans="1:17" x14ac:dyDescent="0.25">
      <c r="A363" s="22"/>
      <c r="B363" s="23"/>
      <c r="C363" s="22"/>
      <c r="D363" s="22"/>
      <c r="E363" s="22"/>
      <c r="F363" s="22"/>
      <c r="G363" s="22"/>
      <c r="H363" s="23"/>
      <c r="I363" s="22"/>
      <c r="J363" s="22"/>
      <c r="K363" s="4" t="str">
        <f>IF(A363="","",SUMIFS(Cash[Оплата],Cash[Документ],A363,Cash[Дата],"&lt;="&amp;ДатаОтчета))</f>
        <v/>
      </c>
      <c r="L363" s="4" t="str">
        <f t="shared" si="25"/>
        <v/>
      </c>
      <c r="M363" s="4" t="str">
        <f t="shared" si="26"/>
        <v/>
      </c>
      <c r="N363" s="4" t="str">
        <f t="shared" si="27"/>
        <v/>
      </c>
      <c r="O363" s="4" t="str">
        <f t="shared" si="28"/>
        <v/>
      </c>
      <c r="P363" s="4" t="str">
        <f>IF(A363="",IF(COUNTA(B363:J363)&gt;0,"НЕТ ID",""),IF(OR(NOT(ISNUMBER(E363)),AND(Форма="ИП",C363="Дивиденды"),COUNTIF(Docs[ID],A363)&lt;&gt;1,NOT(ISNUMBER(B363)),B363&lt;НачалоУчета,YEAR(B363)&lt;&gt;Год,NOT(ISNUMBER(H363)),H363&lt;B363,E363&lt;0,COUNTIF(Виды,C363)&lt;&gt;1,COUNTIF(Категории,D363)&lt;&gt;1,COUNTIF(Контрагенты,F363)&lt;&gt;1,COUNTIF(Проекты,G363)&lt;&gt;1,L363&lt;-0.01,AND(I363&lt;&gt;"Проведён",I363&lt;&gt;"Черновик")),"ОШИБКА","ОК"))</f>
        <v/>
      </c>
      <c r="Q363" s="4" t="str">
        <f t="shared" si="29"/>
        <v/>
      </c>
    </row>
    <row r="364" spans="1:17" x14ac:dyDescent="0.25">
      <c r="A364" s="22"/>
      <c r="B364" s="23"/>
      <c r="C364" s="22"/>
      <c r="D364" s="22"/>
      <c r="E364" s="22"/>
      <c r="F364" s="22"/>
      <c r="G364" s="22"/>
      <c r="H364" s="23"/>
      <c r="I364" s="22"/>
      <c r="J364" s="22"/>
      <c r="K364" s="4" t="str">
        <f>IF(A364="","",SUMIFS(Cash[Оплата],Cash[Документ],A364,Cash[Дата],"&lt;="&amp;ДатаОтчета))</f>
        <v/>
      </c>
      <c r="L364" s="4" t="str">
        <f t="shared" si="25"/>
        <v/>
      </c>
      <c r="M364" s="4" t="str">
        <f t="shared" si="26"/>
        <v/>
      </c>
      <c r="N364" s="4" t="str">
        <f t="shared" si="27"/>
        <v/>
      </c>
      <c r="O364" s="4" t="str">
        <f t="shared" si="28"/>
        <v/>
      </c>
      <c r="P364" s="4" t="str">
        <f>IF(A364="",IF(COUNTA(B364:J364)&gt;0,"НЕТ ID",""),IF(OR(NOT(ISNUMBER(E364)),AND(Форма="ИП",C364="Дивиденды"),COUNTIF(Docs[ID],A364)&lt;&gt;1,NOT(ISNUMBER(B364)),B364&lt;НачалоУчета,YEAR(B364)&lt;&gt;Год,NOT(ISNUMBER(H364)),H364&lt;B364,E364&lt;0,COUNTIF(Виды,C364)&lt;&gt;1,COUNTIF(Категории,D364)&lt;&gt;1,COUNTIF(Контрагенты,F364)&lt;&gt;1,COUNTIF(Проекты,G364)&lt;&gt;1,L364&lt;-0.01,AND(I364&lt;&gt;"Проведён",I364&lt;&gt;"Черновик")),"ОШИБКА","ОК"))</f>
        <v/>
      </c>
      <c r="Q364" s="4" t="str">
        <f t="shared" si="29"/>
        <v/>
      </c>
    </row>
    <row r="365" spans="1:17" x14ac:dyDescent="0.25">
      <c r="A365" s="22"/>
      <c r="B365" s="23"/>
      <c r="C365" s="22"/>
      <c r="D365" s="22"/>
      <c r="E365" s="22"/>
      <c r="F365" s="22"/>
      <c r="G365" s="22"/>
      <c r="H365" s="23"/>
      <c r="I365" s="22"/>
      <c r="J365" s="22"/>
      <c r="K365" s="4" t="str">
        <f>IF(A365="","",SUMIFS(Cash[Оплата],Cash[Документ],A365,Cash[Дата],"&lt;="&amp;ДатаОтчета))</f>
        <v/>
      </c>
      <c r="L365" s="4" t="str">
        <f t="shared" si="25"/>
        <v/>
      </c>
      <c r="M365" s="4" t="str">
        <f t="shared" si="26"/>
        <v/>
      </c>
      <c r="N365" s="4" t="str">
        <f t="shared" si="27"/>
        <v/>
      </c>
      <c r="O365" s="4" t="str">
        <f t="shared" si="28"/>
        <v/>
      </c>
      <c r="P365" s="4" t="str">
        <f>IF(A365="",IF(COUNTA(B365:J365)&gt;0,"НЕТ ID",""),IF(OR(NOT(ISNUMBER(E365)),AND(Форма="ИП",C365="Дивиденды"),COUNTIF(Docs[ID],A365)&lt;&gt;1,NOT(ISNUMBER(B365)),B365&lt;НачалоУчета,YEAR(B365)&lt;&gt;Год,NOT(ISNUMBER(H365)),H365&lt;B365,E365&lt;0,COUNTIF(Виды,C365)&lt;&gt;1,COUNTIF(Категории,D365)&lt;&gt;1,COUNTIF(Контрагенты,F365)&lt;&gt;1,COUNTIF(Проекты,G365)&lt;&gt;1,L365&lt;-0.01,AND(I365&lt;&gt;"Проведён",I365&lt;&gt;"Черновик")),"ОШИБКА","ОК"))</f>
        <v/>
      </c>
      <c r="Q365" s="4" t="str">
        <f t="shared" si="29"/>
        <v/>
      </c>
    </row>
    <row r="366" spans="1:17" x14ac:dyDescent="0.25">
      <c r="A366" s="22"/>
      <c r="B366" s="23"/>
      <c r="C366" s="22"/>
      <c r="D366" s="22"/>
      <c r="E366" s="22"/>
      <c r="F366" s="22"/>
      <c r="G366" s="22"/>
      <c r="H366" s="23"/>
      <c r="I366" s="22"/>
      <c r="J366" s="22"/>
      <c r="K366" s="4" t="str">
        <f>IF(A366="","",SUMIFS(Cash[Оплата],Cash[Документ],A366,Cash[Дата],"&lt;="&amp;ДатаОтчета))</f>
        <v/>
      </c>
      <c r="L366" s="4" t="str">
        <f t="shared" si="25"/>
        <v/>
      </c>
      <c r="M366" s="4" t="str">
        <f t="shared" si="26"/>
        <v/>
      </c>
      <c r="N366" s="4" t="str">
        <f t="shared" si="27"/>
        <v/>
      </c>
      <c r="O366" s="4" t="str">
        <f t="shared" si="28"/>
        <v/>
      </c>
      <c r="P366" s="4" t="str">
        <f>IF(A366="",IF(COUNTA(B366:J366)&gt;0,"НЕТ ID",""),IF(OR(NOT(ISNUMBER(E366)),AND(Форма="ИП",C366="Дивиденды"),COUNTIF(Docs[ID],A366)&lt;&gt;1,NOT(ISNUMBER(B366)),B366&lt;НачалоУчета,YEAR(B366)&lt;&gt;Год,NOT(ISNUMBER(H366)),H366&lt;B366,E366&lt;0,COUNTIF(Виды,C366)&lt;&gt;1,COUNTIF(Категории,D366)&lt;&gt;1,COUNTIF(Контрагенты,F366)&lt;&gt;1,COUNTIF(Проекты,G366)&lt;&gt;1,L366&lt;-0.01,AND(I366&lt;&gt;"Проведён",I366&lt;&gt;"Черновик")),"ОШИБКА","ОК"))</f>
        <v/>
      </c>
      <c r="Q366" s="4" t="str">
        <f t="shared" si="29"/>
        <v/>
      </c>
    </row>
    <row r="367" spans="1:17" x14ac:dyDescent="0.25">
      <c r="A367" s="22"/>
      <c r="B367" s="23"/>
      <c r="C367" s="22"/>
      <c r="D367" s="22"/>
      <c r="E367" s="22"/>
      <c r="F367" s="22"/>
      <c r="G367" s="22"/>
      <c r="H367" s="23"/>
      <c r="I367" s="22"/>
      <c r="J367" s="22"/>
      <c r="K367" s="4" t="str">
        <f>IF(A367="","",SUMIFS(Cash[Оплата],Cash[Документ],A367,Cash[Дата],"&lt;="&amp;ДатаОтчета))</f>
        <v/>
      </c>
      <c r="L367" s="4" t="str">
        <f t="shared" si="25"/>
        <v/>
      </c>
      <c r="M367" s="4" t="str">
        <f t="shared" si="26"/>
        <v/>
      </c>
      <c r="N367" s="4" t="str">
        <f t="shared" si="27"/>
        <v/>
      </c>
      <c r="O367" s="4" t="str">
        <f t="shared" si="28"/>
        <v/>
      </c>
      <c r="P367" s="4" t="str">
        <f>IF(A367="",IF(COUNTA(B367:J367)&gt;0,"НЕТ ID",""),IF(OR(NOT(ISNUMBER(E367)),AND(Форма="ИП",C367="Дивиденды"),COUNTIF(Docs[ID],A367)&lt;&gt;1,NOT(ISNUMBER(B367)),B367&lt;НачалоУчета,YEAR(B367)&lt;&gt;Год,NOT(ISNUMBER(H367)),H367&lt;B367,E367&lt;0,COUNTIF(Виды,C367)&lt;&gt;1,COUNTIF(Категории,D367)&lt;&gt;1,COUNTIF(Контрагенты,F367)&lt;&gt;1,COUNTIF(Проекты,G367)&lt;&gt;1,L367&lt;-0.01,AND(I367&lt;&gt;"Проведён",I367&lt;&gt;"Черновик")),"ОШИБКА","ОК"))</f>
        <v/>
      </c>
      <c r="Q367" s="4" t="str">
        <f t="shared" si="29"/>
        <v/>
      </c>
    </row>
    <row r="368" spans="1:17" x14ac:dyDescent="0.25">
      <c r="A368" s="22"/>
      <c r="B368" s="23"/>
      <c r="C368" s="22"/>
      <c r="D368" s="22"/>
      <c r="E368" s="22"/>
      <c r="F368" s="22"/>
      <c r="G368" s="22"/>
      <c r="H368" s="23"/>
      <c r="I368" s="22"/>
      <c r="J368" s="22"/>
      <c r="K368" s="4" t="str">
        <f>IF(A368="","",SUMIFS(Cash[Оплата],Cash[Документ],A368,Cash[Дата],"&lt;="&amp;ДатаОтчета))</f>
        <v/>
      </c>
      <c r="L368" s="4" t="str">
        <f t="shared" si="25"/>
        <v/>
      </c>
      <c r="M368" s="4" t="str">
        <f t="shared" si="26"/>
        <v/>
      </c>
      <c r="N368" s="4" t="str">
        <f t="shared" si="27"/>
        <v/>
      </c>
      <c r="O368" s="4" t="str">
        <f t="shared" si="28"/>
        <v/>
      </c>
      <c r="P368" s="4" t="str">
        <f>IF(A368="",IF(COUNTA(B368:J368)&gt;0,"НЕТ ID",""),IF(OR(NOT(ISNUMBER(E368)),AND(Форма="ИП",C368="Дивиденды"),COUNTIF(Docs[ID],A368)&lt;&gt;1,NOT(ISNUMBER(B368)),B368&lt;НачалоУчета,YEAR(B368)&lt;&gt;Год,NOT(ISNUMBER(H368)),H368&lt;B368,E368&lt;0,COUNTIF(Виды,C368)&lt;&gt;1,COUNTIF(Категории,D368)&lt;&gt;1,COUNTIF(Контрагенты,F368)&lt;&gt;1,COUNTIF(Проекты,G368)&lt;&gt;1,L368&lt;-0.01,AND(I368&lt;&gt;"Проведён",I368&lt;&gt;"Черновик")),"ОШИБКА","ОК"))</f>
        <v/>
      </c>
      <c r="Q368" s="4" t="str">
        <f t="shared" si="29"/>
        <v/>
      </c>
    </row>
    <row r="369" spans="1:17" x14ac:dyDescent="0.25">
      <c r="A369" s="22"/>
      <c r="B369" s="23"/>
      <c r="C369" s="22"/>
      <c r="D369" s="22"/>
      <c r="E369" s="22"/>
      <c r="F369" s="22"/>
      <c r="G369" s="22"/>
      <c r="H369" s="23"/>
      <c r="I369" s="22"/>
      <c r="J369" s="22"/>
      <c r="K369" s="4" t="str">
        <f>IF(A369="","",SUMIFS(Cash[Оплата],Cash[Документ],A369,Cash[Дата],"&lt;="&amp;ДатаОтчета))</f>
        <v/>
      </c>
      <c r="L369" s="4" t="str">
        <f t="shared" si="25"/>
        <v/>
      </c>
      <c r="M369" s="4" t="str">
        <f t="shared" si="26"/>
        <v/>
      </c>
      <c r="N369" s="4" t="str">
        <f t="shared" si="27"/>
        <v/>
      </c>
      <c r="O369" s="4" t="str">
        <f t="shared" si="28"/>
        <v/>
      </c>
      <c r="P369" s="4" t="str">
        <f>IF(A369="",IF(COUNTA(B369:J369)&gt;0,"НЕТ ID",""),IF(OR(NOT(ISNUMBER(E369)),AND(Форма="ИП",C369="Дивиденды"),COUNTIF(Docs[ID],A369)&lt;&gt;1,NOT(ISNUMBER(B369)),B369&lt;НачалоУчета,YEAR(B369)&lt;&gt;Год,NOT(ISNUMBER(H369)),H369&lt;B369,E369&lt;0,COUNTIF(Виды,C369)&lt;&gt;1,COUNTIF(Категории,D369)&lt;&gt;1,COUNTIF(Контрагенты,F369)&lt;&gt;1,COUNTIF(Проекты,G369)&lt;&gt;1,L369&lt;-0.01,AND(I369&lt;&gt;"Проведён",I369&lt;&gt;"Черновик")),"ОШИБКА","ОК"))</f>
        <v/>
      </c>
      <c r="Q369" s="4" t="str">
        <f t="shared" si="29"/>
        <v/>
      </c>
    </row>
    <row r="370" spans="1:17" x14ac:dyDescent="0.25">
      <c r="A370" s="22"/>
      <c r="B370" s="23"/>
      <c r="C370" s="22"/>
      <c r="D370" s="22"/>
      <c r="E370" s="22"/>
      <c r="F370" s="22"/>
      <c r="G370" s="22"/>
      <c r="H370" s="23"/>
      <c r="I370" s="22"/>
      <c r="J370" s="22"/>
      <c r="K370" s="4" t="str">
        <f>IF(A370="","",SUMIFS(Cash[Оплата],Cash[Документ],A370,Cash[Дата],"&lt;="&amp;ДатаОтчета))</f>
        <v/>
      </c>
      <c r="L370" s="4" t="str">
        <f t="shared" si="25"/>
        <v/>
      </c>
      <c r="M370" s="4" t="str">
        <f t="shared" si="26"/>
        <v/>
      </c>
      <c r="N370" s="4" t="str">
        <f t="shared" si="27"/>
        <v/>
      </c>
      <c r="O370" s="4" t="str">
        <f t="shared" si="28"/>
        <v/>
      </c>
      <c r="P370" s="4" t="str">
        <f>IF(A370="",IF(COUNTA(B370:J370)&gt;0,"НЕТ ID",""),IF(OR(NOT(ISNUMBER(E370)),AND(Форма="ИП",C370="Дивиденды"),COUNTIF(Docs[ID],A370)&lt;&gt;1,NOT(ISNUMBER(B370)),B370&lt;НачалоУчета,YEAR(B370)&lt;&gt;Год,NOT(ISNUMBER(H370)),H370&lt;B370,E370&lt;0,COUNTIF(Виды,C370)&lt;&gt;1,COUNTIF(Категории,D370)&lt;&gt;1,COUNTIF(Контрагенты,F370)&lt;&gt;1,COUNTIF(Проекты,G370)&lt;&gt;1,L370&lt;-0.01,AND(I370&lt;&gt;"Проведён",I370&lt;&gt;"Черновик")),"ОШИБКА","ОК"))</f>
        <v/>
      </c>
      <c r="Q370" s="4" t="str">
        <f t="shared" si="29"/>
        <v/>
      </c>
    </row>
    <row r="371" spans="1:17" x14ac:dyDescent="0.25">
      <c r="A371" s="22"/>
      <c r="B371" s="23"/>
      <c r="C371" s="22"/>
      <c r="D371" s="22"/>
      <c r="E371" s="22"/>
      <c r="F371" s="22"/>
      <c r="G371" s="22"/>
      <c r="H371" s="23"/>
      <c r="I371" s="22"/>
      <c r="J371" s="22"/>
      <c r="K371" s="4" t="str">
        <f>IF(A371="","",SUMIFS(Cash[Оплата],Cash[Документ],A371,Cash[Дата],"&lt;="&amp;ДатаОтчета))</f>
        <v/>
      </c>
      <c r="L371" s="4" t="str">
        <f t="shared" si="25"/>
        <v/>
      </c>
      <c r="M371" s="4" t="str">
        <f t="shared" si="26"/>
        <v/>
      </c>
      <c r="N371" s="4" t="str">
        <f t="shared" si="27"/>
        <v/>
      </c>
      <c r="O371" s="4" t="str">
        <f t="shared" si="28"/>
        <v/>
      </c>
      <c r="P371" s="4" t="str">
        <f>IF(A371="",IF(COUNTA(B371:J371)&gt;0,"НЕТ ID",""),IF(OR(NOT(ISNUMBER(E371)),AND(Форма="ИП",C371="Дивиденды"),COUNTIF(Docs[ID],A371)&lt;&gt;1,NOT(ISNUMBER(B371)),B371&lt;НачалоУчета,YEAR(B371)&lt;&gt;Год,NOT(ISNUMBER(H371)),H371&lt;B371,E371&lt;0,COUNTIF(Виды,C371)&lt;&gt;1,COUNTIF(Категории,D371)&lt;&gt;1,COUNTIF(Контрагенты,F371)&lt;&gt;1,COUNTIF(Проекты,G371)&lt;&gt;1,L371&lt;-0.01,AND(I371&lt;&gt;"Проведён",I371&lt;&gt;"Черновик")),"ОШИБКА","ОК"))</f>
        <v/>
      </c>
      <c r="Q371" s="4" t="str">
        <f t="shared" si="29"/>
        <v/>
      </c>
    </row>
    <row r="372" spans="1:17" x14ac:dyDescent="0.25">
      <c r="A372" s="22"/>
      <c r="B372" s="23"/>
      <c r="C372" s="22"/>
      <c r="D372" s="22"/>
      <c r="E372" s="22"/>
      <c r="F372" s="22"/>
      <c r="G372" s="22"/>
      <c r="H372" s="23"/>
      <c r="I372" s="22"/>
      <c r="J372" s="22"/>
      <c r="K372" s="4" t="str">
        <f>IF(A372="","",SUMIFS(Cash[Оплата],Cash[Документ],A372,Cash[Дата],"&lt;="&amp;ДатаОтчета))</f>
        <v/>
      </c>
      <c r="L372" s="4" t="str">
        <f t="shared" si="25"/>
        <v/>
      </c>
      <c r="M372" s="4" t="str">
        <f t="shared" si="26"/>
        <v/>
      </c>
      <c r="N372" s="4" t="str">
        <f t="shared" si="27"/>
        <v/>
      </c>
      <c r="O372" s="4" t="str">
        <f t="shared" si="28"/>
        <v/>
      </c>
      <c r="P372" s="4" t="str">
        <f>IF(A372="",IF(COUNTA(B372:J372)&gt;0,"НЕТ ID",""),IF(OR(NOT(ISNUMBER(E372)),AND(Форма="ИП",C372="Дивиденды"),COUNTIF(Docs[ID],A372)&lt;&gt;1,NOT(ISNUMBER(B372)),B372&lt;НачалоУчета,YEAR(B372)&lt;&gt;Год,NOT(ISNUMBER(H372)),H372&lt;B372,E372&lt;0,COUNTIF(Виды,C372)&lt;&gt;1,COUNTIF(Категории,D372)&lt;&gt;1,COUNTIF(Контрагенты,F372)&lt;&gt;1,COUNTIF(Проекты,G372)&lt;&gt;1,L372&lt;-0.01,AND(I372&lt;&gt;"Проведён",I372&lt;&gt;"Черновик")),"ОШИБКА","ОК"))</f>
        <v/>
      </c>
      <c r="Q372" s="4" t="str">
        <f t="shared" si="29"/>
        <v/>
      </c>
    </row>
    <row r="373" spans="1:17" x14ac:dyDescent="0.25">
      <c r="A373" s="22"/>
      <c r="B373" s="23"/>
      <c r="C373" s="22"/>
      <c r="D373" s="22"/>
      <c r="E373" s="22"/>
      <c r="F373" s="22"/>
      <c r="G373" s="22"/>
      <c r="H373" s="23"/>
      <c r="I373" s="22"/>
      <c r="J373" s="22"/>
      <c r="K373" s="4" t="str">
        <f>IF(A373="","",SUMIFS(Cash[Оплата],Cash[Документ],A373,Cash[Дата],"&lt;="&amp;ДатаОтчета))</f>
        <v/>
      </c>
      <c r="L373" s="4" t="str">
        <f t="shared" si="25"/>
        <v/>
      </c>
      <c r="M373" s="4" t="str">
        <f t="shared" si="26"/>
        <v/>
      </c>
      <c r="N373" s="4" t="str">
        <f t="shared" si="27"/>
        <v/>
      </c>
      <c r="O373" s="4" t="str">
        <f t="shared" si="28"/>
        <v/>
      </c>
      <c r="P373" s="4" t="str">
        <f>IF(A373="",IF(COUNTA(B373:J373)&gt;0,"НЕТ ID",""),IF(OR(NOT(ISNUMBER(E373)),AND(Форма="ИП",C373="Дивиденды"),COUNTIF(Docs[ID],A373)&lt;&gt;1,NOT(ISNUMBER(B373)),B373&lt;НачалоУчета,YEAR(B373)&lt;&gt;Год,NOT(ISNUMBER(H373)),H373&lt;B373,E373&lt;0,COUNTIF(Виды,C373)&lt;&gt;1,COUNTIF(Категории,D373)&lt;&gt;1,COUNTIF(Контрагенты,F373)&lt;&gt;1,COUNTIF(Проекты,G373)&lt;&gt;1,L373&lt;-0.01,AND(I373&lt;&gt;"Проведён",I373&lt;&gt;"Черновик")),"ОШИБКА","ОК"))</f>
        <v/>
      </c>
      <c r="Q373" s="4" t="str">
        <f t="shared" si="29"/>
        <v/>
      </c>
    </row>
    <row r="374" spans="1:17" x14ac:dyDescent="0.25">
      <c r="A374" s="22"/>
      <c r="B374" s="23"/>
      <c r="C374" s="22"/>
      <c r="D374" s="22"/>
      <c r="E374" s="22"/>
      <c r="F374" s="22"/>
      <c r="G374" s="22"/>
      <c r="H374" s="23"/>
      <c r="I374" s="22"/>
      <c r="J374" s="22"/>
      <c r="K374" s="4" t="str">
        <f>IF(A374="","",SUMIFS(Cash[Оплата],Cash[Документ],A374,Cash[Дата],"&lt;="&amp;ДатаОтчета))</f>
        <v/>
      </c>
      <c r="L374" s="4" t="str">
        <f t="shared" si="25"/>
        <v/>
      </c>
      <c r="M374" s="4" t="str">
        <f t="shared" si="26"/>
        <v/>
      </c>
      <c r="N374" s="4" t="str">
        <f t="shared" si="27"/>
        <v/>
      </c>
      <c r="O374" s="4" t="str">
        <f t="shared" si="28"/>
        <v/>
      </c>
      <c r="P374" s="4" t="str">
        <f>IF(A374="",IF(COUNTA(B374:J374)&gt;0,"НЕТ ID",""),IF(OR(NOT(ISNUMBER(E374)),AND(Форма="ИП",C374="Дивиденды"),COUNTIF(Docs[ID],A374)&lt;&gt;1,NOT(ISNUMBER(B374)),B374&lt;НачалоУчета,YEAR(B374)&lt;&gt;Год,NOT(ISNUMBER(H374)),H374&lt;B374,E374&lt;0,COUNTIF(Виды,C374)&lt;&gt;1,COUNTIF(Категории,D374)&lt;&gt;1,COUNTIF(Контрагенты,F374)&lt;&gt;1,COUNTIF(Проекты,G374)&lt;&gt;1,L374&lt;-0.01,AND(I374&lt;&gt;"Проведён",I374&lt;&gt;"Черновик")),"ОШИБКА","ОК"))</f>
        <v/>
      </c>
      <c r="Q374" s="4" t="str">
        <f t="shared" si="29"/>
        <v/>
      </c>
    </row>
    <row r="375" spans="1:17" x14ac:dyDescent="0.25">
      <c r="A375" s="22"/>
      <c r="B375" s="23"/>
      <c r="C375" s="22"/>
      <c r="D375" s="22"/>
      <c r="E375" s="22"/>
      <c r="F375" s="22"/>
      <c r="G375" s="22"/>
      <c r="H375" s="23"/>
      <c r="I375" s="22"/>
      <c r="J375" s="22"/>
      <c r="K375" s="4" t="str">
        <f>IF(A375="","",SUMIFS(Cash[Оплата],Cash[Документ],A375,Cash[Дата],"&lt;="&amp;ДатаОтчета))</f>
        <v/>
      </c>
      <c r="L375" s="4" t="str">
        <f t="shared" si="25"/>
        <v/>
      </c>
      <c r="M375" s="4" t="str">
        <f t="shared" si="26"/>
        <v/>
      </c>
      <c r="N375" s="4" t="str">
        <f t="shared" si="27"/>
        <v/>
      </c>
      <c r="O375" s="4" t="str">
        <f t="shared" si="28"/>
        <v/>
      </c>
      <c r="P375" s="4" t="str">
        <f>IF(A375="",IF(COUNTA(B375:J375)&gt;0,"НЕТ ID",""),IF(OR(NOT(ISNUMBER(E375)),AND(Форма="ИП",C375="Дивиденды"),COUNTIF(Docs[ID],A375)&lt;&gt;1,NOT(ISNUMBER(B375)),B375&lt;НачалоУчета,YEAR(B375)&lt;&gt;Год,NOT(ISNUMBER(H375)),H375&lt;B375,E375&lt;0,COUNTIF(Виды,C375)&lt;&gt;1,COUNTIF(Категории,D375)&lt;&gt;1,COUNTIF(Контрагенты,F375)&lt;&gt;1,COUNTIF(Проекты,G375)&lt;&gt;1,L375&lt;-0.01,AND(I375&lt;&gt;"Проведён",I375&lt;&gt;"Черновик")),"ОШИБКА","ОК"))</f>
        <v/>
      </c>
      <c r="Q375" s="4" t="str">
        <f t="shared" si="29"/>
        <v/>
      </c>
    </row>
    <row r="376" spans="1:17" x14ac:dyDescent="0.25">
      <c r="A376" s="22"/>
      <c r="B376" s="23"/>
      <c r="C376" s="22"/>
      <c r="D376" s="22"/>
      <c r="E376" s="22"/>
      <c r="F376" s="22"/>
      <c r="G376" s="22"/>
      <c r="H376" s="23"/>
      <c r="I376" s="22"/>
      <c r="J376" s="22"/>
      <c r="K376" s="4" t="str">
        <f>IF(A376="","",SUMIFS(Cash[Оплата],Cash[Документ],A376,Cash[Дата],"&lt;="&amp;ДатаОтчета))</f>
        <v/>
      </c>
      <c r="L376" s="4" t="str">
        <f t="shared" si="25"/>
        <v/>
      </c>
      <c r="M376" s="4" t="str">
        <f t="shared" si="26"/>
        <v/>
      </c>
      <c r="N376" s="4" t="str">
        <f t="shared" si="27"/>
        <v/>
      </c>
      <c r="O376" s="4" t="str">
        <f t="shared" si="28"/>
        <v/>
      </c>
      <c r="P376" s="4" t="str">
        <f>IF(A376="",IF(COUNTA(B376:J376)&gt;0,"НЕТ ID",""),IF(OR(NOT(ISNUMBER(E376)),AND(Форма="ИП",C376="Дивиденды"),COUNTIF(Docs[ID],A376)&lt;&gt;1,NOT(ISNUMBER(B376)),B376&lt;НачалоУчета,YEAR(B376)&lt;&gt;Год,NOT(ISNUMBER(H376)),H376&lt;B376,E376&lt;0,COUNTIF(Виды,C376)&lt;&gt;1,COUNTIF(Категории,D376)&lt;&gt;1,COUNTIF(Контрагенты,F376)&lt;&gt;1,COUNTIF(Проекты,G376)&lt;&gt;1,L376&lt;-0.01,AND(I376&lt;&gt;"Проведён",I376&lt;&gt;"Черновик")),"ОШИБКА","ОК"))</f>
        <v/>
      </c>
      <c r="Q376" s="4" t="str">
        <f t="shared" si="29"/>
        <v/>
      </c>
    </row>
    <row r="377" spans="1:17" x14ac:dyDescent="0.25">
      <c r="A377" s="22"/>
      <c r="B377" s="23"/>
      <c r="C377" s="22"/>
      <c r="D377" s="22"/>
      <c r="E377" s="22"/>
      <c r="F377" s="22"/>
      <c r="G377" s="22"/>
      <c r="H377" s="23"/>
      <c r="I377" s="22"/>
      <c r="J377" s="22"/>
      <c r="K377" s="4" t="str">
        <f>IF(A377="","",SUMIFS(Cash[Оплата],Cash[Документ],A377,Cash[Дата],"&lt;="&amp;ДатаОтчета))</f>
        <v/>
      </c>
      <c r="L377" s="4" t="str">
        <f t="shared" si="25"/>
        <v/>
      </c>
      <c r="M377" s="4" t="str">
        <f t="shared" si="26"/>
        <v/>
      </c>
      <c r="N377" s="4" t="str">
        <f t="shared" si="27"/>
        <v/>
      </c>
      <c r="O377" s="4" t="str">
        <f t="shared" si="28"/>
        <v/>
      </c>
      <c r="P377" s="4" t="str">
        <f>IF(A377="",IF(COUNTA(B377:J377)&gt;0,"НЕТ ID",""),IF(OR(NOT(ISNUMBER(E377)),AND(Форма="ИП",C377="Дивиденды"),COUNTIF(Docs[ID],A377)&lt;&gt;1,NOT(ISNUMBER(B377)),B377&lt;НачалоУчета,YEAR(B377)&lt;&gt;Год,NOT(ISNUMBER(H377)),H377&lt;B377,E377&lt;0,COUNTIF(Виды,C377)&lt;&gt;1,COUNTIF(Категории,D377)&lt;&gt;1,COUNTIF(Контрагенты,F377)&lt;&gt;1,COUNTIF(Проекты,G377)&lt;&gt;1,L377&lt;-0.01,AND(I377&lt;&gt;"Проведён",I377&lt;&gt;"Черновик")),"ОШИБКА","ОК"))</f>
        <v/>
      </c>
      <c r="Q377" s="4" t="str">
        <f t="shared" si="29"/>
        <v/>
      </c>
    </row>
    <row r="378" spans="1:17" x14ac:dyDescent="0.25">
      <c r="A378" s="22"/>
      <c r="B378" s="23"/>
      <c r="C378" s="22"/>
      <c r="D378" s="22"/>
      <c r="E378" s="22"/>
      <c r="F378" s="22"/>
      <c r="G378" s="22"/>
      <c r="H378" s="23"/>
      <c r="I378" s="22"/>
      <c r="J378" s="22"/>
      <c r="K378" s="4" t="str">
        <f>IF(A378="","",SUMIFS(Cash[Оплата],Cash[Документ],A378,Cash[Дата],"&lt;="&amp;ДатаОтчета))</f>
        <v/>
      </c>
      <c r="L378" s="4" t="str">
        <f t="shared" si="25"/>
        <v/>
      </c>
      <c r="M378" s="4" t="str">
        <f t="shared" si="26"/>
        <v/>
      </c>
      <c r="N378" s="4" t="str">
        <f t="shared" si="27"/>
        <v/>
      </c>
      <c r="O378" s="4" t="str">
        <f t="shared" si="28"/>
        <v/>
      </c>
      <c r="P378" s="4" t="str">
        <f>IF(A378="",IF(COUNTA(B378:J378)&gt;0,"НЕТ ID",""),IF(OR(NOT(ISNUMBER(E378)),AND(Форма="ИП",C378="Дивиденды"),COUNTIF(Docs[ID],A378)&lt;&gt;1,NOT(ISNUMBER(B378)),B378&lt;НачалоУчета,YEAR(B378)&lt;&gt;Год,NOT(ISNUMBER(H378)),H378&lt;B378,E378&lt;0,COUNTIF(Виды,C378)&lt;&gt;1,COUNTIF(Категории,D378)&lt;&gt;1,COUNTIF(Контрагенты,F378)&lt;&gt;1,COUNTIF(Проекты,G378)&lt;&gt;1,L378&lt;-0.01,AND(I378&lt;&gt;"Проведён",I378&lt;&gt;"Черновик")),"ОШИБКА","ОК"))</f>
        <v/>
      </c>
      <c r="Q378" s="4" t="str">
        <f t="shared" si="29"/>
        <v/>
      </c>
    </row>
    <row r="379" spans="1:17" x14ac:dyDescent="0.25">
      <c r="A379" s="22"/>
      <c r="B379" s="23"/>
      <c r="C379" s="22"/>
      <c r="D379" s="22"/>
      <c r="E379" s="22"/>
      <c r="F379" s="22"/>
      <c r="G379" s="22"/>
      <c r="H379" s="23"/>
      <c r="I379" s="22"/>
      <c r="J379" s="22"/>
      <c r="K379" s="4" t="str">
        <f>IF(A379="","",SUMIFS(Cash[Оплата],Cash[Документ],A379,Cash[Дата],"&lt;="&amp;ДатаОтчета))</f>
        <v/>
      </c>
      <c r="L379" s="4" t="str">
        <f t="shared" si="25"/>
        <v/>
      </c>
      <c r="M379" s="4" t="str">
        <f t="shared" si="26"/>
        <v/>
      </c>
      <c r="N379" s="4" t="str">
        <f t="shared" si="27"/>
        <v/>
      </c>
      <c r="O379" s="4" t="str">
        <f t="shared" si="28"/>
        <v/>
      </c>
      <c r="P379" s="4" t="str">
        <f>IF(A379="",IF(COUNTA(B379:J379)&gt;0,"НЕТ ID",""),IF(OR(NOT(ISNUMBER(E379)),AND(Форма="ИП",C379="Дивиденды"),COUNTIF(Docs[ID],A379)&lt;&gt;1,NOT(ISNUMBER(B379)),B379&lt;НачалоУчета,YEAR(B379)&lt;&gt;Год,NOT(ISNUMBER(H379)),H379&lt;B379,E379&lt;0,COUNTIF(Виды,C379)&lt;&gt;1,COUNTIF(Категории,D379)&lt;&gt;1,COUNTIF(Контрагенты,F379)&lt;&gt;1,COUNTIF(Проекты,G379)&lt;&gt;1,L379&lt;-0.01,AND(I379&lt;&gt;"Проведён",I379&lt;&gt;"Черновик")),"ОШИБКА","ОК"))</f>
        <v/>
      </c>
      <c r="Q379" s="4" t="str">
        <f t="shared" si="29"/>
        <v/>
      </c>
    </row>
    <row r="380" spans="1:17" x14ac:dyDescent="0.25">
      <c r="A380" s="22"/>
      <c r="B380" s="23"/>
      <c r="C380" s="22"/>
      <c r="D380" s="22"/>
      <c r="E380" s="22"/>
      <c r="F380" s="22"/>
      <c r="G380" s="22"/>
      <c r="H380" s="23"/>
      <c r="I380" s="22"/>
      <c r="J380" s="22"/>
      <c r="K380" s="4" t="str">
        <f>IF(A380="","",SUMIFS(Cash[Оплата],Cash[Документ],A380,Cash[Дата],"&lt;="&amp;ДатаОтчета))</f>
        <v/>
      </c>
      <c r="L380" s="4" t="str">
        <f t="shared" si="25"/>
        <v/>
      </c>
      <c r="M380" s="4" t="str">
        <f t="shared" si="26"/>
        <v/>
      </c>
      <c r="N380" s="4" t="str">
        <f t="shared" si="27"/>
        <v/>
      </c>
      <c r="O380" s="4" t="str">
        <f t="shared" si="28"/>
        <v/>
      </c>
      <c r="P380" s="4" t="str">
        <f>IF(A380="",IF(COUNTA(B380:J380)&gt;0,"НЕТ ID",""),IF(OR(NOT(ISNUMBER(E380)),AND(Форма="ИП",C380="Дивиденды"),COUNTIF(Docs[ID],A380)&lt;&gt;1,NOT(ISNUMBER(B380)),B380&lt;НачалоУчета,YEAR(B380)&lt;&gt;Год,NOT(ISNUMBER(H380)),H380&lt;B380,E380&lt;0,COUNTIF(Виды,C380)&lt;&gt;1,COUNTIF(Категории,D380)&lt;&gt;1,COUNTIF(Контрагенты,F380)&lt;&gt;1,COUNTIF(Проекты,G380)&lt;&gt;1,L380&lt;-0.01,AND(I380&lt;&gt;"Проведён",I380&lt;&gt;"Черновик")),"ОШИБКА","ОК"))</f>
        <v/>
      </c>
      <c r="Q380" s="4" t="str">
        <f t="shared" si="29"/>
        <v/>
      </c>
    </row>
    <row r="381" spans="1:17" x14ac:dyDescent="0.25">
      <c r="A381" s="22"/>
      <c r="B381" s="23"/>
      <c r="C381" s="22"/>
      <c r="D381" s="22"/>
      <c r="E381" s="22"/>
      <c r="F381" s="22"/>
      <c r="G381" s="22"/>
      <c r="H381" s="23"/>
      <c r="I381" s="22"/>
      <c r="J381" s="22"/>
      <c r="K381" s="4" t="str">
        <f>IF(A381="","",SUMIFS(Cash[Оплата],Cash[Документ],A381,Cash[Дата],"&lt;="&amp;ДатаОтчета))</f>
        <v/>
      </c>
      <c r="L381" s="4" t="str">
        <f t="shared" si="25"/>
        <v/>
      </c>
      <c r="M381" s="4" t="str">
        <f t="shared" si="26"/>
        <v/>
      </c>
      <c r="N381" s="4" t="str">
        <f t="shared" si="27"/>
        <v/>
      </c>
      <c r="O381" s="4" t="str">
        <f t="shared" si="28"/>
        <v/>
      </c>
      <c r="P381" s="4" t="str">
        <f>IF(A381="",IF(COUNTA(B381:J381)&gt;0,"НЕТ ID",""),IF(OR(NOT(ISNUMBER(E381)),AND(Форма="ИП",C381="Дивиденды"),COUNTIF(Docs[ID],A381)&lt;&gt;1,NOT(ISNUMBER(B381)),B381&lt;НачалоУчета,YEAR(B381)&lt;&gt;Год,NOT(ISNUMBER(H381)),H381&lt;B381,E381&lt;0,COUNTIF(Виды,C381)&lt;&gt;1,COUNTIF(Категории,D381)&lt;&gt;1,COUNTIF(Контрагенты,F381)&lt;&gt;1,COUNTIF(Проекты,G381)&lt;&gt;1,L381&lt;-0.01,AND(I381&lt;&gt;"Проведён",I381&lt;&gt;"Черновик")),"ОШИБКА","ОК"))</f>
        <v/>
      </c>
      <c r="Q381" s="4" t="str">
        <f t="shared" si="29"/>
        <v/>
      </c>
    </row>
    <row r="382" spans="1:17" x14ac:dyDescent="0.25">
      <c r="A382" s="22"/>
      <c r="B382" s="23"/>
      <c r="C382" s="22"/>
      <c r="D382" s="22"/>
      <c r="E382" s="22"/>
      <c r="F382" s="22"/>
      <c r="G382" s="22"/>
      <c r="H382" s="23"/>
      <c r="I382" s="22"/>
      <c r="J382" s="22"/>
      <c r="K382" s="4" t="str">
        <f>IF(A382="","",SUMIFS(Cash[Оплата],Cash[Документ],A382,Cash[Дата],"&lt;="&amp;ДатаОтчета))</f>
        <v/>
      </c>
      <c r="L382" s="4" t="str">
        <f t="shared" si="25"/>
        <v/>
      </c>
      <c r="M382" s="4" t="str">
        <f t="shared" si="26"/>
        <v/>
      </c>
      <c r="N382" s="4" t="str">
        <f t="shared" si="27"/>
        <v/>
      </c>
      <c r="O382" s="4" t="str">
        <f t="shared" si="28"/>
        <v/>
      </c>
      <c r="P382" s="4" t="str">
        <f>IF(A382="",IF(COUNTA(B382:J382)&gt;0,"НЕТ ID",""),IF(OR(NOT(ISNUMBER(E382)),AND(Форма="ИП",C382="Дивиденды"),COUNTIF(Docs[ID],A382)&lt;&gt;1,NOT(ISNUMBER(B382)),B382&lt;НачалоУчета,YEAR(B382)&lt;&gt;Год,NOT(ISNUMBER(H382)),H382&lt;B382,E382&lt;0,COUNTIF(Виды,C382)&lt;&gt;1,COUNTIF(Категории,D382)&lt;&gt;1,COUNTIF(Контрагенты,F382)&lt;&gt;1,COUNTIF(Проекты,G382)&lt;&gt;1,L382&lt;-0.01,AND(I382&lt;&gt;"Проведён",I382&lt;&gt;"Черновик")),"ОШИБКА","ОК"))</f>
        <v/>
      </c>
      <c r="Q382" s="4" t="str">
        <f t="shared" si="29"/>
        <v/>
      </c>
    </row>
    <row r="383" spans="1:17" x14ac:dyDescent="0.25">
      <c r="A383" s="22"/>
      <c r="B383" s="23"/>
      <c r="C383" s="22"/>
      <c r="D383" s="22"/>
      <c r="E383" s="22"/>
      <c r="F383" s="22"/>
      <c r="G383" s="22"/>
      <c r="H383" s="23"/>
      <c r="I383" s="22"/>
      <c r="J383" s="22"/>
      <c r="K383" s="4" t="str">
        <f>IF(A383="","",SUMIFS(Cash[Оплата],Cash[Документ],A383,Cash[Дата],"&lt;="&amp;ДатаОтчета))</f>
        <v/>
      </c>
      <c r="L383" s="4" t="str">
        <f t="shared" si="25"/>
        <v/>
      </c>
      <c r="M383" s="4" t="str">
        <f t="shared" si="26"/>
        <v/>
      </c>
      <c r="N383" s="4" t="str">
        <f t="shared" si="27"/>
        <v/>
      </c>
      <c r="O383" s="4" t="str">
        <f t="shared" si="28"/>
        <v/>
      </c>
      <c r="P383" s="4" t="str">
        <f>IF(A383="",IF(COUNTA(B383:J383)&gt;0,"НЕТ ID",""),IF(OR(NOT(ISNUMBER(E383)),AND(Форма="ИП",C383="Дивиденды"),COUNTIF(Docs[ID],A383)&lt;&gt;1,NOT(ISNUMBER(B383)),B383&lt;НачалоУчета,YEAR(B383)&lt;&gt;Год,NOT(ISNUMBER(H383)),H383&lt;B383,E383&lt;0,COUNTIF(Виды,C383)&lt;&gt;1,COUNTIF(Категории,D383)&lt;&gt;1,COUNTIF(Контрагенты,F383)&lt;&gt;1,COUNTIF(Проекты,G383)&lt;&gt;1,L383&lt;-0.01,AND(I383&lt;&gt;"Проведён",I383&lt;&gt;"Черновик")),"ОШИБКА","ОК"))</f>
        <v/>
      </c>
      <c r="Q383" s="4" t="str">
        <f t="shared" si="29"/>
        <v/>
      </c>
    </row>
    <row r="384" spans="1:17" x14ac:dyDescent="0.25">
      <c r="A384" s="22"/>
      <c r="B384" s="23"/>
      <c r="C384" s="22"/>
      <c r="D384" s="22"/>
      <c r="E384" s="22"/>
      <c r="F384" s="22"/>
      <c r="G384" s="22"/>
      <c r="H384" s="23"/>
      <c r="I384" s="22"/>
      <c r="J384" s="22"/>
      <c r="K384" s="4" t="str">
        <f>IF(A384="","",SUMIFS(Cash[Оплата],Cash[Документ],A384,Cash[Дата],"&lt;="&amp;ДатаОтчета))</f>
        <v/>
      </c>
      <c r="L384" s="4" t="str">
        <f t="shared" si="25"/>
        <v/>
      </c>
      <c r="M384" s="4" t="str">
        <f t="shared" si="26"/>
        <v/>
      </c>
      <c r="N384" s="4" t="str">
        <f t="shared" si="27"/>
        <v/>
      </c>
      <c r="O384" s="4" t="str">
        <f t="shared" si="28"/>
        <v/>
      </c>
      <c r="P384" s="4" t="str">
        <f>IF(A384="",IF(COUNTA(B384:J384)&gt;0,"НЕТ ID",""),IF(OR(NOT(ISNUMBER(E384)),AND(Форма="ИП",C384="Дивиденды"),COUNTIF(Docs[ID],A384)&lt;&gt;1,NOT(ISNUMBER(B384)),B384&lt;НачалоУчета,YEAR(B384)&lt;&gt;Год,NOT(ISNUMBER(H384)),H384&lt;B384,E384&lt;0,COUNTIF(Виды,C384)&lt;&gt;1,COUNTIF(Категории,D384)&lt;&gt;1,COUNTIF(Контрагенты,F384)&lt;&gt;1,COUNTIF(Проекты,G384)&lt;&gt;1,L384&lt;-0.01,AND(I384&lt;&gt;"Проведён",I384&lt;&gt;"Черновик")),"ОШИБКА","ОК"))</f>
        <v/>
      </c>
      <c r="Q384" s="4" t="str">
        <f t="shared" si="29"/>
        <v/>
      </c>
    </row>
    <row r="385" spans="1:17" x14ac:dyDescent="0.25">
      <c r="A385" s="22"/>
      <c r="B385" s="23"/>
      <c r="C385" s="22"/>
      <c r="D385" s="22"/>
      <c r="E385" s="22"/>
      <c r="F385" s="22"/>
      <c r="G385" s="22"/>
      <c r="H385" s="23"/>
      <c r="I385" s="22"/>
      <c r="J385" s="22"/>
      <c r="K385" s="4" t="str">
        <f>IF(A385="","",SUMIFS(Cash[Оплата],Cash[Документ],A385,Cash[Дата],"&lt;="&amp;ДатаОтчета))</f>
        <v/>
      </c>
      <c r="L385" s="4" t="str">
        <f t="shared" si="25"/>
        <v/>
      </c>
      <c r="M385" s="4" t="str">
        <f t="shared" si="26"/>
        <v/>
      </c>
      <c r="N385" s="4" t="str">
        <f t="shared" si="27"/>
        <v/>
      </c>
      <c r="O385" s="4" t="str">
        <f t="shared" si="28"/>
        <v/>
      </c>
      <c r="P385" s="4" t="str">
        <f>IF(A385="",IF(COUNTA(B385:J385)&gt;0,"НЕТ ID",""),IF(OR(NOT(ISNUMBER(E385)),AND(Форма="ИП",C385="Дивиденды"),COUNTIF(Docs[ID],A385)&lt;&gt;1,NOT(ISNUMBER(B385)),B385&lt;НачалоУчета,YEAR(B385)&lt;&gt;Год,NOT(ISNUMBER(H385)),H385&lt;B385,E385&lt;0,COUNTIF(Виды,C385)&lt;&gt;1,COUNTIF(Категории,D385)&lt;&gt;1,COUNTIF(Контрагенты,F385)&lt;&gt;1,COUNTIF(Проекты,G385)&lt;&gt;1,L385&lt;-0.01,AND(I385&lt;&gt;"Проведён",I385&lt;&gt;"Черновик")),"ОШИБКА","ОК"))</f>
        <v/>
      </c>
      <c r="Q385" s="4" t="str">
        <f t="shared" si="29"/>
        <v/>
      </c>
    </row>
    <row r="386" spans="1:17" x14ac:dyDescent="0.25">
      <c r="A386" s="22"/>
      <c r="B386" s="23"/>
      <c r="C386" s="22"/>
      <c r="D386" s="22"/>
      <c r="E386" s="22"/>
      <c r="F386" s="22"/>
      <c r="G386" s="22"/>
      <c r="H386" s="23"/>
      <c r="I386" s="22"/>
      <c r="J386" s="22"/>
      <c r="K386" s="4" t="str">
        <f>IF(A386="","",SUMIFS(Cash[Оплата],Cash[Документ],A386,Cash[Дата],"&lt;="&amp;ДатаОтчета))</f>
        <v/>
      </c>
      <c r="L386" s="4" t="str">
        <f t="shared" si="25"/>
        <v/>
      </c>
      <c r="M386" s="4" t="str">
        <f t="shared" si="26"/>
        <v/>
      </c>
      <c r="N386" s="4" t="str">
        <f t="shared" si="27"/>
        <v/>
      </c>
      <c r="O386" s="4" t="str">
        <f t="shared" si="28"/>
        <v/>
      </c>
      <c r="P386" s="4" t="str">
        <f>IF(A386="",IF(COUNTA(B386:J386)&gt;0,"НЕТ ID",""),IF(OR(NOT(ISNUMBER(E386)),AND(Форма="ИП",C386="Дивиденды"),COUNTIF(Docs[ID],A386)&lt;&gt;1,NOT(ISNUMBER(B386)),B386&lt;НачалоУчета,YEAR(B386)&lt;&gt;Год,NOT(ISNUMBER(H386)),H386&lt;B386,E386&lt;0,COUNTIF(Виды,C386)&lt;&gt;1,COUNTIF(Категории,D386)&lt;&gt;1,COUNTIF(Контрагенты,F386)&lt;&gt;1,COUNTIF(Проекты,G386)&lt;&gt;1,L386&lt;-0.01,AND(I386&lt;&gt;"Проведён",I386&lt;&gt;"Черновик")),"ОШИБКА","ОК"))</f>
        <v/>
      </c>
      <c r="Q386" s="4" t="str">
        <f t="shared" si="29"/>
        <v/>
      </c>
    </row>
    <row r="387" spans="1:17" x14ac:dyDescent="0.25">
      <c r="A387" s="22"/>
      <c r="B387" s="23"/>
      <c r="C387" s="22"/>
      <c r="D387" s="22"/>
      <c r="E387" s="22"/>
      <c r="F387" s="22"/>
      <c r="G387" s="22"/>
      <c r="H387" s="23"/>
      <c r="I387" s="22"/>
      <c r="J387" s="22"/>
      <c r="K387" s="4" t="str">
        <f>IF(A387="","",SUMIFS(Cash[Оплата],Cash[Документ],A387,Cash[Дата],"&lt;="&amp;ДатаОтчета))</f>
        <v/>
      </c>
      <c r="L387" s="4" t="str">
        <f t="shared" si="25"/>
        <v/>
      </c>
      <c r="M387" s="4" t="str">
        <f t="shared" si="26"/>
        <v/>
      </c>
      <c r="N387" s="4" t="str">
        <f t="shared" si="27"/>
        <v/>
      </c>
      <c r="O387" s="4" t="str">
        <f t="shared" si="28"/>
        <v/>
      </c>
      <c r="P387" s="4" t="str">
        <f>IF(A387="",IF(COUNTA(B387:J387)&gt;0,"НЕТ ID",""),IF(OR(NOT(ISNUMBER(E387)),AND(Форма="ИП",C387="Дивиденды"),COUNTIF(Docs[ID],A387)&lt;&gt;1,NOT(ISNUMBER(B387)),B387&lt;НачалоУчета,YEAR(B387)&lt;&gt;Год,NOT(ISNUMBER(H387)),H387&lt;B387,E387&lt;0,COUNTIF(Виды,C387)&lt;&gt;1,COUNTIF(Категории,D387)&lt;&gt;1,COUNTIF(Контрагенты,F387)&lt;&gt;1,COUNTIF(Проекты,G387)&lt;&gt;1,L387&lt;-0.01,AND(I387&lt;&gt;"Проведён",I387&lt;&gt;"Черновик")),"ОШИБКА","ОК"))</f>
        <v/>
      </c>
      <c r="Q387" s="4" t="str">
        <f t="shared" si="29"/>
        <v/>
      </c>
    </row>
    <row r="388" spans="1:17" x14ac:dyDescent="0.25">
      <c r="A388" s="22"/>
      <c r="B388" s="23"/>
      <c r="C388" s="22"/>
      <c r="D388" s="22"/>
      <c r="E388" s="22"/>
      <c r="F388" s="22"/>
      <c r="G388" s="22"/>
      <c r="H388" s="23"/>
      <c r="I388" s="22"/>
      <c r="J388" s="22"/>
      <c r="K388" s="4" t="str">
        <f>IF(A388="","",SUMIFS(Cash[Оплата],Cash[Документ],A388,Cash[Дата],"&lt;="&amp;ДатаОтчета))</f>
        <v/>
      </c>
      <c r="L388" s="4" t="str">
        <f t="shared" si="25"/>
        <v/>
      </c>
      <c r="M388" s="4" t="str">
        <f t="shared" si="26"/>
        <v/>
      </c>
      <c r="N388" s="4" t="str">
        <f t="shared" si="27"/>
        <v/>
      </c>
      <c r="O388" s="4" t="str">
        <f t="shared" si="28"/>
        <v/>
      </c>
      <c r="P388" s="4" t="str">
        <f>IF(A388="",IF(COUNTA(B388:J388)&gt;0,"НЕТ ID",""),IF(OR(NOT(ISNUMBER(E388)),AND(Форма="ИП",C388="Дивиденды"),COUNTIF(Docs[ID],A388)&lt;&gt;1,NOT(ISNUMBER(B388)),B388&lt;НачалоУчета,YEAR(B388)&lt;&gt;Год,NOT(ISNUMBER(H388)),H388&lt;B388,E388&lt;0,COUNTIF(Виды,C388)&lt;&gt;1,COUNTIF(Категории,D388)&lt;&gt;1,COUNTIF(Контрагенты,F388)&lt;&gt;1,COUNTIF(Проекты,G388)&lt;&gt;1,L388&lt;-0.01,AND(I388&lt;&gt;"Проведён",I388&lt;&gt;"Черновик")),"ОШИБКА","ОК"))</f>
        <v/>
      </c>
      <c r="Q388" s="4" t="str">
        <f t="shared" si="29"/>
        <v/>
      </c>
    </row>
    <row r="389" spans="1:17" x14ac:dyDescent="0.25">
      <c r="A389" s="22"/>
      <c r="B389" s="23"/>
      <c r="C389" s="22"/>
      <c r="D389" s="22"/>
      <c r="E389" s="22"/>
      <c r="F389" s="22"/>
      <c r="G389" s="22"/>
      <c r="H389" s="23"/>
      <c r="I389" s="22"/>
      <c r="J389" s="22"/>
      <c r="K389" s="4" t="str">
        <f>IF(A389="","",SUMIFS(Cash[Оплата],Cash[Документ],A389,Cash[Дата],"&lt;="&amp;ДатаОтчета))</f>
        <v/>
      </c>
      <c r="L389" s="4" t="str">
        <f t="shared" si="25"/>
        <v/>
      </c>
      <c r="M389" s="4" t="str">
        <f t="shared" si="26"/>
        <v/>
      </c>
      <c r="N389" s="4" t="str">
        <f t="shared" si="27"/>
        <v/>
      </c>
      <c r="O389" s="4" t="str">
        <f t="shared" si="28"/>
        <v/>
      </c>
      <c r="P389" s="4" t="str">
        <f>IF(A389="",IF(COUNTA(B389:J389)&gt;0,"НЕТ ID",""),IF(OR(NOT(ISNUMBER(E389)),AND(Форма="ИП",C389="Дивиденды"),COUNTIF(Docs[ID],A389)&lt;&gt;1,NOT(ISNUMBER(B389)),B389&lt;НачалоУчета,YEAR(B389)&lt;&gt;Год,NOT(ISNUMBER(H389)),H389&lt;B389,E389&lt;0,COUNTIF(Виды,C389)&lt;&gt;1,COUNTIF(Категории,D389)&lt;&gt;1,COUNTIF(Контрагенты,F389)&lt;&gt;1,COUNTIF(Проекты,G389)&lt;&gt;1,L389&lt;-0.01,AND(I389&lt;&gt;"Проведён",I389&lt;&gt;"Черновик")),"ОШИБКА","ОК"))</f>
        <v/>
      </c>
      <c r="Q389" s="4" t="str">
        <f t="shared" si="29"/>
        <v/>
      </c>
    </row>
    <row r="390" spans="1:17" x14ac:dyDescent="0.25">
      <c r="A390" s="22"/>
      <c r="B390" s="23"/>
      <c r="C390" s="22"/>
      <c r="D390" s="22"/>
      <c r="E390" s="22"/>
      <c r="F390" s="22"/>
      <c r="G390" s="22"/>
      <c r="H390" s="23"/>
      <c r="I390" s="22"/>
      <c r="J390" s="22"/>
      <c r="K390" s="4" t="str">
        <f>IF(A390="","",SUMIFS(Cash[Оплата],Cash[Документ],A390,Cash[Дата],"&lt;="&amp;ДатаОтчета))</f>
        <v/>
      </c>
      <c r="L390" s="4" t="str">
        <f t="shared" si="25"/>
        <v/>
      </c>
      <c r="M390" s="4" t="str">
        <f t="shared" si="26"/>
        <v/>
      </c>
      <c r="N390" s="4" t="str">
        <f t="shared" si="27"/>
        <v/>
      </c>
      <c r="O390" s="4" t="str">
        <f t="shared" si="28"/>
        <v/>
      </c>
      <c r="P390" s="4" t="str">
        <f>IF(A390="",IF(COUNTA(B390:J390)&gt;0,"НЕТ ID",""),IF(OR(NOT(ISNUMBER(E390)),AND(Форма="ИП",C390="Дивиденды"),COUNTIF(Docs[ID],A390)&lt;&gt;1,NOT(ISNUMBER(B390)),B390&lt;НачалоУчета,YEAR(B390)&lt;&gt;Год,NOT(ISNUMBER(H390)),H390&lt;B390,E390&lt;0,COUNTIF(Виды,C390)&lt;&gt;1,COUNTIF(Категории,D390)&lt;&gt;1,COUNTIF(Контрагенты,F390)&lt;&gt;1,COUNTIF(Проекты,G390)&lt;&gt;1,L390&lt;-0.01,AND(I390&lt;&gt;"Проведён",I390&lt;&gt;"Черновик")),"ОШИБКА","ОК"))</f>
        <v/>
      </c>
      <c r="Q390" s="4" t="str">
        <f t="shared" si="29"/>
        <v/>
      </c>
    </row>
    <row r="391" spans="1:17" x14ac:dyDescent="0.25">
      <c r="A391" s="22"/>
      <c r="B391" s="23"/>
      <c r="C391" s="22"/>
      <c r="D391" s="22"/>
      <c r="E391" s="22"/>
      <c r="F391" s="22"/>
      <c r="G391" s="22"/>
      <c r="H391" s="23"/>
      <c r="I391" s="22"/>
      <c r="J391" s="22"/>
      <c r="K391" s="4" t="str">
        <f>IF(A391="","",SUMIFS(Cash[Оплата],Cash[Документ],A391,Cash[Дата],"&lt;="&amp;ДатаОтчета))</f>
        <v/>
      </c>
      <c r="L391" s="4" t="str">
        <f t="shared" ref="L391:L454" si="30">IF(A391="","",IF(AND(I391="Проведён",B391&lt;=ДатаОтчета),E391-K391,0))</f>
        <v/>
      </c>
      <c r="M391" s="4" t="str">
        <f t="shared" ref="M391:M454" si="31">IF(A391="","",IF(L391&gt;0.01,MAX(0,ДатаОтчета-H391),0))</f>
        <v/>
      </c>
      <c r="N391" s="4" t="str">
        <f t="shared" ref="N391:N454" si="32">IF(A391="","",IF(L391&lt;=0.01,"Закрыта",IF(M391=0,"Не просрочена",IF(M391&lt;=30,"1–30 дней",IF(M391&lt;=60,"31–60 дней",IF(M391&lt;=90,"61–90 дней","Более 90 дней"))))))</f>
        <v/>
      </c>
      <c r="O391" s="4" t="str">
        <f t="shared" ref="O391:O454" si="33">IF(A391="","",IF(L391&lt;-0.01,"Переплата",IF(L391&lt;=0.01,"Оплачено",IF(M391&gt;0,"Просрочено",IF(H391&lt;=ДатаОтчета+7,"Оплата в 7 дней","Открыто")))))</f>
        <v/>
      </c>
      <c r="P391" s="4" t="str">
        <f>IF(A391="",IF(COUNTA(B391:J391)&gt;0,"НЕТ ID",""),IF(OR(NOT(ISNUMBER(E391)),AND(Форма="ИП",C391="Дивиденды"),COUNTIF(Docs[ID],A391)&lt;&gt;1,NOT(ISNUMBER(B391)),B391&lt;НачалоУчета,YEAR(B391)&lt;&gt;Год,NOT(ISNUMBER(H391)),H391&lt;B391,E391&lt;0,COUNTIF(Виды,C391)&lt;&gt;1,COUNTIF(Категории,D391)&lt;&gt;1,COUNTIF(Контрагенты,F391)&lt;&gt;1,COUNTIF(Проекты,G391)&lt;&gt;1,L391&lt;-0.01,AND(I391&lt;&gt;"Проведён",I391&lt;&gt;"Черновик")),"ОШИБКА","ОК"))</f>
        <v/>
      </c>
      <c r="Q391" s="4" t="str">
        <f t="shared" ref="Q391:Q454" si="34">IF(A391="","",IF(OR(C391="Выручка",C391="Начальная ДЗ"),"ДЗ","КЗ"))</f>
        <v/>
      </c>
    </row>
    <row r="392" spans="1:17" x14ac:dyDescent="0.25">
      <c r="A392" s="22"/>
      <c r="B392" s="23"/>
      <c r="C392" s="22"/>
      <c r="D392" s="22"/>
      <c r="E392" s="22"/>
      <c r="F392" s="22"/>
      <c r="G392" s="22"/>
      <c r="H392" s="23"/>
      <c r="I392" s="22"/>
      <c r="J392" s="22"/>
      <c r="K392" s="4" t="str">
        <f>IF(A392="","",SUMIFS(Cash[Оплата],Cash[Документ],A392,Cash[Дата],"&lt;="&amp;ДатаОтчета))</f>
        <v/>
      </c>
      <c r="L392" s="4" t="str">
        <f t="shared" si="30"/>
        <v/>
      </c>
      <c r="M392" s="4" t="str">
        <f t="shared" si="31"/>
        <v/>
      </c>
      <c r="N392" s="4" t="str">
        <f t="shared" si="32"/>
        <v/>
      </c>
      <c r="O392" s="4" t="str">
        <f t="shared" si="33"/>
        <v/>
      </c>
      <c r="P392" s="4" t="str">
        <f>IF(A392="",IF(COUNTA(B392:J392)&gt;0,"НЕТ ID",""),IF(OR(NOT(ISNUMBER(E392)),AND(Форма="ИП",C392="Дивиденды"),COUNTIF(Docs[ID],A392)&lt;&gt;1,NOT(ISNUMBER(B392)),B392&lt;НачалоУчета,YEAR(B392)&lt;&gt;Год,NOT(ISNUMBER(H392)),H392&lt;B392,E392&lt;0,COUNTIF(Виды,C392)&lt;&gt;1,COUNTIF(Категории,D392)&lt;&gt;1,COUNTIF(Контрагенты,F392)&lt;&gt;1,COUNTIF(Проекты,G392)&lt;&gt;1,L392&lt;-0.01,AND(I392&lt;&gt;"Проведён",I392&lt;&gt;"Черновик")),"ОШИБКА","ОК"))</f>
        <v/>
      </c>
      <c r="Q392" s="4" t="str">
        <f t="shared" si="34"/>
        <v/>
      </c>
    </row>
    <row r="393" spans="1:17" x14ac:dyDescent="0.25">
      <c r="A393" s="22"/>
      <c r="B393" s="23"/>
      <c r="C393" s="22"/>
      <c r="D393" s="22"/>
      <c r="E393" s="22"/>
      <c r="F393" s="22"/>
      <c r="G393" s="22"/>
      <c r="H393" s="23"/>
      <c r="I393" s="22"/>
      <c r="J393" s="22"/>
      <c r="K393" s="4" t="str">
        <f>IF(A393="","",SUMIFS(Cash[Оплата],Cash[Документ],A393,Cash[Дата],"&lt;="&amp;ДатаОтчета))</f>
        <v/>
      </c>
      <c r="L393" s="4" t="str">
        <f t="shared" si="30"/>
        <v/>
      </c>
      <c r="M393" s="4" t="str">
        <f t="shared" si="31"/>
        <v/>
      </c>
      <c r="N393" s="4" t="str">
        <f t="shared" si="32"/>
        <v/>
      </c>
      <c r="O393" s="4" t="str">
        <f t="shared" si="33"/>
        <v/>
      </c>
      <c r="P393" s="4" t="str">
        <f>IF(A393="",IF(COUNTA(B393:J393)&gt;0,"НЕТ ID",""),IF(OR(NOT(ISNUMBER(E393)),AND(Форма="ИП",C393="Дивиденды"),COUNTIF(Docs[ID],A393)&lt;&gt;1,NOT(ISNUMBER(B393)),B393&lt;НачалоУчета,YEAR(B393)&lt;&gt;Год,NOT(ISNUMBER(H393)),H393&lt;B393,E393&lt;0,COUNTIF(Виды,C393)&lt;&gt;1,COUNTIF(Категории,D393)&lt;&gt;1,COUNTIF(Контрагенты,F393)&lt;&gt;1,COUNTIF(Проекты,G393)&lt;&gt;1,L393&lt;-0.01,AND(I393&lt;&gt;"Проведён",I393&lt;&gt;"Черновик")),"ОШИБКА","ОК"))</f>
        <v/>
      </c>
      <c r="Q393" s="4" t="str">
        <f t="shared" si="34"/>
        <v/>
      </c>
    </row>
    <row r="394" spans="1:17" x14ac:dyDescent="0.25">
      <c r="A394" s="22"/>
      <c r="B394" s="23"/>
      <c r="C394" s="22"/>
      <c r="D394" s="22"/>
      <c r="E394" s="22"/>
      <c r="F394" s="22"/>
      <c r="G394" s="22"/>
      <c r="H394" s="23"/>
      <c r="I394" s="22"/>
      <c r="J394" s="22"/>
      <c r="K394" s="4" t="str">
        <f>IF(A394="","",SUMIFS(Cash[Оплата],Cash[Документ],A394,Cash[Дата],"&lt;="&amp;ДатаОтчета))</f>
        <v/>
      </c>
      <c r="L394" s="4" t="str">
        <f t="shared" si="30"/>
        <v/>
      </c>
      <c r="M394" s="4" t="str">
        <f t="shared" si="31"/>
        <v/>
      </c>
      <c r="N394" s="4" t="str">
        <f t="shared" si="32"/>
        <v/>
      </c>
      <c r="O394" s="4" t="str">
        <f t="shared" si="33"/>
        <v/>
      </c>
      <c r="P394" s="4" t="str">
        <f>IF(A394="",IF(COUNTA(B394:J394)&gt;0,"НЕТ ID",""),IF(OR(NOT(ISNUMBER(E394)),AND(Форма="ИП",C394="Дивиденды"),COUNTIF(Docs[ID],A394)&lt;&gt;1,NOT(ISNUMBER(B394)),B394&lt;НачалоУчета,YEAR(B394)&lt;&gt;Год,NOT(ISNUMBER(H394)),H394&lt;B394,E394&lt;0,COUNTIF(Виды,C394)&lt;&gt;1,COUNTIF(Категории,D394)&lt;&gt;1,COUNTIF(Контрагенты,F394)&lt;&gt;1,COUNTIF(Проекты,G394)&lt;&gt;1,L394&lt;-0.01,AND(I394&lt;&gt;"Проведён",I394&lt;&gt;"Черновик")),"ОШИБКА","ОК"))</f>
        <v/>
      </c>
      <c r="Q394" s="4" t="str">
        <f t="shared" si="34"/>
        <v/>
      </c>
    </row>
    <row r="395" spans="1:17" x14ac:dyDescent="0.25">
      <c r="A395" s="22"/>
      <c r="B395" s="23"/>
      <c r="C395" s="22"/>
      <c r="D395" s="22"/>
      <c r="E395" s="22"/>
      <c r="F395" s="22"/>
      <c r="G395" s="22"/>
      <c r="H395" s="23"/>
      <c r="I395" s="22"/>
      <c r="J395" s="22"/>
      <c r="K395" s="4" t="str">
        <f>IF(A395="","",SUMIFS(Cash[Оплата],Cash[Документ],A395,Cash[Дата],"&lt;="&amp;ДатаОтчета))</f>
        <v/>
      </c>
      <c r="L395" s="4" t="str">
        <f t="shared" si="30"/>
        <v/>
      </c>
      <c r="M395" s="4" t="str">
        <f t="shared" si="31"/>
        <v/>
      </c>
      <c r="N395" s="4" t="str">
        <f t="shared" si="32"/>
        <v/>
      </c>
      <c r="O395" s="4" t="str">
        <f t="shared" si="33"/>
        <v/>
      </c>
      <c r="P395" s="4" t="str">
        <f>IF(A395="",IF(COUNTA(B395:J395)&gt;0,"НЕТ ID",""),IF(OR(NOT(ISNUMBER(E395)),AND(Форма="ИП",C395="Дивиденды"),COUNTIF(Docs[ID],A395)&lt;&gt;1,NOT(ISNUMBER(B395)),B395&lt;НачалоУчета,YEAR(B395)&lt;&gt;Год,NOT(ISNUMBER(H395)),H395&lt;B395,E395&lt;0,COUNTIF(Виды,C395)&lt;&gt;1,COUNTIF(Категории,D395)&lt;&gt;1,COUNTIF(Контрагенты,F395)&lt;&gt;1,COUNTIF(Проекты,G395)&lt;&gt;1,L395&lt;-0.01,AND(I395&lt;&gt;"Проведён",I395&lt;&gt;"Черновик")),"ОШИБКА","ОК"))</f>
        <v/>
      </c>
      <c r="Q395" s="4" t="str">
        <f t="shared" si="34"/>
        <v/>
      </c>
    </row>
    <row r="396" spans="1:17" x14ac:dyDescent="0.25">
      <c r="A396" s="22"/>
      <c r="B396" s="23"/>
      <c r="C396" s="22"/>
      <c r="D396" s="22"/>
      <c r="E396" s="22"/>
      <c r="F396" s="22"/>
      <c r="G396" s="22"/>
      <c r="H396" s="23"/>
      <c r="I396" s="22"/>
      <c r="J396" s="22"/>
      <c r="K396" s="4" t="str">
        <f>IF(A396="","",SUMIFS(Cash[Оплата],Cash[Документ],A396,Cash[Дата],"&lt;="&amp;ДатаОтчета))</f>
        <v/>
      </c>
      <c r="L396" s="4" t="str">
        <f t="shared" si="30"/>
        <v/>
      </c>
      <c r="M396" s="4" t="str">
        <f t="shared" si="31"/>
        <v/>
      </c>
      <c r="N396" s="4" t="str">
        <f t="shared" si="32"/>
        <v/>
      </c>
      <c r="O396" s="4" t="str">
        <f t="shared" si="33"/>
        <v/>
      </c>
      <c r="P396" s="4" t="str">
        <f>IF(A396="",IF(COUNTA(B396:J396)&gt;0,"НЕТ ID",""),IF(OR(NOT(ISNUMBER(E396)),AND(Форма="ИП",C396="Дивиденды"),COUNTIF(Docs[ID],A396)&lt;&gt;1,NOT(ISNUMBER(B396)),B396&lt;НачалоУчета,YEAR(B396)&lt;&gt;Год,NOT(ISNUMBER(H396)),H396&lt;B396,E396&lt;0,COUNTIF(Виды,C396)&lt;&gt;1,COUNTIF(Категории,D396)&lt;&gt;1,COUNTIF(Контрагенты,F396)&lt;&gt;1,COUNTIF(Проекты,G396)&lt;&gt;1,L396&lt;-0.01,AND(I396&lt;&gt;"Проведён",I396&lt;&gt;"Черновик")),"ОШИБКА","ОК"))</f>
        <v/>
      </c>
      <c r="Q396" s="4" t="str">
        <f t="shared" si="34"/>
        <v/>
      </c>
    </row>
    <row r="397" spans="1:17" x14ac:dyDescent="0.25">
      <c r="A397" s="22"/>
      <c r="B397" s="23"/>
      <c r="C397" s="22"/>
      <c r="D397" s="22"/>
      <c r="E397" s="22"/>
      <c r="F397" s="22"/>
      <c r="G397" s="22"/>
      <c r="H397" s="23"/>
      <c r="I397" s="22"/>
      <c r="J397" s="22"/>
      <c r="K397" s="4" t="str">
        <f>IF(A397="","",SUMIFS(Cash[Оплата],Cash[Документ],A397,Cash[Дата],"&lt;="&amp;ДатаОтчета))</f>
        <v/>
      </c>
      <c r="L397" s="4" t="str">
        <f t="shared" si="30"/>
        <v/>
      </c>
      <c r="M397" s="4" t="str">
        <f t="shared" si="31"/>
        <v/>
      </c>
      <c r="N397" s="4" t="str">
        <f t="shared" si="32"/>
        <v/>
      </c>
      <c r="O397" s="4" t="str">
        <f t="shared" si="33"/>
        <v/>
      </c>
      <c r="P397" s="4" t="str">
        <f>IF(A397="",IF(COUNTA(B397:J397)&gt;0,"НЕТ ID",""),IF(OR(NOT(ISNUMBER(E397)),AND(Форма="ИП",C397="Дивиденды"),COUNTIF(Docs[ID],A397)&lt;&gt;1,NOT(ISNUMBER(B397)),B397&lt;НачалоУчета,YEAR(B397)&lt;&gt;Год,NOT(ISNUMBER(H397)),H397&lt;B397,E397&lt;0,COUNTIF(Виды,C397)&lt;&gt;1,COUNTIF(Категории,D397)&lt;&gt;1,COUNTIF(Контрагенты,F397)&lt;&gt;1,COUNTIF(Проекты,G397)&lt;&gt;1,L397&lt;-0.01,AND(I397&lt;&gt;"Проведён",I397&lt;&gt;"Черновик")),"ОШИБКА","ОК"))</f>
        <v/>
      </c>
      <c r="Q397" s="4" t="str">
        <f t="shared" si="34"/>
        <v/>
      </c>
    </row>
    <row r="398" spans="1:17" x14ac:dyDescent="0.25">
      <c r="A398" s="22"/>
      <c r="B398" s="23"/>
      <c r="C398" s="22"/>
      <c r="D398" s="22"/>
      <c r="E398" s="22"/>
      <c r="F398" s="22"/>
      <c r="G398" s="22"/>
      <c r="H398" s="23"/>
      <c r="I398" s="22"/>
      <c r="J398" s="22"/>
      <c r="K398" s="4" t="str">
        <f>IF(A398="","",SUMIFS(Cash[Оплата],Cash[Документ],A398,Cash[Дата],"&lt;="&amp;ДатаОтчета))</f>
        <v/>
      </c>
      <c r="L398" s="4" t="str">
        <f t="shared" si="30"/>
        <v/>
      </c>
      <c r="M398" s="4" t="str">
        <f t="shared" si="31"/>
        <v/>
      </c>
      <c r="N398" s="4" t="str">
        <f t="shared" si="32"/>
        <v/>
      </c>
      <c r="O398" s="4" t="str">
        <f t="shared" si="33"/>
        <v/>
      </c>
      <c r="P398" s="4" t="str">
        <f>IF(A398="",IF(COUNTA(B398:J398)&gt;0,"НЕТ ID",""),IF(OR(NOT(ISNUMBER(E398)),AND(Форма="ИП",C398="Дивиденды"),COUNTIF(Docs[ID],A398)&lt;&gt;1,NOT(ISNUMBER(B398)),B398&lt;НачалоУчета,YEAR(B398)&lt;&gt;Год,NOT(ISNUMBER(H398)),H398&lt;B398,E398&lt;0,COUNTIF(Виды,C398)&lt;&gt;1,COUNTIF(Категории,D398)&lt;&gt;1,COUNTIF(Контрагенты,F398)&lt;&gt;1,COUNTIF(Проекты,G398)&lt;&gt;1,L398&lt;-0.01,AND(I398&lt;&gt;"Проведён",I398&lt;&gt;"Черновик")),"ОШИБКА","ОК"))</f>
        <v/>
      </c>
      <c r="Q398" s="4" t="str">
        <f t="shared" si="34"/>
        <v/>
      </c>
    </row>
    <row r="399" spans="1:17" x14ac:dyDescent="0.25">
      <c r="A399" s="22"/>
      <c r="B399" s="23"/>
      <c r="C399" s="22"/>
      <c r="D399" s="22"/>
      <c r="E399" s="22"/>
      <c r="F399" s="22"/>
      <c r="G399" s="22"/>
      <c r="H399" s="23"/>
      <c r="I399" s="22"/>
      <c r="J399" s="22"/>
      <c r="K399" s="4" t="str">
        <f>IF(A399="","",SUMIFS(Cash[Оплата],Cash[Документ],A399,Cash[Дата],"&lt;="&amp;ДатаОтчета))</f>
        <v/>
      </c>
      <c r="L399" s="4" t="str">
        <f t="shared" si="30"/>
        <v/>
      </c>
      <c r="M399" s="4" t="str">
        <f t="shared" si="31"/>
        <v/>
      </c>
      <c r="N399" s="4" t="str">
        <f t="shared" si="32"/>
        <v/>
      </c>
      <c r="O399" s="4" t="str">
        <f t="shared" si="33"/>
        <v/>
      </c>
      <c r="P399" s="4" t="str">
        <f>IF(A399="",IF(COUNTA(B399:J399)&gt;0,"НЕТ ID",""),IF(OR(NOT(ISNUMBER(E399)),AND(Форма="ИП",C399="Дивиденды"),COUNTIF(Docs[ID],A399)&lt;&gt;1,NOT(ISNUMBER(B399)),B399&lt;НачалоУчета,YEAR(B399)&lt;&gt;Год,NOT(ISNUMBER(H399)),H399&lt;B399,E399&lt;0,COUNTIF(Виды,C399)&lt;&gt;1,COUNTIF(Категории,D399)&lt;&gt;1,COUNTIF(Контрагенты,F399)&lt;&gt;1,COUNTIF(Проекты,G399)&lt;&gt;1,L399&lt;-0.01,AND(I399&lt;&gt;"Проведён",I399&lt;&gt;"Черновик")),"ОШИБКА","ОК"))</f>
        <v/>
      </c>
      <c r="Q399" s="4" t="str">
        <f t="shared" si="34"/>
        <v/>
      </c>
    </row>
    <row r="400" spans="1:17" x14ac:dyDescent="0.25">
      <c r="A400" s="22"/>
      <c r="B400" s="23"/>
      <c r="C400" s="22"/>
      <c r="D400" s="22"/>
      <c r="E400" s="22"/>
      <c r="F400" s="22"/>
      <c r="G400" s="22"/>
      <c r="H400" s="23"/>
      <c r="I400" s="22"/>
      <c r="J400" s="22"/>
      <c r="K400" s="4" t="str">
        <f>IF(A400="","",SUMIFS(Cash[Оплата],Cash[Документ],A400,Cash[Дата],"&lt;="&amp;ДатаОтчета))</f>
        <v/>
      </c>
      <c r="L400" s="4" t="str">
        <f t="shared" si="30"/>
        <v/>
      </c>
      <c r="M400" s="4" t="str">
        <f t="shared" si="31"/>
        <v/>
      </c>
      <c r="N400" s="4" t="str">
        <f t="shared" si="32"/>
        <v/>
      </c>
      <c r="O400" s="4" t="str">
        <f t="shared" si="33"/>
        <v/>
      </c>
      <c r="P400" s="4" t="str">
        <f>IF(A400="",IF(COUNTA(B400:J400)&gt;0,"НЕТ ID",""),IF(OR(NOT(ISNUMBER(E400)),AND(Форма="ИП",C400="Дивиденды"),COUNTIF(Docs[ID],A400)&lt;&gt;1,NOT(ISNUMBER(B400)),B400&lt;НачалоУчета,YEAR(B400)&lt;&gt;Год,NOT(ISNUMBER(H400)),H400&lt;B400,E400&lt;0,COUNTIF(Виды,C400)&lt;&gt;1,COUNTIF(Категории,D400)&lt;&gt;1,COUNTIF(Контрагенты,F400)&lt;&gt;1,COUNTIF(Проекты,G400)&lt;&gt;1,L400&lt;-0.01,AND(I400&lt;&gt;"Проведён",I400&lt;&gt;"Черновик")),"ОШИБКА","ОК"))</f>
        <v/>
      </c>
      <c r="Q400" s="4" t="str">
        <f t="shared" si="34"/>
        <v/>
      </c>
    </row>
    <row r="401" spans="1:17" x14ac:dyDescent="0.25">
      <c r="A401" s="22"/>
      <c r="B401" s="23"/>
      <c r="C401" s="22"/>
      <c r="D401" s="22"/>
      <c r="E401" s="22"/>
      <c r="F401" s="22"/>
      <c r="G401" s="22"/>
      <c r="H401" s="23"/>
      <c r="I401" s="22"/>
      <c r="J401" s="22"/>
      <c r="K401" s="4" t="str">
        <f>IF(A401="","",SUMIFS(Cash[Оплата],Cash[Документ],A401,Cash[Дата],"&lt;="&amp;ДатаОтчета))</f>
        <v/>
      </c>
      <c r="L401" s="4" t="str">
        <f t="shared" si="30"/>
        <v/>
      </c>
      <c r="M401" s="4" t="str">
        <f t="shared" si="31"/>
        <v/>
      </c>
      <c r="N401" s="4" t="str">
        <f t="shared" si="32"/>
        <v/>
      </c>
      <c r="O401" s="4" t="str">
        <f t="shared" si="33"/>
        <v/>
      </c>
      <c r="P401" s="4" t="str">
        <f>IF(A401="",IF(COUNTA(B401:J401)&gt;0,"НЕТ ID",""),IF(OR(NOT(ISNUMBER(E401)),AND(Форма="ИП",C401="Дивиденды"),COUNTIF(Docs[ID],A401)&lt;&gt;1,NOT(ISNUMBER(B401)),B401&lt;НачалоУчета,YEAR(B401)&lt;&gt;Год,NOT(ISNUMBER(H401)),H401&lt;B401,E401&lt;0,COUNTIF(Виды,C401)&lt;&gt;1,COUNTIF(Категории,D401)&lt;&gt;1,COUNTIF(Контрагенты,F401)&lt;&gt;1,COUNTIF(Проекты,G401)&lt;&gt;1,L401&lt;-0.01,AND(I401&lt;&gt;"Проведён",I401&lt;&gt;"Черновик")),"ОШИБКА","ОК"))</f>
        <v/>
      </c>
      <c r="Q401" s="4" t="str">
        <f t="shared" si="34"/>
        <v/>
      </c>
    </row>
    <row r="402" spans="1:17" x14ac:dyDescent="0.25">
      <c r="A402" s="22"/>
      <c r="B402" s="23"/>
      <c r="C402" s="22"/>
      <c r="D402" s="22"/>
      <c r="E402" s="22"/>
      <c r="F402" s="22"/>
      <c r="G402" s="22"/>
      <c r="H402" s="23"/>
      <c r="I402" s="22"/>
      <c r="J402" s="22"/>
      <c r="K402" s="4" t="str">
        <f>IF(A402="","",SUMIFS(Cash[Оплата],Cash[Документ],A402,Cash[Дата],"&lt;="&amp;ДатаОтчета))</f>
        <v/>
      </c>
      <c r="L402" s="4" t="str">
        <f t="shared" si="30"/>
        <v/>
      </c>
      <c r="M402" s="4" t="str">
        <f t="shared" si="31"/>
        <v/>
      </c>
      <c r="N402" s="4" t="str">
        <f t="shared" si="32"/>
        <v/>
      </c>
      <c r="O402" s="4" t="str">
        <f t="shared" si="33"/>
        <v/>
      </c>
      <c r="P402" s="4" t="str">
        <f>IF(A402="",IF(COUNTA(B402:J402)&gt;0,"НЕТ ID",""),IF(OR(NOT(ISNUMBER(E402)),AND(Форма="ИП",C402="Дивиденды"),COUNTIF(Docs[ID],A402)&lt;&gt;1,NOT(ISNUMBER(B402)),B402&lt;НачалоУчета,YEAR(B402)&lt;&gt;Год,NOT(ISNUMBER(H402)),H402&lt;B402,E402&lt;0,COUNTIF(Виды,C402)&lt;&gt;1,COUNTIF(Категории,D402)&lt;&gt;1,COUNTIF(Контрагенты,F402)&lt;&gt;1,COUNTIF(Проекты,G402)&lt;&gt;1,L402&lt;-0.01,AND(I402&lt;&gt;"Проведён",I402&lt;&gt;"Черновик")),"ОШИБКА","ОК"))</f>
        <v/>
      </c>
      <c r="Q402" s="4" t="str">
        <f t="shared" si="34"/>
        <v/>
      </c>
    </row>
    <row r="403" spans="1:17" x14ac:dyDescent="0.25">
      <c r="A403" s="22"/>
      <c r="B403" s="23"/>
      <c r="C403" s="22"/>
      <c r="D403" s="22"/>
      <c r="E403" s="22"/>
      <c r="F403" s="22"/>
      <c r="G403" s="22"/>
      <c r="H403" s="23"/>
      <c r="I403" s="22"/>
      <c r="J403" s="22"/>
      <c r="K403" s="4" t="str">
        <f>IF(A403="","",SUMIFS(Cash[Оплата],Cash[Документ],A403,Cash[Дата],"&lt;="&amp;ДатаОтчета))</f>
        <v/>
      </c>
      <c r="L403" s="4" t="str">
        <f t="shared" si="30"/>
        <v/>
      </c>
      <c r="M403" s="4" t="str">
        <f t="shared" si="31"/>
        <v/>
      </c>
      <c r="N403" s="4" t="str">
        <f t="shared" si="32"/>
        <v/>
      </c>
      <c r="O403" s="4" t="str">
        <f t="shared" si="33"/>
        <v/>
      </c>
      <c r="P403" s="4" t="str">
        <f>IF(A403="",IF(COUNTA(B403:J403)&gt;0,"НЕТ ID",""),IF(OR(NOT(ISNUMBER(E403)),AND(Форма="ИП",C403="Дивиденды"),COUNTIF(Docs[ID],A403)&lt;&gt;1,NOT(ISNUMBER(B403)),B403&lt;НачалоУчета,YEAR(B403)&lt;&gt;Год,NOT(ISNUMBER(H403)),H403&lt;B403,E403&lt;0,COUNTIF(Виды,C403)&lt;&gt;1,COUNTIF(Категории,D403)&lt;&gt;1,COUNTIF(Контрагенты,F403)&lt;&gt;1,COUNTIF(Проекты,G403)&lt;&gt;1,L403&lt;-0.01,AND(I403&lt;&gt;"Проведён",I403&lt;&gt;"Черновик")),"ОШИБКА","ОК"))</f>
        <v/>
      </c>
      <c r="Q403" s="4" t="str">
        <f t="shared" si="34"/>
        <v/>
      </c>
    </row>
    <row r="404" spans="1:17" x14ac:dyDescent="0.25">
      <c r="A404" s="22"/>
      <c r="B404" s="23"/>
      <c r="C404" s="22"/>
      <c r="D404" s="22"/>
      <c r="E404" s="22"/>
      <c r="F404" s="22"/>
      <c r="G404" s="22"/>
      <c r="H404" s="23"/>
      <c r="I404" s="22"/>
      <c r="J404" s="22"/>
      <c r="K404" s="4" t="str">
        <f>IF(A404="","",SUMIFS(Cash[Оплата],Cash[Документ],A404,Cash[Дата],"&lt;="&amp;ДатаОтчета))</f>
        <v/>
      </c>
      <c r="L404" s="4" t="str">
        <f t="shared" si="30"/>
        <v/>
      </c>
      <c r="M404" s="4" t="str">
        <f t="shared" si="31"/>
        <v/>
      </c>
      <c r="N404" s="4" t="str">
        <f t="shared" si="32"/>
        <v/>
      </c>
      <c r="O404" s="4" t="str">
        <f t="shared" si="33"/>
        <v/>
      </c>
      <c r="P404" s="4" t="str">
        <f>IF(A404="",IF(COUNTA(B404:J404)&gt;0,"НЕТ ID",""),IF(OR(NOT(ISNUMBER(E404)),AND(Форма="ИП",C404="Дивиденды"),COUNTIF(Docs[ID],A404)&lt;&gt;1,NOT(ISNUMBER(B404)),B404&lt;НачалоУчета,YEAR(B404)&lt;&gt;Год,NOT(ISNUMBER(H404)),H404&lt;B404,E404&lt;0,COUNTIF(Виды,C404)&lt;&gt;1,COUNTIF(Категории,D404)&lt;&gt;1,COUNTIF(Контрагенты,F404)&lt;&gt;1,COUNTIF(Проекты,G404)&lt;&gt;1,L404&lt;-0.01,AND(I404&lt;&gt;"Проведён",I404&lt;&gt;"Черновик")),"ОШИБКА","ОК"))</f>
        <v/>
      </c>
      <c r="Q404" s="4" t="str">
        <f t="shared" si="34"/>
        <v/>
      </c>
    </row>
    <row r="405" spans="1:17" x14ac:dyDescent="0.25">
      <c r="A405" s="22"/>
      <c r="B405" s="23"/>
      <c r="C405" s="22"/>
      <c r="D405" s="22"/>
      <c r="E405" s="22"/>
      <c r="F405" s="22"/>
      <c r="G405" s="22"/>
      <c r="H405" s="23"/>
      <c r="I405" s="22"/>
      <c r="J405" s="22"/>
      <c r="K405" s="4" t="str">
        <f>IF(A405="","",SUMIFS(Cash[Оплата],Cash[Документ],A405,Cash[Дата],"&lt;="&amp;ДатаОтчета))</f>
        <v/>
      </c>
      <c r="L405" s="4" t="str">
        <f t="shared" si="30"/>
        <v/>
      </c>
      <c r="M405" s="4" t="str">
        <f t="shared" si="31"/>
        <v/>
      </c>
      <c r="N405" s="4" t="str">
        <f t="shared" si="32"/>
        <v/>
      </c>
      <c r="O405" s="4" t="str">
        <f t="shared" si="33"/>
        <v/>
      </c>
      <c r="P405" s="4" t="str">
        <f>IF(A405="",IF(COUNTA(B405:J405)&gt;0,"НЕТ ID",""),IF(OR(NOT(ISNUMBER(E405)),AND(Форма="ИП",C405="Дивиденды"),COUNTIF(Docs[ID],A405)&lt;&gt;1,NOT(ISNUMBER(B405)),B405&lt;НачалоУчета,YEAR(B405)&lt;&gt;Год,NOT(ISNUMBER(H405)),H405&lt;B405,E405&lt;0,COUNTIF(Виды,C405)&lt;&gt;1,COUNTIF(Категории,D405)&lt;&gt;1,COUNTIF(Контрагенты,F405)&lt;&gt;1,COUNTIF(Проекты,G405)&lt;&gt;1,L405&lt;-0.01,AND(I405&lt;&gt;"Проведён",I405&lt;&gt;"Черновик")),"ОШИБКА","ОК"))</f>
        <v/>
      </c>
      <c r="Q405" s="4" t="str">
        <f t="shared" si="34"/>
        <v/>
      </c>
    </row>
    <row r="406" spans="1:17" x14ac:dyDescent="0.25">
      <c r="A406" s="22"/>
      <c r="B406" s="23"/>
      <c r="C406" s="22"/>
      <c r="D406" s="22"/>
      <c r="E406" s="22"/>
      <c r="F406" s="22"/>
      <c r="G406" s="22"/>
      <c r="H406" s="23"/>
      <c r="I406" s="22"/>
      <c r="J406" s="22"/>
      <c r="K406" s="4" t="str">
        <f>IF(A406="","",SUMIFS(Cash[Оплата],Cash[Документ],A406,Cash[Дата],"&lt;="&amp;ДатаОтчета))</f>
        <v/>
      </c>
      <c r="L406" s="4" t="str">
        <f t="shared" si="30"/>
        <v/>
      </c>
      <c r="M406" s="4" t="str">
        <f t="shared" si="31"/>
        <v/>
      </c>
      <c r="N406" s="4" t="str">
        <f t="shared" si="32"/>
        <v/>
      </c>
      <c r="O406" s="4" t="str">
        <f t="shared" si="33"/>
        <v/>
      </c>
      <c r="P406" s="4" t="str">
        <f>IF(A406="",IF(COUNTA(B406:J406)&gt;0,"НЕТ ID",""),IF(OR(NOT(ISNUMBER(E406)),AND(Форма="ИП",C406="Дивиденды"),COUNTIF(Docs[ID],A406)&lt;&gt;1,NOT(ISNUMBER(B406)),B406&lt;НачалоУчета,YEAR(B406)&lt;&gt;Год,NOT(ISNUMBER(H406)),H406&lt;B406,E406&lt;0,COUNTIF(Виды,C406)&lt;&gt;1,COUNTIF(Категории,D406)&lt;&gt;1,COUNTIF(Контрагенты,F406)&lt;&gt;1,COUNTIF(Проекты,G406)&lt;&gt;1,L406&lt;-0.01,AND(I406&lt;&gt;"Проведён",I406&lt;&gt;"Черновик")),"ОШИБКА","ОК"))</f>
        <v/>
      </c>
      <c r="Q406" s="4" t="str">
        <f t="shared" si="34"/>
        <v/>
      </c>
    </row>
    <row r="407" spans="1:17" x14ac:dyDescent="0.25">
      <c r="A407" s="22"/>
      <c r="B407" s="23"/>
      <c r="C407" s="22"/>
      <c r="D407" s="22"/>
      <c r="E407" s="22"/>
      <c r="F407" s="22"/>
      <c r="G407" s="22"/>
      <c r="H407" s="23"/>
      <c r="I407" s="22"/>
      <c r="J407" s="22"/>
      <c r="K407" s="4" t="str">
        <f>IF(A407="","",SUMIFS(Cash[Оплата],Cash[Документ],A407,Cash[Дата],"&lt;="&amp;ДатаОтчета))</f>
        <v/>
      </c>
      <c r="L407" s="4" t="str">
        <f t="shared" si="30"/>
        <v/>
      </c>
      <c r="M407" s="4" t="str">
        <f t="shared" si="31"/>
        <v/>
      </c>
      <c r="N407" s="4" t="str">
        <f t="shared" si="32"/>
        <v/>
      </c>
      <c r="O407" s="4" t="str">
        <f t="shared" si="33"/>
        <v/>
      </c>
      <c r="P407" s="4" t="str">
        <f>IF(A407="",IF(COUNTA(B407:J407)&gt;0,"НЕТ ID",""),IF(OR(NOT(ISNUMBER(E407)),AND(Форма="ИП",C407="Дивиденды"),COUNTIF(Docs[ID],A407)&lt;&gt;1,NOT(ISNUMBER(B407)),B407&lt;НачалоУчета,YEAR(B407)&lt;&gt;Год,NOT(ISNUMBER(H407)),H407&lt;B407,E407&lt;0,COUNTIF(Виды,C407)&lt;&gt;1,COUNTIF(Категории,D407)&lt;&gt;1,COUNTIF(Контрагенты,F407)&lt;&gt;1,COUNTIF(Проекты,G407)&lt;&gt;1,L407&lt;-0.01,AND(I407&lt;&gt;"Проведён",I407&lt;&gt;"Черновик")),"ОШИБКА","ОК"))</f>
        <v/>
      </c>
      <c r="Q407" s="4" t="str">
        <f t="shared" si="34"/>
        <v/>
      </c>
    </row>
    <row r="408" spans="1:17" x14ac:dyDescent="0.25">
      <c r="A408" s="22"/>
      <c r="B408" s="23"/>
      <c r="C408" s="22"/>
      <c r="D408" s="22"/>
      <c r="E408" s="22"/>
      <c r="F408" s="22"/>
      <c r="G408" s="22"/>
      <c r="H408" s="23"/>
      <c r="I408" s="22"/>
      <c r="J408" s="22"/>
      <c r="K408" s="4" t="str">
        <f>IF(A408="","",SUMIFS(Cash[Оплата],Cash[Документ],A408,Cash[Дата],"&lt;="&amp;ДатаОтчета))</f>
        <v/>
      </c>
      <c r="L408" s="4" t="str">
        <f t="shared" si="30"/>
        <v/>
      </c>
      <c r="M408" s="4" t="str">
        <f t="shared" si="31"/>
        <v/>
      </c>
      <c r="N408" s="4" t="str">
        <f t="shared" si="32"/>
        <v/>
      </c>
      <c r="O408" s="4" t="str">
        <f t="shared" si="33"/>
        <v/>
      </c>
      <c r="P408" s="4" t="str">
        <f>IF(A408="",IF(COUNTA(B408:J408)&gt;0,"НЕТ ID",""),IF(OR(NOT(ISNUMBER(E408)),AND(Форма="ИП",C408="Дивиденды"),COUNTIF(Docs[ID],A408)&lt;&gt;1,NOT(ISNUMBER(B408)),B408&lt;НачалоУчета,YEAR(B408)&lt;&gt;Год,NOT(ISNUMBER(H408)),H408&lt;B408,E408&lt;0,COUNTIF(Виды,C408)&lt;&gt;1,COUNTIF(Категории,D408)&lt;&gt;1,COUNTIF(Контрагенты,F408)&lt;&gt;1,COUNTIF(Проекты,G408)&lt;&gt;1,L408&lt;-0.01,AND(I408&lt;&gt;"Проведён",I408&lt;&gt;"Черновик")),"ОШИБКА","ОК"))</f>
        <v/>
      </c>
      <c r="Q408" s="4" t="str">
        <f t="shared" si="34"/>
        <v/>
      </c>
    </row>
    <row r="409" spans="1:17" x14ac:dyDescent="0.25">
      <c r="A409" s="22"/>
      <c r="B409" s="23"/>
      <c r="C409" s="22"/>
      <c r="D409" s="22"/>
      <c r="E409" s="22"/>
      <c r="F409" s="22"/>
      <c r="G409" s="22"/>
      <c r="H409" s="23"/>
      <c r="I409" s="22"/>
      <c r="J409" s="22"/>
      <c r="K409" s="4" t="str">
        <f>IF(A409="","",SUMIFS(Cash[Оплата],Cash[Документ],A409,Cash[Дата],"&lt;="&amp;ДатаОтчета))</f>
        <v/>
      </c>
      <c r="L409" s="4" t="str">
        <f t="shared" si="30"/>
        <v/>
      </c>
      <c r="M409" s="4" t="str">
        <f t="shared" si="31"/>
        <v/>
      </c>
      <c r="N409" s="4" t="str">
        <f t="shared" si="32"/>
        <v/>
      </c>
      <c r="O409" s="4" t="str">
        <f t="shared" si="33"/>
        <v/>
      </c>
      <c r="P409" s="4" t="str">
        <f>IF(A409="",IF(COUNTA(B409:J409)&gt;0,"НЕТ ID",""),IF(OR(NOT(ISNUMBER(E409)),AND(Форма="ИП",C409="Дивиденды"),COUNTIF(Docs[ID],A409)&lt;&gt;1,NOT(ISNUMBER(B409)),B409&lt;НачалоУчета,YEAR(B409)&lt;&gt;Год,NOT(ISNUMBER(H409)),H409&lt;B409,E409&lt;0,COUNTIF(Виды,C409)&lt;&gt;1,COUNTIF(Категории,D409)&lt;&gt;1,COUNTIF(Контрагенты,F409)&lt;&gt;1,COUNTIF(Проекты,G409)&lt;&gt;1,L409&lt;-0.01,AND(I409&lt;&gt;"Проведён",I409&lt;&gt;"Черновик")),"ОШИБКА","ОК"))</f>
        <v/>
      </c>
      <c r="Q409" s="4" t="str">
        <f t="shared" si="34"/>
        <v/>
      </c>
    </row>
    <row r="410" spans="1:17" x14ac:dyDescent="0.25">
      <c r="A410" s="22"/>
      <c r="B410" s="23"/>
      <c r="C410" s="22"/>
      <c r="D410" s="22"/>
      <c r="E410" s="22"/>
      <c r="F410" s="22"/>
      <c r="G410" s="22"/>
      <c r="H410" s="23"/>
      <c r="I410" s="22"/>
      <c r="J410" s="22"/>
      <c r="K410" s="4" t="str">
        <f>IF(A410="","",SUMIFS(Cash[Оплата],Cash[Документ],A410,Cash[Дата],"&lt;="&amp;ДатаОтчета))</f>
        <v/>
      </c>
      <c r="L410" s="4" t="str">
        <f t="shared" si="30"/>
        <v/>
      </c>
      <c r="M410" s="4" t="str">
        <f t="shared" si="31"/>
        <v/>
      </c>
      <c r="N410" s="4" t="str">
        <f t="shared" si="32"/>
        <v/>
      </c>
      <c r="O410" s="4" t="str">
        <f t="shared" si="33"/>
        <v/>
      </c>
      <c r="P410" s="4" t="str">
        <f>IF(A410="",IF(COUNTA(B410:J410)&gt;0,"НЕТ ID",""),IF(OR(NOT(ISNUMBER(E410)),AND(Форма="ИП",C410="Дивиденды"),COUNTIF(Docs[ID],A410)&lt;&gt;1,NOT(ISNUMBER(B410)),B410&lt;НачалоУчета,YEAR(B410)&lt;&gt;Год,NOT(ISNUMBER(H410)),H410&lt;B410,E410&lt;0,COUNTIF(Виды,C410)&lt;&gt;1,COUNTIF(Категории,D410)&lt;&gt;1,COUNTIF(Контрагенты,F410)&lt;&gt;1,COUNTIF(Проекты,G410)&lt;&gt;1,L410&lt;-0.01,AND(I410&lt;&gt;"Проведён",I410&lt;&gt;"Черновик")),"ОШИБКА","ОК"))</f>
        <v/>
      </c>
      <c r="Q410" s="4" t="str">
        <f t="shared" si="34"/>
        <v/>
      </c>
    </row>
    <row r="411" spans="1:17" x14ac:dyDescent="0.25">
      <c r="A411" s="22"/>
      <c r="B411" s="23"/>
      <c r="C411" s="22"/>
      <c r="D411" s="22"/>
      <c r="E411" s="22"/>
      <c r="F411" s="22"/>
      <c r="G411" s="22"/>
      <c r="H411" s="23"/>
      <c r="I411" s="22"/>
      <c r="J411" s="22"/>
      <c r="K411" s="4" t="str">
        <f>IF(A411="","",SUMIFS(Cash[Оплата],Cash[Документ],A411,Cash[Дата],"&lt;="&amp;ДатаОтчета))</f>
        <v/>
      </c>
      <c r="L411" s="4" t="str">
        <f t="shared" si="30"/>
        <v/>
      </c>
      <c r="M411" s="4" t="str">
        <f t="shared" si="31"/>
        <v/>
      </c>
      <c r="N411" s="4" t="str">
        <f t="shared" si="32"/>
        <v/>
      </c>
      <c r="O411" s="4" t="str">
        <f t="shared" si="33"/>
        <v/>
      </c>
      <c r="P411" s="4" t="str">
        <f>IF(A411="",IF(COUNTA(B411:J411)&gt;0,"НЕТ ID",""),IF(OR(NOT(ISNUMBER(E411)),AND(Форма="ИП",C411="Дивиденды"),COUNTIF(Docs[ID],A411)&lt;&gt;1,NOT(ISNUMBER(B411)),B411&lt;НачалоУчета,YEAR(B411)&lt;&gt;Год,NOT(ISNUMBER(H411)),H411&lt;B411,E411&lt;0,COUNTIF(Виды,C411)&lt;&gt;1,COUNTIF(Категории,D411)&lt;&gt;1,COUNTIF(Контрагенты,F411)&lt;&gt;1,COUNTIF(Проекты,G411)&lt;&gt;1,L411&lt;-0.01,AND(I411&lt;&gt;"Проведён",I411&lt;&gt;"Черновик")),"ОШИБКА","ОК"))</f>
        <v/>
      </c>
      <c r="Q411" s="4" t="str">
        <f t="shared" si="34"/>
        <v/>
      </c>
    </row>
    <row r="412" spans="1:17" x14ac:dyDescent="0.25">
      <c r="A412" s="22"/>
      <c r="B412" s="23"/>
      <c r="C412" s="22"/>
      <c r="D412" s="22"/>
      <c r="E412" s="22"/>
      <c r="F412" s="22"/>
      <c r="G412" s="22"/>
      <c r="H412" s="23"/>
      <c r="I412" s="22"/>
      <c r="J412" s="22"/>
      <c r="K412" s="4" t="str">
        <f>IF(A412="","",SUMIFS(Cash[Оплата],Cash[Документ],A412,Cash[Дата],"&lt;="&amp;ДатаОтчета))</f>
        <v/>
      </c>
      <c r="L412" s="4" t="str">
        <f t="shared" si="30"/>
        <v/>
      </c>
      <c r="M412" s="4" t="str">
        <f t="shared" si="31"/>
        <v/>
      </c>
      <c r="N412" s="4" t="str">
        <f t="shared" si="32"/>
        <v/>
      </c>
      <c r="O412" s="4" t="str">
        <f t="shared" si="33"/>
        <v/>
      </c>
      <c r="P412" s="4" t="str">
        <f>IF(A412="",IF(COUNTA(B412:J412)&gt;0,"НЕТ ID",""),IF(OR(NOT(ISNUMBER(E412)),AND(Форма="ИП",C412="Дивиденды"),COUNTIF(Docs[ID],A412)&lt;&gt;1,NOT(ISNUMBER(B412)),B412&lt;НачалоУчета,YEAR(B412)&lt;&gt;Год,NOT(ISNUMBER(H412)),H412&lt;B412,E412&lt;0,COUNTIF(Виды,C412)&lt;&gt;1,COUNTIF(Категории,D412)&lt;&gt;1,COUNTIF(Контрагенты,F412)&lt;&gt;1,COUNTIF(Проекты,G412)&lt;&gt;1,L412&lt;-0.01,AND(I412&lt;&gt;"Проведён",I412&lt;&gt;"Черновик")),"ОШИБКА","ОК"))</f>
        <v/>
      </c>
      <c r="Q412" s="4" t="str">
        <f t="shared" si="34"/>
        <v/>
      </c>
    </row>
    <row r="413" spans="1:17" x14ac:dyDescent="0.25">
      <c r="A413" s="22"/>
      <c r="B413" s="23"/>
      <c r="C413" s="22"/>
      <c r="D413" s="22"/>
      <c r="E413" s="22"/>
      <c r="F413" s="22"/>
      <c r="G413" s="22"/>
      <c r="H413" s="23"/>
      <c r="I413" s="22"/>
      <c r="J413" s="22"/>
      <c r="K413" s="4" t="str">
        <f>IF(A413="","",SUMIFS(Cash[Оплата],Cash[Документ],A413,Cash[Дата],"&lt;="&amp;ДатаОтчета))</f>
        <v/>
      </c>
      <c r="L413" s="4" t="str">
        <f t="shared" si="30"/>
        <v/>
      </c>
      <c r="M413" s="4" t="str">
        <f t="shared" si="31"/>
        <v/>
      </c>
      <c r="N413" s="4" t="str">
        <f t="shared" si="32"/>
        <v/>
      </c>
      <c r="O413" s="4" t="str">
        <f t="shared" si="33"/>
        <v/>
      </c>
      <c r="P413" s="4" t="str">
        <f>IF(A413="",IF(COUNTA(B413:J413)&gt;0,"НЕТ ID",""),IF(OR(NOT(ISNUMBER(E413)),AND(Форма="ИП",C413="Дивиденды"),COUNTIF(Docs[ID],A413)&lt;&gt;1,NOT(ISNUMBER(B413)),B413&lt;НачалоУчета,YEAR(B413)&lt;&gt;Год,NOT(ISNUMBER(H413)),H413&lt;B413,E413&lt;0,COUNTIF(Виды,C413)&lt;&gt;1,COUNTIF(Категории,D413)&lt;&gt;1,COUNTIF(Контрагенты,F413)&lt;&gt;1,COUNTIF(Проекты,G413)&lt;&gt;1,L413&lt;-0.01,AND(I413&lt;&gt;"Проведён",I413&lt;&gt;"Черновик")),"ОШИБКА","ОК"))</f>
        <v/>
      </c>
      <c r="Q413" s="4" t="str">
        <f t="shared" si="34"/>
        <v/>
      </c>
    </row>
    <row r="414" spans="1:17" x14ac:dyDescent="0.25">
      <c r="A414" s="22"/>
      <c r="B414" s="23"/>
      <c r="C414" s="22"/>
      <c r="D414" s="22"/>
      <c r="E414" s="22"/>
      <c r="F414" s="22"/>
      <c r="G414" s="22"/>
      <c r="H414" s="23"/>
      <c r="I414" s="22"/>
      <c r="J414" s="22"/>
      <c r="K414" s="4" t="str">
        <f>IF(A414="","",SUMIFS(Cash[Оплата],Cash[Документ],A414,Cash[Дата],"&lt;="&amp;ДатаОтчета))</f>
        <v/>
      </c>
      <c r="L414" s="4" t="str">
        <f t="shared" si="30"/>
        <v/>
      </c>
      <c r="M414" s="4" t="str">
        <f t="shared" si="31"/>
        <v/>
      </c>
      <c r="N414" s="4" t="str">
        <f t="shared" si="32"/>
        <v/>
      </c>
      <c r="O414" s="4" t="str">
        <f t="shared" si="33"/>
        <v/>
      </c>
      <c r="P414" s="4" t="str">
        <f>IF(A414="",IF(COUNTA(B414:J414)&gt;0,"НЕТ ID",""),IF(OR(NOT(ISNUMBER(E414)),AND(Форма="ИП",C414="Дивиденды"),COUNTIF(Docs[ID],A414)&lt;&gt;1,NOT(ISNUMBER(B414)),B414&lt;НачалоУчета,YEAR(B414)&lt;&gt;Год,NOT(ISNUMBER(H414)),H414&lt;B414,E414&lt;0,COUNTIF(Виды,C414)&lt;&gt;1,COUNTIF(Категории,D414)&lt;&gt;1,COUNTIF(Контрагенты,F414)&lt;&gt;1,COUNTIF(Проекты,G414)&lt;&gt;1,L414&lt;-0.01,AND(I414&lt;&gt;"Проведён",I414&lt;&gt;"Черновик")),"ОШИБКА","ОК"))</f>
        <v/>
      </c>
      <c r="Q414" s="4" t="str">
        <f t="shared" si="34"/>
        <v/>
      </c>
    </row>
    <row r="415" spans="1:17" x14ac:dyDescent="0.25">
      <c r="A415" s="22"/>
      <c r="B415" s="23"/>
      <c r="C415" s="22"/>
      <c r="D415" s="22"/>
      <c r="E415" s="22"/>
      <c r="F415" s="22"/>
      <c r="G415" s="22"/>
      <c r="H415" s="23"/>
      <c r="I415" s="22"/>
      <c r="J415" s="22"/>
      <c r="K415" s="4" t="str">
        <f>IF(A415="","",SUMIFS(Cash[Оплата],Cash[Документ],A415,Cash[Дата],"&lt;="&amp;ДатаОтчета))</f>
        <v/>
      </c>
      <c r="L415" s="4" t="str">
        <f t="shared" si="30"/>
        <v/>
      </c>
      <c r="M415" s="4" t="str">
        <f t="shared" si="31"/>
        <v/>
      </c>
      <c r="N415" s="4" t="str">
        <f t="shared" si="32"/>
        <v/>
      </c>
      <c r="O415" s="4" t="str">
        <f t="shared" si="33"/>
        <v/>
      </c>
      <c r="P415" s="4" t="str">
        <f>IF(A415="",IF(COUNTA(B415:J415)&gt;0,"НЕТ ID",""),IF(OR(NOT(ISNUMBER(E415)),AND(Форма="ИП",C415="Дивиденды"),COUNTIF(Docs[ID],A415)&lt;&gt;1,NOT(ISNUMBER(B415)),B415&lt;НачалоУчета,YEAR(B415)&lt;&gt;Год,NOT(ISNUMBER(H415)),H415&lt;B415,E415&lt;0,COUNTIF(Виды,C415)&lt;&gt;1,COUNTIF(Категории,D415)&lt;&gt;1,COUNTIF(Контрагенты,F415)&lt;&gt;1,COUNTIF(Проекты,G415)&lt;&gt;1,L415&lt;-0.01,AND(I415&lt;&gt;"Проведён",I415&lt;&gt;"Черновик")),"ОШИБКА","ОК"))</f>
        <v/>
      </c>
      <c r="Q415" s="4" t="str">
        <f t="shared" si="34"/>
        <v/>
      </c>
    </row>
    <row r="416" spans="1:17" x14ac:dyDescent="0.25">
      <c r="A416" s="22"/>
      <c r="B416" s="23"/>
      <c r="C416" s="22"/>
      <c r="D416" s="22"/>
      <c r="E416" s="22"/>
      <c r="F416" s="22"/>
      <c r="G416" s="22"/>
      <c r="H416" s="23"/>
      <c r="I416" s="22"/>
      <c r="J416" s="22"/>
      <c r="K416" s="4" t="str">
        <f>IF(A416="","",SUMIFS(Cash[Оплата],Cash[Документ],A416,Cash[Дата],"&lt;="&amp;ДатаОтчета))</f>
        <v/>
      </c>
      <c r="L416" s="4" t="str">
        <f t="shared" si="30"/>
        <v/>
      </c>
      <c r="M416" s="4" t="str">
        <f t="shared" si="31"/>
        <v/>
      </c>
      <c r="N416" s="4" t="str">
        <f t="shared" si="32"/>
        <v/>
      </c>
      <c r="O416" s="4" t="str">
        <f t="shared" si="33"/>
        <v/>
      </c>
      <c r="P416" s="4" t="str">
        <f>IF(A416="",IF(COUNTA(B416:J416)&gt;0,"НЕТ ID",""),IF(OR(NOT(ISNUMBER(E416)),AND(Форма="ИП",C416="Дивиденды"),COUNTIF(Docs[ID],A416)&lt;&gt;1,NOT(ISNUMBER(B416)),B416&lt;НачалоУчета,YEAR(B416)&lt;&gt;Год,NOT(ISNUMBER(H416)),H416&lt;B416,E416&lt;0,COUNTIF(Виды,C416)&lt;&gt;1,COUNTIF(Категории,D416)&lt;&gt;1,COUNTIF(Контрагенты,F416)&lt;&gt;1,COUNTIF(Проекты,G416)&lt;&gt;1,L416&lt;-0.01,AND(I416&lt;&gt;"Проведён",I416&lt;&gt;"Черновик")),"ОШИБКА","ОК"))</f>
        <v/>
      </c>
      <c r="Q416" s="4" t="str">
        <f t="shared" si="34"/>
        <v/>
      </c>
    </row>
    <row r="417" spans="1:17" x14ac:dyDescent="0.25">
      <c r="A417" s="22"/>
      <c r="B417" s="23"/>
      <c r="C417" s="22"/>
      <c r="D417" s="22"/>
      <c r="E417" s="22"/>
      <c r="F417" s="22"/>
      <c r="G417" s="22"/>
      <c r="H417" s="23"/>
      <c r="I417" s="22"/>
      <c r="J417" s="22"/>
      <c r="K417" s="4" t="str">
        <f>IF(A417="","",SUMIFS(Cash[Оплата],Cash[Документ],A417,Cash[Дата],"&lt;="&amp;ДатаОтчета))</f>
        <v/>
      </c>
      <c r="L417" s="4" t="str">
        <f t="shared" si="30"/>
        <v/>
      </c>
      <c r="M417" s="4" t="str">
        <f t="shared" si="31"/>
        <v/>
      </c>
      <c r="N417" s="4" t="str">
        <f t="shared" si="32"/>
        <v/>
      </c>
      <c r="O417" s="4" t="str">
        <f t="shared" si="33"/>
        <v/>
      </c>
      <c r="P417" s="4" t="str">
        <f>IF(A417="",IF(COUNTA(B417:J417)&gt;0,"НЕТ ID",""),IF(OR(NOT(ISNUMBER(E417)),AND(Форма="ИП",C417="Дивиденды"),COUNTIF(Docs[ID],A417)&lt;&gt;1,NOT(ISNUMBER(B417)),B417&lt;НачалоУчета,YEAR(B417)&lt;&gt;Год,NOT(ISNUMBER(H417)),H417&lt;B417,E417&lt;0,COUNTIF(Виды,C417)&lt;&gt;1,COUNTIF(Категории,D417)&lt;&gt;1,COUNTIF(Контрагенты,F417)&lt;&gt;1,COUNTIF(Проекты,G417)&lt;&gt;1,L417&lt;-0.01,AND(I417&lt;&gt;"Проведён",I417&lt;&gt;"Черновик")),"ОШИБКА","ОК"))</f>
        <v/>
      </c>
      <c r="Q417" s="4" t="str">
        <f t="shared" si="34"/>
        <v/>
      </c>
    </row>
    <row r="418" spans="1:17" x14ac:dyDescent="0.25">
      <c r="A418" s="22"/>
      <c r="B418" s="23"/>
      <c r="C418" s="22"/>
      <c r="D418" s="22"/>
      <c r="E418" s="22"/>
      <c r="F418" s="22"/>
      <c r="G418" s="22"/>
      <c r="H418" s="23"/>
      <c r="I418" s="22"/>
      <c r="J418" s="22"/>
      <c r="K418" s="4" t="str">
        <f>IF(A418="","",SUMIFS(Cash[Оплата],Cash[Документ],A418,Cash[Дата],"&lt;="&amp;ДатаОтчета))</f>
        <v/>
      </c>
      <c r="L418" s="4" t="str">
        <f t="shared" si="30"/>
        <v/>
      </c>
      <c r="M418" s="4" t="str">
        <f t="shared" si="31"/>
        <v/>
      </c>
      <c r="N418" s="4" t="str">
        <f t="shared" si="32"/>
        <v/>
      </c>
      <c r="O418" s="4" t="str">
        <f t="shared" si="33"/>
        <v/>
      </c>
      <c r="P418" s="4" t="str">
        <f>IF(A418="",IF(COUNTA(B418:J418)&gt;0,"НЕТ ID",""),IF(OR(NOT(ISNUMBER(E418)),AND(Форма="ИП",C418="Дивиденды"),COUNTIF(Docs[ID],A418)&lt;&gt;1,NOT(ISNUMBER(B418)),B418&lt;НачалоУчета,YEAR(B418)&lt;&gt;Год,NOT(ISNUMBER(H418)),H418&lt;B418,E418&lt;0,COUNTIF(Виды,C418)&lt;&gt;1,COUNTIF(Категории,D418)&lt;&gt;1,COUNTIF(Контрагенты,F418)&lt;&gt;1,COUNTIF(Проекты,G418)&lt;&gt;1,L418&lt;-0.01,AND(I418&lt;&gt;"Проведён",I418&lt;&gt;"Черновик")),"ОШИБКА","ОК"))</f>
        <v/>
      </c>
      <c r="Q418" s="4" t="str">
        <f t="shared" si="34"/>
        <v/>
      </c>
    </row>
    <row r="419" spans="1:17" x14ac:dyDescent="0.25">
      <c r="A419" s="22"/>
      <c r="B419" s="23"/>
      <c r="C419" s="22"/>
      <c r="D419" s="22"/>
      <c r="E419" s="22"/>
      <c r="F419" s="22"/>
      <c r="G419" s="22"/>
      <c r="H419" s="23"/>
      <c r="I419" s="22"/>
      <c r="J419" s="22"/>
      <c r="K419" s="4" t="str">
        <f>IF(A419="","",SUMIFS(Cash[Оплата],Cash[Документ],A419,Cash[Дата],"&lt;="&amp;ДатаОтчета))</f>
        <v/>
      </c>
      <c r="L419" s="4" t="str">
        <f t="shared" si="30"/>
        <v/>
      </c>
      <c r="M419" s="4" t="str">
        <f t="shared" si="31"/>
        <v/>
      </c>
      <c r="N419" s="4" t="str">
        <f t="shared" si="32"/>
        <v/>
      </c>
      <c r="O419" s="4" t="str">
        <f t="shared" si="33"/>
        <v/>
      </c>
      <c r="P419" s="4" t="str">
        <f>IF(A419="",IF(COUNTA(B419:J419)&gt;0,"НЕТ ID",""),IF(OR(NOT(ISNUMBER(E419)),AND(Форма="ИП",C419="Дивиденды"),COUNTIF(Docs[ID],A419)&lt;&gt;1,NOT(ISNUMBER(B419)),B419&lt;НачалоУчета,YEAR(B419)&lt;&gt;Год,NOT(ISNUMBER(H419)),H419&lt;B419,E419&lt;0,COUNTIF(Виды,C419)&lt;&gt;1,COUNTIF(Категории,D419)&lt;&gt;1,COUNTIF(Контрагенты,F419)&lt;&gt;1,COUNTIF(Проекты,G419)&lt;&gt;1,L419&lt;-0.01,AND(I419&lt;&gt;"Проведён",I419&lt;&gt;"Черновик")),"ОШИБКА","ОК"))</f>
        <v/>
      </c>
      <c r="Q419" s="4" t="str">
        <f t="shared" si="34"/>
        <v/>
      </c>
    </row>
    <row r="420" spans="1:17" x14ac:dyDescent="0.25">
      <c r="A420" s="22"/>
      <c r="B420" s="23"/>
      <c r="C420" s="22"/>
      <c r="D420" s="22"/>
      <c r="E420" s="22"/>
      <c r="F420" s="22"/>
      <c r="G420" s="22"/>
      <c r="H420" s="23"/>
      <c r="I420" s="22"/>
      <c r="J420" s="22"/>
      <c r="K420" s="4" t="str">
        <f>IF(A420="","",SUMIFS(Cash[Оплата],Cash[Документ],A420,Cash[Дата],"&lt;="&amp;ДатаОтчета))</f>
        <v/>
      </c>
      <c r="L420" s="4" t="str">
        <f t="shared" si="30"/>
        <v/>
      </c>
      <c r="M420" s="4" t="str">
        <f t="shared" si="31"/>
        <v/>
      </c>
      <c r="N420" s="4" t="str">
        <f t="shared" si="32"/>
        <v/>
      </c>
      <c r="O420" s="4" t="str">
        <f t="shared" si="33"/>
        <v/>
      </c>
      <c r="P420" s="4" t="str">
        <f>IF(A420="",IF(COUNTA(B420:J420)&gt;0,"НЕТ ID",""),IF(OR(NOT(ISNUMBER(E420)),AND(Форма="ИП",C420="Дивиденды"),COUNTIF(Docs[ID],A420)&lt;&gt;1,NOT(ISNUMBER(B420)),B420&lt;НачалоУчета,YEAR(B420)&lt;&gt;Год,NOT(ISNUMBER(H420)),H420&lt;B420,E420&lt;0,COUNTIF(Виды,C420)&lt;&gt;1,COUNTIF(Категории,D420)&lt;&gt;1,COUNTIF(Контрагенты,F420)&lt;&gt;1,COUNTIF(Проекты,G420)&lt;&gt;1,L420&lt;-0.01,AND(I420&lt;&gt;"Проведён",I420&lt;&gt;"Черновик")),"ОШИБКА","ОК"))</f>
        <v/>
      </c>
      <c r="Q420" s="4" t="str">
        <f t="shared" si="34"/>
        <v/>
      </c>
    </row>
    <row r="421" spans="1:17" x14ac:dyDescent="0.25">
      <c r="A421" s="22"/>
      <c r="B421" s="23"/>
      <c r="C421" s="22"/>
      <c r="D421" s="22"/>
      <c r="E421" s="22"/>
      <c r="F421" s="22"/>
      <c r="G421" s="22"/>
      <c r="H421" s="23"/>
      <c r="I421" s="22"/>
      <c r="J421" s="22"/>
      <c r="K421" s="4" t="str">
        <f>IF(A421="","",SUMIFS(Cash[Оплата],Cash[Документ],A421,Cash[Дата],"&lt;="&amp;ДатаОтчета))</f>
        <v/>
      </c>
      <c r="L421" s="4" t="str">
        <f t="shared" si="30"/>
        <v/>
      </c>
      <c r="M421" s="4" t="str">
        <f t="shared" si="31"/>
        <v/>
      </c>
      <c r="N421" s="4" t="str">
        <f t="shared" si="32"/>
        <v/>
      </c>
      <c r="O421" s="4" t="str">
        <f t="shared" si="33"/>
        <v/>
      </c>
      <c r="P421" s="4" t="str">
        <f>IF(A421="",IF(COUNTA(B421:J421)&gt;0,"НЕТ ID",""),IF(OR(NOT(ISNUMBER(E421)),AND(Форма="ИП",C421="Дивиденды"),COUNTIF(Docs[ID],A421)&lt;&gt;1,NOT(ISNUMBER(B421)),B421&lt;НачалоУчета,YEAR(B421)&lt;&gt;Год,NOT(ISNUMBER(H421)),H421&lt;B421,E421&lt;0,COUNTIF(Виды,C421)&lt;&gt;1,COUNTIF(Категории,D421)&lt;&gt;1,COUNTIF(Контрагенты,F421)&lt;&gt;1,COUNTIF(Проекты,G421)&lt;&gt;1,L421&lt;-0.01,AND(I421&lt;&gt;"Проведён",I421&lt;&gt;"Черновик")),"ОШИБКА","ОК"))</f>
        <v/>
      </c>
      <c r="Q421" s="4" t="str">
        <f t="shared" si="34"/>
        <v/>
      </c>
    </row>
    <row r="422" spans="1:17" x14ac:dyDescent="0.25">
      <c r="A422" s="22"/>
      <c r="B422" s="23"/>
      <c r="C422" s="22"/>
      <c r="D422" s="22"/>
      <c r="E422" s="22"/>
      <c r="F422" s="22"/>
      <c r="G422" s="22"/>
      <c r="H422" s="23"/>
      <c r="I422" s="22"/>
      <c r="J422" s="22"/>
      <c r="K422" s="4" t="str">
        <f>IF(A422="","",SUMIFS(Cash[Оплата],Cash[Документ],A422,Cash[Дата],"&lt;="&amp;ДатаОтчета))</f>
        <v/>
      </c>
      <c r="L422" s="4" t="str">
        <f t="shared" si="30"/>
        <v/>
      </c>
      <c r="M422" s="4" t="str">
        <f t="shared" si="31"/>
        <v/>
      </c>
      <c r="N422" s="4" t="str">
        <f t="shared" si="32"/>
        <v/>
      </c>
      <c r="O422" s="4" t="str">
        <f t="shared" si="33"/>
        <v/>
      </c>
      <c r="P422" s="4" t="str">
        <f>IF(A422="",IF(COUNTA(B422:J422)&gt;0,"НЕТ ID",""),IF(OR(NOT(ISNUMBER(E422)),AND(Форма="ИП",C422="Дивиденды"),COUNTIF(Docs[ID],A422)&lt;&gt;1,NOT(ISNUMBER(B422)),B422&lt;НачалоУчета,YEAR(B422)&lt;&gt;Год,NOT(ISNUMBER(H422)),H422&lt;B422,E422&lt;0,COUNTIF(Виды,C422)&lt;&gt;1,COUNTIF(Категории,D422)&lt;&gt;1,COUNTIF(Контрагенты,F422)&lt;&gt;1,COUNTIF(Проекты,G422)&lt;&gt;1,L422&lt;-0.01,AND(I422&lt;&gt;"Проведён",I422&lt;&gt;"Черновик")),"ОШИБКА","ОК"))</f>
        <v/>
      </c>
      <c r="Q422" s="4" t="str">
        <f t="shared" si="34"/>
        <v/>
      </c>
    </row>
    <row r="423" spans="1:17" x14ac:dyDescent="0.25">
      <c r="A423" s="22"/>
      <c r="B423" s="23"/>
      <c r="C423" s="22"/>
      <c r="D423" s="22"/>
      <c r="E423" s="22"/>
      <c r="F423" s="22"/>
      <c r="G423" s="22"/>
      <c r="H423" s="23"/>
      <c r="I423" s="22"/>
      <c r="J423" s="22"/>
      <c r="K423" s="4" t="str">
        <f>IF(A423="","",SUMIFS(Cash[Оплата],Cash[Документ],A423,Cash[Дата],"&lt;="&amp;ДатаОтчета))</f>
        <v/>
      </c>
      <c r="L423" s="4" t="str">
        <f t="shared" si="30"/>
        <v/>
      </c>
      <c r="M423" s="4" t="str">
        <f t="shared" si="31"/>
        <v/>
      </c>
      <c r="N423" s="4" t="str">
        <f t="shared" si="32"/>
        <v/>
      </c>
      <c r="O423" s="4" t="str">
        <f t="shared" si="33"/>
        <v/>
      </c>
      <c r="P423" s="4" t="str">
        <f>IF(A423="",IF(COUNTA(B423:J423)&gt;0,"НЕТ ID",""),IF(OR(NOT(ISNUMBER(E423)),AND(Форма="ИП",C423="Дивиденды"),COUNTIF(Docs[ID],A423)&lt;&gt;1,NOT(ISNUMBER(B423)),B423&lt;НачалоУчета,YEAR(B423)&lt;&gt;Год,NOT(ISNUMBER(H423)),H423&lt;B423,E423&lt;0,COUNTIF(Виды,C423)&lt;&gt;1,COUNTIF(Категории,D423)&lt;&gt;1,COUNTIF(Контрагенты,F423)&lt;&gt;1,COUNTIF(Проекты,G423)&lt;&gt;1,L423&lt;-0.01,AND(I423&lt;&gt;"Проведён",I423&lt;&gt;"Черновик")),"ОШИБКА","ОК"))</f>
        <v/>
      </c>
      <c r="Q423" s="4" t="str">
        <f t="shared" si="34"/>
        <v/>
      </c>
    </row>
    <row r="424" spans="1:17" x14ac:dyDescent="0.25">
      <c r="A424" s="22"/>
      <c r="B424" s="23"/>
      <c r="C424" s="22"/>
      <c r="D424" s="22"/>
      <c r="E424" s="22"/>
      <c r="F424" s="22"/>
      <c r="G424" s="22"/>
      <c r="H424" s="23"/>
      <c r="I424" s="22"/>
      <c r="J424" s="22"/>
      <c r="K424" s="4" t="str">
        <f>IF(A424="","",SUMIFS(Cash[Оплата],Cash[Документ],A424,Cash[Дата],"&lt;="&amp;ДатаОтчета))</f>
        <v/>
      </c>
      <c r="L424" s="4" t="str">
        <f t="shared" si="30"/>
        <v/>
      </c>
      <c r="M424" s="4" t="str">
        <f t="shared" si="31"/>
        <v/>
      </c>
      <c r="N424" s="4" t="str">
        <f t="shared" si="32"/>
        <v/>
      </c>
      <c r="O424" s="4" t="str">
        <f t="shared" si="33"/>
        <v/>
      </c>
      <c r="P424" s="4" t="str">
        <f>IF(A424="",IF(COUNTA(B424:J424)&gt;0,"НЕТ ID",""),IF(OR(NOT(ISNUMBER(E424)),AND(Форма="ИП",C424="Дивиденды"),COUNTIF(Docs[ID],A424)&lt;&gt;1,NOT(ISNUMBER(B424)),B424&lt;НачалоУчета,YEAR(B424)&lt;&gt;Год,NOT(ISNUMBER(H424)),H424&lt;B424,E424&lt;0,COUNTIF(Виды,C424)&lt;&gt;1,COUNTIF(Категории,D424)&lt;&gt;1,COUNTIF(Контрагенты,F424)&lt;&gt;1,COUNTIF(Проекты,G424)&lt;&gt;1,L424&lt;-0.01,AND(I424&lt;&gt;"Проведён",I424&lt;&gt;"Черновик")),"ОШИБКА","ОК"))</f>
        <v/>
      </c>
      <c r="Q424" s="4" t="str">
        <f t="shared" si="34"/>
        <v/>
      </c>
    </row>
    <row r="425" spans="1:17" x14ac:dyDescent="0.25">
      <c r="A425" s="22"/>
      <c r="B425" s="23"/>
      <c r="C425" s="22"/>
      <c r="D425" s="22"/>
      <c r="E425" s="22"/>
      <c r="F425" s="22"/>
      <c r="G425" s="22"/>
      <c r="H425" s="23"/>
      <c r="I425" s="22"/>
      <c r="J425" s="22"/>
      <c r="K425" s="4" t="str">
        <f>IF(A425="","",SUMIFS(Cash[Оплата],Cash[Документ],A425,Cash[Дата],"&lt;="&amp;ДатаОтчета))</f>
        <v/>
      </c>
      <c r="L425" s="4" t="str">
        <f t="shared" si="30"/>
        <v/>
      </c>
      <c r="M425" s="4" t="str">
        <f t="shared" si="31"/>
        <v/>
      </c>
      <c r="N425" s="4" t="str">
        <f t="shared" si="32"/>
        <v/>
      </c>
      <c r="O425" s="4" t="str">
        <f t="shared" si="33"/>
        <v/>
      </c>
      <c r="P425" s="4" t="str">
        <f>IF(A425="",IF(COUNTA(B425:J425)&gt;0,"НЕТ ID",""),IF(OR(NOT(ISNUMBER(E425)),AND(Форма="ИП",C425="Дивиденды"),COUNTIF(Docs[ID],A425)&lt;&gt;1,NOT(ISNUMBER(B425)),B425&lt;НачалоУчета,YEAR(B425)&lt;&gt;Год,NOT(ISNUMBER(H425)),H425&lt;B425,E425&lt;0,COUNTIF(Виды,C425)&lt;&gt;1,COUNTIF(Категории,D425)&lt;&gt;1,COUNTIF(Контрагенты,F425)&lt;&gt;1,COUNTIF(Проекты,G425)&lt;&gt;1,L425&lt;-0.01,AND(I425&lt;&gt;"Проведён",I425&lt;&gt;"Черновик")),"ОШИБКА","ОК"))</f>
        <v/>
      </c>
      <c r="Q425" s="4" t="str">
        <f t="shared" si="34"/>
        <v/>
      </c>
    </row>
    <row r="426" spans="1:17" x14ac:dyDescent="0.25">
      <c r="A426" s="22"/>
      <c r="B426" s="23"/>
      <c r="C426" s="22"/>
      <c r="D426" s="22"/>
      <c r="E426" s="22"/>
      <c r="F426" s="22"/>
      <c r="G426" s="22"/>
      <c r="H426" s="23"/>
      <c r="I426" s="22"/>
      <c r="J426" s="22"/>
      <c r="K426" s="4" t="str">
        <f>IF(A426="","",SUMIFS(Cash[Оплата],Cash[Документ],A426,Cash[Дата],"&lt;="&amp;ДатаОтчета))</f>
        <v/>
      </c>
      <c r="L426" s="4" t="str">
        <f t="shared" si="30"/>
        <v/>
      </c>
      <c r="M426" s="4" t="str">
        <f t="shared" si="31"/>
        <v/>
      </c>
      <c r="N426" s="4" t="str">
        <f t="shared" si="32"/>
        <v/>
      </c>
      <c r="O426" s="4" t="str">
        <f t="shared" si="33"/>
        <v/>
      </c>
      <c r="P426" s="4" t="str">
        <f>IF(A426="",IF(COUNTA(B426:J426)&gt;0,"НЕТ ID",""),IF(OR(NOT(ISNUMBER(E426)),AND(Форма="ИП",C426="Дивиденды"),COUNTIF(Docs[ID],A426)&lt;&gt;1,NOT(ISNUMBER(B426)),B426&lt;НачалоУчета,YEAR(B426)&lt;&gt;Год,NOT(ISNUMBER(H426)),H426&lt;B426,E426&lt;0,COUNTIF(Виды,C426)&lt;&gt;1,COUNTIF(Категории,D426)&lt;&gt;1,COUNTIF(Контрагенты,F426)&lt;&gt;1,COUNTIF(Проекты,G426)&lt;&gt;1,L426&lt;-0.01,AND(I426&lt;&gt;"Проведён",I426&lt;&gt;"Черновик")),"ОШИБКА","ОК"))</f>
        <v/>
      </c>
      <c r="Q426" s="4" t="str">
        <f t="shared" si="34"/>
        <v/>
      </c>
    </row>
    <row r="427" spans="1:17" x14ac:dyDescent="0.25">
      <c r="A427" s="22"/>
      <c r="B427" s="23"/>
      <c r="C427" s="22"/>
      <c r="D427" s="22"/>
      <c r="E427" s="22"/>
      <c r="F427" s="22"/>
      <c r="G427" s="22"/>
      <c r="H427" s="23"/>
      <c r="I427" s="22"/>
      <c r="J427" s="22"/>
      <c r="K427" s="4" t="str">
        <f>IF(A427="","",SUMIFS(Cash[Оплата],Cash[Документ],A427,Cash[Дата],"&lt;="&amp;ДатаОтчета))</f>
        <v/>
      </c>
      <c r="L427" s="4" t="str">
        <f t="shared" si="30"/>
        <v/>
      </c>
      <c r="M427" s="4" t="str">
        <f t="shared" si="31"/>
        <v/>
      </c>
      <c r="N427" s="4" t="str">
        <f t="shared" si="32"/>
        <v/>
      </c>
      <c r="O427" s="4" t="str">
        <f t="shared" si="33"/>
        <v/>
      </c>
      <c r="P427" s="4" t="str">
        <f>IF(A427="",IF(COUNTA(B427:J427)&gt;0,"НЕТ ID",""),IF(OR(NOT(ISNUMBER(E427)),AND(Форма="ИП",C427="Дивиденды"),COUNTIF(Docs[ID],A427)&lt;&gt;1,NOT(ISNUMBER(B427)),B427&lt;НачалоУчета,YEAR(B427)&lt;&gt;Год,NOT(ISNUMBER(H427)),H427&lt;B427,E427&lt;0,COUNTIF(Виды,C427)&lt;&gt;1,COUNTIF(Категории,D427)&lt;&gt;1,COUNTIF(Контрагенты,F427)&lt;&gt;1,COUNTIF(Проекты,G427)&lt;&gt;1,L427&lt;-0.01,AND(I427&lt;&gt;"Проведён",I427&lt;&gt;"Черновик")),"ОШИБКА","ОК"))</f>
        <v/>
      </c>
      <c r="Q427" s="4" t="str">
        <f t="shared" si="34"/>
        <v/>
      </c>
    </row>
    <row r="428" spans="1:17" x14ac:dyDescent="0.25">
      <c r="A428" s="22"/>
      <c r="B428" s="23"/>
      <c r="C428" s="22"/>
      <c r="D428" s="22"/>
      <c r="E428" s="22"/>
      <c r="F428" s="22"/>
      <c r="G428" s="22"/>
      <c r="H428" s="23"/>
      <c r="I428" s="22"/>
      <c r="J428" s="22"/>
      <c r="K428" s="4" t="str">
        <f>IF(A428="","",SUMIFS(Cash[Оплата],Cash[Документ],A428,Cash[Дата],"&lt;="&amp;ДатаОтчета))</f>
        <v/>
      </c>
      <c r="L428" s="4" t="str">
        <f t="shared" si="30"/>
        <v/>
      </c>
      <c r="M428" s="4" t="str">
        <f t="shared" si="31"/>
        <v/>
      </c>
      <c r="N428" s="4" t="str">
        <f t="shared" si="32"/>
        <v/>
      </c>
      <c r="O428" s="4" t="str">
        <f t="shared" si="33"/>
        <v/>
      </c>
      <c r="P428" s="4" t="str">
        <f>IF(A428="",IF(COUNTA(B428:J428)&gt;0,"НЕТ ID",""),IF(OR(NOT(ISNUMBER(E428)),AND(Форма="ИП",C428="Дивиденды"),COUNTIF(Docs[ID],A428)&lt;&gt;1,NOT(ISNUMBER(B428)),B428&lt;НачалоУчета,YEAR(B428)&lt;&gt;Год,NOT(ISNUMBER(H428)),H428&lt;B428,E428&lt;0,COUNTIF(Виды,C428)&lt;&gt;1,COUNTIF(Категории,D428)&lt;&gt;1,COUNTIF(Контрагенты,F428)&lt;&gt;1,COUNTIF(Проекты,G428)&lt;&gt;1,L428&lt;-0.01,AND(I428&lt;&gt;"Проведён",I428&lt;&gt;"Черновик")),"ОШИБКА","ОК"))</f>
        <v/>
      </c>
      <c r="Q428" s="4" t="str">
        <f t="shared" si="34"/>
        <v/>
      </c>
    </row>
    <row r="429" spans="1:17" x14ac:dyDescent="0.25">
      <c r="A429" s="22"/>
      <c r="B429" s="23"/>
      <c r="C429" s="22"/>
      <c r="D429" s="22"/>
      <c r="E429" s="22"/>
      <c r="F429" s="22"/>
      <c r="G429" s="22"/>
      <c r="H429" s="23"/>
      <c r="I429" s="22"/>
      <c r="J429" s="22"/>
      <c r="K429" s="4" t="str">
        <f>IF(A429="","",SUMIFS(Cash[Оплата],Cash[Документ],A429,Cash[Дата],"&lt;="&amp;ДатаОтчета))</f>
        <v/>
      </c>
      <c r="L429" s="4" t="str">
        <f t="shared" si="30"/>
        <v/>
      </c>
      <c r="M429" s="4" t="str">
        <f t="shared" si="31"/>
        <v/>
      </c>
      <c r="N429" s="4" t="str">
        <f t="shared" si="32"/>
        <v/>
      </c>
      <c r="O429" s="4" t="str">
        <f t="shared" si="33"/>
        <v/>
      </c>
      <c r="P429" s="4" t="str">
        <f>IF(A429="",IF(COUNTA(B429:J429)&gt;0,"НЕТ ID",""),IF(OR(NOT(ISNUMBER(E429)),AND(Форма="ИП",C429="Дивиденды"),COUNTIF(Docs[ID],A429)&lt;&gt;1,NOT(ISNUMBER(B429)),B429&lt;НачалоУчета,YEAR(B429)&lt;&gt;Год,NOT(ISNUMBER(H429)),H429&lt;B429,E429&lt;0,COUNTIF(Виды,C429)&lt;&gt;1,COUNTIF(Категории,D429)&lt;&gt;1,COUNTIF(Контрагенты,F429)&lt;&gt;1,COUNTIF(Проекты,G429)&lt;&gt;1,L429&lt;-0.01,AND(I429&lt;&gt;"Проведён",I429&lt;&gt;"Черновик")),"ОШИБКА","ОК"))</f>
        <v/>
      </c>
      <c r="Q429" s="4" t="str">
        <f t="shared" si="34"/>
        <v/>
      </c>
    </row>
    <row r="430" spans="1:17" x14ac:dyDescent="0.25">
      <c r="A430" s="22"/>
      <c r="B430" s="23"/>
      <c r="C430" s="22"/>
      <c r="D430" s="22"/>
      <c r="E430" s="22"/>
      <c r="F430" s="22"/>
      <c r="G430" s="22"/>
      <c r="H430" s="23"/>
      <c r="I430" s="22"/>
      <c r="J430" s="22"/>
      <c r="K430" s="4" t="str">
        <f>IF(A430="","",SUMIFS(Cash[Оплата],Cash[Документ],A430,Cash[Дата],"&lt;="&amp;ДатаОтчета))</f>
        <v/>
      </c>
      <c r="L430" s="4" t="str">
        <f t="shared" si="30"/>
        <v/>
      </c>
      <c r="M430" s="4" t="str">
        <f t="shared" si="31"/>
        <v/>
      </c>
      <c r="N430" s="4" t="str">
        <f t="shared" si="32"/>
        <v/>
      </c>
      <c r="O430" s="4" t="str">
        <f t="shared" si="33"/>
        <v/>
      </c>
      <c r="P430" s="4" t="str">
        <f>IF(A430="",IF(COUNTA(B430:J430)&gt;0,"НЕТ ID",""),IF(OR(NOT(ISNUMBER(E430)),AND(Форма="ИП",C430="Дивиденды"),COUNTIF(Docs[ID],A430)&lt;&gt;1,NOT(ISNUMBER(B430)),B430&lt;НачалоУчета,YEAR(B430)&lt;&gt;Год,NOT(ISNUMBER(H430)),H430&lt;B430,E430&lt;0,COUNTIF(Виды,C430)&lt;&gt;1,COUNTIF(Категории,D430)&lt;&gt;1,COUNTIF(Контрагенты,F430)&lt;&gt;1,COUNTIF(Проекты,G430)&lt;&gt;1,L430&lt;-0.01,AND(I430&lt;&gt;"Проведён",I430&lt;&gt;"Черновик")),"ОШИБКА","ОК"))</f>
        <v/>
      </c>
      <c r="Q430" s="4" t="str">
        <f t="shared" si="34"/>
        <v/>
      </c>
    </row>
    <row r="431" spans="1:17" x14ac:dyDescent="0.25">
      <c r="A431" s="22"/>
      <c r="B431" s="23"/>
      <c r="C431" s="22"/>
      <c r="D431" s="22"/>
      <c r="E431" s="22"/>
      <c r="F431" s="22"/>
      <c r="G431" s="22"/>
      <c r="H431" s="23"/>
      <c r="I431" s="22"/>
      <c r="J431" s="22"/>
      <c r="K431" s="4" t="str">
        <f>IF(A431="","",SUMIFS(Cash[Оплата],Cash[Документ],A431,Cash[Дата],"&lt;="&amp;ДатаОтчета))</f>
        <v/>
      </c>
      <c r="L431" s="4" t="str">
        <f t="shared" si="30"/>
        <v/>
      </c>
      <c r="M431" s="4" t="str">
        <f t="shared" si="31"/>
        <v/>
      </c>
      <c r="N431" s="4" t="str">
        <f t="shared" si="32"/>
        <v/>
      </c>
      <c r="O431" s="4" t="str">
        <f t="shared" si="33"/>
        <v/>
      </c>
      <c r="P431" s="4" t="str">
        <f>IF(A431="",IF(COUNTA(B431:J431)&gt;0,"НЕТ ID",""),IF(OR(NOT(ISNUMBER(E431)),AND(Форма="ИП",C431="Дивиденды"),COUNTIF(Docs[ID],A431)&lt;&gt;1,NOT(ISNUMBER(B431)),B431&lt;НачалоУчета,YEAR(B431)&lt;&gt;Год,NOT(ISNUMBER(H431)),H431&lt;B431,E431&lt;0,COUNTIF(Виды,C431)&lt;&gt;1,COUNTIF(Категории,D431)&lt;&gt;1,COUNTIF(Контрагенты,F431)&lt;&gt;1,COUNTIF(Проекты,G431)&lt;&gt;1,L431&lt;-0.01,AND(I431&lt;&gt;"Проведён",I431&lt;&gt;"Черновик")),"ОШИБКА","ОК"))</f>
        <v/>
      </c>
      <c r="Q431" s="4" t="str">
        <f t="shared" si="34"/>
        <v/>
      </c>
    </row>
    <row r="432" spans="1:17" x14ac:dyDescent="0.25">
      <c r="A432" s="22"/>
      <c r="B432" s="23"/>
      <c r="C432" s="22"/>
      <c r="D432" s="22"/>
      <c r="E432" s="22"/>
      <c r="F432" s="22"/>
      <c r="G432" s="22"/>
      <c r="H432" s="23"/>
      <c r="I432" s="22"/>
      <c r="J432" s="22"/>
      <c r="K432" s="4" t="str">
        <f>IF(A432="","",SUMIFS(Cash[Оплата],Cash[Документ],A432,Cash[Дата],"&lt;="&amp;ДатаОтчета))</f>
        <v/>
      </c>
      <c r="L432" s="4" t="str">
        <f t="shared" si="30"/>
        <v/>
      </c>
      <c r="M432" s="4" t="str">
        <f t="shared" si="31"/>
        <v/>
      </c>
      <c r="N432" s="4" t="str">
        <f t="shared" si="32"/>
        <v/>
      </c>
      <c r="O432" s="4" t="str">
        <f t="shared" si="33"/>
        <v/>
      </c>
      <c r="P432" s="4" t="str">
        <f>IF(A432="",IF(COUNTA(B432:J432)&gt;0,"НЕТ ID",""),IF(OR(NOT(ISNUMBER(E432)),AND(Форма="ИП",C432="Дивиденды"),COUNTIF(Docs[ID],A432)&lt;&gt;1,NOT(ISNUMBER(B432)),B432&lt;НачалоУчета,YEAR(B432)&lt;&gt;Год,NOT(ISNUMBER(H432)),H432&lt;B432,E432&lt;0,COUNTIF(Виды,C432)&lt;&gt;1,COUNTIF(Категории,D432)&lt;&gt;1,COUNTIF(Контрагенты,F432)&lt;&gt;1,COUNTIF(Проекты,G432)&lt;&gt;1,L432&lt;-0.01,AND(I432&lt;&gt;"Проведён",I432&lt;&gt;"Черновик")),"ОШИБКА","ОК"))</f>
        <v/>
      </c>
      <c r="Q432" s="4" t="str">
        <f t="shared" si="34"/>
        <v/>
      </c>
    </row>
    <row r="433" spans="1:17" x14ac:dyDescent="0.25">
      <c r="A433" s="22"/>
      <c r="B433" s="23"/>
      <c r="C433" s="22"/>
      <c r="D433" s="22"/>
      <c r="E433" s="22"/>
      <c r="F433" s="22"/>
      <c r="G433" s="22"/>
      <c r="H433" s="23"/>
      <c r="I433" s="22"/>
      <c r="J433" s="22"/>
      <c r="K433" s="4" t="str">
        <f>IF(A433="","",SUMIFS(Cash[Оплата],Cash[Документ],A433,Cash[Дата],"&lt;="&amp;ДатаОтчета))</f>
        <v/>
      </c>
      <c r="L433" s="4" t="str">
        <f t="shared" si="30"/>
        <v/>
      </c>
      <c r="M433" s="4" t="str">
        <f t="shared" si="31"/>
        <v/>
      </c>
      <c r="N433" s="4" t="str">
        <f t="shared" si="32"/>
        <v/>
      </c>
      <c r="O433" s="4" t="str">
        <f t="shared" si="33"/>
        <v/>
      </c>
      <c r="P433" s="4" t="str">
        <f>IF(A433="",IF(COUNTA(B433:J433)&gt;0,"НЕТ ID",""),IF(OR(NOT(ISNUMBER(E433)),AND(Форма="ИП",C433="Дивиденды"),COUNTIF(Docs[ID],A433)&lt;&gt;1,NOT(ISNUMBER(B433)),B433&lt;НачалоУчета,YEAR(B433)&lt;&gt;Год,NOT(ISNUMBER(H433)),H433&lt;B433,E433&lt;0,COUNTIF(Виды,C433)&lt;&gt;1,COUNTIF(Категории,D433)&lt;&gt;1,COUNTIF(Контрагенты,F433)&lt;&gt;1,COUNTIF(Проекты,G433)&lt;&gt;1,L433&lt;-0.01,AND(I433&lt;&gt;"Проведён",I433&lt;&gt;"Черновик")),"ОШИБКА","ОК"))</f>
        <v/>
      </c>
      <c r="Q433" s="4" t="str">
        <f t="shared" si="34"/>
        <v/>
      </c>
    </row>
    <row r="434" spans="1:17" x14ac:dyDescent="0.25">
      <c r="A434" s="22"/>
      <c r="B434" s="23"/>
      <c r="C434" s="22"/>
      <c r="D434" s="22"/>
      <c r="E434" s="22"/>
      <c r="F434" s="22"/>
      <c r="G434" s="22"/>
      <c r="H434" s="23"/>
      <c r="I434" s="22"/>
      <c r="J434" s="22"/>
      <c r="K434" s="4" t="str">
        <f>IF(A434="","",SUMIFS(Cash[Оплата],Cash[Документ],A434,Cash[Дата],"&lt;="&amp;ДатаОтчета))</f>
        <v/>
      </c>
      <c r="L434" s="4" t="str">
        <f t="shared" si="30"/>
        <v/>
      </c>
      <c r="M434" s="4" t="str">
        <f t="shared" si="31"/>
        <v/>
      </c>
      <c r="N434" s="4" t="str">
        <f t="shared" si="32"/>
        <v/>
      </c>
      <c r="O434" s="4" t="str">
        <f t="shared" si="33"/>
        <v/>
      </c>
      <c r="P434" s="4" t="str">
        <f>IF(A434="",IF(COUNTA(B434:J434)&gt;0,"НЕТ ID",""),IF(OR(NOT(ISNUMBER(E434)),AND(Форма="ИП",C434="Дивиденды"),COUNTIF(Docs[ID],A434)&lt;&gt;1,NOT(ISNUMBER(B434)),B434&lt;НачалоУчета,YEAR(B434)&lt;&gt;Год,NOT(ISNUMBER(H434)),H434&lt;B434,E434&lt;0,COUNTIF(Виды,C434)&lt;&gt;1,COUNTIF(Категории,D434)&lt;&gt;1,COUNTIF(Контрагенты,F434)&lt;&gt;1,COUNTIF(Проекты,G434)&lt;&gt;1,L434&lt;-0.01,AND(I434&lt;&gt;"Проведён",I434&lt;&gt;"Черновик")),"ОШИБКА","ОК"))</f>
        <v/>
      </c>
      <c r="Q434" s="4" t="str">
        <f t="shared" si="34"/>
        <v/>
      </c>
    </row>
    <row r="435" spans="1:17" x14ac:dyDescent="0.25">
      <c r="A435" s="22"/>
      <c r="B435" s="23"/>
      <c r="C435" s="22"/>
      <c r="D435" s="22"/>
      <c r="E435" s="22"/>
      <c r="F435" s="22"/>
      <c r="G435" s="22"/>
      <c r="H435" s="23"/>
      <c r="I435" s="22"/>
      <c r="J435" s="22"/>
      <c r="K435" s="4" t="str">
        <f>IF(A435="","",SUMIFS(Cash[Оплата],Cash[Документ],A435,Cash[Дата],"&lt;="&amp;ДатаОтчета))</f>
        <v/>
      </c>
      <c r="L435" s="4" t="str">
        <f t="shared" si="30"/>
        <v/>
      </c>
      <c r="M435" s="4" t="str">
        <f t="shared" si="31"/>
        <v/>
      </c>
      <c r="N435" s="4" t="str">
        <f t="shared" si="32"/>
        <v/>
      </c>
      <c r="O435" s="4" t="str">
        <f t="shared" si="33"/>
        <v/>
      </c>
      <c r="P435" s="4" t="str">
        <f>IF(A435="",IF(COUNTA(B435:J435)&gt;0,"НЕТ ID",""),IF(OR(NOT(ISNUMBER(E435)),AND(Форма="ИП",C435="Дивиденды"),COUNTIF(Docs[ID],A435)&lt;&gt;1,NOT(ISNUMBER(B435)),B435&lt;НачалоУчета,YEAR(B435)&lt;&gt;Год,NOT(ISNUMBER(H435)),H435&lt;B435,E435&lt;0,COUNTIF(Виды,C435)&lt;&gt;1,COUNTIF(Категории,D435)&lt;&gt;1,COUNTIF(Контрагенты,F435)&lt;&gt;1,COUNTIF(Проекты,G435)&lt;&gt;1,L435&lt;-0.01,AND(I435&lt;&gt;"Проведён",I435&lt;&gt;"Черновик")),"ОШИБКА","ОК"))</f>
        <v/>
      </c>
      <c r="Q435" s="4" t="str">
        <f t="shared" si="34"/>
        <v/>
      </c>
    </row>
    <row r="436" spans="1:17" x14ac:dyDescent="0.25">
      <c r="A436" s="22"/>
      <c r="B436" s="23"/>
      <c r="C436" s="22"/>
      <c r="D436" s="22"/>
      <c r="E436" s="22"/>
      <c r="F436" s="22"/>
      <c r="G436" s="22"/>
      <c r="H436" s="23"/>
      <c r="I436" s="22"/>
      <c r="J436" s="22"/>
      <c r="K436" s="4" t="str">
        <f>IF(A436="","",SUMIFS(Cash[Оплата],Cash[Документ],A436,Cash[Дата],"&lt;="&amp;ДатаОтчета))</f>
        <v/>
      </c>
      <c r="L436" s="4" t="str">
        <f t="shared" si="30"/>
        <v/>
      </c>
      <c r="M436" s="4" t="str">
        <f t="shared" si="31"/>
        <v/>
      </c>
      <c r="N436" s="4" t="str">
        <f t="shared" si="32"/>
        <v/>
      </c>
      <c r="O436" s="4" t="str">
        <f t="shared" si="33"/>
        <v/>
      </c>
      <c r="P436" s="4" t="str">
        <f>IF(A436="",IF(COUNTA(B436:J436)&gt;0,"НЕТ ID",""),IF(OR(NOT(ISNUMBER(E436)),AND(Форма="ИП",C436="Дивиденды"),COUNTIF(Docs[ID],A436)&lt;&gt;1,NOT(ISNUMBER(B436)),B436&lt;НачалоУчета,YEAR(B436)&lt;&gt;Год,NOT(ISNUMBER(H436)),H436&lt;B436,E436&lt;0,COUNTIF(Виды,C436)&lt;&gt;1,COUNTIF(Категории,D436)&lt;&gt;1,COUNTIF(Контрагенты,F436)&lt;&gt;1,COUNTIF(Проекты,G436)&lt;&gt;1,L436&lt;-0.01,AND(I436&lt;&gt;"Проведён",I436&lt;&gt;"Черновик")),"ОШИБКА","ОК"))</f>
        <v/>
      </c>
      <c r="Q436" s="4" t="str">
        <f t="shared" si="34"/>
        <v/>
      </c>
    </row>
    <row r="437" spans="1:17" x14ac:dyDescent="0.25">
      <c r="A437" s="22"/>
      <c r="B437" s="23"/>
      <c r="C437" s="22"/>
      <c r="D437" s="22"/>
      <c r="E437" s="22"/>
      <c r="F437" s="22"/>
      <c r="G437" s="22"/>
      <c r="H437" s="23"/>
      <c r="I437" s="22"/>
      <c r="J437" s="22"/>
      <c r="K437" s="4" t="str">
        <f>IF(A437="","",SUMIFS(Cash[Оплата],Cash[Документ],A437,Cash[Дата],"&lt;="&amp;ДатаОтчета))</f>
        <v/>
      </c>
      <c r="L437" s="4" t="str">
        <f t="shared" si="30"/>
        <v/>
      </c>
      <c r="M437" s="4" t="str">
        <f t="shared" si="31"/>
        <v/>
      </c>
      <c r="N437" s="4" t="str">
        <f t="shared" si="32"/>
        <v/>
      </c>
      <c r="O437" s="4" t="str">
        <f t="shared" si="33"/>
        <v/>
      </c>
      <c r="P437" s="4" t="str">
        <f>IF(A437="",IF(COUNTA(B437:J437)&gt;0,"НЕТ ID",""),IF(OR(NOT(ISNUMBER(E437)),AND(Форма="ИП",C437="Дивиденды"),COUNTIF(Docs[ID],A437)&lt;&gt;1,NOT(ISNUMBER(B437)),B437&lt;НачалоУчета,YEAR(B437)&lt;&gt;Год,NOT(ISNUMBER(H437)),H437&lt;B437,E437&lt;0,COUNTIF(Виды,C437)&lt;&gt;1,COUNTIF(Категории,D437)&lt;&gt;1,COUNTIF(Контрагенты,F437)&lt;&gt;1,COUNTIF(Проекты,G437)&lt;&gt;1,L437&lt;-0.01,AND(I437&lt;&gt;"Проведён",I437&lt;&gt;"Черновик")),"ОШИБКА","ОК"))</f>
        <v/>
      </c>
      <c r="Q437" s="4" t="str">
        <f t="shared" si="34"/>
        <v/>
      </c>
    </row>
    <row r="438" spans="1:17" x14ac:dyDescent="0.25">
      <c r="A438" s="22"/>
      <c r="B438" s="23"/>
      <c r="C438" s="22"/>
      <c r="D438" s="22"/>
      <c r="E438" s="22"/>
      <c r="F438" s="22"/>
      <c r="G438" s="22"/>
      <c r="H438" s="23"/>
      <c r="I438" s="22"/>
      <c r="J438" s="22"/>
      <c r="K438" s="4" t="str">
        <f>IF(A438="","",SUMIFS(Cash[Оплата],Cash[Документ],A438,Cash[Дата],"&lt;="&amp;ДатаОтчета))</f>
        <v/>
      </c>
      <c r="L438" s="4" t="str">
        <f t="shared" si="30"/>
        <v/>
      </c>
      <c r="M438" s="4" t="str">
        <f t="shared" si="31"/>
        <v/>
      </c>
      <c r="N438" s="4" t="str">
        <f t="shared" si="32"/>
        <v/>
      </c>
      <c r="O438" s="4" t="str">
        <f t="shared" si="33"/>
        <v/>
      </c>
      <c r="P438" s="4" t="str">
        <f>IF(A438="",IF(COUNTA(B438:J438)&gt;0,"НЕТ ID",""),IF(OR(NOT(ISNUMBER(E438)),AND(Форма="ИП",C438="Дивиденды"),COUNTIF(Docs[ID],A438)&lt;&gt;1,NOT(ISNUMBER(B438)),B438&lt;НачалоУчета,YEAR(B438)&lt;&gt;Год,NOT(ISNUMBER(H438)),H438&lt;B438,E438&lt;0,COUNTIF(Виды,C438)&lt;&gt;1,COUNTIF(Категории,D438)&lt;&gt;1,COUNTIF(Контрагенты,F438)&lt;&gt;1,COUNTIF(Проекты,G438)&lt;&gt;1,L438&lt;-0.01,AND(I438&lt;&gt;"Проведён",I438&lt;&gt;"Черновик")),"ОШИБКА","ОК"))</f>
        <v/>
      </c>
      <c r="Q438" s="4" t="str">
        <f t="shared" si="34"/>
        <v/>
      </c>
    </row>
    <row r="439" spans="1:17" x14ac:dyDescent="0.25">
      <c r="A439" s="22"/>
      <c r="B439" s="23"/>
      <c r="C439" s="22"/>
      <c r="D439" s="22"/>
      <c r="E439" s="22"/>
      <c r="F439" s="22"/>
      <c r="G439" s="22"/>
      <c r="H439" s="23"/>
      <c r="I439" s="22"/>
      <c r="J439" s="22"/>
      <c r="K439" s="4" t="str">
        <f>IF(A439="","",SUMIFS(Cash[Оплата],Cash[Документ],A439,Cash[Дата],"&lt;="&amp;ДатаОтчета))</f>
        <v/>
      </c>
      <c r="L439" s="4" t="str">
        <f t="shared" si="30"/>
        <v/>
      </c>
      <c r="M439" s="4" t="str">
        <f t="shared" si="31"/>
        <v/>
      </c>
      <c r="N439" s="4" t="str">
        <f t="shared" si="32"/>
        <v/>
      </c>
      <c r="O439" s="4" t="str">
        <f t="shared" si="33"/>
        <v/>
      </c>
      <c r="P439" s="4" t="str">
        <f>IF(A439="",IF(COUNTA(B439:J439)&gt;0,"НЕТ ID",""),IF(OR(NOT(ISNUMBER(E439)),AND(Форма="ИП",C439="Дивиденды"),COUNTIF(Docs[ID],A439)&lt;&gt;1,NOT(ISNUMBER(B439)),B439&lt;НачалоУчета,YEAR(B439)&lt;&gt;Год,NOT(ISNUMBER(H439)),H439&lt;B439,E439&lt;0,COUNTIF(Виды,C439)&lt;&gt;1,COUNTIF(Категории,D439)&lt;&gt;1,COUNTIF(Контрагенты,F439)&lt;&gt;1,COUNTIF(Проекты,G439)&lt;&gt;1,L439&lt;-0.01,AND(I439&lt;&gt;"Проведён",I439&lt;&gt;"Черновик")),"ОШИБКА","ОК"))</f>
        <v/>
      </c>
      <c r="Q439" s="4" t="str">
        <f t="shared" si="34"/>
        <v/>
      </c>
    </row>
    <row r="440" spans="1:17" x14ac:dyDescent="0.25">
      <c r="A440" s="22"/>
      <c r="B440" s="23"/>
      <c r="C440" s="22"/>
      <c r="D440" s="22"/>
      <c r="E440" s="22"/>
      <c r="F440" s="22"/>
      <c r="G440" s="22"/>
      <c r="H440" s="23"/>
      <c r="I440" s="22"/>
      <c r="J440" s="22"/>
      <c r="K440" s="4" t="str">
        <f>IF(A440="","",SUMIFS(Cash[Оплата],Cash[Документ],A440,Cash[Дата],"&lt;="&amp;ДатаОтчета))</f>
        <v/>
      </c>
      <c r="L440" s="4" t="str">
        <f t="shared" si="30"/>
        <v/>
      </c>
      <c r="M440" s="4" t="str">
        <f t="shared" si="31"/>
        <v/>
      </c>
      <c r="N440" s="4" t="str">
        <f t="shared" si="32"/>
        <v/>
      </c>
      <c r="O440" s="4" t="str">
        <f t="shared" si="33"/>
        <v/>
      </c>
      <c r="P440" s="4" t="str">
        <f>IF(A440="",IF(COUNTA(B440:J440)&gt;0,"НЕТ ID",""),IF(OR(NOT(ISNUMBER(E440)),AND(Форма="ИП",C440="Дивиденды"),COUNTIF(Docs[ID],A440)&lt;&gt;1,NOT(ISNUMBER(B440)),B440&lt;НачалоУчета,YEAR(B440)&lt;&gt;Год,NOT(ISNUMBER(H440)),H440&lt;B440,E440&lt;0,COUNTIF(Виды,C440)&lt;&gt;1,COUNTIF(Категории,D440)&lt;&gt;1,COUNTIF(Контрагенты,F440)&lt;&gt;1,COUNTIF(Проекты,G440)&lt;&gt;1,L440&lt;-0.01,AND(I440&lt;&gt;"Проведён",I440&lt;&gt;"Черновик")),"ОШИБКА","ОК"))</f>
        <v/>
      </c>
      <c r="Q440" s="4" t="str">
        <f t="shared" si="34"/>
        <v/>
      </c>
    </row>
    <row r="441" spans="1:17" x14ac:dyDescent="0.25">
      <c r="A441" s="22"/>
      <c r="B441" s="23"/>
      <c r="C441" s="22"/>
      <c r="D441" s="22"/>
      <c r="E441" s="22"/>
      <c r="F441" s="22"/>
      <c r="G441" s="22"/>
      <c r="H441" s="23"/>
      <c r="I441" s="22"/>
      <c r="J441" s="22"/>
      <c r="K441" s="4" t="str">
        <f>IF(A441="","",SUMIFS(Cash[Оплата],Cash[Документ],A441,Cash[Дата],"&lt;="&amp;ДатаОтчета))</f>
        <v/>
      </c>
      <c r="L441" s="4" t="str">
        <f t="shared" si="30"/>
        <v/>
      </c>
      <c r="M441" s="4" t="str">
        <f t="shared" si="31"/>
        <v/>
      </c>
      <c r="N441" s="4" t="str">
        <f t="shared" si="32"/>
        <v/>
      </c>
      <c r="O441" s="4" t="str">
        <f t="shared" si="33"/>
        <v/>
      </c>
      <c r="P441" s="4" t="str">
        <f>IF(A441="",IF(COUNTA(B441:J441)&gt;0,"НЕТ ID",""),IF(OR(NOT(ISNUMBER(E441)),AND(Форма="ИП",C441="Дивиденды"),COUNTIF(Docs[ID],A441)&lt;&gt;1,NOT(ISNUMBER(B441)),B441&lt;НачалоУчета,YEAR(B441)&lt;&gt;Год,NOT(ISNUMBER(H441)),H441&lt;B441,E441&lt;0,COUNTIF(Виды,C441)&lt;&gt;1,COUNTIF(Категории,D441)&lt;&gt;1,COUNTIF(Контрагенты,F441)&lt;&gt;1,COUNTIF(Проекты,G441)&lt;&gt;1,L441&lt;-0.01,AND(I441&lt;&gt;"Проведён",I441&lt;&gt;"Черновик")),"ОШИБКА","ОК"))</f>
        <v/>
      </c>
      <c r="Q441" s="4" t="str">
        <f t="shared" si="34"/>
        <v/>
      </c>
    </row>
    <row r="442" spans="1:17" x14ac:dyDescent="0.25">
      <c r="A442" s="22"/>
      <c r="B442" s="23"/>
      <c r="C442" s="22"/>
      <c r="D442" s="22"/>
      <c r="E442" s="22"/>
      <c r="F442" s="22"/>
      <c r="G442" s="22"/>
      <c r="H442" s="23"/>
      <c r="I442" s="22"/>
      <c r="J442" s="22"/>
      <c r="K442" s="4" t="str">
        <f>IF(A442="","",SUMIFS(Cash[Оплата],Cash[Документ],A442,Cash[Дата],"&lt;="&amp;ДатаОтчета))</f>
        <v/>
      </c>
      <c r="L442" s="4" t="str">
        <f t="shared" si="30"/>
        <v/>
      </c>
      <c r="M442" s="4" t="str">
        <f t="shared" si="31"/>
        <v/>
      </c>
      <c r="N442" s="4" t="str">
        <f t="shared" si="32"/>
        <v/>
      </c>
      <c r="O442" s="4" t="str">
        <f t="shared" si="33"/>
        <v/>
      </c>
      <c r="P442" s="4" t="str">
        <f>IF(A442="",IF(COUNTA(B442:J442)&gt;0,"НЕТ ID",""),IF(OR(NOT(ISNUMBER(E442)),AND(Форма="ИП",C442="Дивиденды"),COUNTIF(Docs[ID],A442)&lt;&gt;1,NOT(ISNUMBER(B442)),B442&lt;НачалоУчета,YEAR(B442)&lt;&gt;Год,NOT(ISNUMBER(H442)),H442&lt;B442,E442&lt;0,COUNTIF(Виды,C442)&lt;&gt;1,COUNTIF(Категории,D442)&lt;&gt;1,COUNTIF(Контрагенты,F442)&lt;&gt;1,COUNTIF(Проекты,G442)&lt;&gt;1,L442&lt;-0.01,AND(I442&lt;&gt;"Проведён",I442&lt;&gt;"Черновик")),"ОШИБКА","ОК"))</f>
        <v/>
      </c>
      <c r="Q442" s="4" t="str">
        <f t="shared" si="34"/>
        <v/>
      </c>
    </row>
    <row r="443" spans="1:17" x14ac:dyDescent="0.25">
      <c r="A443" s="22"/>
      <c r="B443" s="23"/>
      <c r="C443" s="22"/>
      <c r="D443" s="22"/>
      <c r="E443" s="22"/>
      <c r="F443" s="22"/>
      <c r="G443" s="22"/>
      <c r="H443" s="23"/>
      <c r="I443" s="22"/>
      <c r="J443" s="22"/>
      <c r="K443" s="4" t="str">
        <f>IF(A443="","",SUMIFS(Cash[Оплата],Cash[Документ],A443,Cash[Дата],"&lt;="&amp;ДатаОтчета))</f>
        <v/>
      </c>
      <c r="L443" s="4" t="str">
        <f t="shared" si="30"/>
        <v/>
      </c>
      <c r="M443" s="4" t="str">
        <f t="shared" si="31"/>
        <v/>
      </c>
      <c r="N443" s="4" t="str">
        <f t="shared" si="32"/>
        <v/>
      </c>
      <c r="O443" s="4" t="str">
        <f t="shared" si="33"/>
        <v/>
      </c>
      <c r="P443" s="4" t="str">
        <f>IF(A443="",IF(COUNTA(B443:J443)&gt;0,"НЕТ ID",""),IF(OR(NOT(ISNUMBER(E443)),AND(Форма="ИП",C443="Дивиденды"),COUNTIF(Docs[ID],A443)&lt;&gt;1,NOT(ISNUMBER(B443)),B443&lt;НачалоУчета,YEAR(B443)&lt;&gt;Год,NOT(ISNUMBER(H443)),H443&lt;B443,E443&lt;0,COUNTIF(Виды,C443)&lt;&gt;1,COUNTIF(Категории,D443)&lt;&gt;1,COUNTIF(Контрагенты,F443)&lt;&gt;1,COUNTIF(Проекты,G443)&lt;&gt;1,L443&lt;-0.01,AND(I443&lt;&gt;"Проведён",I443&lt;&gt;"Черновик")),"ОШИБКА","ОК"))</f>
        <v/>
      </c>
      <c r="Q443" s="4" t="str">
        <f t="shared" si="34"/>
        <v/>
      </c>
    </row>
    <row r="444" spans="1:17" x14ac:dyDescent="0.25">
      <c r="A444" s="22"/>
      <c r="B444" s="23"/>
      <c r="C444" s="22"/>
      <c r="D444" s="22"/>
      <c r="E444" s="22"/>
      <c r="F444" s="22"/>
      <c r="G444" s="22"/>
      <c r="H444" s="23"/>
      <c r="I444" s="22"/>
      <c r="J444" s="22"/>
      <c r="K444" s="4" t="str">
        <f>IF(A444="","",SUMIFS(Cash[Оплата],Cash[Документ],A444,Cash[Дата],"&lt;="&amp;ДатаОтчета))</f>
        <v/>
      </c>
      <c r="L444" s="4" t="str">
        <f t="shared" si="30"/>
        <v/>
      </c>
      <c r="M444" s="4" t="str">
        <f t="shared" si="31"/>
        <v/>
      </c>
      <c r="N444" s="4" t="str">
        <f t="shared" si="32"/>
        <v/>
      </c>
      <c r="O444" s="4" t="str">
        <f t="shared" si="33"/>
        <v/>
      </c>
      <c r="P444" s="4" t="str">
        <f>IF(A444="",IF(COUNTA(B444:J444)&gt;0,"НЕТ ID",""),IF(OR(NOT(ISNUMBER(E444)),AND(Форма="ИП",C444="Дивиденды"),COUNTIF(Docs[ID],A444)&lt;&gt;1,NOT(ISNUMBER(B444)),B444&lt;НачалоУчета,YEAR(B444)&lt;&gt;Год,NOT(ISNUMBER(H444)),H444&lt;B444,E444&lt;0,COUNTIF(Виды,C444)&lt;&gt;1,COUNTIF(Категории,D444)&lt;&gt;1,COUNTIF(Контрагенты,F444)&lt;&gt;1,COUNTIF(Проекты,G444)&lt;&gt;1,L444&lt;-0.01,AND(I444&lt;&gt;"Проведён",I444&lt;&gt;"Черновик")),"ОШИБКА","ОК"))</f>
        <v/>
      </c>
      <c r="Q444" s="4" t="str">
        <f t="shared" si="34"/>
        <v/>
      </c>
    </row>
    <row r="445" spans="1:17" x14ac:dyDescent="0.25">
      <c r="A445" s="22"/>
      <c r="B445" s="23"/>
      <c r="C445" s="22"/>
      <c r="D445" s="22"/>
      <c r="E445" s="22"/>
      <c r="F445" s="22"/>
      <c r="G445" s="22"/>
      <c r="H445" s="23"/>
      <c r="I445" s="22"/>
      <c r="J445" s="22"/>
      <c r="K445" s="4" t="str">
        <f>IF(A445="","",SUMIFS(Cash[Оплата],Cash[Документ],A445,Cash[Дата],"&lt;="&amp;ДатаОтчета))</f>
        <v/>
      </c>
      <c r="L445" s="4" t="str">
        <f t="shared" si="30"/>
        <v/>
      </c>
      <c r="M445" s="4" t="str">
        <f t="shared" si="31"/>
        <v/>
      </c>
      <c r="N445" s="4" t="str">
        <f t="shared" si="32"/>
        <v/>
      </c>
      <c r="O445" s="4" t="str">
        <f t="shared" si="33"/>
        <v/>
      </c>
      <c r="P445" s="4" t="str">
        <f>IF(A445="",IF(COUNTA(B445:J445)&gt;0,"НЕТ ID",""),IF(OR(NOT(ISNUMBER(E445)),AND(Форма="ИП",C445="Дивиденды"),COUNTIF(Docs[ID],A445)&lt;&gt;1,NOT(ISNUMBER(B445)),B445&lt;НачалоУчета,YEAR(B445)&lt;&gt;Год,NOT(ISNUMBER(H445)),H445&lt;B445,E445&lt;0,COUNTIF(Виды,C445)&lt;&gt;1,COUNTIF(Категории,D445)&lt;&gt;1,COUNTIF(Контрагенты,F445)&lt;&gt;1,COUNTIF(Проекты,G445)&lt;&gt;1,L445&lt;-0.01,AND(I445&lt;&gt;"Проведён",I445&lt;&gt;"Черновик")),"ОШИБКА","ОК"))</f>
        <v/>
      </c>
      <c r="Q445" s="4" t="str">
        <f t="shared" si="34"/>
        <v/>
      </c>
    </row>
    <row r="446" spans="1:17" x14ac:dyDescent="0.25">
      <c r="A446" s="22"/>
      <c r="B446" s="23"/>
      <c r="C446" s="22"/>
      <c r="D446" s="22"/>
      <c r="E446" s="22"/>
      <c r="F446" s="22"/>
      <c r="G446" s="22"/>
      <c r="H446" s="23"/>
      <c r="I446" s="22"/>
      <c r="J446" s="22"/>
      <c r="K446" s="4" t="str">
        <f>IF(A446="","",SUMIFS(Cash[Оплата],Cash[Документ],A446,Cash[Дата],"&lt;="&amp;ДатаОтчета))</f>
        <v/>
      </c>
      <c r="L446" s="4" t="str">
        <f t="shared" si="30"/>
        <v/>
      </c>
      <c r="M446" s="4" t="str">
        <f t="shared" si="31"/>
        <v/>
      </c>
      <c r="N446" s="4" t="str">
        <f t="shared" si="32"/>
        <v/>
      </c>
      <c r="O446" s="4" t="str">
        <f t="shared" si="33"/>
        <v/>
      </c>
      <c r="P446" s="4" t="str">
        <f>IF(A446="",IF(COUNTA(B446:J446)&gt;0,"НЕТ ID",""),IF(OR(NOT(ISNUMBER(E446)),AND(Форма="ИП",C446="Дивиденды"),COUNTIF(Docs[ID],A446)&lt;&gt;1,NOT(ISNUMBER(B446)),B446&lt;НачалоУчета,YEAR(B446)&lt;&gt;Год,NOT(ISNUMBER(H446)),H446&lt;B446,E446&lt;0,COUNTIF(Виды,C446)&lt;&gt;1,COUNTIF(Категории,D446)&lt;&gt;1,COUNTIF(Контрагенты,F446)&lt;&gt;1,COUNTIF(Проекты,G446)&lt;&gt;1,L446&lt;-0.01,AND(I446&lt;&gt;"Проведён",I446&lt;&gt;"Черновик")),"ОШИБКА","ОК"))</f>
        <v/>
      </c>
      <c r="Q446" s="4" t="str">
        <f t="shared" si="34"/>
        <v/>
      </c>
    </row>
    <row r="447" spans="1:17" x14ac:dyDescent="0.25">
      <c r="A447" s="22"/>
      <c r="B447" s="23"/>
      <c r="C447" s="22"/>
      <c r="D447" s="22"/>
      <c r="E447" s="22"/>
      <c r="F447" s="22"/>
      <c r="G447" s="22"/>
      <c r="H447" s="23"/>
      <c r="I447" s="22"/>
      <c r="J447" s="22"/>
      <c r="K447" s="4" t="str">
        <f>IF(A447="","",SUMIFS(Cash[Оплата],Cash[Документ],A447,Cash[Дата],"&lt;="&amp;ДатаОтчета))</f>
        <v/>
      </c>
      <c r="L447" s="4" t="str">
        <f t="shared" si="30"/>
        <v/>
      </c>
      <c r="M447" s="4" t="str">
        <f t="shared" si="31"/>
        <v/>
      </c>
      <c r="N447" s="4" t="str">
        <f t="shared" si="32"/>
        <v/>
      </c>
      <c r="O447" s="4" t="str">
        <f t="shared" si="33"/>
        <v/>
      </c>
      <c r="P447" s="4" t="str">
        <f>IF(A447="",IF(COUNTA(B447:J447)&gt;0,"НЕТ ID",""),IF(OR(NOT(ISNUMBER(E447)),AND(Форма="ИП",C447="Дивиденды"),COUNTIF(Docs[ID],A447)&lt;&gt;1,NOT(ISNUMBER(B447)),B447&lt;НачалоУчета,YEAR(B447)&lt;&gt;Год,NOT(ISNUMBER(H447)),H447&lt;B447,E447&lt;0,COUNTIF(Виды,C447)&lt;&gt;1,COUNTIF(Категории,D447)&lt;&gt;1,COUNTIF(Контрагенты,F447)&lt;&gt;1,COUNTIF(Проекты,G447)&lt;&gt;1,L447&lt;-0.01,AND(I447&lt;&gt;"Проведён",I447&lt;&gt;"Черновик")),"ОШИБКА","ОК"))</f>
        <v/>
      </c>
      <c r="Q447" s="4" t="str">
        <f t="shared" si="34"/>
        <v/>
      </c>
    </row>
    <row r="448" spans="1:17" x14ac:dyDescent="0.25">
      <c r="A448" s="22"/>
      <c r="B448" s="23"/>
      <c r="C448" s="22"/>
      <c r="D448" s="22"/>
      <c r="E448" s="22"/>
      <c r="F448" s="22"/>
      <c r="G448" s="22"/>
      <c r="H448" s="23"/>
      <c r="I448" s="22"/>
      <c r="J448" s="22"/>
      <c r="K448" s="4" t="str">
        <f>IF(A448="","",SUMIFS(Cash[Оплата],Cash[Документ],A448,Cash[Дата],"&lt;="&amp;ДатаОтчета))</f>
        <v/>
      </c>
      <c r="L448" s="4" t="str">
        <f t="shared" si="30"/>
        <v/>
      </c>
      <c r="M448" s="4" t="str">
        <f t="shared" si="31"/>
        <v/>
      </c>
      <c r="N448" s="4" t="str">
        <f t="shared" si="32"/>
        <v/>
      </c>
      <c r="O448" s="4" t="str">
        <f t="shared" si="33"/>
        <v/>
      </c>
      <c r="P448" s="4" t="str">
        <f>IF(A448="",IF(COUNTA(B448:J448)&gt;0,"НЕТ ID",""),IF(OR(NOT(ISNUMBER(E448)),AND(Форма="ИП",C448="Дивиденды"),COUNTIF(Docs[ID],A448)&lt;&gt;1,NOT(ISNUMBER(B448)),B448&lt;НачалоУчета,YEAR(B448)&lt;&gt;Год,NOT(ISNUMBER(H448)),H448&lt;B448,E448&lt;0,COUNTIF(Виды,C448)&lt;&gt;1,COUNTIF(Категории,D448)&lt;&gt;1,COUNTIF(Контрагенты,F448)&lt;&gt;1,COUNTIF(Проекты,G448)&lt;&gt;1,L448&lt;-0.01,AND(I448&lt;&gt;"Проведён",I448&lt;&gt;"Черновик")),"ОШИБКА","ОК"))</f>
        <v/>
      </c>
      <c r="Q448" s="4" t="str">
        <f t="shared" si="34"/>
        <v/>
      </c>
    </row>
    <row r="449" spans="1:17" x14ac:dyDescent="0.25">
      <c r="A449" s="22"/>
      <c r="B449" s="23"/>
      <c r="C449" s="22"/>
      <c r="D449" s="22"/>
      <c r="E449" s="22"/>
      <c r="F449" s="22"/>
      <c r="G449" s="22"/>
      <c r="H449" s="23"/>
      <c r="I449" s="22"/>
      <c r="J449" s="22"/>
      <c r="K449" s="4" t="str">
        <f>IF(A449="","",SUMIFS(Cash[Оплата],Cash[Документ],A449,Cash[Дата],"&lt;="&amp;ДатаОтчета))</f>
        <v/>
      </c>
      <c r="L449" s="4" t="str">
        <f t="shared" si="30"/>
        <v/>
      </c>
      <c r="M449" s="4" t="str">
        <f t="shared" si="31"/>
        <v/>
      </c>
      <c r="N449" s="4" t="str">
        <f t="shared" si="32"/>
        <v/>
      </c>
      <c r="O449" s="4" t="str">
        <f t="shared" si="33"/>
        <v/>
      </c>
      <c r="P449" s="4" t="str">
        <f>IF(A449="",IF(COUNTA(B449:J449)&gt;0,"НЕТ ID",""),IF(OR(NOT(ISNUMBER(E449)),AND(Форма="ИП",C449="Дивиденды"),COUNTIF(Docs[ID],A449)&lt;&gt;1,NOT(ISNUMBER(B449)),B449&lt;НачалоУчета,YEAR(B449)&lt;&gt;Год,NOT(ISNUMBER(H449)),H449&lt;B449,E449&lt;0,COUNTIF(Виды,C449)&lt;&gt;1,COUNTIF(Категории,D449)&lt;&gt;1,COUNTIF(Контрагенты,F449)&lt;&gt;1,COUNTIF(Проекты,G449)&lt;&gt;1,L449&lt;-0.01,AND(I449&lt;&gt;"Проведён",I449&lt;&gt;"Черновик")),"ОШИБКА","ОК"))</f>
        <v/>
      </c>
      <c r="Q449" s="4" t="str">
        <f t="shared" si="34"/>
        <v/>
      </c>
    </row>
    <row r="450" spans="1:17" x14ac:dyDescent="0.25">
      <c r="A450" s="22"/>
      <c r="B450" s="23"/>
      <c r="C450" s="22"/>
      <c r="D450" s="22"/>
      <c r="E450" s="22"/>
      <c r="F450" s="22"/>
      <c r="G450" s="22"/>
      <c r="H450" s="23"/>
      <c r="I450" s="22"/>
      <c r="J450" s="22"/>
      <c r="K450" s="4" t="str">
        <f>IF(A450="","",SUMIFS(Cash[Оплата],Cash[Документ],A450,Cash[Дата],"&lt;="&amp;ДатаОтчета))</f>
        <v/>
      </c>
      <c r="L450" s="4" t="str">
        <f t="shared" si="30"/>
        <v/>
      </c>
      <c r="M450" s="4" t="str">
        <f t="shared" si="31"/>
        <v/>
      </c>
      <c r="N450" s="4" t="str">
        <f t="shared" si="32"/>
        <v/>
      </c>
      <c r="O450" s="4" t="str">
        <f t="shared" si="33"/>
        <v/>
      </c>
      <c r="P450" s="4" t="str">
        <f>IF(A450="",IF(COUNTA(B450:J450)&gt;0,"НЕТ ID",""),IF(OR(NOT(ISNUMBER(E450)),AND(Форма="ИП",C450="Дивиденды"),COUNTIF(Docs[ID],A450)&lt;&gt;1,NOT(ISNUMBER(B450)),B450&lt;НачалоУчета,YEAR(B450)&lt;&gt;Год,NOT(ISNUMBER(H450)),H450&lt;B450,E450&lt;0,COUNTIF(Виды,C450)&lt;&gt;1,COUNTIF(Категории,D450)&lt;&gt;1,COUNTIF(Контрагенты,F450)&lt;&gt;1,COUNTIF(Проекты,G450)&lt;&gt;1,L450&lt;-0.01,AND(I450&lt;&gt;"Проведён",I450&lt;&gt;"Черновик")),"ОШИБКА","ОК"))</f>
        <v/>
      </c>
      <c r="Q450" s="4" t="str">
        <f t="shared" si="34"/>
        <v/>
      </c>
    </row>
    <row r="451" spans="1:17" x14ac:dyDescent="0.25">
      <c r="A451" s="22"/>
      <c r="B451" s="23"/>
      <c r="C451" s="22"/>
      <c r="D451" s="22"/>
      <c r="E451" s="22"/>
      <c r="F451" s="22"/>
      <c r="G451" s="22"/>
      <c r="H451" s="23"/>
      <c r="I451" s="22"/>
      <c r="J451" s="22"/>
      <c r="K451" s="4" t="str">
        <f>IF(A451="","",SUMIFS(Cash[Оплата],Cash[Документ],A451,Cash[Дата],"&lt;="&amp;ДатаОтчета))</f>
        <v/>
      </c>
      <c r="L451" s="4" t="str">
        <f t="shared" si="30"/>
        <v/>
      </c>
      <c r="M451" s="4" t="str">
        <f t="shared" si="31"/>
        <v/>
      </c>
      <c r="N451" s="4" t="str">
        <f t="shared" si="32"/>
        <v/>
      </c>
      <c r="O451" s="4" t="str">
        <f t="shared" si="33"/>
        <v/>
      </c>
      <c r="P451" s="4" t="str">
        <f>IF(A451="",IF(COUNTA(B451:J451)&gt;0,"НЕТ ID",""),IF(OR(NOT(ISNUMBER(E451)),AND(Форма="ИП",C451="Дивиденды"),COUNTIF(Docs[ID],A451)&lt;&gt;1,NOT(ISNUMBER(B451)),B451&lt;НачалоУчета,YEAR(B451)&lt;&gt;Год,NOT(ISNUMBER(H451)),H451&lt;B451,E451&lt;0,COUNTIF(Виды,C451)&lt;&gt;1,COUNTIF(Категории,D451)&lt;&gt;1,COUNTIF(Контрагенты,F451)&lt;&gt;1,COUNTIF(Проекты,G451)&lt;&gt;1,L451&lt;-0.01,AND(I451&lt;&gt;"Проведён",I451&lt;&gt;"Черновик")),"ОШИБКА","ОК"))</f>
        <v/>
      </c>
      <c r="Q451" s="4" t="str">
        <f t="shared" si="34"/>
        <v/>
      </c>
    </row>
    <row r="452" spans="1:17" x14ac:dyDescent="0.25">
      <c r="A452" s="22"/>
      <c r="B452" s="23"/>
      <c r="C452" s="22"/>
      <c r="D452" s="22"/>
      <c r="E452" s="22"/>
      <c r="F452" s="22"/>
      <c r="G452" s="22"/>
      <c r="H452" s="23"/>
      <c r="I452" s="22"/>
      <c r="J452" s="22"/>
      <c r="K452" s="4" t="str">
        <f>IF(A452="","",SUMIFS(Cash[Оплата],Cash[Документ],A452,Cash[Дата],"&lt;="&amp;ДатаОтчета))</f>
        <v/>
      </c>
      <c r="L452" s="4" t="str">
        <f t="shared" si="30"/>
        <v/>
      </c>
      <c r="M452" s="4" t="str">
        <f t="shared" si="31"/>
        <v/>
      </c>
      <c r="N452" s="4" t="str">
        <f t="shared" si="32"/>
        <v/>
      </c>
      <c r="O452" s="4" t="str">
        <f t="shared" si="33"/>
        <v/>
      </c>
      <c r="P452" s="4" t="str">
        <f>IF(A452="",IF(COUNTA(B452:J452)&gt;0,"НЕТ ID",""),IF(OR(NOT(ISNUMBER(E452)),AND(Форма="ИП",C452="Дивиденды"),COUNTIF(Docs[ID],A452)&lt;&gt;1,NOT(ISNUMBER(B452)),B452&lt;НачалоУчета,YEAR(B452)&lt;&gt;Год,NOT(ISNUMBER(H452)),H452&lt;B452,E452&lt;0,COUNTIF(Виды,C452)&lt;&gt;1,COUNTIF(Категории,D452)&lt;&gt;1,COUNTIF(Контрагенты,F452)&lt;&gt;1,COUNTIF(Проекты,G452)&lt;&gt;1,L452&lt;-0.01,AND(I452&lt;&gt;"Проведён",I452&lt;&gt;"Черновик")),"ОШИБКА","ОК"))</f>
        <v/>
      </c>
      <c r="Q452" s="4" t="str">
        <f t="shared" si="34"/>
        <v/>
      </c>
    </row>
    <row r="453" spans="1:17" x14ac:dyDescent="0.25">
      <c r="A453" s="22"/>
      <c r="B453" s="23"/>
      <c r="C453" s="22"/>
      <c r="D453" s="22"/>
      <c r="E453" s="22"/>
      <c r="F453" s="22"/>
      <c r="G453" s="22"/>
      <c r="H453" s="23"/>
      <c r="I453" s="22"/>
      <c r="J453" s="22"/>
      <c r="K453" s="4" t="str">
        <f>IF(A453="","",SUMIFS(Cash[Оплата],Cash[Документ],A453,Cash[Дата],"&lt;="&amp;ДатаОтчета))</f>
        <v/>
      </c>
      <c r="L453" s="4" t="str">
        <f t="shared" si="30"/>
        <v/>
      </c>
      <c r="M453" s="4" t="str">
        <f t="shared" si="31"/>
        <v/>
      </c>
      <c r="N453" s="4" t="str">
        <f t="shared" si="32"/>
        <v/>
      </c>
      <c r="O453" s="4" t="str">
        <f t="shared" si="33"/>
        <v/>
      </c>
      <c r="P453" s="4" t="str">
        <f>IF(A453="",IF(COUNTA(B453:J453)&gt;0,"НЕТ ID",""),IF(OR(NOT(ISNUMBER(E453)),AND(Форма="ИП",C453="Дивиденды"),COUNTIF(Docs[ID],A453)&lt;&gt;1,NOT(ISNUMBER(B453)),B453&lt;НачалоУчета,YEAR(B453)&lt;&gt;Год,NOT(ISNUMBER(H453)),H453&lt;B453,E453&lt;0,COUNTIF(Виды,C453)&lt;&gt;1,COUNTIF(Категории,D453)&lt;&gt;1,COUNTIF(Контрагенты,F453)&lt;&gt;1,COUNTIF(Проекты,G453)&lt;&gt;1,L453&lt;-0.01,AND(I453&lt;&gt;"Проведён",I453&lt;&gt;"Черновик")),"ОШИБКА","ОК"))</f>
        <v/>
      </c>
      <c r="Q453" s="4" t="str">
        <f t="shared" si="34"/>
        <v/>
      </c>
    </row>
    <row r="454" spans="1:17" x14ac:dyDescent="0.25">
      <c r="A454" s="22"/>
      <c r="B454" s="23"/>
      <c r="C454" s="22"/>
      <c r="D454" s="22"/>
      <c r="E454" s="22"/>
      <c r="F454" s="22"/>
      <c r="G454" s="22"/>
      <c r="H454" s="23"/>
      <c r="I454" s="22"/>
      <c r="J454" s="22"/>
      <c r="K454" s="4" t="str">
        <f>IF(A454="","",SUMIFS(Cash[Оплата],Cash[Документ],A454,Cash[Дата],"&lt;="&amp;ДатаОтчета))</f>
        <v/>
      </c>
      <c r="L454" s="4" t="str">
        <f t="shared" si="30"/>
        <v/>
      </c>
      <c r="M454" s="4" t="str">
        <f t="shared" si="31"/>
        <v/>
      </c>
      <c r="N454" s="4" t="str">
        <f t="shared" si="32"/>
        <v/>
      </c>
      <c r="O454" s="4" t="str">
        <f t="shared" si="33"/>
        <v/>
      </c>
      <c r="P454" s="4" t="str">
        <f>IF(A454="",IF(COUNTA(B454:J454)&gt;0,"НЕТ ID",""),IF(OR(NOT(ISNUMBER(E454)),AND(Форма="ИП",C454="Дивиденды"),COUNTIF(Docs[ID],A454)&lt;&gt;1,NOT(ISNUMBER(B454)),B454&lt;НачалоУчета,YEAR(B454)&lt;&gt;Год,NOT(ISNUMBER(H454)),H454&lt;B454,E454&lt;0,COUNTIF(Виды,C454)&lt;&gt;1,COUNTIF(Категории,D454)&lt;&gt;1,COUNTIF(Контрагенты,F454)&lt;&gt;1,COUNTIF(Проекты,G454)&lt;&gt;1,L454&lt;-0.01,AND(I454&lt;&gt;"Проведён",I454&lt;&gt;"Черновик")),"ОШИБКА","ОК"))</f>
        <v/>
      </c>
      <c r="Q454" s="4" t="str">
        <f t="shared" si="34"/>
        <v/>
      </c>
    </row>
    <row r="455" spans="1:17" x14ac:dyDescent="0.25">
      <c r="A455" s="22"/>
      <c r="B455" s="23"/>
      <c r="C455" s="22"/>
      <c r="D455" s="22"/>
      <c r="E455" s="22"/>
      <c r="F455" s="22"/>
      <c r="G455" s="22"/>
      <c r="H455" s="23"/>
      <c r="I455" s="22"/>
      <c r="J455" s="22"/>
      <c r="K455" s="4" t="str">
        <f>IF(A455="","",SUMIFS(Cash[Оплата],Cash[Документ],A455,Cash[Дата],"&lt;="&amp;ДатаОтчета))</f>
        <v/>
      </c>
      <c r="L455" s="4" t="str">
        <f t="shared" ref="L455:L518" si="35">IF(A455="","",IF(AND(I455="Проведён",B455&lt;=ДатаОтчета),E455-K455,0))</f>
        <v/>
      </c>
      <c r="M455" s="4" t="str">
        <f t="shared" ref="M455:M518" si="36">IF(A455="","",IF(L455&gt;0.01,MAX(0,ДатаОтчета-H455),0))</f>
        <v/>
      </c>
      <c r="N455" s="4" t="str">
        <f t="shared" ref="N455:N518" si="37">IF(A455="","",IF(L455&lt;=0.01,"Закрыта",IF(M455=0,"Не просрочена",IF(M455&lt;=30,"1–30 дней",IF(M455&lt;=60,"31–60 дней",IF(M455&lt;=90,"61–90 дней","Более 90 дней"))))))</f>
        <v/>
      </c>
      <c r="O455" s="4" t="str">
        <f t="shared" ref="O455:O518" si="38">IF(A455="","",IF(L455&lt;-0.01,"Переплата",IF(L455&lt;=0.01,"Оплачено",IF(M455&gt;0,"Просрочено",IF(H455&lt;=ДатаОтчета+7,"Оплата в 7 дней","Открыто")))))</f>
        <v/>
      </c>
      <c r="P455" s="4" t="str">
        <f>IF(A455="",IF(COUNTA(B455:J455)&gt;0,"НЕТ ID",""),IF(OR(NOT(ISNUMBER(E455)),AND(Форма="ИП",C455="Дивиденды"),COUNTIF(Docs[ID],A455)&lt;&gt;1,NOT(ISNUMBER(B455)),B455&lt;НачалоУчета,YEAR(B455)&lt;&gt;Год,NOT(ISNUMBER(H455)),H455&lt;B455,E455&lt;0,COUNTIF(Виды,C455)&lt;&gt;1,COUNTIF(Категории,D455)&lt;&gt;1,COUNTIF(Контрагенты,F455)&lt;&gt;1,COUNTIF(Проекты,G455)&lt;&gt;1,L455&lt;-0.01,AND(I455&lt;&gt;"Проведён",I455&lt;&gt;"Черновик")),"ОШИБКА","ОК"))</f>
        <v/>
      </c>
      <c r="Q455" s="4" t="str">
        <f t="shared" ref="Q455:Q518" si="39">IF(A455="","",IF(OR(C455="Выручка",C455="Начальная ДЗ"),"ДЗ","КЗ"))</f>
        <v/>
      </c>
    </row>
    <row r="456" spans="1:17" x14ac:dyDescent="0.25">
      <c r="A456" s="22"/>
      <c r="B456" s="23"/>
      <c r="C456" s="22"/>
      <c r="D456" s="22"/>
      <c r="E456" s="22"/>
      <c r="F456" s="22"/>
      <c r="G456" s="22"/>
      <c r="H456" s="23"/>
      <c r="I456" s="22"/>
      <c r="J456" s="22"/>
      <c r="K456" s="4" t="str">
        <f>IF(A456="","",SUMIFS(Cash[Оплата],Cash[Документ],A456,Cash[Дата],"&lt;="&amp;ДатаОтчета))</f>
        <v/>
      </c>
      <c r="L456" s="4" t="str">
        <f t="shared" si="35"/>
        <v/>
      </c>
      <c r="M456" s="4" t="str">
        <f t="shared" si="36"/>
        <v/>
      </c>
      <c r="N456" s="4" t="str">
        <f t="shared" si="37"/>
        <v/>
      </c>
      <c r="O456" s="4" t="str">
        <f t="shared" si="38"/>
        <v/>
      </c>
      <c r="P456" s="4" t="str">
        <f>IF(A456="",IF(COUNTA(B456:J456)&gt;0,"НЕТ ID",""),IF(OR(NOT(ISNUMBER(E456)),AND(Форма="ИП",C456="Дивиденды"),COUNTIF(Docs[ID],A456)&lt;&gt;1,NOT(ISNUMBER(B456)),B456&lt;НачалоУчета,YEAR(B456)&lt;&gt;Год,NOT(ISNUMBER(H456)),H456&lt;B456,E456&lt;0,COUNTIF(Виды,C456)&lt;&gt;1,COUNTIF(Категории,D456)&lt;&gt;1,COUNTIF(Контрагенты,F456)&lt;&gt;1,COUNTIF(Проекты,G456)&lt;&gt;1,L456&lt;-0.01,AND(I456&lt;&gt;"Проведён",I456&lt;&gt;"Черновик")),"ОШИБКА","ОК"))</f>
        <v/>
      </c>
      <c r="Q456" s="4" t="str">
        <f t="shared" si="39"/>
        <v/>
      </c>
    </row>
    <row r="457" spans="1:17" x14ac:dyDescent="0.25">
      <c r="A457" s="22"/>
      <c r="B457" s="23"/>
      <c r="C457" s="22"/>
      <c r="D457" s="22"/>
      <c r="E457" s="22"/>
      <c r="F457" s="22"/>
      <c r="G457" s="22"/>
      <c r="H457" s="23"/>
      <c r="I457" s="22"/>
      <c r="J457" s="22"/>
      <c r="K457" s="4" t="str">
        <f>IF(A457="","",SUMIFS(Cash[Оплата],Cash[Документ],A457,Cash[Дата],"&lt;="&amp;ДатаОтчета))</f>
        <v/>
      </c>
      <c r="L457" s="4" t="str">
        <f t="shared" si="35"/>
        <v/>
      </c>
      <c r="M457" s="4" t="str">
        <f t="shared" si="36"/>
        <v/>
      </c>
      <c r="N457" s="4" t="str">
        <f t="shared" si="37"/>
        <v/>
      </c>
      <c r="O457" s="4" t="str">
        <f t="shared" si="38"/>
        <v/>
      </c>
      <c r="P457" s="4" t="str">
        <f>IF(A457="",IF(COUNTA(B457:J457)&gt;0,"НЕТ ID",""),IF(OR(NOT(ISNUMBER(E457)),AND(Форма="ИП",C457="Дивиденды"),COUNTIF(Docs[ID],A457)&lt;&gt;1,NOT(ISNUMBER(B457)),B457&lt;НачалоУчета,YEAR(B457)&lt;&gt;Год,NOT(ISNUMBER(H457)),H457&lt;B457,E457&lt;0,COUNTIF(Виды,C457)&lt;&gt;1,COUNTIF(Категории,D457)&lt;&gt;1,COUNTIF(Контрагенты,F457)&lt;&gt;1,COUNTIF(Проекты,G457)&lt;&gt;1,L457&lt;-0.01,AND(I457&lt;&gt;"Проведён",I457&lt;&gt;"Черновик")),"ОШИБКА","ОК"))</f>
        <v/>
      </c>
      <c r="Q457" s="4" t="str">
        <f t="shared" si="39"/>
        <v/>
      </c>
    </row>
    <row r="458" spans="1:17" x14ac:dyDescent="0.25">
      <c r="A458" s="22"/>
      <c r="B458" s="23"/>
      <c r="C458" s="22"/>
      <c r="D458" s="22"/>
      <c r="E458" s="22"/>
      <c r="F458" s="22"/>
      <c r="G458" s="22"/>
      <c r="H458" s="23"/>
      <c r="I458" s="22"/>
      <c r="J458" s="22"/>
      <c r="K458" s="4" t="str">
        <f>IF(A458="","",SUMIFS(Cash[Оплата],Cash[Документ],A458,Cash[Дата],"&lt;="&amp;ДатаОтчета))</f>
        <v/>
      </c>
      <c r="L458" s="4" t="str">
        <f t="shared" si="35"/>
        <v/>
      </c>
      <c r="M458" s="4" t="str">
        <f t="shared" si="36"/>
        <v/>
      </c>
      <c r="N458" s="4" t="str">
        <f t="shared" si="37"/>
        <v/>
      </c>
      <c r="O458" s="4" t="str">
        <f t="shared" si="38"/>
        <v/>
      </c>
      <c r="P458" s="4" t="str">
        <f>IF(A458="",IF(COUNTA(B458:J458)&gt;0,"НЕТ ID",""),IF(OR(NOT(ISNUMBER(E458)),AND(Форма="ИП",C458="Дивиденды"),COUNTIF(Docs[ID],A458)&lt;&gt;1,NOT(ISNUMBER(B458)),B458&lt;НачалоУчета,YEAR(B458)&lt;&gt;Год,NOT(ISNUMBER(H458)),H458&lt;B458,E458&lt;0,COUNTIF(Виды,C458)&lt;&gt;1,COUNTIF(Категории,D458)&lt;&gt;1,COUNTIF(Контрагенты,F458)&lt;&gt;1,COUNTIF(Проекты,G458)&lt;&gt;1,L458&lt;-0.01,AND(I458&lt;&gt;"Проведён",I458&lt;&gt;"Черновик")),"ОШИБКА","ОК"))</f>
        <v/>
      </c>
      <c r="Q458" s="4" t="str">
        <f t="shared" si="39"/>
        <v/>
      </c>
    </row>
    <row r="459" spans="1:17" x14ac:dyDescent="0.25">
      <c r="A459" s="22"/>
      <c r="B459" s="23"/>
      <c r="C459" s="22"/>
      <c r="D459" s="22"/>
      <c r="E459" s="22"/>
      <c r="F459" s="22"/>
      <c r="G459" s="22"/>
      <c r="H459" s="23"/>
      <c r="I459" s="22"/>
      <c r="J459" s="22"/>
      <c r="K459" s="4" t="str">
        <f>IF(A459="","",SUMIFS(Cash[Оплата],Cash[Документ],A459,Cash[Дата],"&lt;="&amp;ДатаОтчета))</f>
        <v/>
      </c>
      <c r="L459" s="4" t="str">
        <f t="shared" si="35"/>
        <v/>
      </c>
      <c r="M459" s="4" t="str">
        <f t="shared" si="36"/>
        <v/>
      </c>
      <c r="N459" s="4" t="str">
        <f t="shared" si="37"/>
        <v/>
      </c>
      <c r="O459" s="4" t="str">
        <f t="shared" si="38"/>
        <v/>
      </c>
      <c r="P459" s="4" t="str">
        <f>IF(A459="",IF(COUNTA(B459:J459)&gt;0,"НЕТ ID",""),IF(OR(NOT(ISNUMBER(E459)),AND(Форма="ИП",C459="Дивиденды"),COUNTIF(Docs[ID],A459)&lt;&gt;1,NOT(ISNUMBER(B459)),B459&lt;НачалоУчета,YEAR(B459)&lt;&gt;Год,NOT(ISNUMBER(H459)),H459&lt;B459,E459&lt;0,COUNTIF(Виды,C459)&lt;&gt;1,COUNTIF(Категории,D459)&lt;&gt;1,COUNTIF(Контрагенты,F459)&lt;&gt;1,COUNTIF(Проекты,G459)&lt;&gt;1,L459&lt;-0.01,AND(I459&lt;&gt;"Проведён",I459&lt;&gt;"Черновик")),"ОШИБКА","ОК"))</f>
        <v/>
      </c>
      <c r="Q459" s="4" t="str">
        <f t="shared" si="39"/>
        <v/>
      </c>
    </row>
    <row r="460" spans="1:17" x14ac:dyDescent="0.25">
      <c r="A460" s="22"/>
      <c r="B460" s="23"/>
      <c r="C460" s="22"/>
      <c r="D460" s="22"/>
      <c r="E460" s="22"/>
      <c r="F460" s="22"/>
      <c r="G460" s="22"/>
      <c r="H460" s="23"/>
      <c r="I460" s="22"/>
      <c r="J460" s="22"/>
      <c r="K460" s="4" t="str">
        <f>IF(A460="","",SUMIFS(Cash[Оплата],Cash[Документ],A460,Cash[Дата],"&lt;="&amp;ДатаОтчета))</f>
        <v/>
      </c>
      <c r="L460" s="4" t="str">
        <f t="shared" si="35"/>
        <v/>
      </c>
      <c r="M460" s="4" t="str">
        <f t="shared" si="36"/>
        <v/>
      </c>
      <c r="N460" s="4" t="str">
        <f t="shared" si="37"/>
        <v/>
      </c>
      <c r="O460" s="4" t="str">
        <f t="shared" si="38"/>
        <v/>
      </c>
      <c r="P460" s="4" t="str">
        <f>IF(A460="",IF(COUNTA(B460:J460)&gt;0,"НЕТ ID",""),IF(OR(NOT(ISNUMBER(E460)),AND(Форма="ИП",C460="Дивиденды"),COUNTIF(Docs[ID],A460)&lt;&gt;1,NOT(ISNUMBER(B460)),B460&lt;НачалоУчета,YEAR(B460)&lt;&gt;Год,NOT(ISNUMBER(H460)),H460&lt;B460,E460&lt;0,COUNTIF(Виды,C460)&lt;&gt;1,COUNTIF(Категории,D460)&lt;&gt;1,COUNTIF(Контрагенты,F460)&lt;&gt;1,COUNTIF(Проекты,G460)&lt;&gt;1,L460&lt;-0.01,AND(I460&lt;&gt;"Проведён",I460&lt;&gt;"Черновик")),"ОШИБКА","ОК"))</f>
        <v/>
      </c>
      <c r="Q460" s="4" t="str">
        <f t="shared" si="39"/>
        <v/>
      </c>
    </row>
    <row r="461" spans="1:17" x14ac:dyDescent="0.25">
      <c r="A461" s="22"/>
      <c r="B461" s="23"/>
      <c r="C461" s="22"/>
      <c r="D461" s="22"/>
      <c r="E461" s="22"/>
      <c r="F461" s="22"/>
      <c r="G461" s="22"/>
      <c r="H461" s="23"/>
      <c r="I461" s="22"/>
      <c r="J461" s="22"/>
      <c r="K461" s="4" t="str">
        <f>IF(A461="","",SUMIFS(Cash[Оплата],Cash[Документ],A461,Cash[Дата],"&lt;="&amp;ДатаОтчета))</f>
        <v/>
      </c>
      <c r="L461" s="4" t="str">
        <f t="shared" si="35"/>
        <v/>
      </c>
      <c r="M461" s="4" t="str">
        <f t="shared" si="36"/>
        <v/>
      </c>
      <c r="N461" s="4" t="str">
        <f t="shared" si="37"/>
        <v/>
      </c>
      <c r="O461" s="4" t="str">
        <f t="shared" si="38"/>
        <v/>
      </c>
      <c r="P461" s="4" t="str">
        <f>IF(A461="",IF(COUNTA(B461:J461)&gt;0,"НЕТ ID",""),IF(OR(NOT(ISNUMBER(E461)),AND(Форма="ИП",C461="Дивиденды"),COUNTIF(Docs[ID],A461)&lt;&gt;1,NOT(ISNUMBER(B461)),B461&lt;НачалоУчета,YEAR(B461)&lt;&gt;Год,NOT(ISNUMBER(H461)),H461&lt;B461,E461&lt;0,COUNTIF(Виды,C461)&lt;&gt;1,COUNTIF(Категории,D461)&lt;&gt;1,COUNTIF(Контрагенты,F461)&lt;&gt;1,COUNTIF(Проекты,G461)&lt;&gt;1,L461&lt;-0.01,AND(I461&lt;&gt;"Проведён",I461&lt;&gt;"Черновик")),"ОШИБКА","ОК"))</f>
        <v/>
      </c>
      <c r="Q461" s="4" t="str">
        <f t="shared" si="39"/>
        <v/>
      </c>
    </row>
    <row r="462" spans="1:17" x14ac:dyDescent="0.25">
      <c r="A462" s="22"/>
      <c r="B462" s="23"/>
      <c r="C462" s="22"/>
      <c r="D462" s="22"/>
      <c r="E462" s="22"/>
      <c r="F462" s="22"/>
      <c r="G462" s="22"/>
      <c r="H462" s="23"/>
      <c r="I462" s="22"/>
      <c r="J462" s="22"/>
      <c r="K462" s="4" t="str">
        <f>IF(A462="","",SUMIFS(Cash[Оплата],Cash[Документ],A462,Cash[Дата],"&lt;="&amp;ДатаОтчета))</f>
        <v/>
      </c>
      <c r="L462" s="4" t="str">
        <f t="shared" si="35"/>
        <v/>
      </c>
      <c r="M462" s="4" t="str">
        <f t="shared" si="36"/>
        <v/>
      </c>
      <c r="N462" s="4" t="str">
        <f t="shared" si="37"/>
        <v/>
      </c>
      <c r="O462" s="4" t="str">
        <f t="shared" si="38"/>
        <v/>
      </c>
      <c r="P462" s="4" t="str">
        <f>IF(A462="",IF(COUNTA(B462:J462)&gt;0,"НЕТ ID",""),IF(OR(NOT(ISNUMBER(E462)),AND(Форма="ИП",C462="Дивиденды"),COUNTIF(Docs[ID],A462)&lt;&gt;1,NOT(ISNUMBER(B462)),B462&lt;НачалоУчета,YEAR(B462)&lt;&gt;Год,NOT(ISNUMBER(H462)),H462&lt;B462,E462&lt;0,COUNTIF(Виды,C462)&lt;&gt;1,COUNTIF(Категории,D462)&lt;&gt;1,COUNTIF(Контрагенты,F462)&lt;&gt;1,COUNTIF(Проекты,G462)&lt;&gt;1,L462&lt;-0.01,AND(I462&lt;&gt;"Проведён",I462&lt;&gt;"Черновик")),"ОШИБКА","ОК"))</f>
        <v/>
      </c>
      <c r="Q462" s="4" t="str">
        <f t="shared" si="39"/>
        <v/>
      </c>
    </row>
    <row r="463" spans="1:17" x14ac:dyDescent="0.25">
      <c r="A463" s="22"/>
      <c r="B463" s="23"/>
      <c r="C463" s="22"/>
      <c r="D463" s="22"/>
      <c r="E463" s="22"/>
      <c r="F463" s="22"/>
      <c r="G463" s="22"/>
      <c r="H463" s="23"/>
      <c r="I463" s="22"/>
      <c r="J463" s="22"/>
      <c r="K463" s="4" t="str">
        <f>IF(A463="","",SUMIFS(Cash[Оплата],Cash[Документ],A463,Cash[Дата],"&lt;="&amp;ДатаОтчета))</f>
        <v/>
      </c>
      <c r="L463" s="4" t="str">
        <f t="shared" si="35"/>
        <v/>
      </c>
      <c r="M463" s="4" t="str">
        <f t="shared" si="36"/>
        <v/>
      </c>
      <c r="N463" s="4" t="str">
        <f t="shared" si="37"/>
        <v/>
      </c>
      <c r="O463" s="4" t="str">
        <f t="shared" si="38"/>
        <v/>
      </c>
      <c r="P463" s="4" t="str">
        <f>IF(A463="",IF(COUNTA(B463:J463)&gt;0,"НЕТ ID",""),IF(OR(NOT(ISNUMBER(E463)),AND(Форма="ИП",C463="Дивиденды"),COUNTIF(Docs[ID],A463)&lt;&gt;1,NOT(ISNUMBER(B463)),B463&lt;НачалоУчета,YEAR(B463)&lt;&gt;Год,NOT(ISNUMBER(H463)),H463&lt;B463,E463&lt;0,COUNTIF(Виды,C463)&lt;&gt;1,COUNTIF(Категории,D463)&lt;&gt;1,COUNTIF(Контрагенты,F463)&lt;&gt;1,COUNTIF(Проекты,G463)&lt;&gt;1,L463&lt;-0.01,AND(I463&lt;&gt;"Проведён",I463&lt;&gt;"Черновик")),"ОШИБКА","ОК"))</f>
        <v/>
      </c>
      <c r="Q463" s="4" t="str">
        <f t="shared" si="39"/>
        <v/>
      </c>
    </row>
    <row r="464" spans="1:17" x14ac:dyDescent="0.25">
      <c r="A464" s="22"/>
      <c r="B464" s="23"/>
      <c r="C464" s="22"/>
      <c r="D464" s="22"/>
      <c r="E464" s="22"/>
      <c r="F464" s="22"/>
      <c r="G464" s="22"/>
      <c r="H464" s="23"/>
      <c r="I464" s="22"/>
      <c r="J464" s="22"/>
      <c r="K464" s="4" t="str">
        <f>IF(A464="","",SUMIFS(Cash[Оплата],Cash[Документ],A464,Cash[Дата],"&lt;="&amp;ДатаОтчета))</f>
        <v/>
      </c>
      <c r="L464" s="4" t="str">
        <f t="shared" si="35"/>
        <v/>
      </c>
      <c r="M464" s="4" t="str">
        <f t="shared" si="36"/>
        <v/>
      </c>
      <c r="N464" s="4" t="str">
        <f t="shared" si="37"/>
        <v/>
      </c>
      <c r="O464" s="4" t="str">
        <f t="shared" si="38"/>
        <v/>
      </c>
      <c r="P464" s="4" t="str">
        <f>IF(A464="",IF(COUNTA(B464:J464)&gt;0,"НЕТ ID",""),IF(OR(NOT(ISNUMBER(E464)),AND(Форма="ИП",C464="Дивиденды"),COUNTIF(Docs[ID],A464)&lt;&gt;1,NOT(ISNUMBER(B464)),B464&lt;НачалоУчета,YEAR(B464)&lt;&gt;Год,NOT(ISNUMBER(H464)),H464&lt;B464,E464&lt;0,COUNTIF(Виды,C464)&lt;&gt;1,COUNTIF(Категории,D464)&lt;&gt;1,COUNTIF(Контрагенты,F464)&lt;&gt;1,COUNTIF(Проекты,G464)&lt;&gt;1,L464&lt;-0.01,AND(I464&lt;&gt;"Проведён",I464&lt;&gt;"Черновик")),"ОШИБКА","ОК"))</f>
        <v/>
      </c>
      <c r="Q464" s="4" t="str">
        <f t="shared" si="39"/>
        <v/>
      </c>
    </row>
    <row r="465" spans="1:17" x14ac:dyDescent="0.25">
      <c r="A465" s="22"/>
      <c r="B465" s="23"/>
      <c r="C465" s="22"/>
      <c r="D465" s="22"/>
      <c r="E465" s="22"/>
      <c r="F465" s="22"/>
      <c r="G465" s="22"/>
      <c r="H465" s="23"/>
      <c r="I465" s="22"/>
      <c r="J465" s="22"/>
      <c r="K465" s="4" t="str">
        <f>IF(A465="","",SUMIFS(Cash[Оплата],Cash[Документ],A465,Cash[Дата],"&lt;="&amp;ДатаОтчета))</f>
        <v/>
      </c>
      <c r="L465" s="4" t="str">
        <f t="shared" si="35"/>
        <v/>
      </c>
      <c r="M465" s="4" t="str">
        <f t="shared" si="36"/>
        <v/>
      </c>
      <c r="N465" s="4" t="str">
        <f t="shared" si="37"/>
        <v/>
      </c>
      <c r="O465" s="4" t="str">
        <f t="shared" si="38"/>
        <v/>
      </c>
      <c r="P465" s="4" t="str">
        <f>IF(A465="",IF(COUNTA(B465:J465)&gt;0,"НЕТ ID",""),IF(OR(NOT(ISNUMBER(E465)),AND(Форма="ИП",C465="Дивиденды"),COUNTIF(Docs[ID],A465)&lt;&gt;1,NOT(ISNUMBER(B465)),B465&lt;НачалоУчета,YEAR(B465)&lt;&gt;Год,NOT(ISNUMBER(H465)),H465&lt;B465,E465&lt;0,COUNTIF(Виды,C465)&lt;&gt;1,COUNTIF(Категории,D465)&lt;&gt;1,COUNTIF(Контрагенты,F465)&lt;&gt;1,COUNTIF(Проекты,G465)&lt;&gt;1,L465&lt;-0.01,AND(I465&lt;&gt;"Проведён",I465&lt;&gt;"Черновик")),"ОШИБКА","ОК"))</f>
        <v/>
      </c>
      <c r="Q465" s="4" t="str">
        <f t="shared" si="39"/>
        <v/>
      </c>
    </row>
    <row r="466" spans="1:17" x14ac:dyDescent="0.25">
      <c r="A466" s="22"/>
      <c r="B466" s="23"/>
      <c r="C466" s="22"/>
      <c r="D466" s="22"/>
      <c r="E466" s="22"/>
      <c r="F466" s="22"/>
      <c r="G466" s="22"/>
      <c r="H466" s="23"/>
      <c r="I466" s="22"/>
      <c r="J466" s="22"/>
      <c r="K466" s="4" t="str">
        <f>IF(A466="","",SUMIFS(Cash[Оплата],Cash[Документ],A466,Cash[Дата],"&lt;="&amp;ДатаОтчета))</f>
        <v/>
      </c>
      <c r="L466" s="4" t="str">
        <f t="shared" si="35"/>
        <v/>
      </c>
      <c r="M466" s="4" t="str">
        <f t="shared" si="36"/>
        <v/>
      </c>
      <c r="N466" s="4" t="str">
        <f t="shared" si="37"/>
        <v/>
      </c>
      <c r="O466" s="4" t="str">
        <f t="shared" si="38"/>
        <v/>
      </c>
      <c r="P466" s="4" t="str">
        <f>IF(A466="",IF(COUNTA(B466:J466)&gt;0,"НЕТ ID",""),IF(OR(NOT(ISNUMBER(E466)),AND(Форма="ИП",C466="Дивиденды"),COUNTIF(Docs[ID],A466)&lt;&gt;1,NOT(ISNUMBER(B466)),B466&lt;НачалоУчета,YEAR(B466)&lt;&gt;Год,NOT(ISNUMBER(H466)),H466&lt;B466,E466&lt;0,COUNTIF(Виды,C466)&lt;&gt;1,COUNTIF(Категории,D466)&lt;&gt;1,COUNTIF(Контрагенты,F466)&lt;&gt;1,COUNTIF(Проекты,G466)&lt;&gt;1,L466&lt;-0.01,AND(I466&lt;&gt;"Проведён",I466&lt;&gt;"Черновик")),"ОШИБКА","ОК"))</f>
        <v/>
      </c>
      <c r="Q466" s="4" t="str">
        <f t="shared" si="39"/>
        <v/>
      </c>
    </row>
    <row r="467" spans="1:17" x14ac:dyDescent="0.25">
      <c r="A467" s="22"/>
      <c r="B467" s="23"/>
      <c r="C467" s="22"/>
      <c r="D467" s="22"/>
      <c r="E467" s="22"/>
      <c r="F467" s="22"/>
      <c r="G467" s="22"/>
      <c r="H467" s="23"/>
      <c r="I467" s="22"/>
      <c r="J467" s="22"/>
      <c r="K467" s="4" t="str">
        <f>IF(A467="","",SUMIFS(Cash[Оплата],Cash[Документ],A467,Cash[Дата],"&lt;="&amp;ДатаОтчета))</f>
        <v/>
      </c>
      <c r="L467" s="4" t="str">
        <f t="shared" si="35"/>
        <v/>
      </c>
      <c r="M467" s="4" t="str">
        <f t="shared" si="36"/>
        <v/>
      </c>
      <c r="N467" s="4" t="str">
        <f t="shared" si="37"/>
        <v/>
      </c>
      <c r="O467" s="4" t="str">
        <f t="shared" si="38"/>
        <v/>
      </c>
      <c r="P467" s="4" t="str">
        <f>IF(A467="",IF(COUNTA(B467:J467)&gt;0,"НЕТ ID",""),IF(OR(NOT(ISNUMBER(E467)),AND(Форма="ИП",C467="Дивиденды"),COUNTIF(Docs[ID],A467)&lt;&gt;1,NOT(ISNUMBER(B467)),B467&lt;НачалоУчета,YEAR(B467)&lt;&gt;Год,NOT(ISNUMBER(H467)),H467&lt;B467,E467&lt;0,COUNTIF(Виды,C467)&lt;&gt;1,COUNTIF(Категории,D467)&lt;&gt;1,COUNTIF(Контрагенты,F467)&lt;&gt;1,COUNTIF(Проекты,G467)&lt;&gt;1,L467&lt;-0.01,AND(I467&lt;&gt;"Проведён",I467&lt;&gt;"Черновик")),"ОШИБКА","ОК"))</f>
        <v/>
      </c>
      <c r="Q467" s="4" t="str">
        <f t="shared" si="39"/>
        <v/>
      </c>
    </row>
    <row r="468" spans="1:17" x14ac:dyDescent="0.25">
      <c r="A468" s="22"/>
      <c r="B468" s="23"/>
      <c r="C468" s="22"/>
      <c r="D468" s="22"/>
      <c r="E468" s="22"/>
      <c r="F468" s="22"/>
      <c r="G468" s="22"/>
      <c r="H468" s="23"/>
      <c r="I468" s="22"/>
      <c r="J468" s="22"/>
      <c r="K468" s="4" t="str">
        <f>IF(A468="","",SUMIFS(Cash[Оплата],Cash[Документ],A468,Cash[Дата],"&lt;="&amp;ДатаОтчета))</f>
        <v/>
      </c>
      <c r="L468" s="4" t="str">
        <f t="shared" si="35"/>
        <v/>
      </c>
      <c r="M468" s="4" t="str">
        <f t="shared" si="36"/>
        <v/>
      </c>
      <c r="N468" s="4" t="str">
        <f t="shared" si="37"/>
        <v/>
      </c>
      <c r="O468" s="4" t="str">
        <f t="shared" si="38"/>
        <v/>
      </c>
      <c r="P468" s="4" t="str">
        <f>IF(A468="",IF(COUNTA(B468:J468)&gt;0,"НЕТ ID",""),IF(OR(NOT(ISNUMBER(E468)),AND(Форма="ИП",C468="Дивиденды"),COUNTIF(Docs[ID],A468)&lt;&gt;1,NOT(ISNUMBER(B468)),B468&lt;НачалоУчета,YEAR(B468)&lt;&gt;Год,NOT(ISNUMBER(H468)),H468&lt;B468,E468&lt;0,COUNTIF(Виды,C468)&lt;&gt;1,COUNTIF(Категории,D468)&lt;&gt;1,COUNTIF(Контрагенты,F468)&lt;&gt;1,COUNTIF(Проекты,G468)&lt;&gt;1,L468&lt;-0.01,AND(I468&lt;&gt;"Проведён",I468&lt;&gt;"Черновик")),"ОШИБКА","ОК"))</f>
        <v/>
      </c>
      <c r="Q468" s="4" t="str">
        <f t="shared" si="39"/>
        <v/>
      </c>
    </row>
    <row r="469" spans="1:17" x14ac:dyDescent="0.25">
      <c r="A469" s="22"/>
      <c r="B469" s="23"/>
      <c r="C469" s="22"/>
      <c r="D469" s="22"/>
      <c r="E469" s="22"/>
      <c r="F469" s="22"/>
      <c r="G469" s="22"/>
      <c r="H469" s="23"/>
      <c r="I469" s="22"/>
      <c r="J469" s="22"/>
      <c r="K469" s="4" t="str">
        <f>IF(A469="","",SUMIFS(Cash[Оплата],Cash[Документ],A469,Cash[Дата],"&lt;="&amp;ДатаОтчета))</f>
        <v/>
      </c>
      <c r="L469" s="4" t="str">
        <f t="shared" si="35"/>
        <v/>
      </c>
      <c r="M469" s="4" t="str">
        <f t="shared" si="36"/>
        <v/>
      </c>
      <c r="N469" s="4" t="str">
        <f t="shared" si="37"/>
        <v/>
      </c>
      <c r="O469" s="4" t="str">
        <f t="shared" si="38"/>
        <v/>
      </c>
      <c r="P469" s="4" t="str">
        <f>IF(A469="",IF(COUNTA(B469:J469)&gt;0,"НЕТ ID",""),IF(OR(NOT(ISNUMBER(E469)),AND(Форма="ИП",C469="Дивиденды"),COUNTIF(Docs[ID],A469)&lt;&gt;1,NOT(ISNUMBER(B469)),B469&lt;НачалоУчета,YEAR(B469)&lt;&gt;Год,NOT(ISNUMBER(H469)),H469&lt;B469,E469&lt;0,COUNTIF(Виды,C469)&lt;&gt;1,COUNTIF(Категории,D469)&lt;&gt;1,COUNTIF(Контрагенты,F469)&lt;&gt;1,COUNTIF(Проекты,G469)&lt;&gt;1,L469&lt;-0.01,AND(I469&lt;&gt;"Проведён",I469&lt;&gt;"Черновик")),"ОШИБКА","ОК"))</f>
        <v/>
      </c>
      <c r="Q469" s="4" t="str">
        <f t="shared" si="39"/>
        <v/>
      </c>
    </row>
    <row r="470" spans="1:17" x14ac:dyDescent="0.25">
      <c r="A470" s="22"/>
      <c r="B470" s="23"/>
      <c r="C470" s="22"/>
      <c r="D470" s="22"/>
      <c r="E470" s="22"/>
      <c r="F470" s="22"/>
      <c r="G470" s="22"/>
      <c r="H470" s="23"/>
      <c r="I470" s="22"/>
      <c r="J470" s="22"/>
      <c r="K470" s="4" t="str">
        <f>IF(A470="","",SUMIFS(Cash[Оплата],Cash[Документ],A470,Cash[Дата],"&lt;="&amp;ДатаОтчета))</f>
        <v/>
      </c>
      <c r="L470" s="4" t="str">
        <f t="shared" si="35"/>
        <v/>
      </c>
      <c r="M470" s="4" t="str">
        <f t="shared" si="36"/>
        <v/>
      </c>
      <c r="N470" s="4" t="str">
        <f t="shared" si="37"/>
        <v/>
      </c>
      <c r="O470" s="4" t="str">
        <f t="shared" si="38"/>
        <v/>
      </c>
      <c r="P470" s="4" t="str">
        <f>IF(A470="",IF(COUNTA(B470:J470)&gt;0,"НЕТ ID",""),IF(OR(NOT(ISNUMBER(E470)),AND(Форма="ИП",C470="Дивиденды"),COUNTIF(Docs[ID],A470)&lt;&gt;1,NOT(ISNUMBER(B470)),B470&lt;НачалоУчета,YEAR(B470)&lt;&gt;Год,NOT(ISNUMBER(H470)),H470&lt;B470,E470&lt;0,COUNTIF(Виды,C470)&lt;&gt;1,COUNTIF(Категории,D470)&lt;&gt;1,COUNTIF(Контрагенты,F470)&lt;&gt;1,COUNTIF(Проекты,G470)&lt;&gt;1,L470&lt;-0.01,AND(I470&lt;&gt;"Проведён",I470&lt;&gt;"Черновик")),"ОШИБКА","ОК"))</f>
        <v/>
      </c>
      <c r="Q470" s="4" t="str">
        <f t="shared" si="39"/>
        <v/>
      </c>
    </row>
    <row r="471" spans="1:17" x14ac:dyDescent="0.25">
      <c r="A471" s="22"/>
      <c r="B471" s="23"/>
      <c r="C471" s="22"/>
      <c r="D471" s="22"/>
      <c r="E471" s="22"/>
      <c r="F471" s="22"/>
      <c r="G471" s="22"/>
      <c r="H471" s="23"/>
      <c r="I471" s="22"/>
      <c r="J471" s="22"/>
      <c r="K471" s="4" t="str">
        <f>IF(A471="","",SUMIFS(Cash[Оплата],Cash[Документ],A471,Cash[Дата],"&lt;="&amp;ДатаОтчета))</f>
        <v/>
      </c>
      <c r="L471" s="4" t="str">
        <f t="shared" si="35"/>
        <v/>
      </c>
      <c r="M471" s="4" t="str">
        <f t="shared" si="36"/>
        <v/>
      </c>
      <c r="N471" s="4" t="str">
        <f t="shared" si="37"/>
        <v/>
      </c>
      <c r="O471" s="4" t="str">
        <f t="shared" si="38"/>
        <v/>
      </c>
      <c r="P471" s="4" t="str">
        <f>IF(A471="",IF(COUNTA(B471:J471)&gt;0,"НЕТ ID",""),IF(OR(NOT(ISNUMBER(E471)),AND(Форма="ИП",C471="Дивиденды"),COUNTIF(Docs[ID],A471)&lt;&gt;1,NOT(ISNUMBER(B471)),B471&lt;НачалоУчета,YEAR(B471)&lt;&gt;Год,NOT(ISNUMBER(H471)),H471&lt;B471,E471&lt;0,COUNTIF(Виды,C471)&lt;&gt;1,COUNTIF(Категории,D471)&lt;&gt;1,COUNTIF(Контрагенты,F471)&lt;&gt;1,COUNTIF(Проекты,G471)&lt;&gt;1,L471&lt;-0.01,AND(I471&lt;&gt;"Проведён",I471&lt;&gt;"Черновик")),"ОШИБКА","ОК"))</f>
        <v/>
      </c>
      <c r="Q471" s="4" t="str">
        <f t="shared" si="39"/>
        <v/>
      </c>
    </row>
    <row r="472" spans="1:17" x14ac:dyDescent="0.25">
      <c r="A472" s="22"/>
      <c r="B472" s="23"/>
      <c r="C472" s="22"/>
      <c r="D472" s="22"/>
      <c r="E472" s="22"/>
      <c r="F472" s="22"/>
      <c r="G472" s="22"/>
      <c r="H472" s="23"/>
      <c r="I472" s="22"/>
      <c r="J472" s="22"/>
      <c r="K472" s="4" t="str">
        <f>IF(A472="","",SUMIFS(Cash[Оплата],Cash[Документ],A472,Cash[Дата],"&lt;="&amp;ДатаОтчета))</f>
        <v/>
      </c>
      <c r="L472" s="4" t="str">
        <f t="shared" si="35"/>
        <v/>
      </c>
      <c r="M472" s="4" t="str">
        <f t="shared" si="36"/>
        <v/>
      </c>
      <c r="N472" s="4" t="str">
        <f t="shared" si="37"/>
        <v/>
      </c>
      <c r="O472" s="4" t="str">
        <f t="shared" si="38"/>
        <v/>
      </c>
      <c r="P472" s="4" t="str">
        <f>IF(A472="",IF(COUNTA(B472:J472)&gt;0,"НЕТ ID",""),IF(OR(NOT(ISNUMBER(E472)),AND(Форма="ИП",C472="Дивиденды"),COUNTIF(Docs[ID],A472)&lt;&gt;1,NOT(ISNUMBER(B472)),B472&lt;НачалоУчета,YEAR(B472)&lt;&gt;Год,NOT(ISNUMBER(H472)),H472&lt;B472,E472&lt;0,COUNTIF(Виды,C472)&lt;&gt;1,COUNTIF(Категории,D472)&lt;&gt;1,COUNTIF(Контрагенты,F472)&lt;&gt;1,COUNTIF(Проекты,G472)&lt;&gt;1,L472&lt;-0.01,AND(I472&lt;&gt;"Проведён",I472&lt;&gt;"Черновик")),"ОШИБКА","ОК"))</f>
        <v/>
      </c>
      <c r="Q472" s="4" t="str">
        <f t="shared" si="39"/>
        <v/>
      </c>
    </row>
    <row r="473" spans="1:17" x14ac:dyDescent="0.25">
      <c r="A473" s="22"/>
      <c r="B473" s="23"/>
      <c r="C473" s="22"/>
      <c r="D473" s="22"/>
      <c r="E473" s="22"/>
      <c r="F473" s="22"/>
      <c r="G473" s="22"/>
      <c r="H473" s="23"/>
      <c r="I473" s="22"/>
      <c r="J473" s="22"/>
      <c r="K473" s="4" t="str">
        <f>IF(A473="","",SUMIFS(Cash[Оплата],Cash[Документ],A473,Cash[Дата],"&lt;="&amp;ДатаОтчета))</f>
        <v/>
      </c>
      <c r="L473" s="4" t="str">
        <f t="shared" si="35"/>
        <v/>
      </c>
      <c r="M473" s="4" t="str">
        <f t="shared" si="36"/>
        <v/>
      </c>
      <c r="N473" s="4" t="str">
        <f t="shared" si="37"/>
        <v/>
      </c>
      <c r="O473" s="4" t="str">
        <f t="shared" si="38"/>
        <v/>
      </c>
      <c r="P473" s="4" t="str">
        <f>IF(A473="",IF(COUNTA(B473:J473)&gt;0,"НЕТ ID",""),IF(OR(NOT(ISNUMBER(E473)),AND(Форма="ИП",C473="Дивиденды"),COUNTIF(Docs[ID],A473)&lt;&gt;1,NOT(ISNUMBER(B473)),B473&lt;НачалоУчета,YEAR(B473)&lt;&gt;Год,NOT(ISNUMBER(H473)),H473&lt;B473,E473&lt;0,COUNTIF(Виды,C473)&lt;&gt;1,COUNTIF(Категории,D473)&lt;&gt;1,COUNTIF(Контрагенты,F473)&lt;&gt;1,COUNTIF(Проекты,G473)&lt;&gt;1,L473&lt;-0.01,AND(I473&lt;&gt;"Проведён",I473&lt;&gt;"Черновик")),"ОШИБКА","ОК"))</f>
        <v/>
      </c>
      <c r="Q473" s="4" t="str">
        <f t="shared" si="39"/>
        <v/>
      </c>
    </row>
    <row r="474" spans="1:17" x14ac:dyDescent="0.25">
      <c r="A474" s="22"/>
      <c r="B474" s="23"/>
      <c r="C474" s="22"/>
      <c r="D474" s="22"/>
      <c r="E474" s="22"/>
      <c r="F474" s="22"/>
      <c r="G474" s="22"/>
      <c r="H474" s="23"/>
      <c r="I474" s="22"/>
      <c r="J474" s="22"/>
      <c r="K474" s="4" t="str">
        <f>IF(A474="","",SUMIFS(Cash[Оплата],Cash[Документ],A474,Cash[Дата],"&lt;="&amp;ДатаОтчета))</f>
        <v/>
      </c>
      <c r="L474" s="4" t="str">
        <f t="shared" si="35"/>
        <v/>
      </c>
      <c r="M474" s="4" t="str">
        <f t="shared" si="36"/>
        <v/>
      </c>
      <c r="N474" s="4" t="str">
        <f t="shared" si="37"/>
        <v/>
      </c>
      <c r="O474" s="4" t="str">
        <f t="shared" si="38"/>
        <v/>
      </c>
      <c r="P474" s="4" t="str">
        <f>IF(A474="",IF(COUNTA(B474:J474)&gt;0,"НЕТ ID",""),IF(OR(NOT(ISNUMBER(E474)),AND(Форма="ИП",C474="Дивиденды"),COUNTIF(Docs[ID],A474)&lt;&gt;1,NOT(ISNUMBER(B474)),B474&lt;НачалоУчета,YEAR(B474)&lt;&gt;Год,NOT(ISNUMBER(H474)),H474&lt;B474,E474&lt;0,COUNTIF(Виды,C474)&lt;&gt;1,COUNTIF(Категории,D474)&lt;&gt;1,COUNTIF(Контрагенты,F474)&lt;&gt;1,COUNTIF(Проекты,G474)&lt;&gt;1,L474&lt;-0.01,AND(I474&lt;&gt;"Проведён",I474&lt;&gt;"Черновик")),"ОШИБКА","ОК"))</f>
        <v/>
      </c>
      <c r="Q474" s="4" t="str">
        <f t="shared" si="39"/>
        <v/>
      </c>
    </row>
    <row r="475" spans="1:17" x14ac:dyDescent="0.25">
      <c r="A475" s="22"/>
      <c r="B475" s="23"/>
      <c r="C475" s="22"/>
      <c r="D475" s="22"/>
      <c r="E475" s="22"/>
      <c r="F475" s="22"/>
      <c r="G475" s="22"/>
      <c r="H475" s="23"/>
      <c r="I475" s="22"/>
      <c r="J475" s="22"/>
      <c r="K475" s="4" t="str">
        <f>IF(A475="","",SUMIFS(Cash[Оплата],Cash[Документ],A475,Cash[Дата],"&lt;="&amp;ДатаОтчета))</f>
        <v/>
      </c>
      <c r="L475" s="4" t="str">
        <f t="shared" si="35"/>
        <v/>
      </c>
      <c r="M475" s="4" t="str">
        <f t="shared" si="36"/>
        <v/>
      </c>
      <c r="N475" s="4" t="str">
        <f t="shared" si="37"/>
        <v/>
      </c>
      <c r="O475" s="4" t="str">
        <f t="shared" si="38"/>
        <v/>
      </c>
      <c r="P475" s="4" t="str">
        <f>IF(A475="",IF(COUNTA(B475:J475)&gt;0,"НЕТ ID",""),IF(OR(NOT(ISNUMBER(E475)),AND(Форма="ИП",C475="Дивиденды"),COUNTIF(Docs[ID],A475)&lt;&gt;1,NOT(ISNUMBER(B475)),B475&lt;НачалоУчета,YEAR(B475)&lt;&gt;Год,NOT(ISNUMBER(H475)),H475&lt;B475,E475&lt;0,COUNTIF(Виды,C475)&lt;&gt;1,COUNTIF(Категории,D475)&lt;&gt;1,COUNTIF(Контрагенты,F475)&lt;&gt;1,COUNTIF(Проекты,G475)&lt;&gt;1,L475&lt;-0.01,AND(I475&lt;&gt;"Проведён",I475&lt;&gt;"Черновик")),"ОШИБКА","ОК"))</f>
        <v/>
      </c>
      <c r="Q475" s="4" t="str">
        <f t="shared" si="39"/>
        <v/>
      </c>
    </row>
    <row r="476" spans="1:17" x14ac:dyDescent="0.25">
      <c r="A476" s="22"/>
      <c r="B476" s="23"/>
      <c r="C476" s="22"/>
      <c r="D476" s="22"/>
      <c r="E476" s="22"/>
      <c r="F476" s="22"/>
      <c r="G476" s="22"/>
      <c r="H476" s="23"/>
      <c r="I476" s="22"/>
      <c r="J476" s="22"/>
      <c r="K476" s="4" t="str">
        <f>IF(A476="","",SUMIFS(Cash[Оплата],Cash[Документ],A476,Cash[Дата],"&lt;="&amp;ДатаОтчета))</f>
        <v/>
      </c>
      <c r="L476" s="4" t="str">
        <f t="shared" si="35"/>
        <v/>
      </c>
      <c r="M476" s="4" t="str">
        <f t="shared" si="36"/>
        <v/>
      </c>
      <c r="N476" s="4" t="str">
        <f t="shared" si="37"/>
        <v/>
      </c>
      <c r="O476" s="4" t="str">
        <f t="shared" si="38"/>
        <v/>
      </c>
      <c r="P476" s="4" t="str">
        <f>IF(A476="",IF(COUNTA(B476:J476)&gt;0,"НЕТ ID",""),IF(OR(NOT(ISNUMBER(E476)),AND(Форма="ИП",C476="Дивиденды"),COUNTIF(Docs[ID],A476)&lt;&gt;1,NOT(ISNUMBER(B476)),B476&lt;НачалоУчета,YEAR(B476)&lt;&gt;Год,NOT(ISNUMBER(H476)),H476&lt;B476,E476&lt;0,COUNTIF(Виды,C476)&lt;&gt;1,COUNTIF(Категории,D476)&lt;&gt;1,COUNTIF(Контрагенты,F476)&lt;&gt;1,COUNTIF(Проекты,G476)&lt;&gt;1,L476&lt;-0.01,AND(I476&lt;&gt;"Проведён",I476&lt;&gt;"Черновик")),"ОШИБКА","ОК"))</f>
        <v/>
      </c>
      <c r="Q476" s="4" t="str">
        <f t="shared" si="39"/>
        <v/>
      </c>
    </row>
    <row r="477" spans="1:17" x14ac:dyDescent="0.25">
      <c r="A477" s="22"/>
      <c r="B477" s="23"/>
      <c r="C477" s="22"/>
      <c r="D477" s="22"/>
      <c r="E477" s="22"/>
      <c r="F477" s="22"/>
      <c r="G477" s="22"/>
      <c r="H477" s="23"/>
      <c r="I477" s="22"/>
      <c r="J477" s="22"/>
      <c r="K477" s="4" t="str">
        <f>IF(A477="","",SUMIFS(Cash[Оплата],Cash[Документ],A477,Cash[Дата],"&lt;="&amp;ДатаОтчета))</f>
        <v/>
      </c>
      <c r="L477" s="4" t="str">
        <f t="shared" si="35"/>
        <v/>
      </c>
      <c r="M477" s="4" t="str">
        <f t="shared" si="36"/>
        <v/>
      </c>
      <c r="N477" s="4" t="str">
        <f t="shared" si="37"/>
        <v/>
      </c>
      <c r="O477" s="4" t="str">
        <f t="shared" si="38"/>
        <v/>
      </c>
      <c r="P477" s="4" t="str">
        <f>IF(A477="",IF(COUNTA(B477:J477)&gt;0,"НЕТ ID",""),IF(OR(NOT(ISNUMBER(E477)),AND(Форма="ИП",C477="Дивиденды"),COUNTIF(Docs[ID],A477)&lt;&gt;1,NOT(ISNUMBER(B477)),B477&lt;НачалоУчета,YEAR(B477)&lt;&gt;Год,NOT(ISNUMBER(H477)),H477&lt;B477,E477&lt;0,COUNTIF(Виды,C477)&lt;&gt;1,COUNTIF(Категории,D477)&lt;&gt;1,COUNTIF(Контрагенты,F477)&lt;&gt;1,COUNTIF(Проекты,G477)&lt;&gt;1,L477&lt;-0.01,AND(I477&lt;&gt;"Проведён",I477&lt;&gt;"Черновик")),"ОШИБКА","ОК"))</f>
        <v/>
      </c>
      <c r="Q477" s="4" t="str">
        <f t="shared" si="39"/>
        <v/>
      </c>
    </row>
    <row r="478" spans="1:17" x14ac:dyDescent="0.25">
      <c r="A478" s="22"/>
      <c r="B478" s="23"/>
      <c r="C478" s="22"/>
      <c r="D478" s="22"/>
      <c r="E478" s="22"/>
      <c r="F478" s="22"/>
      <c r="G478" s="22"/>
      <c r="H478" s="23"/>
      <c r="I478" s="22"/>
      <c r="J478" s="22"/>
      <c r="K478" s="4" t="str">
        <f>IF(A478="","",SUMIFS(Cash[Оплата],Cash[Документ],A478,Cash[Дата],"&lt;="&amp;ДатаОтчета))</f>
        <v/>
      </c>
      <c r="L478" s="4" t="str">
        <f t="shared" si="35"/>
        <v/>
      </c>
      <c r="M478" s="4" t="str">
        <f t="shared" si="36"/>
        <v/>
      </c>
      <c r="N478" s="4" t="str">
        <f t="shared" si="37"/>
        <v/>
      </c>
      <c r="O478" s="4" t="str">
        <f t="shared" si="38"/>
        <v/>
      </c>
      <c r="P478" s="4" t="str">
        <f>IF(A478="",IF(COUNTA(B478:J478)&gt;0,"НЕТ ID",""),IF(OR(NOT(ISNUMBER(E478)),AND(Форма="ИП",C478="Дивиденды"),COUNTIF(Docs[ID],A478)&lt;&gt;1,NOT(ISNUMBER(B478)),B478&lt;НачалоУчета,YEAR(B478)&lt;&gt;Год,NOT(ISNUMBER(H478)),H478&lt;B478,E478&lt;0,COUNTIF(Виды,C478)&lt;&gt;1,COUNTIF(Категории,D478)&lt;&gt;1,COUNTIF(Контрагенты,F478)&lt;&gt;1,COUNTIF(Проекты,G478)&lt;&gt;1,L478&lt;-0.01,AND(I478&lt;&gt;"Проведён",I478&lt;&gt;"Черновик")),"ОШИБКА","ОК"))</f>
        <v/>
      </c>
      <c r="Q478" s="4" t="str">
        <f t="shared" si="39"/>
        <v/>
      </c>
    </row>
    <row r="479" spans="1:17" x14ac:dyDescent="0.25">
      <c r="A479" s="22"/>
      <c r="B479" s="23"/>
      <c r="C479" s="22"/>
      <c r="D479" s="22"/>
      <c r="E479" s="22"/>
      <c r="F479" s="22"/>
      <c r="G479" s="22"/>
      <c r="H479" s="23"/>
      <c r="I479" s="22"/>
      <c r="J479" s="22"/>
      <c r="K479" s="4" t="str">
        <f>IF(A479="","",SUMIFS(Cash[Оплата],Cash[Документ],A479,Cash[Дата],"&lt;="&amp;ДатаОтчета))</f>
        <v/>
      </c>
      <c r="L479" s="4" t="str">
        <f t="shared" si="35"/>
        <v/>
      </c>
      <c r="M479" s="4" t="str">
        <f t="shared" si="36"/>
        <v/>
      </c>
      <c r="N479" s="4" t="str">
        <f t="shared" si="37"/>
        <v/>
      </c>
      <c r="O479" s="4" t="str">
        <f t="shared" si="38"/>
        <v/>
      </c>
      <c r="P479" s="4" t="str">
        <f>IF(A479="",IF(COUNTA(B479:J479)&gt;0,"НЕТ ID",""),IF(OR(NOT(ISNUMBER(E479)),AND(Форма="ИП",C479="Дивиденды"),COUNTIF(Docs[ID],A479)&lt;&gt;1,NOT(ISNUMBER(B479)),B479&lt;НачалоУчета,YEAR(B479)&lt;&gt;Год,NOT(ISNUMBER(H479)),H479&lt;B479,E479&lt;0,COUNTIF(Виды,C479)&lt;&gt;1,COUNTIF(Категории,D479)&lt;&gt;1,COUNTIF(Контрагенты,F479)&lt;&gt;1,COUNTIF(Проекты,G479)&lt;&gt;1,L479&lt;-0.01,AND(I479&lt;&gt;"Проведён",I479&lt;&gt;"Черновик")),"ОШИБКА","ОК"))</f>
        <v/>
      </c>
      <c r="Q479" s="4" t="str">
        <f t="shared" si="39"/>
        <v/>
      </c>
    </row>
    <row r="480" spans="1:17" x14ac:dyDescent="0.25">
      <c r="A480" s="22"/>
      <c r="B480" s="23"/>
      <c r="C480" s="22"/>
      <c r="D480" s="22"/>
      <c r="E480" s="22"/>
      <c r="F480" s="22"/>
      <c r="G480" s="22"/>
      <c r="H480" s="23"/>
      <c r="I480" s="22"/>
      <c r="J480" s="22"/>
      <c r="K480" s="4" t="str">
        <f>IF(A480="","",SUMIFS(Cash[Оплата],Cash[Документ],A480,Cash[Дата],"&lt;="&amp;ДатаОтчета))</f>
        <v/>
      </c>
      <c r="L480" s="4" t="str">
        <f t="shared" si="35"/>
        <v/>
      </c>
      <c r="M480" s="4" t="str">
        <f t="shared" si="36"/>
        <v/>
      </c>
      <c r="N480" s="4" t="str">
        <f t="shared" si="37"/>
        <v/>
      </c>
      <c r="O480" s="4" t="str">
        <f t="shared" si="38"/>
        <v/>
      </c>
      <c r="P480" s="4" t="str">
        <f>IF(A480="",IF(COUNTA(B480:J480)&gt;0,"НЕТ ID",""),IF(OR(NOT(ISNUMBER(E480)),AND(Форма="ИП",C480="Дивиденды"),COUNTIF(Docs[ID],A480)&lt;&gt;1,NOT(ISNUMBER(B480)),B480&lt;НачалоУчета,YEAR(B480)&lt;&gt;Год,NOT(ISNUMBER(H480)),H480&lt;B480,E480&lt;0,COUNTIF(Виды,C480)&lt;&gt;1,COUNTIF(Категории,D480)&lt;&gt;1,COUNTIF(Контрагенты,F480)&lt;&gt;1,COUNTIF(Проекты,G480)&lt;&gt;1,L480&lt;-0.01,AND(I480&lt;&gt;"Проведён",I480&lt;&gt;"Черновик")),"ОШИБКА","ОК"))</f>
        <v/>
      </c>
      <c r="Q480" s="4" t="str">
        <f t="shared" si="39"/>
        <v/>
      </c>
    </row>
    <row r="481" spans="1:17" x14ac:dyDescent="0.25">
      <c r="A481" s="22"/>
      <c r="B481" s="23"/>
      <c r="C481" s="22"/>
      <c r="D481" s="22"/>
      <c r="E481" s="22"/>
      <c r="F481" s="22"/>
      <c r="G481" s="22"/>
      <c r="H481" s="23"/>
      <c r="I481" s="22"/>
      <c r="J481" s="22"/>
      <c r="K481" s="4" t="str">
        <f>IF(A481="","",SUMIFS(Cash[Оплата],Cash[Документ],A481,Cash[Дата],"&lt;="&amp;ДатаОтчета))</f>
        <v/>
      </c>
      <c r="L481" s="4" t="str">
        <f t="shared" si="35"/>
        <v/>
      </c>
      <c r="M481" s="4" t="str">
        <f t="shared" si="36"/>
        <v/>
      </c>
      <c r="N481" s="4" t="str">
        <f t="shared" si="37"/>
        <v/>
      </c>
      <c r="O481" s="4" t="str">
        <f t="shared" si="38"/>
        <v/>
      </c>
      <c r="P481" s="4" t="str">
        <f>IF(A481="",IF(COUNTA(B481:J481)&gt;0,"НЕТ ID",""),IF(OR(NOT(ISNUMBER(E481)),AND(Форма="ИП",C481="Дивиденды"),COUNTIF(Docs[ID],A481)&lt;&gt;1,NOT(ISNUMBER(B481)),B481&lt;НачалоУчета,YEAR(B481)&lt;&gt;Год,NOT(ISNUMBER(H481)),H481&lt;B481,E481&lt;0,COUNTIF(Виды,C481)&lt;&gt;1,COUNTIF(Категории,D481)&lt;&gt;1,COUNTIF(Контрагенты,F481)&lt;&gt;1,COUNTIF(Проекты,G481)&lt;&gt;1,L481&lt;-0.01,AND(I481&lt;&gt;"Проведён",I481&lt;&gt;"Черновик")),"ОШИБКА","ОК"))</f>
        <v/>
      </c>
      <c r="Q481" s="4" t="str">
        <f t="shared" si="39"/>
        <v/>
      </c>
    </row>
    <row r="482" spans="1:17" x14ac:dyDescent="0.25">
      <c r="A482" s="22"/>
      <c r="B482" s="23"/>
      <c r="C482" s="22"/>
      <c r="D482" s="22"/>
      <c r="E482" s="22"/>
      <c r="F482" s="22"/>
      <c r="G482" s="22"/>
      <c r="H482" s="23"/>
      <c r="I482" s="22"/>
      <c r="J482" s="22"/>
      <c r="K482" s="4" t="str">
        <f>IF(A482="","",SUMIFS(Cash[Оплата],Cash[Документ],A482,Cash[Дата],"&lt;="&amp;ДатаОтчета))</f>
        <v/>
      </c>
      <c r="L482" s="4" t="str">
        <f t="shared" si="35"/>
        <v/>
      </c>
      <c r="M482" s="4" t="str">
        <f t="shared" si="36"/>
        <v/>
      </c>
      <c r="N482" s="4" t="str">
        <f t="shared" si="37"/>
        <v/>
      </c>
      <c r="O482" s="4" t="str">
        <f t="shared" si="38"/>
        <v/>
      </c>
      <c r="P482" s="4" t="str">
        <f>IF(A482="",IF(COUNTA(B482:J482)&gt;0,"НЕТ ID",""),IF(OR(NOT(ISNUMBER(E482)),AND(Форма="ИП",C482="Дивиденды"),COUNTIF(Docs[ID],A482)&lt;&gt;1,NOT(ISNUMBER(B482)),B482&lt;НачалоУчета,YEAR(B482)&lt;&gt;Год,NOT(ISNUMBER(H482)),H482&lt;B482,E482&lt;0,COUNTIF(Виды,C482)&lt;&gt;1,COUNTIF(Категории,D482)&lt;&gt;1,COUNTIF(Контрагенты,F482)&lt;&gt;1,COUNTIF(Проекты,G482)&lt;&gt;1,L482&lt;-0.01,AND(I482&lt;&gt;"Проведён",I482&lt;&gt;"Черновик")),"ОШИБКА","ОК"))</f>
        <v/>
      </c>
      <c r="Q482" s="4" t="str">
        <f t="shared" si="39"/>
        <v/>
      </c>
    </row>
    <row r="483" spans="1:17" x14ac:dyDescent="0.25">
      <c r="A483" s="22"/>
      <c r="B483" s="23"/>
      <c r="C483" s="22"/>
      <c r="D483" s="22"/>
      <c r="E483" s="22"/>
      <c r="F483" s="22"/>
      <c r="G483" s="22"/>
      <c r="H483" s="23"/>
      <c r="I483" s="22"/>
      <c r="J483" s="22"/>
      <c r="K483" s="4" t="str">
        <f>IF(A483="","",SUMIFS(Cash[Оплата],Cash[Документ],A483,Cash[Дата],"&lt;="&amp;ДатаОтчета))</f>
        <v/>
      </c>
      <c r="L483" s="4" t="str">
        <f t="shared" si="35"/>
        <v/>
      </c>
      <c r="M483" s="4" t="str">
        <f t="shared" si="36"/>
        <v/>
      </c>
      <c r="N483" s="4" t="str">
        <f t="shared" si="37"/>
        <v/>
      </c>
      <c r="O483" s="4" t="str">
        <f t="shared" si="38"/>
        <v/>
      </c>
      <c r="P483" s="4" t="str">
        <f>IF(A483="",IF(COUNTA(B483:J483)&gt;0,"НЕТ ID",""),IF(OR(NOT(ISNUMBER(E483)),AND(Форма="ИП",C483="Дивиденды"),COUNTIF(Docs[ID],A483)&lt;&gt;1,NOT(ISNUMBER(B483)),B483&lt;НачалоУчета,YEAR(B483)&lt;&gt;Год,NOT(ISNUMBER(H483)),H483&lt;B483,E483&lt;0,COUNTIF(Виды,C483)&lt;&gt;1,COUNTIF(Категории,D483)&lt;&gt;1,COUNTIF(Контрагенты,F483)&lt;&gt;1,COUNTIF(Проекты,G483)&lt;&gt;1,L483&lt;-0.01,AND(I483&lt;&gt;"Проведён",I483&lt;&gt;"Черновик")),"ОШИБКА","ОК"))</f>
        <v/>
      </c>
      <c r="Q483" s="4" t="str">
        <f t="shared" si="39"/>
        <v/>
      </c>
    </row>
    <row r="484" spans="1:17" x14ac:dyDescent="0.25">
      <c r="A484" s="22"/>
      <c r="B484" s="23"/>
      <c r="C484" s="22"/>
      <c r="D484" s="22"/>
      <c r="E484" s="22"/>
      <c r="F484" s="22"/>
      <c r="G484" s="22"/>
      <c r="H484" s="23"/>
      <c r="I484" s="22"/>
      <c r="J484" s="22"/>
      <c r="K484" s="4" t="str">
        <f>IF(A484="","",SUMIFS(Cash[Оплата],Cash[Документ],A484,Cash[Дата],"&lt;="&amp;ДатаОтчета))</f>
        <v/>
      </c>
      <c r="L484" s="4" t="str">
        <f t="shared" si="35"/>
        <v/>
      </c>
      <c r="M484" s="4" t="str">
        <f t="shared" si="36"/>
        <v/>
      </c>
      <c r="N484" s="4" t="str">
        <f t="shared" si="37"/>
        <v/>
      </c>
      <c r="O484" s="4" t="str">
        <f t="shared" si="38"/>
        <v/>
      </c>
      <c r="P484" s="4" t="str">
        <f>IF(A484="",IF(COUNTA(B484:J484)&gt;0,"НЕТ ID",""),IF(OR(NOT(ISNUMBER(E484)),AND(Форма="ИП",C484="Дивиденды"),COUNTIF(Docs[ID],A484)&lt;&gt;1,NOT(ISNUMBER(B484)),B484&lt;НачалоУчета,YEAR(B484)&lt;&gt;Год,NOT(ISNUMBER(H484)),H484&lt;B484,E484&lt;0,COUNTIF(Виды,C484)&lt;&gt;1,COUNTIF(Категории,D484)&lt;&gt;1,COUNTIF(Контрагенты,F484)&lt;&gt;1,COUNTIF(Проекты,G484)&lt;&gt;1,L484&lt;-0.01,AND(I484&lt;&gt;"Проведён",I484&lt;&gt;"Черновик")),"ОШИБКА","ОК"))</f>
        <v/>
      </c>
      <c r="Q484" s="4" t="str">
        <f t="shared" si="39"/>
        <v/>
      </c>
    </row>
    <row r="485" spans="1:17" x14ac:dyDescent="0.25">
      <c r="A485" s="22"/>
      <c r="B485" s="23"/>
      <c r="C485" s="22"/>
      <c r="D485" s="22"/>
      <c r="E485" s="22"/>
      <c r="F485" s="22"/>
      <c r="G485" s="22"/>
      <c r="H485" s="23"/>
      <c r="I485" s="22"/>
      <c r="J485" s="22"/>
      <c r="K485" s="4" t="str">
        <f>IF(A485="","",SUMIFS(Cash[Оплата],Cash[Документ],A485,Cash[Дата],"&lt;="&amp;ДатаОтчета))</f>
        <v/>
      </c>
      <c r="L485" s="4" t="str">
        <f t="shared" si="35"/>
        <v/>
      </c>
      <c r="M485" s="4" t="str">
        <f t="shared" si="36"/>
        <v/>
      </c>
      <c r="N485" s="4" t="str">
        <f t="shared" si="37"/>
        <v/>
      </c>
      <c r="O485" s="4" t="str">
        <f t="shared" si="38"/>
        <v/>
      </c>
      <c r="P485" s="4" t="str">
        <f>IF(A485="",IF(COUNTA(B485:J485)&gt;0,"НЕТ ID",""),IF(OR(NOT(ISNUMBER(E485)),AND(Форма="ИП",C485="Дивиденды"),COUNTIF(Docs[ID],A485)&lt;&gt;1,NOT(ISNUMBER(B485)),B485&lt;НачалоУчета,YEAR(B485)&lt;&gt;Год,NOT(ISNUMBER(H485)),H485&lt;B485,E485&lt;0,COUNTIF(Виды,C485)&lt;&gt;1,COUNTIF(Категории,D485)&lt;&gt;1,COUNTIF(Контрагенты,F485)&lt;&gt;1,COUNTIF(Проекты,G485)&lt;&gt;1,L485&lt;-0.01,AND(I485&lt;&gt;"Проведён",I485&lt;&gt;"Черновик")),"ОШИБКА","ОК"))</f>
        <v/>
      </c>
      <c r="Q485" s="4" t="str">
        <f t="shared" si="39"/>
        <v/>
      </c>
    </row>
    <row r="486" spans="1:17" x14ac:dyDescent="0.25">
      <c r="A486" s="22"/>
      <c r="B486" s="23"/>
      <c r="C486" s="22"/>
      <c r="D486" s="22"/>
      <c r="E486" s="22"/>
      <c r="F486" s="22"/>
      <c r="G486" s="22"/>
      <c r="H486" s="23"/>
      <c r="I486" s="22"/>
      <c r="J486" s="22"/>
      <c r="K486" s="4" t="str">
        <f>IF(A486="","",SUMIFS(Cash[Оплата],Cash[Документ],A486,Cash[Дата],"&lt;="&amp;ДатаОтчета))</f>
        <v/>
      </c>
      <c r="L486" s="4" t="str">
        <f t="shared" si="35"/>
        <v/>
      </c>
      <c r="M486" s="4" t="str">
        <f t="shared" si="36"/>
        <v/>
      </c>
      <c r="N486" s="4" t="str">
        <f t="shared" si="37"/>
        <v/>
      </c>
      <c r="O486" s="4" t="str">
        <f t="shared" si="38"/>
        <v/>
      </c>
      <c r="P486" s="4" t="str">
        <f>IF(A486="",IF(COUNTA(B486:J486)&gt;0,"НЕТ ID",""),IF(OR(NOT(ISNUMBER(E486)),AND(Форма="ИП",C486="Дивиденды"),COUNTIF(Docs[ID],A486)&lt;&gt;1,NOT(ISNUMBER(B486)),B486&lt;НачалоУчета,YEAR(B486)&lt;&gt;Год,NOT(ISNUMBER(H486)),H486&lt;B486,E486&lt;0,COUNTIF(Виды,C486)&lt;&gt;1,COUNTIF(Категории,D486)&lt;&gt;1,COUNTIF(Контрагенты,F486)&lt;&gt;1,COUNTIF(Проекты,G486)&lt;&gt;1,L486&lt;-0.01,AND(I486&lt;&gt;"Проведён",I486&lt;&gt;"Черновик")),"ОШИБКА","ОК"))</f>
        <v/>
      </c>
      <c r="Q486" s="4" t="str">
        <f t="shared" si="39"/>
        <v/>
      </c>
    </row>
    <row r="487" spans="1:17" x14ac:dyDescent="0.25">
      <c r="A487" s="22"/>
      <c r="B487" s="23"/>
      <c r="C487" s="22"/>
      <c r="D487" s="22"/>
      <c r="E487" s="22"/>
      <c r="F487" s="22"/>
      <c r="G487" s="22"/>
      <c r="H487" s="23"/>
      <c r="I487" s="22"/>
      <c r="J487" s="22"/>
      <c r="K487" s="4" t="str">
        <f>IF(A487="","",SUMIFS(Cash[Оплата],Cash[Документ],A487,Cash[Дата],"&lt;="&amp;ДатаОтчета))</f>
        <v/>
      </c>
      <c r="L487" s="4" t="str">
        <f t="shared" si="35"/>
        <v/>
      </c>
      <c r="M487" s="4" t="str">
        <f t="shared" si="36"/>
        <v/>
      </c>
      <c r="N487" s="4" t="str">
        <f t="shared" si="37"/>
        <v/>
      </c>
      <c r="O487" s="4" t="str">
        <f t="shared" si="38"/>
        <v/>
      </c>
      <c r="P487" s="4" t="str">
        <f>IF(A487="",IF(COUNTA(B487:J487)&gt;0,"НЕТ ID",""),IF(OR(NOT(ISNUMBER(E487)),AND(Форма="ИП",C487="Дивиденды"),COUNTIF(Docs[ID],A487)&lt;&gt;1,NOT(ISNUMBER(B487)),B487&lt;НачалоУчета,YEAR(B487)&lt;&gt;Год,NOT(ISNUMBER(H487)),H487&lt;B487,E487&lt;0,COUNTIF(Виды,C487)&lt;&gt;1,COUNTIF(Категории,D487)&lt;&gt;1,COUNTIF(Контрагенты,F487)&lt;&gt;1,COUNTIF(Проекты,G487)&lt;&gt;1,L487&lt;-0.01,AND(I487&lt;&gt;"Проведён",I487&lt;&gt;"Черновик")),"ОШИБКА","ОК"))</f>
        <v/>
      </c>
      <c r="Q487" s="4" t="str">
        <f t="shared" si="39"/>
        <v/>
      </c>
    </row>
    <row r="488" spans="1:17" x14ac:dyDescent="0.25">
      <c r="A488" s="22"/>
      <c r="B488" s="23"/>
      <c r="C488" s="22"/>
      <c r="D488" s="22"/>
      <c r="E488" s="22"/>
      <c r="F488" s="22"/>
      <c r="G488" s="22"/>
      <c r="H488" s="23"/>
      <c r="I488" s="22"/>
      <c r="J488" s="22"/>
      <c r="K488" s="4" t="str">
        <f>IF(A488="","",SUMIFS(Cash[Оплата],Cash[Документ],A488,Cash[Дата],"&lt;="&amp;ДатаОтчета))</f>
        <v/>
      </c>
      <c r="L488" s="4" t="str">
        <f t="shared" si="35"/>
        <v/>
      </c>
      <c r="M488" s="4" t="str">
        <f t="shared" si="36"/>
        <v/>
      </c>
      <c r="N488" s="4" t="str">
        <f t="shared" si="37"/>
        <v/>
      </c>
      <c r="O488" s="4" t="str">
        <f t="shared" si="38"/>
        <v/>
      </c>
      <c r="P488" s="4" t="str">
        <f>IF(A488="",IF(COUNTA(B488:J488)&gt;0,"НЕТ ID",""),IF(OR(NOT(ISNUMBER(E488)),AND(Форма="ИП",C488="Дивиденды"),COUNTIF(Docs[ID],A488)&lt;&gt;1,NOT(ISNUMBER(B488)),B488&lt;НачалоУчета,YEAR(B488)&lt;&gt;Год,NOT(ISNUMBER(H488)),H488&lt;B488,E488&lt;0,COUNTIF(Виды,C488)&lt;&gt;1,COUNTIF(Категории,D488)&lt;&gt;1,COUNTIF(Контрагенты,F488)&lt;&gt;1,COUNTIF(Проекты,G488)&lt;&gt;1,L488&lt;-0.01,AND(I488&lt;&gt;"Проведён",I488&lt;&gt;"Черновик")),"ОШИБКА","ОК"))</f>
        <v/>
      </c>
      <c r="Q488" s="4" t="str">
        <f t="shared" si="39"/>
        <v/>
      </c>
    </row>
    <row r="489" spans="1:17" x14ac:dyDescent="0.25">
      <c r="A489" s="22"/>
      <c r="B489" s="23"/>
      <c r="C489" s="22"/>
      <c r="D489" s="22"/>
      <c r="E489" s="22"/>
      <c r="F489" s="22"/>
      <c r="G489" s="22"/>
      <c r="H489" s="23"/>
      <c r="I489" s="22"/>
      <c r="J489" s="22"/>
      <c r="K489" s="4" t="str">
        <f>IF(A489="","",SUMIFS(Cash[Оплата],Cash[Документ],A489,Cash[Дата],"&lt;="&amp;ДатаОтчета))</f>
        <v/>
      </c>
      <c r="L489" s="4" t="str">
        <f t="shared" si="35"/>
        <v/>
      </c>
      <c r="M489" s="4" t="str">
        <f t="shared" si="36"/>
        <v/>
      </c>
      <c r="N489" s="4" t="str">
        <f t="shared" si="37"/>
        <v/>
      </c>
      <c r="O489" s="4" t="str">
        <f t="shared" si="38"/>
        <v/>
      </c>
      <c r="P489" s="4" t="str">
        <f>IF(A489="",IF(COUNTA(B489:J489)&gt;0,"НЕТ ID",""),IF(OR(NOT(ISNUMBER(E489)),AND(Форма="ИП",C489="Дивиденды"),COUNTIF(Docs[ID],A489)&lt;&gt;1,NOT(ISNUMBER(B489)),B489&lt;НачалоУчета,YEAR(B489)&lt;&gt;Год,NOT(ISNUMBER(H489)),H489&lt;B489,E489&lt;0,COUNTIF(Виды,C489)&lt;&gt;1,COUNTIF(Категории,D489)&lt;&gt;1,COUNTIF(Контрагенты,F489)&lt;&gt;1,COUNTIF(Проекты,G489)&lt;&gt;1,L489&lt;-0.01,AND(I489&lt;&gt;"Проведён",I489&lt;&gt;"Черновик")),"ОШИБКА","ОК"))</f>
        <v/>
      </c>
      <c r="Q489" s="4" t="str">
        <f t="shared" si="39"/>
        <v/>
      </c>
    </row>
    <row r="490" spans="1:17" x14ac:dyDescent="0.25">
      <c r="A490" s="22"/>
      <c r="B490" s="23"/>
      <c r="C490" s="22"/>
      <c r="D490" s="22"/>
      <c r="E490" s="22"/>
      <c r="F490" s="22"/>
      <c r="G490" s="22"/>
      <c r="H490" s="23"/>
      <c r="I490" s="22"/>
      <c r="J490" s="22"/>
      <c r="K490" s="4" t="str">
        <f>IF(A490="","",SUMIFS(Cash[Оплата],Cash[Документ],A490,Cash[Дата],"&lt;="&amp;ДатаОтчета))</f>
        <v/>
      </c>
      <c r="L490" s="4" t="str">
        <f t="shared" si="35"/>
        <v/>
      </c>
      <c r="M490" s="4" t="str">
        <f t="shared" si="36"/>
        <v/>
      </c>
      <c r="N490" s="4" t="str">
        <f t="shared" si="37"/>
        <v/>
      </c>
      <c r="O490" s="4" t="str">
        <f t="shared" si="38"/>
        <v/>
      </c>
      <c r="P490" s="4" t="str">
        <f>IF(A490="",IF(COUNTA(B490:J490)&gt;0,"НЕТ ID",""),IF(OR(NOT(ISNUMBER(E490)),AND(Форма="ИП",C490="Дивиденды"),COUNTIF(Docs[ID],A490)&lt;&gt;1,NOT(ISNUMBER(B490)),B490&lt;НачалоУчета,YEAR(B490)&lt;&gt;Год,NOT(ISNUMBER(H490)),H490&lt;B490,E490&lt;0,COUNTIF(Виды,C490)&lt;&gt;1,COUNTIF(Категории,D490)&lt;&gt;1,COUNTIF(Контрагенты,F490)&lt;&gt;1,COUNTIF(Проекты,G490)&lt;&gt;1,L490&lt;-0.01,AND(I490&lt;&gt;"Проведён",I490&lt;&gt;"Черновик")),"ОШИБКА","ОК"))</f>
        <v/>
      </c>
      <c r="Q490" s="4" t="str">
        <f t="shared" si="39"/>
        <v/>
      </c>
    </row>
    <row r="491" spans="1:17" x14ac:dyDescent="0.25">
      <c r="A491" s="22"/>
      <c r="B491" s="23"/>
      <c r="C491" s="22"/>
      <c r="D491" s="22"/>
      <c r="E491" s="22"/>
      <c r="F491" s="22"/>
      <c r="G491" s="22"/>
      <c r="H491" s="23"/>
      <c r="I491" s="22"/>
      <c r="J491" s="22"/>
      <c r="K491" s="4" t="str">
        <f>IF(A491="","",SUMIFS(Cash[Оплата],Cash[Документ],A491,Cash[Дата],"&lt;="&amp;ДатаОтчета))</f>
        <v/>
      </c>
      <c r="L491" s="4" t="str">
        <f t="shared" si="35"/>
        <v/>
      </c>
      <c r="M491" s="4" t="str">
        <f t="shared" si="36"/>
        <v/>
      </c>
      <c r="N491" s="4" t="str">
        <f t="shared" si="37"/>
        <v/>
      </c>
      <c r="O491" s="4" t="str">
        <f t="shared" si="38"/>
        <v/>
      </c>
      <c r="P491" s="4" t="str">
        <f>IF(A491="",IF(COUNTA(B491:J491)&gt;0,"НЕТ ID",""),IF(OR(NOT(ISNUMBER(E491)),AND(Форма="ИП",C491="Дивиденды"),COUNTIF(Docs[ID],A491)&lt;&gt;1,NOT(ISNUMBER(B491)),B491&lt;НачалоУчета,YEAR(B491)&lt;&gt;Год,NOT(ISNUMBER(H491)),H491&lt;B491,E491&lt;0,COUNTIF(Виды,C491)&lt;&gt;1,COUNTIF(Категории,D491)&lt;&gt;1,COUNTIF(Контрагенты,F491)&lt;&gt;1,COUNTIF(Проекты,G491)&lt;&gt;1,L491&lt;-0.01,AND(I491&lt;&gt;"Проведён",I491&lt;&gt;"Черновик")),"ОШИБКА","ОК"))</f>
        <v/>
      </c>
      <c r="Q491" s="4" t="str">
        <f t="shared" si="39"/>
        <v/>
      </c>
    </row>
    <row r="492" spans="1:17" x14ac:dyDescent="0.25">
      <c r="A492" s="22"/>
      <c r="B492" s="23"/>
      <c r="C492" s="22"/>
      <c r="D492" s="22"/>
      <c r="E492" s="22"/>
      <c r="F492" s="22"/>
      <c r="G492" s="22"/>
      <c r="H492" s="23"/>
      <c r="I492" s="22"/>
      <c r="J492" s="22"/>
      <c r="K492" s="4" t="str">
        <f>IF(A492="","",SUMIFS(Cash[Оплата],Cash[Документ],A492,Cash[Дата],"&lt;="&amp;ДатаОтчета))</f>
        <v/>
      </c>
      <c r="L492" s="4" t="str">
        <f t="shared" si="35"/>
        <v/>
      </c>
      <c r="M492" s="4" t="str">
        <f t="shared" si="36"/>
        <v/>
      </c>
      <c r="N492" s="4" t="str">
        <f t="shared" si="37"/>
        <v/>
      </c>
      <c r="O492" s="4" t="str">
        <f t="shared" si="38"/>
        <v/>
      </c>
      <c r="P492" s="4" t="str">
        <f>IF(A492="",IF(COUNTA(B492:J492)&gt;0,"НЕТ ID",""),IF(OR(NOT(ISNUMBER(E492)),AND(Форма="ИП",C492="Дивиденды"),COUNTIF(Docs[ID],A492)&lt;&gt;1,NOT(ISNUMBER(B492)),B492&lt;НачалоУчета,YEAR(B492)&lt;&gt;Год,NOT(ISNUMBER(H492)),H492&lt;B492,E492&lt;0,COUNTIF(Виды,C492)&lt;&gt;1,COUNTIF(Категории,D492)&lt;&gt;1,COUNTIF(Контрагенты,F492)&lt;&gt;1,COUNTIF(Проекты,G492)&lt;&gt;1,L492&lt;-0.01,AND(I492&lt;&gt;"Проведён",I492&lt;&gt;"Черновик")),"ОШИБКА","ОК"))</f>
        <v/>
      </c>
      <c r="Q492" s="4" t="str">
        <f t="shared" si="39"/>
        <v/>
      </c>
    </row>
    <row r="493" spans="1:17" x14ac:dyDescent="0.25">
      <c r="A493" s="22"/>
      <c r="B493" s="23"/>
      <c r="C493" s="22"/>
      <c r="D493" s="22"/>
      <c r="E493" s="22"/>
      <c r="F493" s="22"/>
      <c r="G493" s="22"/>
      <c r="H493" s="23"/>
      <c r="I493" s="22"/>
      <c r="J493" s="22"/>
      <c r="K493" s="4" t="str">
        <f>IF(A493="","",SUMIFS(Cash[Оплата],Cash[Документ],A493,Cash[Дата],"&lt;="&amp;ДатаОтчета))</f>
        <v/>
      </c>
      <c r="L493" s="4" t="str">
        <f t="shared" si="35"/>
        <v/>
      </c>
      <c r="M493" s="4" t="str">
        <f t="shared" si="36"/>
        <v/>
      </c>
      <c r="N493" s="4" t="str">
        <f t="shared" si="37"/>
        <v/>
      </c>
      <c r="O493" s="4" t="str">
        <f t="shared" si="38"/>
        <v/>
      </c>
      <c r="P493" s="4" t="str">
        <f>IF(A493="",IF(COUNTA(B493:J493)&gt;0,"НЕТ ID",""),IF(OR(NOT(ISNUMBER(E493)),AND(Форма="ИП",C493="Дивиденды"),COUNTIF(Docs[ID],A493)&lt;&gt;1,NOT(ISNUMBER(B493)),B493&lt;НачалоУчета,YEAR(B493)&lt;&gt;Год,NOT(ISNUMBER(H493)),H493&lt;B493,E493&lt;0,COUNTIF(Виды,C493)&lt;&gt;1,COUNTIF(Категории,D493)&lt;&gt;1,COUNTIF(Контрагенты,F493)&lt;&gt;1,COUNTIF(Проекты,G493)&lt;&gt;1,L493&lt;-0.01,AND(I493&lt;&gt;"Проведён",I493&lt;&gt;"Черновик")),"ОШИБКА","ОК"))</f>
        <v/>
      </c>
      <c r="Q493" s="4" t="str">
        <f t="shared" si="39"/>
        <v/>
      </c>
    </row>
    <row r="494" spans="1:17" x14ac:dyDescent="0.25">
      <c r="A494" s="22"/>
      <c r="B494" s="23"/>
      <c r="C494" s="22"/>
      <c r="D494" s="22"/>
      <c r="E494" s="22"/>
      <c r="F494" s="22"/>
      <c r="G494" s="22"/>
      <c r="H494" s="23"/>
      <c r="I494" s="22"/>
      <c r="J494" s="22"/>
      <c r="K494" s="4" t="str">
        <f>IF(A494="","",SUMIFS(Cash[Оплата],Cash[Документ],A494,Cash[Дата],"&lt;="&amp;ДатаОтчета))</f>
        <v/>
      </c>
      <c r="L494" s="4" t="str">
        <f t="shared" si="35"/>
        <v/>
      </c>
      <c r="M494" s="4" t="str">
        <f t="shared" si="36"/>
        <v/>
      </c>
      <c r="N494" s="4" t="str">
        <f t="shared" si="37"/>
        <v/>
      </c>
      <c r="O494" s="4" t="str">
        <f t="shared" si="38"/>
        <v/>
      </c>
      <c r="P494" s="4" t="str">
        <f>IF(A494="",IF(COUNTA(B494:J494)&gt;0,"НЕТ ID",""),IF(OR(NOT(ISNUMBER(E494)),AND(Форма="ИП",C494="Дивиденды"),COUNTIF(Docs[ID],A494)&lt;&gt;1,NOT(ISNUMBER(B494)),B494&lt;НачалоУчета,YEAR(B494)&lt;&gt;Год,NOT(ISNUMBER(H494)),H494&lt;B494,E494&lt;0,COUNTIF(Виды,C494)&lt;&gt;1,COUNTIF(Категории,D494)&lt;&gt;1,COUNTIF(Контрагенты,F494)&lt;&gt;1,COUNTIF(Проекты,G494)&lt;&gt;1,L494&lt;-0.01,AND(I494&lt;&gt;"Проведён",I494&lt;&gt;"Черновик")),"ОШИБКА","ОК"))</f>
        <v/>
      </c>
      <c r="Q494" s="4" t="str">
        <f t="shared" si="39"/>
        <v/>
      </c>
    </row>
    <row r="495" spans="1:17" x14ac:dyDescent="0.25">
      <c r="A495" s="22"/>
      <c r="B495" s="23"/>
      <c r="C495" s="22"/>
      <c r="D495" s="22"/>
      <c r="E495" s="22"/>
      <c r="F495" s="22"/>
      <c r="G495" s="22"/>
      <c r="H495" s="23"/>
      <c r="I495" s="22"/>
      <c r="J495" s="22"/>
      <c r="K495" s="4" t="str">
        <f>IF(A495="","",SUMIFS(Cash[Оплата],Cash[Документ],A495,Cash[Дата],"&lt;="&amp;ДатаОтчета))</f>
        <v/>
      </c>
      <c r="L495" s="4" t="str">
        <f t="shared" si="35"/>
        <v/>
      </c>
      <c r="M495" s="4" t="str">
        <f t="shared" si="36"/>
        <v/>
      </c>
      <c r="N495" s="4" t="str">
        <f t="shared" si="37"/>
        <v/>
      </c>
      <c r="O495" s="4" t="str">
        <f t="shared" si="38"/>
        <v/>
      </c>
      <c r="P495" s="4" t="str">
        <f>IF(A495="",IF(COUNTA(B495:J495)&gt;0,"НЕТ ID",""),IF(OR(NOT(ISNUMBER(E495)),AND(Форма="ИП",C495="Дивиденды"),COUNTIF(Docs[ID],A495)&lt;&gt;1,NOT(ISNUMBER(B495)),B495&lt;НачалоУчета,YEAR(B495)&lt;&gt;Год,NOT(ISNUMBER(H495)),H495&lt;B495,E495&lt;0,COUNTIF(Виды,C495)&lt;&gt;1,COUNTIF(Категории,D495)&lt;&gt;1,COUNTIF(Контрагенты,F495)&lt;&gt;1,COUNTIF(Проекты,G495)&lt;&gt;1,L495&lt;-0.01,AND(I495&lt;&gt;"Проведён",I495&lt;&gt;"Черновик")),"ОШИБКА","ОК"))</f>
        <v/>
      </c>
      <c r="Q495" s="4" t="str">
        <f t="shared" si="39"/>
        <v/>
      </c>
    </row>
    <row r="496" spans="1:17" x14ac:dyDescent="0.25">
      <c r="A496" s="22"/>
      <c r="B496" s="23"/>
      <c r="C496" s="22"/>
      <c r="D496" s="22"/>
      <c r="E496" s="22"/>
      <c r="F496" s="22"/>
      <c r="G496" s="22"/>
      <c r="H496" s="23"/>
      <c r="I496" s="22"/>
      <c r="J496" s="22"/>
      <c r="K496" s="4" t="str">
        <f>IF(A496="","",SUMIFS(Cash[Оплата],Cash[Документ],A496,Cash[Дата],"&lt;="&amp;ДатаОтчета))</f>
        <v/>
      </c>
      <c r="L496" s="4" t="str">
        <f t="shared" si="35"/>
        <v/>
      </c>
      <c r="M496" s="4" t="str">
        <f t="shared" si="36"/>
        <v/>
      </c>
      <c r="N496" s="4" t="str">
        <f t="shared" si="37"/>
        <v/>
      </c>
      <c r="O496" s="4" t="str">
        <f t="shared" si="38"/>
        <v/>
      </c>
      <c r="P496" s="4" t="str">
        <f>IF(A496="",IF(COUNTA(B496:J496)&gt;0,"НЕТ ID",""),IF(OR(NOT(ISNUMBER(E496)),AND(Форма="ИП",C496="Дивиденды"),COUNTIF(Docs[ID],A496)&lt;&gt;1,NOT(ISNUMBER(B496)),B496&lt;НачалоУчета,YEAR(B496)&lt;&gt;Год,NOT(ISNUMBER(H496)),H496&lt;B496,E496&lt;0,COUNTIF(Виды,C496)&lt;&gt;1,COUNTIF(Категории,D496)&lt;&gt;1,COUNTIF(Контрагенты,F496)&lt;&gt;1,COUNTIF(Проекты,G496)&lt;&gt;1,L496&lt;-0.01,AND(I496&lt;&gt;"Проведён",I496&lt;&gt;"Черновик")),"ОШИБКА","ОК"))</f>
        <v/>
      </c>
      <c r="Q496" s="4" t="str">
        <f t="shared" si="39"/>
        <v/>
      </c>
    </row>
    <row r="497" spans="1:17" x14ac:dyDescent="0.25">
      <c r="A497" s="22"/>
      <c r="B497" s="23"/>
      <c r="C497" s="22"/>
      <c r="D497" s="22"/>
      <c r="E497" s="22"/>
      <c r="F497" s="22"/>
      <c r="G497" s="22"/>
      <c r="H497" s="23"/>
      <c r="I497" s="22"/>
      <c r="J497" s="22"/>
      <c r="K497" s="4" t="str">
        <f>IF(A497="","",SUMIFS(Cash[Оплата],Cash[Документ],A497,Cash[Дата],"&lt;="&amp;ДатаОтчета))</f>
        <v/>
      </c>
      <c r="L497" s="4" t="str">
        <f t="shared" si="35"/>
        <v/>
      </c>
      <c r="M497" s="4" t="str">
        <f t="shared" si="36"/>
        <v/>
      </c>
      <c r="N497" s="4" t="str">
        <f t="shared" si="37"/>
        <v/>
      </c>
      <c r="O497" s="4" t="str">
        <f t="shared" si="38"/>
        <v/>
      </c>
      <c r="P497" s="4" t="str">
        <f>IF(A497="",IF(COUNTA(B497:J497)&gt;0,"НЕТ ID",""),IF(OR(NOT(ISNUMBER(E497)),AND(Форма="ИП",C497="Дивиденды"),COUNTIF(Docs[ID],A497)&lt;&gt;1,NOT(ISNUMBER(B497)),B497&lt;НачалоУчета,YEAR(B497)&lt;&gt;Год,NOT(ISNUMBER(H497)),H497&lt;B497,E497&lt;0,COUNTIF(Виды,C497)&lt;&gt;1,COUNTIF(Категории,D497)&lt;&gt;1,COUNTIF(Контрагенты,F497)&lt;&gt;1,COUNTIF(Проекты,G497)&lt;&gt;1,L497&lt;-0.01,AND(I497&lt;&gt;"Проведён",I497&lt;&gt;"Черновик")),"ОШИБКА","ОК"))</f>
        <v/>
      </c>
      <c r="Q497" s="4" t="str">
        <f t="shared" si="39"/>
        <v/>
      </c>
    </row>
    <row r="498" spans="1:17" x14ac:dyDescent="0.25">
      <c r="A498" s="22"/>
      <c r="B498" s="23"/>
      <c r="C498" s="22"/>
      <c r="D498" s="22"/>
      <c r="E498" s="22"/>
      <c r="F498" s="22"/>
      <c r="G498" s="22"/>
      <c r="H498" s="23"/>
      <c r="I498" s="22"/>
      <c r="J498" s="22"/>
      <c r="K498" s="4" t="str">
        <f>IF(A498="","",SUMIFS(Cash[Оплата],Cash[Документ],A498,Cash[Дата],"&lt;="&amp;ДатаОтчета))</f>
        <v/>
      </c>
      <c r="L498" s="4" t="str">
        <f t="shared" si="35"/>
        <v/>
      </c>
      <c r="M498" s="4" t="str">
        <f t="shared" si="36"/>
        <v/>
      </c>
      <c r="N498" s="4" t="str">
        <f t="shared" si="37"/>
        <v/>
      </c>
      <c r="O498" s="4" t="str">
        <f t="shared" si="38"/>
        <v/>
      </c>
      <c r="P498" s="4" t="str">
        <f>IF(A498="",IF(COUNTA(B498:J498)&gt;0,"НЕТ ID",""),IF(OR(NOT(ISNUMBER(E498)),AND(Форма="ИП",C498="Дивиденды"),COUNTIF(Docs[ID],A498)&lt;&gt;1,NOT(ISNUMBER(B498)),B498&lt;НачалоУчета,YEAR(B498)&lt;&gt;Год,NOT(ISNUMBER(H498)),H498&lt;B498,E498&lt;0,COUNTIF(Виды,C498)&lt;&gt;1,COUNTIF(Категории,D498)&lt;&gt;1,COUNTIF(Контрагенты,F498)&lt;&gt;1,COUNTIF(Проекты,G498)&lt;&gt;1,L498&lt;-0.01,AND(I498&lt;&gt;"Проведён",I498&lt;&gt;"Черновик")),"ОШИБКА","ОК"))</f>
        <v/>
      </c>
      <c r="Q498" s="4" t="str">
        <f t="shared" si="39"/>
        <v/>
      </c>
    </row>
    <row r="499" spans="1:17" x14ac:dyDescent="0.25">
      <c r="A499" s="22"/>
      <c r="B499" s="23"/>
      <c r="C499" s="22"/>
      <c r="D499" s="22"/>
      <c r="E499" s="22"/>
      <c r="F499" s="22"/>
      <c r="G499" s="22"/>
      <c r="H499" s="23"/>
      <c r="I499" s="22"/>
      <c r="J499" s="22"/>
      <c r="K499" s="4" t="str">
        <f>IF(A499="","",SUMIFS(Cash[Оплата],Cash[Документ],A499,Cash[Дата],"&lt;="&amp;ДатаОтчета))</f>
        <v/>
      </c>
      <c r="L499" s="4" t="str">
        <f t="shared" si="35"/>
        <v/>
      </c>
      <c r="M499" s="4" t="str">
        <f t="shared" si="36"/>
        <v/>
      </c>
      <c r="N499" s="4" t="str">
        <f t="shared" si="37"/>
        <v/>
      </c>
      <c r="O499" s="4" t="str">
        <f t="shared" si="38"/>
        <v/>
      </c>
      <c r="P499" s="4" t="str">
        <f>IF(A499="",IF(COUNTA(B499:J499)&gt;0,"НЕТ ID",""),IF(OR(NOT(ISNUMBER(E499)),AND(Форма="ИП",C499="Дивиденды"),COUNTIF(Docs[ID],A499)&lt;&gt;1,NOT(ISNUMBER(B499)),B499&lt;НачалоУчета,YEAR(B499)&lt;&gt;Год,NOT(ISNUMBER(H499)),H499&lt;B499,E499&lt;0,COUNTIF(Виды,C499)&lt;&gt;1,COUNTIF(Категории,D499)&lt;&gt;1,COUNTIF(Контрагенты,F499)&lt;&gt;1,COUNTIF(Проекты,G499)&lt;&gt;1,L499&lt;-0.01,AND(I499&lt;&gt;"Проведён",I499&lt;&gt;"Черновик")),"ОШИБКА","ОК"))</f>
        <v/>
      </c>
      <c r="Q499" s="4" t="str">
        <f t="shared" si="39"/>
        <v/>
      </c>
    </row>
    <row r="500" spans="1:17" x14ac:dyDescent="0.25">
      <c r="A500" s="22"/>
      <c r="B500" s="23"/>
      <c r="C500" s="22"/>
      <c r="D500" s="22"/>
      <c r="E500" s="22"/>
      <c r="F500" s="22"/>
      <c r="G500" s="22"/>
      <c r="H500" s="23"/>
      <c r="I500" s="22"/>
      <c r="J500" s="22"/>
      <c r="K500" s="4" t="str">
        <f>IF(A500="","",SUMIFS(Cash[Оплата],Cash[Документ],A500,Cash[Дата],"&lt;="&amp;ДатаОтчета))</f>
        <v/>
      </c>
      <c r="L500" s="4" t="str">
        <f t="shared" si="35"/>
        <v/>
      </c>
      <c r="M500" s="4" t="str">
        <f t="shared" si="36"/>
        <v/>
      </c>
      <c r="N500" s="4" t="str">
        <f t="shared" si="37"/>
        <v/>
      </c>
      <c r="O500" s="4" t="str">
        <f t="shared" si="38"/>
        <v/>
      </c>
      <c r="P500" s="4" t="str">
        <f>IF(A500="",IF(COUNTA(B500:J500)&gt;0,"НЕТ ID",""),IF(OR(NOT(ISNUMBER(E500)),AND(Форма="ИП",C500="Дивиденды"),COUNTIF(Docs[ID],A500)&lt;&gt;1,NOT(ISNUMBER(B500)),B500&lt;НачалоУчета,YEAR(B500)&lt;&gt;Год,NOT(ISNUMBER(H500)),H500&lt;B500,E500&lt;0,COUNTIF(Виды,C500)&lt;&gt;1,COUNTIF(Категории,D500)&lt;&gt;1,COUNTIF(Контрагенты,F500)&lt;&gt;1,COUNTIF(Проекты,G500)&lt;&gt;1,L500&lt;-0.01,AND(I500&lt;&gt;"Проведён",I500&lt;&gt;"Черновик")),"ОШИБКА","ОК"))</f>
        <v/>
      </c>
      <c r="Q500" s="4" t="str">
        <f t="shared" si="39"/>
        <v/>
      </c>
    </row>
    <row r="501" spans="1:17" x14ac:dyDescent="0.25">
      <c r="A501" s="22"/>
      <c r="B501" s="23"/>
      <c r="C501" s="22"/>
      <c r="D501" s="22"/>
      <c r="E501" s="22"/>
      <c r="F501" s="22"/>
      <c r="G501" s="22"/>
      <c r="H501" s="23"/>
      <c r="I501" s="22"/>
      <c r="J501" s="22"/>
      <c r="K501" s="4" t="str">
        <f>IF(A501="","",SUMIFS(Cash[Оплата],Cash[Документ],A501,Cash[Дата],"&lt;="&amp;ДатаОтчета))</f>
        <v/>
      </c>
      <c r="L501" s="4" t="str">
        <f t="shared" si="35"/>
        <v/>
      </c>
      <c r="M501" s="4" t="str">
        <f t="shared" si="36"/>
        <v/>
      </c>
      <c r="N501" s="4" t="str">
        <f t="shared" si="37"/>
        <v/>
      </c>
      <c r="O501" s="4" t="str">
        <f t="shared" si="38"/>
        <v/>
      </c>
      <c r="P501" s="4" t="str">
        <f>IF(A501="",IF(COUNTA(B501:J501)&gt;0,"НЕТ ID",""),IF(OR(NOT(ISNUMBER(E501)),AND(Форма="ИП",C501="Дивиденды"),COUNTIF(Docs[ID],A501)&lt;&gt;1,NOT(ISNUMBER(B501)),B501&lt;НачалоУчета,YEAR(B501)&lt;&gt;Год,NOT(ISNUMBER(H501)),H501&lt;B501,E501&lt;0,COUNTIF(Виды,C501)&lt;&gt;1,COUNTIF(Категории,D501)&lt;&gt;1,COUNTIF(Контрагенты,F501)&lt;&gt;1,COUNTIF(Проекты,G501)&lt;&gt;1,L501&lt;-0.01,AND(I501&lt;&gt;"Проведён",I501&lt;&gt;"Черновик")),"ОШИБКА","ОК"))</f>
        <v/>
      </c>
      <c r="Q501" s="4" t="str">
        <f t="shared" si="39"/>
        <v/>
      </c>
    </row>
    <row r="502" spans="1:17" x14ac:dyDescent="0.25">
      <c r="A502" s="22"/>
      <c r="B502" s="23"/>
      <c r="C502" s="22"/>
      <c r="D502" s="22"/>
      <c r="E502" s="22"/>
      <c r="F502" s="22"/>
      <c r="G502" s="22"/>
      <c r="H502" s="23"/>
      <c r="I502" s="22"/>
      <c r="J502" s="22"/>
      <c r="K502" s="4" t="str">
        <f>IF(A502="","",SUMIFS(Cash[Оплата],Cash[Документ],A502,Cash[Дата],"&lt;="&amp;ДатаОтчета))</f>
        <v/>
      </c>
      <c r="L502" s="4" t="str">
        <f t="shared" si="35"/>
        <v/>
      </c>
      <c r="M502" s="4" t="str">
        <f t="shared" si="36"/>
        <v/>
      </c>
      <c r="N502" s="4" t="str">
        <f t="shared" si="37"/>
        <v/>
      </c>
      <c r="O502" s="4" t="str">
        <f t="shared" si="38"/>
        <v/>
      </c>
      <c r="P502" s="4" t="str">
        <f>IF(A502="",IF(COUNTA(B502:J502)&gt;0,"НЕТ ID",""),IF(OR(NOT(ISNUMBER(E502)),AND(Форма="ИП",C502="Дивиденды"),COUNTIF(Docs[ID],A502)&lt;&gt;1,NOT(ISNUMBER(B502)),B502&lt;НачалоУчета,YEAR(B502)&lt;&gt;Год,NOT(ISNUMBER(H502)),H502&lt;B502,E502&lt;0,COUNTIF(Виды,C502)&lt;&gt;1,COUNTIF(Категории,D502)&lt;&gt;1,COUNTIF(Контрагенты,F502)&lt;&gt;1,COUNTIF(Проекты,G502)&lt;&gt;1,L502&lt;-0.01,AND(I502&lt;&gt;"Проведён",I502&lt;&gt;"Черновик")),"ОШИБКА","ОК"))</f>
        <v/>
      </c>
      <c r="Q502" s="4" t="str">
        <f t="shared" si="39"/>
        <v/>
      </c>
    </row>
    <row r="503" spans="1:17" x14ac:dyDescent="0.25">
      <c r="A503" s="22"/>
      <c r="B503" s="23"/>
      <c r="C503" s="22"/>
      <c r="D503" s="22"/>
      <c r="E503" s="22"/>
      <c r="F503" s="22"/>
      <c r="G503" s="22"/>
      <c r="H503" s="23"/>
      <c r="I503" s="22"/>
      <c r="J503" s="22"/>
      <c r="K503" s="4" t="str">
        <f>IF(A503="","",SUMIFS(Cash[Оплата],Cash[Документ],A503,Cash[Дата],"&lt;="&amp;ДатаОтчета))</f>
        <v/>
      </c>
      <c r="L503" s="4" t="str">
        <f t="shared" si="35"/>
        <v/>
      </c>
      <c r="M503" s="4" t="str">
        <f t="shared" si="36"/>
        <v/>
      </c>
      <c r="N503" s="4" t="str">
        <f t="shared" si="37"/>
        <v/>
      </c>
      <c r="O503" s="4" t="str">
        <f t="shared" si="38"/>
        <v/>
      </c>
      <c r="P503" s="4" t="str">
        <f>IF(A503="",IF(COUNTA(B503:J503)&gt;0,"НЕТ ID",""),IF(OR(NOT(ISNUMBER(E503)),AND(Форма="ИП",C503="Дивиденды"),COUNTIF(Docs[ID],A503)&lt;&gt;1,NOT(ISNUMBER(B503)),B503&lt;НачалоУчета,YEAR(B503)&lt;&gt;Год,NOT(ISNUMBER(H503)),H503&lt;B503,E503&lt;0,COUNTIF(Виды,C503)&lt;&gt;1,COUNTIF(Категории,D503)&lt;&gt;1,COUNTIF(Контрагенты,F503)&lt;&gt;1,COUNTIF(Проекты,G503)&lt;&gt;1,L503&lt;-0.01,AND(I503&lt;&gt;"Проведён",I503&lt;&gt;"Черновик")),"ОШИБКА","ОК"))</f>
        <v/>
      </c>
      <c r="Q503" s="4" t="str">
        <f t="shared" si="39"/>
        <v/>
      </c>
    </row>
    <row r="504" spans="1:17" x14ac:dyDescent="0.25">
      <c r="A504" s="22"/>
      <c r="B504" s="23"/>
      <c r="C504" s="22"/>
      <c r="D504" s="22"/>
      <c r="E504" s="22"/>
      <c r="F504" s="22"/>
      <c r="G504" s="22"/>
      <c r="H504" s="23"/>
      <c r="I504" s="22"/>
      <c r="J504" s="22"/>
      <c r="K504" s="4" t="str">
        <f>IF(A504="","",SUMIFS(Cash[Оплата],Cash[Документ],A504,Cash[Дата],"&lt;="&amp;ДатаОтчета))</f>
        <v/>
      </c>
      <c r="L504" s="4" t="str">
        <f t="shared" si="35"/>
        <v/>
      </c>
      <c r="M504" s="4" t="str">
        <f t="shared" si="36"/>
        <v/>
      </c>
      <c r="N504" s="4" t="str">
        <f t="shared" si="37"/>
        <v/>
      </c>
      <c r="O504" s="4" t="str">
        <f t="shared" si="38"/>
        <v/>
      </c>
      <c r="P504" s="4" t="str">
        <f>IF(A504="",IF(COUNTA(B504:J504)&gt;0,"НЕТ ID",""),IF(OR(NOT(ISNUMBER(E504)),AND(Форма="ИП",C504="Дивиденды"),COUNTIF(Docs[ID],A504)&lt;&gt;1,NOT(ISNUMBER(B504)),B504&lt;НачалоУчета,YEAR(B504)&lt;&gt;Год,NOT(ISNUMBER(H504)),H504&lt;B504,E504&lt;0,COUNTIF(Виды,C504)&lt;&gt;1,COUNTIF(Категории,D504)&lt;&gt;1,COUNTIF(Контрагенты,F504)&lt;&gt;1,COUNTIF(Проекты,G504)&lt;&gt;1,L504&lt;-0.01,AND(I504&lt;&gt;"Проведён",I504&lt;&gt;"Черновик")),"ОШИБКА","ОК"))</f>
        <v/>
      </c>
      <c r="Q504" s="4" t="str">
        <f t="shared" si="39"/>
        <v/>
      </c>
    </row>
    <row r="505" spans="1:17" x14ac:dyDescent="0.25">
      <c r="A505" s="22"/>
      <c r="B505" s="23"/>
      <c r="C505" s="22"/>
      <c r="D505" s="22"/>
      <c r="E505" s="22"/>
      <c r="F505" s="22"/>
      <c r="G505" s="22"/>
      <c r="H505" s="23"/>
      <c r="I505" s="22"/>
      <c r="J505" s="22"/>
      <c r="K505" s="4" t="str">
        <f>IF(A505="","",SUMIFS(Cash[Оплата],Cash[Документ],A505,Cash[Дата],"&lt;="&amp;ДатаОтчета))</f>
        <v/>
      </c>
      <c r="L505" s="4" t="str">
        <f t="shared" si="35"/>
        <v/>
      </c>
      <c r="M505" s="4" t="str">
        <f t="shared" si="36"/>
        <v/>
      </c>
      <c r="N505" s="4" t="str">
        <f t="shared" si="37"/>
        <v/>
      </c>
      <c r="O505" s="4" t="str">
        <f t="shared" si="38"/>
        <v/>
      </c>
      <c r="P505" s="4" t="str">
        <f>IF(A505="",IF(COUNTA(B505:J505)&gt;0,"НЕТ ID",""),IF(OR(NOT(ISNUMBER(E505)),AND(Форма="ИП",C505="Дивиденды"),COUNTIF(Docs[ID],A505)&lt;&gt;1,NOT(ISNUMBER(B505)),B505&lt;НачалоУчета,YEAR(B505)&lt;&gt;Год,NOT(ISNUMBER(H505)),H505&lt;B505,E505&lt;0,COUNTIF(Виды,C505)&lt;&gt;1,COUNTIF(Категории,D505)&lt;&gt;1,COUNTIF(Контрагенты,F505)&lt;&gt;1,COUNTIF(Проекты,G505)&lt;&gt;1,L505&lt;-0.01,AND(I505&lt;&gt;"Проведён",I505&lt;&gt;"Черновик")),"ОШИБКА","ОК"))</f>
        <v/>
      </c>
      <c r="Q505" s="4" t="str">
        <f t="shared" si="39"/>
        <v/>
      </c>
    </row>
    <row r="506" spans="1:17" x14ac:dyDescent="0.25">
      <c r="A506" s="22"/>
      <c r="B506" s="23"/>
      <c r="C506" s="22"/>
      <c r="D506" s="22"/>
      <c r="E506" s="22"/>
      <c r="F506" s="22"/>
      <c r="G506" s="22"/>
      <c r="H506" s="23"/>
      <c r="I506" s="22"/>
      <c r="J506" s="22"/>
      <c r="K506" s="4" t="str">
        <f>IF(A506="","",SUMIFS(Cash[Оплата],Cash[Документ],A506,Cash[Дата],"&lt;="&amp;ДатаОтчета))</f>
        <v/>
      </c>
      <c r="L506" s="4" t="str">
        <f t="shared" si="35"/>
        <v/>
      </c>
      <c r="M506" s="4" t="str">
        <f t="shared" si="36"/>
        <v/>
      </c>
      <c r="N506" s="4" t="str">
        <f t="shared" si="37"/>
        <v/>
      </c>
      <c r="O506" s="4" t="str">
        <f t="shared" si="38"/>
        <v/>
      </c>
      <c r="P506" s="4" t="str">
        <f>IF(A506="",IF(COUNTA(B506:J506)&gt;0,"НЕТ ID",""),IF(OR(NOT(ISNUMBER(E506)),AND(Форма="ИП",C506="Дивиденды"),COUNTIF(Docs[ID],A506)&lt;&gt;1,NOT(ISNUMBER(B506)),B506&lt;НачалоУчета,YEAR(B506)&lt;&gt;Год,NOT(ISNUMBER(H506)),H506&lt;B506,E506&lt;0,COUNTIF(Виды,C506)&lt;&gt;1,COUNTIF(Категории,D506)&lt;&gt;1,COUNTIF(Контрагенты,F506)&lt;&gt;1,COUNTIF(Проекты,G506)&lt;&gt;1,L506&lt;-0.01,AND(I506&lt;&gt;"Проведён",I506&lt;&gt;"Черновик")),"ОШИБКА","ОК"))</f>
        <v/>
      </c>
      <c r="Q506" s="4" t="str">
        <f t="shared" si="39"/>
        <v/>
      </c>
    </row>
    <row r="507" spans="1:17" x14ac:dyDescent="0.25">
      <c r="A507" s="22"/>
      <c r="B507" s="23"/>
      <c r="C507" s="22"/>
      <c r="D507" s="22"/>
      <c r="E507" s="22"/>
      <c r="F507" s="22"/>
      <c r="G507" s="22"/>
      <c r="H507" s="23"/>
      <c r="I507" s="22"/>
      <c r="J507" s="22"/>
      <c r="K507" s="4" t="str">
        <f>IF(A507="","",SUMIFS(Cash[Оплата],Cash[Документ],A507,Cash[Дата],"&lt;="&amp;ДатаОтчета))</f>
        <v/>
      </c>
      <c r="L507" s="4" t="str">
        <f t="shared" si="35"/>
        <v/>
      </c>
      <c r="M507" s="4" t="str">
        <f t="shared" si="36"/>
        <v/>
      </c>
      <c r="N507" s="4" t="str">
        <f t="shared" si="37"/>
        <v/>
      </c>
      <c r="O507" s="4" t="str">
        <f t="shared" si="38"/>
        <v/>
      </c>
      <c r="P507" s="4" t="str">
        <f>IF(A507="",IF(COUNTA(B507:J507)&gt;0,"НЕТ ID",""),IF(OR(NOT(ISNUMBER(E507)),AND(Форма="ИП",C507="Дивиденды"),COUNTIF(Docs[ID],A507)&lt;&gt;1,NOT(ISNUMBER(B507)),B507&lt;НачалоУчета,YEAR(B507)&lt;&gt;Год,NOT(ISNUMBER(H507)),H507&lt;B507,E507&lt;0,COUNTIF(Виды,C507)&lt;&gt;1,COUNTIF(Категории,D507)&lt;&gt;1,COUNTIF(Контрагенты,F507)&lt;&gt;1,COUNTIF(Проекты,G507)&lt;&gt;1,L507&lt;-0.01,AND(I507&lt;&gt;"Проведён",I507&lt;&gt;"Черновик")),"ОШИБКА","ОК"))</f>
        <v/>
      </c>
      <c r="Q507" s="4" t="str">
        <f t="shared" si="39"/>
        <v/>
      </c>
    </row>
    <row r="508" spans="1:17" x14ac:dyDescent="0.25">
      <c r="A508" s="22"/>
      <c r="B508" s="23"/>
      <c r="C508" s="22"/>
      <c r="D508" s="22"/>
      <c r="E508" s="22"/>
      <c r="F508" s="22"/>
      <c r="G508" s="22"/>
      <c r="H508" s="23"/>
      <c r="I508" s="22"/>
      <c r="J508" s="22"/>
      <c r="K508" s="4" t="str">
        <f>IF(A508="","",SUMIFS(Cash[Оплата],Cash[Документ],A508,Cash[Дата],"&lt;="&amp;ДатаОтчета))</f>
        <v/>
      </c>
      <c r="L508" s="4" t="str">
        <f t="shared" si="35"/>
        <v/>
      </c>
      <c r="M508" s="4" t="str">
        <f t="shared" si="36"/>
        <v/>
      </c>
      <c r="N508" s="4" t="str">
        <f t="shared" si="37"/>
        <v/>
      </c>
      <c r="O508" s="4" t="str">
        <f t="shared" si="38"/>
        <v/>
      </c>
      <c r="P508" s="4" t="str">
        <f>IF(A508="",IF(COUNTA(B508:J508)&gt;0,"НЕТ ID",""),IF(OR(NOT(ISNUMBER(E508)),AND(Форма="ИП",C508="Дивиденды"),COUNTIF(Docs[ID],A508)&lt;&gt;1,NOT(ISNUMBER(B508)),B508&lt;НачалоУчета,YEAR(B508)&lt;&gt;Год,NOT(ISNUMBER(H508)),H508&lt;B508,E508&lt;0,COUNTIF(Виды,C508)&lt;&gt;1,COUNTIF(Категории,D508)&lt;&gt;1,COUNTIF(Контрагенты,F508)&lt;&gt;1,COUNTIF(Проекты,G508)&lt;&gt;1,L508&lt;-0.01,AND(I508&lt;&gt;"Проведён",I508&lt;&gt;"Черновик")),"ОШИБКА","ОК"))</f>
        <v/>
      </c>
      <c r="Q508" s="4" t="str">
        <f t="shared" si="39"/>
        <v/>
      </c>
    </row>
    <row r="509" spans="1:17" x14ac:dyDescent="0.25">
      <c r="A509" s="22"/>
      <c r="B509" s="23"/>
      <c r="C509" s="22"/>
      <c r="D509" s="22"/>
      <c r="E509" s="22"/>
      <c r="F509" s="22"/>
      <c r="G509" s="22"/>
      <c r="H509" s="23"/>
      <c r="I509" s="22"/>
      <c r="J509" s="22"/>
      <c r="K509" s="4" t="str">
        <f>IF(A509="","",SUMIFS(Cash[Оплата],Cash[Документ],A509,Cash[Дата],"&lt;="&amp;ДатаОтчета))</f>
        <v/>
      </c>
      <c r="L509" s="4" t="str">
        <f t="shared" si="35"/>
        <v/>
      </c>
      <c r="M509" s="4" t="str">
        <f t="shared" si="36"/>
        <v/>
      </c>
      <c r="N509" s="4" t="str">
        <f t="shared" si="37"/>
        <v/>
      </c>
      <c r="O509" s="4" t="str">
        <f t="shared" si="38"/>
        <v/>
      </c>
      <c r="P509" s="4" t="str">
        <f>IF(A509="",IF(COUNTA(B509:J509)&gt;0,"НЕТ ID",""),IF(OR(NOT(ISNUMBER(E509)),AND(Форма="ИП",C509="Дивиденды"),COUNTIF(Docs[ID],A509)&lt;&gt;1,NOT(ISNUMBER(B509)),B509&lt;НачалоУчета,YEAR(B509)&lt;&gt;Год,NOT(ISNUMBER(H509)),H509&lt;B509,E509&lt;0,COUNTIF(Виды,C509)&lt;&gt;1,COUNTIF(Категории,D509)&lt;&gt;1,COUNTIF(Контрагенты,F509)&lt;&gt;1,COUNTIF(Проекты,G509)&lt;&gt;1,L509&lt;-0.01,AND(I509&lt;&gt;"Проведён",I509&lt;&gt;"Черновик")),"ОШИБКА","ОК"))</f>
        <v/>
      </c>
      <c r="Q509" s="4" t="str">
        <f t="shared" si="39"/>
        <v/>
      </c>
    </row>
    <row r="510" spans="1:17" x14ac:dyDescent="0.25">
      <c r="A510" s="22"/>
      <c r="B510" s="23"/>
      <c r="C510" s="22"/>
      <c r="D510" s="22"/>
      <c r="E510" s="22"/>
      <c r="F510" s="22"/>
      <c r="G510" s="22"/>
      <c r="H510" s="23"/>
      <c r="I510" s="22"/>
      <c r="J510" s="22"/>
      <c r="K510" s="4" t="str">
        <f>IF(A510="","",SUMIFS(Cash[Оплата],Cash[Документ],A510,Cash[Дата],"&lt;="&amp;ДатаОтчета))</f>
        <v/>
      </c>
      <c r="L510" s="4" t="str">
        <f t="shared" si="35"/>
        <v/>
      </c>
      <c r="M510" s="4" t="str">
        <f t="shared" si="36"/>
        <v/>
      </c>
      <c r="N510" s="4" t="str">
        <f t="shared" si="37"/>
        <v/>
      </c>
      <c r="O510" s="4" t="str">
        <f t="shared" si="38"/>
        <v/>
      </c>
      <c r="P510" s="4" t="str">
        <f>IF(A510="",IF(COUNTA(B510:J510)&gt;0,"НЕТ ID",""),IF(OR(NOT(ISNUMBER(E510)),AND(Форма="ИП",C510="Дивиденды"),COUNTIF(Docs[ID],A510)&lt;&gt;1,NOT(ISNUMBER(B510)),B510&lt;НачалоУчета,YEAR(B510)&lt;&gt;Год,NOT(ISNUMBER(H510)),H510&lt;B510,E510&lt;0,COUNTIF(Виды,C510)&lt;&gt;1,COUNTIF(Категории,D510)&lt;&gt;1,COUNTIF(Контрагенты,F510)&lt;&gt;1,COUNTIF(Проекты,G510)&lt;&gt;1,L510&lt;-0.01,AND(I510&lt;&gt;"Проведён",I510&lt;&gt;"Черновик")),"ОШИБКА","ОК"))</f>
        <v/>
      </c>
      <c r="Q510" s="4" t="str">
        <f t="shared" si="39"/>
        <v/>
      </c>
    </row>
    <row r="511" spans="1:17" x14ac:dyDescent="0.25">
      <c r="A511" s="22"/>
      <c r="B511" s="23"/>
      <c r="C511" s="22"/>
      <c r="D511" s="22"/>
      <c r="E511" s="22"/>
      <c r="F511" s="22"/>
      <c r="G511" s="22"/>
      <c r="H511" s="23"/>
      <c r="I511" s="22"/>
      <c r="J511" s="22"/>
      <c r="K511" s="4" t="str">
        <f>IF(A511="","",SUMIFS(Cash[Оплата],Cash[Документ],A511,Cash[Дата],"&lt;="&amp;ДатаОтчета))</f>
        <v/>
      </c>
      <c r="L511" s="4" t="str">
        <f t="shared" si="35"/>
        <v/>
      </c>
      <c r="M511" s="4" t="str">
        <f t="shared" si="36"/>
        <v/>
      </c>
      <c r="N511" s="4" t="str">
        <f t="shared" si="37"/>
        <v/>
      </c>
      <c r="O511" s="4" t="str">
        <f t="shared" si="38"/>
        <v/>
      </c>
      <c r="P511" s="4" t="str">
        <f>IF(A511="",IF(COUNTA(B511:J511)&gt;0,"НЕТ ID",""),IF(OR(NOT(ISNUMBER(E511)),AND(Форма="ИП",C511="Дивиденды"),COUNTIF(Docs[ID],A511)&lt;&gt;1,NOT(ISNUMBER(B511)),B511&lt;НачалоУчета,YEAR(B511)&lt;&gt;Год,NOT(ISNUMBER(H511)),H511&lt;B511,E511&lt;0,COUNTIF(Виды,C511)&lt;&gt;1,COUNTIF(Категории,D511)&lt;&gt;1,COUNTIF(Контрагенты,F511)&lt;&gt;1,COUNTIF(Проекты,G511)&lt;&gt;1,L511&lt;-0.01,AND(I511&lt;&gt;"Проведён",I511&lt;&gt;"Черновик")),"ОШИБКА","ОК"))</f>
        <v/>
      </c>
      <c r="Q511" s="4" t="str">
        <f t="shared" si="39"/>
        <v/>
      </c>
    </row>
    <row r="512" spans="1:17" x14ac:dyDescent="0.25">
      <c r="A512" s="22"/>
      <c r="B512" s="23"/>
      <c r="C512" s="22"/>
      <c r="D512" s="22"/>
      <c r="E512" s="22"/>
      <c r="F512" s="22"/>
      <c r="G512" s="22"/>
      <c r="H512" s="23"/>
      <c r="I512" s="22"/>
      <c r="J512" s="22"/>
      <c r="K512" s="4" t="str">
        <f>IF(A512="","",SUMIFS(Cash[Оплата],Cash[Документ],A512,Cash[Дата],"&lt;="&amp;ДатаОтчета))</f>
        <v/>
      </c>
      <c r="L512" s="4" t="str">
        <f t="shared" si="35"/>
        <v/>
      </c>
      <c r="M512" s="4" t="str">
        <f t="shared" si="36"/>
        <v/>
      </c>
      <c r="N512" s="4" t="str">
        <f t="shared" si="37"/>
        <v/>
      </c>
      <c r="O512" s="4" t="str">
        <f t="shared" si="38"/>
        <v/>
      </c>
      <c r="P512" s="4" t="str">
        <f>IF(A512="",IF(COUNTA(B512:J512)&gt;0,"НЕТ ID",""),IF(OR(NOT(ISNUMBER(E512)),AND(Форма="ИП",C512="Дивиденды"),COUNTIF(Docs[ID],A512)&lt;&gt;1,NOT(ISNUMBER(B512)),B512&lt;НачалоУчета,YEAR(B512)&lt;&gt;Год,NOT(ISNUMBER(H512)),H512&lt;B512,E512&lt;0,COUNTIF(Виды,C512)&lt;&gt;1,COUNTIF(Категории,D512)&lt;&gt;1,COUNTIF(Контрагенты,F512)&lt;&gt;1,COUNTIF(Проекты,G512)&lt;&gt;1,L512&lt;-0.01,AND(I512&lt;&gt;"Проведён",I512&lt;&gt;"Черновик")),"ОШИБКА","ОК"))</f>
        <v/>
      </c>
      <c r="Q512" s="4" t="str">
        <f t="shared" si="39"/>
        <v/>
      </c>
    </row>
    <row r="513" spans="1:17" x14ac:dyDescent="0.25">
      <c r="A513" s="22"/>
      <c r="B513" s="23"/>
      <c r="C513" s="22"/>
      <c r="D513" s="22"/>
      <c r="E513" s="22"/>
      <c r="F513" s="22"/>
      <c r="G513" s="22"/>
      <c r="H513" s="23"/>
      <c r="I513" s="22"/>
      <c r="J513" s="22"/>
      <c r="K513" s="4" t="str">
        <f>IF(A513="","",SUMIFS(Cash[Оплата],Cash[Документ],A513,Cash[Дата],"&lt;="&amp;ДатаОтчета))</f>
        <v/>
      </c>
      <c r="L513" s="4" t="str">
        <f t="shared" si="35"/>
        <v/>
      </c>
      <c r="M513" s="4" t="str">
        <f t="shared" si="36"/>
        <v/>
      </c>
      <c r="N513" s="4" t="str">
        <f t="shared" si="37"/>
        <v/>
      </c>
      <c r="O513" s="4" t="str">
        <f t="shared" si="38"/>
        <v/>
      </c>
      <c r="P513" s="4" t="str">
        <f>IF(A513="",IF(COUNTA(B513:J513)&gt;0,"НЕТ ID",""),IF(OR(NOT(ISNUMBER(E513)),AND(Форма="ИП",C513="Дивиденды"),COUNTIF(Docs[ID],A513)&lt;&gt;1,NOT(ISNUMBER(B513)),B513&lt;НачалоУчета,YEAR(B513)&lt;&gt;Год,NOT(ISNUMBER(H513)),H513&lt;B513,E513&lt;0,COUNTIF(Виды,C513)&lt;&gt;1,COUNTIF(Категории,D513)&lt;&gt;1,COUNTIF(Контрагенты,F513)&lt;&gt;1,COUNTIF(Проекты,G513)&lt;&gt;1,L513&lt;-0.01,AND(I513&lt;&gt;"Проведён",I513&lt;&gt;"Черновик")),"ОШИБКА","ОК"))</f>
        <v/>
      </c>
      <c r="Q513" s="4" t="str">
        <f t="shared" si="39"/>
        <v/>
      </c>
    </row>
    <row r="514" spans="1:17" x14ac:dyDescent="0.25">
      <c r="A514" s="22"/>
      <c r="B514" s="23"/>
      <c r="C514" s="22"/>
      <c r="D514" s="22"/>
      <c r="E514" s="22"/>
      <c r="F514" s="22"/>
      <c r="G514" s="22"/>
      <c r="H514" s="23"/>
      <c r="I514" s="22"/>
      <c r="J514" s="22"/>
      <c r="K514" s="4" t="str">
        <f>IF(A514="","",SUMIFS(Cash[Оплата],Cash[Документ],A514,Cash[Дата],"&lt;="&amp;ДатаОтчета))</f>
        <v/>
      </c>
      <c r="L514" s="4" t="str">
        <f t="shared" si="35"/>
        <v/>
      </c>
      <c r="M514" s="4" t="str">
        <f t="shared" si="36"/>
        <v/>
      </c>
      <c r="N514" s="4" t="str">
        <f t="shared" si="37"/>
        <v/>
      </c>
      <c r="O514" s="4" t="str">
        <f t="shared" si="38"/>
        <v/>
      </c>
      <c r="P514" s="4" t="str">
        <f>IF(A514="",IF(COUNTA(B514:J514)&gt;0,"НЕТ ID",""),IF(OR(NOT(ISNUMBER(E514)),AND(Форма="ИП",C514="Дивиденды"),COUNTIF(Docs[ID],A514)&lt;&gt;1,NOT(ISNUMBER(B514)),B514&lt;НачалоУчета,YEAR(B514)&lt;&gt;Год,NOT(ISNUMBER(H514)),H514&lt;B514,E514&lt;0,COUNTIF(Виды,C514)&lt;&gt;1,COUNTIF(Категории,D514)&lt;&gt;1,COUNTIF(Контрагенты,F514)&lt;&gt;1,COUNTIF(Проекты,G514)&lt;&gt;1,L514&lt;-0.01,AND(I514&lt;&gt;"Проведён",I514&lt;&gt;"Черновик")),"ОШИБКА","ОК"))</f>
        <v/>
      </c>
      <c r="Q514" s="4" t="str">
        <f t="shared" si="39"/>
        <v/>
      </c>
    </row>
    <row r="515" spans="1:17" x14ac:dyDescent="0.25">
      <c r="A515" s="22"/>
      <c r="B515" s="23"/>
      <c r="C515" s="22"/>
      <c r="D515" s="22"/>
      <c r="E515" s="22"/>
      <c r="F515" s="22"/>
      <c r="G515" s="22"/>
      <c r="H515" s="23"/>
      <c r="I515" s="22"/>
      <c r="J515" s="22"/>
      <c r="K515" s="4" t="str">
        <f>IF(A515="","",SUMIFS(Cash[Оплата],Cash[Документ],A515,Cash[Дата],"&lt;="&amp;ДатаОтчета))</f>
        <v/>
      </c>
      <c r="L515" s="4" t="str">
        <f t="shared" si="35"/>
        <v/>
      </c>
      <c r="M515" s="4" t="str">
        <f t="shared" si="36"/>
        <v/>
      </c>
      <c r="N515" s="4" t="str">
        <f t="shared" si="37"/>
        <v/>
      </c>
      <c r="O515" s="4" t="str">
        <f t="shared" si="38"/>
        <v/>
      </c>
      <c r="P515" s="4" t="str">
        <f>IF(A515="",IF(COUNTA(B515:J515)&gt;0,"НЕТ ID",""),IF(OR(NOT(ISNUMBER(E515)),AND(Форма="ИП",C515="Дивиденды"),COUNTIF(Docs[ID],A515)&lt;&gt;1,NOT(ISNUMBER(B515)),B515&lt;НачалоУчета,YEAR(B515)&lt;&gt;Год,NOT(ISNUMBER(H515)),H515&lt;B515,E515&lt;0,COUNTIF(Виды,C515)&lt;&gt;1,COUNTIF(Категории,D515)&lt;&gt;1,COUNTIF(Контрагенты,F515)&lt;&gt;1,COUNTIF(Проекты,G515)&lt;&gt;1,L515&lt;-0.01,AND(I515&lt;&gt;"Проведён",I515&lt;&gt;"Черновик")),"ОШИБКА","ОК"))</f>
        <v/>
      </c>
      <c r="Q515" s="4" t="str">
        <f t="shared" si="39"/>
        <v/>
      </c>
    </row>
    <row r="516" spans="1:17" x14ac:dyDescent="0.25">
      <c r="A516" s="22"/>
      <c r="B516" s="23"/>
      <c r="C516" s="22"/>
      <c r="D516" s="22"/>
      <c r="E516" s="22"/>
      <c r="F516" s="22"/>
      <c r="G516" s="22"/>
      <c r="H516" s="23"/>
      <c r="I516" s="22"/>
      <c r="J516" s="22"/>
      <c r="K516" s="4" t="str">
        <f>IF(A516="","",SUMIFS(Cash[Оплата],Cash[Документ],A516,Cash[Дата],"&lt;="&amp;ДатаОтчета))</f>
        <v/>
      </c>
      <c r="L516" s="4" t="str">
        <f t="shared" si="35"/>
        <v/>
      </c>
      <c r="M516" s="4" t="str">
        <f t="shared" si="36"/>
        <v/>
      </c>
      <c r="N516" s="4" t="str">
        <f t="shared" si="37"/>
        <v/>
      </c>
      <c r="O516" s="4" t="str">
        <f t="shared" si="38"/>
        <v/>
      </c>
      <c r="P516" s="4" t="str">
        <f>IF(A516="",IF(COUNTA(B516:J516)&gt;0,"НЕТ ID",""),IF(OR(NOT(ISNUMBER(E516)),AND(Форма="ИП",C516="Дивиденды"),COUNTIF(Docs[ID],A516)&lt;&gt;1,NOT(ISNUMBER(B516)),B516&lt;НачалоУчета,YEAR(B516)&lt;&gt;Год,NOT(ISNUMBER(H516)),H516&lt;B516,E516&lt;0,COUNTIF(Виды,C516)&lt;&gt;1,COUNTIF(Категории,D516)&lt;&gt;1,COUNTIF(Контрагенты,F516)&lt;&gt;1,COUNTIF(Проекты,G516)&lt;&gt;1,L516&lt;-0.01,AND(I516&lt;&gt;"Проведён",I516&lt;&gt;"Черновик")),"ОШИБКА","ОК"))</f>
        <v/>
      </c>
      <c r="Q516" s="4" t="str">
        <f t="shared" si="39"/>
        <v/>
      </c>
    </row>
    <row r="517" spans="1:17" x14ac:dyDescent="0.25">
      <c r="A517" s="22"/>
      <c r="B517" s="23"/>
      <c r="C517" s="22"/>
      <c r="D517" s="22"/>
      <c r="E517" s="22"/>
      <c r="F517" s="22"/>
      <c r="G517" s="22"/>
      <c r="H517" s="23"/>
      <c r="I517" s="22"/>
      <c r="J517" s="22"/>
      <c r="K517" s="4" t="str">
        <f>IF(A517="","",SUMIFS(Cash[Оплата],Cash[Документ],A517,Cash[Дата],"&lt;="&amp;ДатаОтчета))</f>
        <v/>
      </c>
      <c r="L517" s="4" t="str">
        <f t="shared" si="35"/>
        <v/>
      </c>
      <c r="M517" s="4" t="str">
        <f t="shared" si="36"/>
        <v/>
      </c>
      <c r="N517" s="4" t="str">
        <f t="shared" si="37"/>
        <v/>
      </c>
      <c r="O517" s="4" t="str">
        <f t="shared" si="38"/>
        <v/>
      </c>
      <c r="P517" s="4" t="str">
        <f>IF(A517="",IF(COUNTA(B517:J517)&gt;0,"НЕТ ID",""),IF(OR(NOT(ISNUMBER(E517)),AND(Форма="ИП",C517="Дивиденды"),COUNTIF(Docs[ID],A517)&lt;&gt;1,NOT(ISNUMBER(B517)),B517&lt;НачалоУчета,YEAR(B517)&lt;&gt;Год,NOT(ISNUMBER(H517)),H517&lt;B517,E517&lt;0,COUNTIF(Виды,C517)&lt;&gt;1,COUNTIF(Категории,D517)&lt;&gt;1,COUNTIF(Контрагенты,F517)&lt;&gt;1,COUNTIF(Проекты,G517)&lt;&gt;1,L517&lt;-0.01,AND(I517&lt;&gt;"Проведён",I517&lt;&gt;"Черновик")),"ОШИБКА","ОК"))</f>
        <v/>
      </c>
      <c r="Q517" s="4" t="str">
        <f t="shared" si="39"/>
        <v/>
      </c>
    </row>
    <row r="518" spans="1:17" x14ac:dyDescent="0.25">
      <c r="A518" s="22"/>
      <c r="B518" s="23"/>
      <c r="C518" s="22"/>
      <c r="D518" s="22"/>
      <c r="E518" s="22"/>
      <c r="F518" s="22"/>
      <c r="G518" s="22"/>
      <c r="H518" s="23"/>
      <c r="I518" s="22"/>
      <c r="J518" s="22"/>
      <c r="K518" s="4" t="str">
        <f>IF(A518="","",SUMIFS(Cash[Оплата],Cash[Документ],A518,Cash[Дата],"&lt;="&amp;ДатаОтчета))</f>
        <v/>
      </c>
      <c r="L518" s="4" t="str">
        <f t="shared" si="35"/>
        <v/>
      </c>
      <c r="M518" s="4" t="str">
        <f t="shared" si="36"/>
        <v/>
      </c>
      <c r="N518" s="4" t="str">
        <f t="shared" si="37"/>
        <v/>
      </c>
      <c r="O518" s="4" t="str">
        <f t="shared" si="38"/>
        <v/>
      </c>
      <c r="P518" s="4" t="str">
        <f>IF(A518="",IF(COUNTA(B518:J518)&gt;0,"НЕТ ID",""),IF(OR(NOT(ISNUMBER(E518)),AND(Форма="ИП",C518="Дивиденды"),COUNTIF(Docs[ID],A518)&lt;&gt;1,NOT(ISNUMBER(B518)),B518&lt;НачалоУчета,YEAR(B518)&lt;&gt;Год,NOT(ISNUMBER(H518)),H518&lt;B518,E518&lt;0,COUNTIF(Виды,C518)&lt;&gt;1,COUNTIF(Категории,D518)&lt;&gt;1,COUNTIF(Контрагенты,F518)&lt;&gt;1,COUNTIF(Проекты,G518)&lt;&gt;1,L518&lt;-0.01,AND(I518&lt;&gt;"Проведён",I518&lt;&gt;"Черновик")),"ОШИБКА","ОК"))</f>
        <v/>
      </c>
      <c r="Q518" s="4" t="str">
        <f t="shared" si="39"/>
        <v/>
      </c>
    </row>
    <row r="519" spans="1:17" x14ac:dyDescent="0.25">
      <c r="A519" s="22"/>
      <c r="B519" s="23"/>
      <c r="C519" s="22"/>
      <c r="D519" s="22"/>
      <c r="E519" s="22"/>
      <c r="F519" s="22"/>
      <c r="G519" s="22"/>
      <c r="H519" s="23"/>
      <c r="I519" s="22"/>
      <c r="J519" s="22"/>
      <c r="K519" s="4" t="str">
        <f>IF(A519="","",SUMIFS(Cash[Оплата],Cash[Документ],A519,Cash[Дата],"&lt;="&amp;ДатаОтчета))</f>
        <v/>
      </c>
      <c r="L519" s="4" t="str">
        <f t="shared" ref="L519:L582" si="40">IF(A519="","",IF(AND(I519="Проведён",B519&lt;=ДатаОтчета),E519-K519,0))</f>
        <v/>
      </c>
      <c r="M519" s="4" t="str">
        <f t="shared" ref="M519:M582" si="41">IF(A519="","",IF(L519&gt;0.01,MAX(0,ДатаОтчета-H519),0))</f>
        <v/>
      </c>
      <c r="N519" s="4" t="str">
        <f t="shared" ref="N519:N582" si="42">IF(A519="","",IF(L519&lt;=0.01,"Закрыта",IF(M519=0,"Не просрочена",IF(M519&lt;=30,"1–30 дней",IF(M519&lt;=60,"31–60 дней",IF(M519&lt;=90,"61–90 дней","Более 90 дней"))))))</f>
        <v/>
      </c>
      <c r="O519" s="4" t="str">
        <f t="shared" ref="O519:O582" si="43">IF(A519="","",IF(L519&lt;-0.01,"Переплата",IF(L519&lt;=0.01,"Оплачено",IF(M519&gt;0,"Просрочено",IF(H519&lt;=ДатаОтчета+7,"Оплата в 7 дней","Открыто")))))</f>
        <v/>
      </c>
      <c r="P519" s="4" t="str">
        <f>IF(A519="",IF(COUNTA(B519:J519)&gt;0,"НЕТ ID",""),IF(OR(NOT(ISNUMBER(E519)),AND(Форма="ИП",C519="Дивиденды"),COUNTIF(Docs[ID],A519)&lt;&gt;1,NOT(ISNUMBER(B519)),B519&lt;НачалоУчета,YEAR(B519)&lt;&gt;Год,NOT(ISNUMBER(H519)),H519&lt;B519,E519&lt;0,COUNTIF(Виды,C519)&lt;&gt;1,COUNTIF(Категории,D519)&lt;&gt;1,COUNTIF(Контрагенты,F519)&lt;&gt;1,COUNTIF(Проекты,G519)&lt;&gt;1,L519&lt;-0.01,AND(I519&lt;&gt;"Проведён",I519&lt;&gt;"Черновик")),"ОШИБКА","ОК"))</f>
        <v/>
      </c>
      <c r="Q519" s="4" t="str">
        <f t="shared" ref="Q519:Q582" si="44">IF(A519="","",IF(OR(C519="Выручка",C519="Начальная ДЗ"),"ДЗ","КЗ"))</f>
        <v/>
      </c>
    </row>
    <row r="520" spans="1:17" x14ac:dyDescent="0.25">
      <c r="A520" s="22"/>
      <c r="B520" s="23"/>
      <c r="C520" s="22"/>
      <c r="D520" s="22"/>
      <c r="E520" s="22"/>
      <c r="F520" s="22"/>
      <c r="G520" s="22"/>
      <c r="H520" s="23"/>
      <c r="I520" s="22"/>
      <c r="J520" s="22"/>
      <c r="K520" s="4" t="str">
        <f>IF(A520="","",SUMIFS(Cash[Оплата],Cash[Документ],A520,Cash[Дата],"&lt;="&amp;ДатаОтчета))</f>
        <v/>
      </c>
      <c r="L520" s="4" t="str">
        <f t="shared" si="40"/>
        <v/>
      </c>
      <c r="M520" s="4" t="str">
        <f t="shared" si="41"/>
        <v/>
      </c>
      <c r="N520" s="4" t="str">
        <f t="shared" si="42"/>
        <v/>
      </c>
      <c r="O520" s="4" t="str">
        <f t="shared" si="43"/>
        <v/>
      </c>
      <c r="P520" s="4" t="str">
        <f>IF(A520="",IF(COUNTA(B520:J520)&gt;0,"НЕТ ID",""),IF(OR(NOT(ISNUMBER(E520)),AND(Форма="ИП",C520="Дивиденды"),COUNTIF(Docs[ID],A520)&lt;&gt;1,NOT(ISNUMBER(B520)),B520&lt;НачалоУчета,YEAR(B520)&lt;&gt;Год,NOT(ISNUMBER(H520)),H520&lt;B520,E520&lt;0,COUNTIF(Виды,C520)&lt;&gt;1,COUNTIF(Категории,D520)&lt;&gt;1,COUNTIF(Контрагенты,F520)&lt;&gt;1,COUNTIF(Проекты,G520)&lt;&gt;1,L520&lt;-0.01,AND(I520&lt;&gt;"Проведён",I520&lt;&gt;"Черновик")),"ОШИБКА","ОК"))</f>
        <v/>
      </c>
      <c r="Q520" s="4" t="str">
        <f t="shared" si="44"/>
        <v/>
      </c>
    </row>
    <row r="521" spans="1:17" x14ac:dyDescent="0.25">
      <c r="A521" s="22"/>
      <c r="B521" s="23"/>
      <c r="C521" s="22"/>
      <c r="D521" s="22"/>
      <c r="E521" s="22"/>
      <c r="F521" s="22"/>
      <c r="G521" s="22"/>
      <c r="H521" s="23"/>
      <c r="I521" s="22"/>
      <c r="J521" s="22"/>
      <c r="K521" s="4" t="str">
        <f>IF(A521="","",SUMIFS(Cash[Оплата],Cash[Документ],A521,Cash[Дата],"&lt;="&amp;ДатаОтчета))</f>
        <v/>
      </c>
      <c r="L521" s="4" t="str">
        <f t="shared" si="40"/>
        <v/>
      </c>
      <c r="M521" s="4" t="str">
        <f t="shared" si="41"/>
        <v/>
      </c>
      <c r="N521" s="4" t="str">
        <f t="shared" si="42"/>
        <v/>
      </c>
      <c r="O521" s="4" t="str">
        <f t="shared" si="43"/>
        <v/>
      </c>
      <c r="P521" s="4" t="str">
        <f>IF(A521="",IF(COUNTA(B521:J521)&gt;0,"НЕТ ID",""),IF(OR(NOT(ISNUMBER(E521)),AND(Форма="ИП",C521="Дивиденды"),COUNTIF(Docs[ID],A521)&lt;&gt;1,NOT(ISNUMBER(B521)),B521&lt;НачалоУчета,YEAR(B521)&lt;&gt;Год,NOT(ISNUMBER(H521)),H521&lt;B521,E521&lt;0,COUNTIF(Виды,C521)&lt;&gt;1,COUNTIF(Категории,D521)&lt;&gt;1,COUNTIF(Контрагенты,F521)&lt;&gt;1,COUNTIF(Проекты,G521)&lt;&gt;1,L521&lt;-0.01,AND(I521&lt;&gt;"Проведён",I521&lt;&gt;"Черновик")),"ОШИБКА","ОК"))</f>
        <v/>
      </c>
      <c r="Q521" s="4" t="str">
        <f t="shared" si="44"/>
        <v/>
      </c>
    </row>
    <row r="522" spans="1:17" x14ac:dyDescent="0.25">
      <c r="A522" s="22"/>
      <c r="B522" s="23"/>
      <c r="C522" s="22"/>
      <c r="D522" s="22"/>
      <c r="E522" s="22"/>
      <c r="F522" s="22"/>
      <c r="G522" s="22"/>
      <c r="H522" s="23"/>
      <c r="I522" s="22"/>
      <c r="J522" s="22"/>
      <c r="K522" s="4" t="str">
        <f>IF(A522="","",SUMIFS(Cash[Оплата],Cash[Документ],A522,Cash[Дата],"&lt;="&amp;ДатаОтчета))</f>
        <v/>
      </c>
      <c r="L522" s="4" t="str">
        <f t="shared" si="40"/>
        <v/>
      </c>
      <c r="M522" s="4" t="str">
        <f t="shared" si="41"/>
        <v/>
      </c>
      <c r="N522" s="4" t="str">
        <f t="shared" si="42"/>
        <v/>
      </c>
      <c r="O522" s="4" t="str">
        <f t="shared" si="43"/>
        <v/>
      </c>
      <c r="P522" s="4" t="str">
        <f>IF(A522="",IF(COUNTA(B522:J522)&gt;0,"НЕТ ID",""),IF(OR(NOT(ISNUMBER(E522)),AND(Форма="ИП",C522="Дивиденды"),COUNTIF(Docs[ID],A522)&lt;&gt;1,NOT(ISNUMBER(B522)),B522&lt;НачалоУчета,YEAR(B522)&lt;&gt;Год,NOT(ISNUMBER(H522)),H522&lt;B522,E522&lt;0,COUNTIF(Виды,C522)&lt;&gt;1,COUNTIF(Категории,D522)&lt;&gt;1,COUNTIF(Контрагенты,F522)&lt;&gt;1,COUNTIF(Проекты,G522)&lt;&gt;1,L522&lt;-0.01,AND(I522&lt;&gt;"Проведён",I522&lt;&gt;"Черновик")),"ОШИБКА","ОК"))</f>
        <v/>
      </c>
      <c r="Q522" s="4" t="str">
        <f t="shared" si="44"/>
        <v/>
      </c>
    </row>
    <row r="523" spans="1:17" x14ac:dyDescent="0.25">
      <c r="A523" s="22"/>
      <c r="B523" s="23"/>
      <c r="C523" s="22"/>
      <c r="D523" s="22"/>
      <c r="E523" s="22"/>
      <c r="F523" s="22"/>
      <c r="G523" s="22"/>
      <c r="H523" s="23"/>
      <c r="I523" s="22"/>
      <c r="J523" s="22"/>
      <c r="K523" s="4" t="str">
        <f>IF(A523="","",SUMIFS(Cash[Оплата],Cash[Документ],A523,Cash[Дата],"&lt;="&amp;ДатаОтчета))</f>
        <v/>
      </c>
      <c r="L523" s="4" t="str">
        <f t="shared" si="40"/>
        <v/>
      </c>
      <c r="M523" s="4" t="str">
        <f t="shared" si="41"/>
        <v/>
      </c>
      <c r="N523" s="4" t="str">
        <f t="shared" si="42"/>
        <v/>
      </c>
      <c r="O523" s="4" t="str">
        <f t="shared" si="43"/>
        <v/>
      </c>
      <c r="P523" s="4" t="str">
        <f>IF(A523="",IF(COUNTA(B523:J523)&gt;0,"НЕТ ID",""),IF(OR(NOT(ISNUMBER(E523)),AND(Форма="ИП",C523="Дивиденды"),COUNTIF(Docs[ID],A523)&lt;&gt;1,NOT(ISNUMBER(B523)),B523&lt;НачалоУчета,YEAR(B523)&lt;&gt;Год,NOT(ISNUMBER(H523)),H523&lt;B523,E523&lt;0,COUNTIF(Виды,C523)&lt;&gt;1,COUNTIF(Категории,D523)&lt;&gt;1,COUNTIF(Контрагенты,F523)&lt;&gt;1,COUNTIF(Проекты,G523)&lt;&gt;1,L523&lt;-0.01,AND(I523&lt;&gt;"Проведён",I523&lt;&gt;"Черновик")),"ОШИБКА","ОК"))</f>
        <v/>
      </c>
      <c r="Q523" s="4" t="str">
        <f t="shared" si="44"/>
        <v/>
      </c>
    </row>
    <row r="524" spans="1:17" x14ac:dyDescent="0.25">
      <c r="A524" s="22"/>
      <c r="B524" s="23"/>
      <c r="C524" s="22"/>
      <c r="D524" s="22"/>
      <c r="E524" s="22"/>
      <c r="F524" s="22"/>
      <c r="G524" s="22"/>
      <c r="H524" s="23"/>
      <c r="I524" s="22"/>
      <c r="J524" s="22"/>
      <c r="K524" s="4" t="str">
        <f>IF(A524="","",SUMIFS(Cash[Оплата],Cash[Документ],A524,Cash[Дата],"&lt;="&amp;ДатаОтчета))</f>
        <v/>
      </c>
      <c r="L524" s="4" t="str">
        <f t="shared" si="40"/>
        <v/>
      </c>
      <c r="M524" s="4" t="str">
        <f t="shared" si="41"/>
        <v/>
      </c>
      <c r="N524" s="4" t="str">
        <f t="shared" si="42"/>
        <v/>
      </c>
      <c r="O524" s="4" t="str">
        <f t="shared" si="43"/>
        <v/>
      </c>
      <c r="P524" s="4" t="str">
        <f>IF(A524="",IF(COUNTA(B524:J524)&gt;0,"НЕТ ID",""),IF(OR(NOT(ISNUMBER(E524)),AND(Форма="ИП",C524="Дивиденды"),COUNTIF(Docs[ID],A524)&lt;&gt;1,NOT(ISNUMBER(B524)),B524&lt;НачалоУчета,YEAR(B524)&lt;&gt;Год,NOT(ISNUMBER(H524)),H524&lt;B524,E524&lt;0,COUNTIF(Виды,C524)&lt;&gt;1,COUNTIF(Категории,D524)&lt;&gt;1,COUNTIF(Контрагенты,F524)&lt;&gt;1,COUNTIF(Проекты,G524)&lt;&gt;1,L524&lt;-0.01,AND(I524&lt;&gt;"Проведён",I524&lt;&gt;"Черновик")),"ОШИБКА","ОК"))</f>
        <v/>
      </c>
      <c r="Q524" s="4" t="str">
        <f t="shared" si="44"/>
        <v/>
      </c>
    </row>
    <row r="525" spans="1:17" x14ac:dyDescent="0.25">
      <c r="A525" s="22"/>
      <c r="B525" s="23"/>
      <c r="C525" s="22"/>
      <c r="D525" s="22"/>
      <c r="E525" s="22"/>
      <c r="F525" s="22"/>
      <c r="G525" s="22"/>
      <c r="H525" s="23"/>
      <c r="I525" s="22"/>
      <c r="J525" s="22"/>
      <c r="K525" s="4" t="str">
        <f>IF(A525="","",SUMIFS(Cash[Оплата],Cash[Документ],A525,Cash[Дата],"&lt;="&amp;ДатаОтчета))</f>
        <v/>
      </c>
      <c r="L525" s="4" t="str">
        <f t="shared" si="40"/>
        <v/>
      </c>
      <c r="M525" s="4" t="str">
        <f t="shared" si="41"/>
        <v/>
      </c>
      <c r="N525" s="4" t="str">
        <f t="shared" si="42"/>
        <v/>
      </c>
      <c r="O525" s="4" t="str">
        <f t="shared" si="43"/>
        <v/>
      </c>
      <c r="P525" s="4" t="str">
        <f>IF(A525="",IF(COUNTA(B525:J525)&gt;0,"НЕТ ID",""),IF(OR(NOT(ISNUMBER(E525)),AND(Форма="ИП",C525="Дивиденды"),COUNTIF(Docs[ID],A525)&lt;&gt;1,NOT(ISNUMBER(B525)),B525&lt;НачалоУчета,YEAR(B525)&lt;&gt;Год,NOT(ISNUMBER(H525)),H525&lt;B525,E525&lt;0,COUNTIF(Виды,C525)&lt;&gt;1,COUNTIF(Категории,D525)&lt;&gt;1,COUNTIF(Контрагенты,F525)&lt;&gt;1,COUNTIF(Проекты,G525)&lt;&gt;1,L525&lt;-0.01,AND(I525&lt;&gt;"Проведён",I525&lt;&gt;"Черновик")),"ОШИБКА","ОК"))</f>
        <v/>
      </c>
      <c r="Q525" s="4" t="str">
        <f t="shared" si="44"/>
        <v/>
      </c>
    </row>
    <row r="526" spans="1:17" x14ac:dyDescent="0.25">
      <c r="A526" s="22"/>
      <c r="B526" s="23"/>
      <c r="C526" s="22"/>
      <c r="D526" s="22"/>
      <c r="E526" s="22"/>
      <c r="F526" s="22"/>
      <c r="G526" s="22"/>
      <c r="H526" s="23"/>
      <c r="I526" s="22"/>
      <c r="J526" s="22"/>
      <c r="K526" s="4" t="str">
        <f>IF(A526="","",SUMIFS(Cash[Оплата],Cash[Документ],A526,Cash[Дата],"&lt;="&amp;ДатаОтчета))</f>
        <v/>
      </c>
      <c r="L526" s="4" t="str">
        <f t="shared" si="40"/>
        <v/>
      </c>
      <c r="M526" s="4" t="str">
        <f t="shared" si="41"/>
        <v/>
      </c>
      <c r="N526" s="4" t="str">
        <f t="shared" si="42"/>
        <v/>
      </c>
      <c r="O526" s="4" t="str">
        <f t="shared" si="43"/>
        <v/>
      </c>
      <c r="P526" s="4" t="str">
        <f>IF(A526="",IF(COUNTA(B526:J526)&gt;0,"НЕТ ID",""),IF(OR(NOT(ISNUMBER(E526)),AND(Форма="ИП",C526="Дивиденды"),COUNTIF(Docs[ID],A526)&lt;&gt;1,NOT(ISNUMBER(B526)),B526&lt;НачалоУчета,YEAR(B526)&lt;&gt;Год,NOT(ISNUMBER(H526)),H526&lt;B526,E526&lt;0,COUNTIF(Виды,C526)&lt;&gt;1,COUNTIF(Категории,D526)&lt;&gt;1,COUNTIF(Контрагенты,F526)&lt;&gt;1,COUNTIF(Проекты,G526)&lt;&gt;1,L526&lt;-0.01,AND(I526&lt;&gt;"Проведён",I526&lt;&gt;"Черновик")),"ОШИБКА","ОК"))</f>
        <v/>
      </c>
      <c r="Q526" s="4" t="str">
        <f t="shared" si="44"/>
        <v/>
      </c>
    </row>
    <row r="527" spans="1:17" x14ac:dyDescent="0.25">
      <c r="A527" s="22"/>
      <c r="B527" s="23"/>
      <c r="C527" s="22"/>
      <c r="D527" s="22"/>
      <c r="E527" s="22"/>
      <c r="F527" s="22"/>
      <c r="G527" s="22"/>
      <c r="H527" s="23"/>
      <c r="I527" s="22"/>
      <c r="J527" s="22"/>
      <c r="K527" s="4" t="str">
        <f>IF(A527="","",SUMIFS(Cash[Оплата],Cash[Документ],A527,Cash[Дата],"&lt;="&amp;ДатаОтчета))</f>
        <v/>
      </c>
      <c r="L527" s="4" t="str">
        <f t="shared" si="40"/>
        <v/>
      </c>
      <c r="M527" s="4" t="str">
        <f t="shared" si="41"/>
        <v/>
      </c>
      <c r="N527" s="4" t="str">
        <f t="shared" si="42"/>
        <v/>
      </c>
      <c r="O527" s="4" t="str">
        <f t="shared" si="43"/>
        <v/>
      </c>
      <c r="P527" s="4" t="str">
        <f>IF(A527="",IF(COUNTA(B527:J527)&gt;0,"НЕТ ID",""),IF(OR(NOT(ISNUMBER(E527)),AND(Форма="ИП",C527="Дивиденды"),COUNTIF(Docs[ID],A527)&lt;&gt;1,NOT(ISNUMBER(B527)),B527&lt;НачалоУчета,YEAR(B527)&lt;&gt;Год,NOT(ISNUMBER(H527)),H527&lt;B527,E527&lt;0,COUNTIF(Виды,C527)&lt;&gt;1,COUNTIF(Категории,D527)&lt;&gt;1,COUNTIF(Контрагенты,F527)&lt;&gt;1,COUNTIF(Проекты,G527)&lt;&gt;1,L527&lt;-0.01,AND(I527&lt;&gt;"Проведён",I527&lt;&gt;"Черновик")),"ОШИБКА","ОК"))</f>
        <v/>
      </c>
      <c r="Q527" s="4" t="str">
        <f t="shared" si="44"/>
        <v/>
      </c>
    </row>
    <row r="528" spans="1:17" x14ac:dyDescent="0.25">
      <c r="A528" s="22"/>
      <c r="B528" s="23"/>
      <c r="C528" s="22"/>
      <c r="D528" s="22"/>
      <c r="E528" s="22"/>
      <c r="F528" s="22"/>
      <c r="G528" s="22"/>
      <c r="H528" s="23"/>
      <c r="I528" s="22"/>
      <c r="J528" s="22"/>
      <c r="K528" s="4" t="str">
        <f>IF(A528="","",SUMIFS(Cash[Оплата],Cash[Документ],A528,Cash[Дата],"&lt;="&amp;ДатаОтчета))</f>
        <v/>
      </c>
      <c r="L528" s="4" t="str">
        <f t="shared" si="40"/>
        <v/>
      </c>
      <c r="M528" s="4" t="str">
        <f t="shared" si="41"/>
        <v/>
      </c>
      <c r="N528" s="4" t="str">
        <f t="shared" si="42"/>
        <v/>
      </c>
      <c r="O528" s="4" t="str">
        <f t="shared" si="43"/>
        <v/>
      </c>
      <c r="P528" s="4" t="str">
        <f>IF(A528="",IF(COUNTA(B528:J528)&gt;0,"НЕТ ID",""),IF(OR(NOT(ISNUMBER(E528)),AND(Форма="ИП",C528="Дивиденды"),COUNTIF(Docs[ID],A528)&lt;&gt;1,NOT(ISNUMBER(B528)),B528&lt;НачалоУчета,YEAR(B528)&lt;&gt;Год,NOT(ISNUMBER(H528)),H528&lt;B528,E528&lt;0,COUNTIF(Виды,C528)&lt;&gt;1,COUNTIF(Категории,D528)&lt;&gt;1,COUNTIF(Контрагенты,F528)&lt;&gt;1,COUNTIF(Проекты,G528)&lt;&gt;1,L528&lt;-0.01,AND(I528&lt;&gt;"Проведён",I528&lt;&gt;"Черновик")),"ОШИБКА","ОК"))</f>
        <v/>
      </c>
      <c r="Q528" s="4" t="str">
        <f t="shared" si="44"/>
        <v/>
      </c>
    </row>
    <row r="529" spans="1:17" x14ac:dyDescent="0.25">
      <c r="A529" s="22"/>
      <c r="B529" s="23"/>
      <c r="C529" s="22"/>
      <c r="D529" s="22"/>
      <c r="E529" s="22"/>
      <c r="F529" s="22"/>
      <c r="G529" s="22"/>
      <c r="H529" s="23"/>
      <c r="I529" s="22"/>
      <c r="J529" s="22"/>
      <c r="K529" s="4" t="str">
        <f>IF(A529="","",SUMIFS(Cash[Оплата],Cash[Документ],A529,Cash[Дата],"&lt;="&amp;ДатаОтчета))</f>
        <v/>
      </c>
      <c r="L529" s="4" t="str">
        <f t="shared" si="40"/>
        <v/>
      </c>
      <c r="M529" s="4" t="str">
        <f t="shared" si="41"/>
        <v/>
      </c>
      <c r="N529" s="4" t="str">
        <f t="shared" si="42"/>
        <v/>
      </c>
      <c r="O529" s="4" t="str">
        <f t="shared" si="43"/>
        <v/>
      </c>
      <c r="P529" s="4" t="str">
        <f>IF(A529="",IF(COUNTA(B529:J529)&gt;0,"НЕТ ID",""),IF(OR(NOT(ISNUMBER(E529)),AND(Форма="ИП",C529="Дивиденды"),COUNTIF(Docs[ID],A529)&lt;&gt;1,NOT(ISNUMBER(B529)),B529&lt;НачалоУчета,YEAR(B529)&lt;&gt;Год,NOT(ISNUMBER(H529)),H529&lt;B529,E529&lt;0,COUNTIF(Виды,C529)&lt;&gt;1,COUNTIF(Категории,D529)&lt;&gt;1,COUNTIF(Контрагенты,F529)&lt;&gt;1,COUNTIF(Проекты,G529)&lt;&gt;1,L529&lt;-0.01,AND(I529&lt;&gt;"Проведён",I529&lt;&gt;"Черновик")),"ОШИБКА","ОК"))</f>
        <v/>
      </c>
      <c r="Q529" s="4" t="str">
        <f t="shared" si="44"/>
        <v/>
      </c>
    </row>
    <row r="530" spans="1:17" x14ac:dyDescent="0.25">
      <c r="A530" s="22"/>
      <c r="B530" s="23"/>
      <c r="C530" s="22"/>
      <c r="D530" s="22"/>
      <c r="E530" s="22"/>
      <c r="F530" s="22"/>
      <c r="G530" s="22"/>
      <c r="H530" s="23"/>
      <c r="I530" s="22"/>
      <c r="J530" s="22"/>
      <c r="K530" s="4" t="str">
        <f>IF(A530="","",SUMIFS(Cash[Оплата],Cash[Документ],A530,Cash[Дата],"&lt;="&amp;ДатаОтчета))</f>
        <v/>
      </c>
      <c r="L530" s="4" t="str">
        <f t="shared" si="40"/>
        <v/>
      </c>
      <c r="M530" s="4" t="str">
        <f t="shared" si="41"/>
        <v/>
      </c>
      <c r="N530" s="4" t="str">
        <f t="shared" si="42"/>
        <v/>
      </c>
      <c r="O530" s="4" t="str">
        <f t="shared" si="43"/>
        <v/>
      </c>
      <c r="P530" s="4" t="str">
        <f>IF(A530="",IF(COUNTA(B530:J530)&gt;0,"НЕТ ID",""),IF(OR(NOT(ISNUMBER(E530)),AND(Форма="ИП",C530="Дивиденды"),COUNTIF(Docs[ID],A530)&lt;&gt;1,NOT(ISNUMBER(B530)),B530&lt;НачалоУчета,YEAR(B530)&lt;&gt;Год,NOT(ISNUMBER(H530)),H530&lt;B530,E530&lt;0,COUNTIF(Виды,C530)&lt;&gt;1,COUNTIF(Категории,D530)&lt;&gt;1,COUNTIF(Контрагенты,F530)&lt;&gt;1,COUNTIF(Проекты,G530)&lt;&gt;1,L530&lt;-0.01,AND(I530&lt;&gt;"Проведён",I530&lt;&gt;"Черновик")),"ОШИБКА","ОК"))</f>
        <v/>
      </c>
      <c r="Q530" s="4" t="str">
        <f t="shared" si="44"/>
        <v/>
      </c>
    </row>
    <row r="531" spans="1:17" x14ac:dyDescent="0.25">
      <c r="A531" s="22"/>
      <c r="B531" s="23"/>
      <c r="C531" s="22"/>
      <c r="D531" s="22"/>
      <c r="E531" s="22"/>
      <c r="F531" s="22"/>
      <c r="G531" s="22"/>
      <c r="H531" s="23"/>
      <c r="I531" s="22"/>
      <c r="J531" s="22"/>
      <c r="K531" s="4" t="str">
        <f>IF(A531="","",SUMIFS(Cash[Оплата],Cash[Документ],A531,Cash[Дата],"&lt;="&amp;ДатаОтчета))</f>
        <v/>
      </c>
      <c r="L531" s="4" t="str">
        <f t="shared" si="40"/>
        <v/>
      </c>
      <c r="M531" s="4" t="str">
        <f t="shared" si="41"/>
        <v/>
      </c>
      <c r="N531" s="4" t="str">
        <f t="shared" si="42"/>
        <v/>
      </c>
      <c r="O531" s="4" t="str">
        <f t="shared" si="43"/>
        <v/>
      </c>
      <c r="P531" s="4" t="str">
        <f>IF(A531="",IF(COUNTA(B531:J531)&gt;0,"НЕТ ID",""),IF(OR(NOT(ISNUMBER(E531)),AND(Форма="ИП",C531="Дивиденды"),COUNTIF(Docs[ID],A531)&lt;&gt;1,NOT(ISNUMBER(B531)),B531&lt;НачалоУчета,YEAR(B531)&lt;&gt;Год,NOT(ISNUMBER(H531)),H531&lt;B531,E531&lt;0,COUNTIF(Виды,C531)&lt;&gt;1,COUNTIF(Категории,D531)&lt;&gt;1,COUNTIF(Контрагенты,F531)&lt;&gt;1,COUNTIF(Проекты,G531)&lt;&gt;1,L531&lt;-0.01,AND(I531&lt;&gt;"Проведён",I531&lt;&gt;"Черновик")),"ОШИБКА","ОК"))</f>
        <v/>
      </c>
      <c r="Q531" s="4" t="str">
        <f t="shared" si="44"/>
        <v/>
      </c>
    </row>
    <row r="532" spans="1:17" x14ac:dyDescent="0.25">
      <c r="A532" s="22"/>
      <c r="B532" s="23"/>
      <c r="C532" s="22"/>
      <c r="D532" s="22"/>
      <c r="E532" s="22"/>
      <c r="F532" s="22"/>
      <c r="G532" s="22"/>
      <c r="H532" s="23"/>
      <c r="I532" s="22"/>
      <c r="J532" s="22"/>
      <c r="K532" s="4" t="str">
        <f>IF(A532="","",SUMIFS(Cash[Оплата],Cash[Документ],A532,Cash[Дата],"&lt;="&amp;ДатаОтчета))</f>
        <v/>
      </c>
      <c r="L532" s="4" t="str">
        <f t="shared" si="40"/>
        <v/>
      </c>
      <c r="M532" s="4" t="str">
        <f t="shared" si="41"/>
        <v/>
      </c>
      <c r="N532" s="4" t="str">
        <f t="shared" si="42"/>
        <v/>
      </c>
      <c r="O532" s="4" t="str">
        <f t="shared" si="43"/>
        <v/>
      </c>
      <c r="P532" s="4" t="str">
        <f>IF(A532="",IF(COUNTA(B532:J532)&gt;0,"НЕТ ID",""),IF(OR(NOT(ISNUMBER(E532)),AND(Форма="ИП",C532="Дивиденды"),COUNTIF(Docs[ID],A532)&lt;&gt;1,NOT(ISNUMBER(B532)),B532&lt;НачалоУчета,YEAR(B532)&lt;&gt;Год,NOT(ISNUMBER(H532)),H532&lt;B532,E532&lt;0,COUNTIF(Виды,C532)&lt;&gt;1,COUNTIF(Категории,D532)&lt;&gt;1,COUNTIF(Контрагенты,F532)&lt;&gt;1,COUNTIF(Проекты,G532)&lt;&gt;1,L532&lt;-0.01,AND(I532&lt;&gt;"Проведён",I532&lt;&gt;"Черновик")),"ОШИБКА","ОК"))</f>
        <v/>
      </c>
      <c r="Q532" s="4" t="str">
        <f t="shared" si="44"/>
        <v/>
      </c>
    </row>
    <row r="533" spans="1:17" x14ac:dyDescent="0.25">
      <c r="A533" s="22"/>
      <c r="B533" s="23"/>
      <c r="C533" s="22"/>
      <c r="D533" s="22"/>
      <c r="E533" s="22"/>
      <c r="F533" s="22"/>
      <c r="G533" s="22"/>
      <c r="H533" s="23"/>
      <c r="I533" s="22"/>
      <c r="J533" s="22"/>
      <c r="K533" s="4" t="str">
        <f>IF(A533="","",SUMIFS(Cash[Оплата],Cash[Документ],A533,Cash[Дата],"&lt;="&amp;ДатаОтчета))</f>
        <v/>
      </c>
      <c r="L533" s="4" t="str">
        <f t="shared" si="40"/>
        <v/>
      </c>
      <c r="M533" s="4" t="str">
        <f t="shared" si="41"/>
        <v/>
      </c>
      <c r="N533" s="4" t="str">
        <f t="shared" si="42"/>
        <v/>
      </c>
      <c r="O533" s="4" t="str">
        <f t="shared" si="43"/>
        <v/>
      </c>
      <c r="P533" s="4" t="str">
        <f>IF(A533="",IF(COUNTA(B533:J533)&gt;0,"НЕТ ID",""),IF(OR(NOT(ISNUMBER(E533)),AND(Форма="ИП",C533="Дивиденды"),COUNTIF(Docs[ID],A533)&lt;&gt;1,NOT(ISNUMBER(B533)),B533&lt;НачалоУчета,YEAR(B533)&lt;&gt;Год,NOT(ISNUMBER(H533)),H533&lt;B533,E533&lt;0,COUNTIF(Виды,C533)&lt;&gt;1,COUNTIF(Категории,D533)&lt;&gt;1,COUNTIF(Контрагенты,F533)&lt;&gt;1,COUNTIF(Проекты,G533)&lt;&gt;1,L533&lt;-0.01,AND(I533&lt;&gt;"Проведён",I533&lt;&gt;"Черновик")),"ОШИБКА","ОК"))</f>
        <v/>
      </c>
      <c r="Q533" s="4" t="str">
        <f t="shared" si="44"/>
        <v/>
      </c>
    </row>
    <row r="534" spans="1:17" x14ac:dyDescent="0.25">
      <c r="A534" s="22"/>
      <c r="B534" s="23"/>
      <c r="C534" s="22"/>
      <c r="D534" s="22"/>
      <c r="E534" s="22"/>
      <c r="F534" s="22"/>
      <c r="G534" s="22"/>
      <c r="H534" s="23"/>
      <c r="I534" s="22"/>
      <c r="J534" s="22"/>
      <c r="K534" s="4" t="str">
        <f>IF(A534="","",SUMIFS(Cash[Оплата],Cash[Документ],A534,Cash[Дата],"&lt;="&amp;ДатаОтчета))</f>
        <v/>
      </c>
      <c r="L534" s="4" t="str">
        <f t="shared" si="40"/>
        <v/>
      </c>
      <c r="M534" s="4" t="str">
        <f t="shared" si="41"/>
        <v/>
      </c>
      <c r="N534" s="4" t="str">
        <f t="shared" si="42"/>
        <v/>
      </c>
      <c r="O534" s="4" t="str">
        <f t="shared" si="43"/>
        <v/>
      </c>
      <c r="P534" s="4" t="str">
        <f>IF(A534="",IF(COUNTA(B534:J534)&gt;0,"НЕТ ID",""),IF(OR(NOT(ISNUMBER(E534)),AND(Форма="ИП",C534="Дивиденды"),COUNTIF(Docs[ID],A534)&lt;&gt;1,NOT(ISNUMBER(B534)),B534&lt;НачалоУчета,YEAR(B534)&lt;&gt;Год,NOT(ISNUMBER(H534)),H534&lt;B534,E534&lt;0,COUNTIF(Виды,C534)&lt;&gt;1,COUNTIF(Категории,D534)&lt;&gt;1,COUNTIF(Контрагенты,F534)&lt;&gt;1,COUNTIF(Проекты,G534)&lt;&gt;1,L534&lt;-0.01,AND(I534&lt;&gt;"Проведён",I534&lt;&gt;"Черновик")),"ОШИБКА","ОК"))</f>
        <v/>
      </c>
      <c r="Q534" s="4" t="str">
        <f t="shared" si="44"/>
        <v/>
      </c>
    </row>
    <row r="535" spans="1:17" x14ac:dyDescent="0.25">
      <c r="A535" s="22"/>
      <c r="B535" s="23"/>
      <c r="C535" s="22"/>
      <c r="D535" s="22"/>
      <c r="E535" s="22"/>
      <c r="F535" s="22"/>
      <c r="G535" s="22"/>
      <c r="H535" s="23"/>
      <c r="I535" s="22"/>
      <c r="J535" s="22"/>
      <c r="K535" s="4" t="str">
        <f>IF(A535="","",SUMIFS(Cash[Оплата],Cash[Документ],A535,Cash[Дата],"&lt;="&amp;ДатаОтчета))</f>
        <v/>
      </c>
      <c r="L535" s="4" t="str">
        <f t="shared" si="40"/>
        <v/>
      </c>
      <c r="M535" s="4" t="str">
        <f t="shared" si="41"/>
        <v/>
      </c>
      <c r="N535" s="4" t="str">
        <f t="shared" si="42"/>
        <v/>
      </c>
      <c r="O535" s="4" t="str">
        <f t="shared" si="43"/>
        <v/>
      </c>
      <c r="P535" s="4" t="str">
        <f>IF(A535="",IF(COUNTA(B535:J535)&gt;0,"НЕТ ID",""),IF(OR(NOT(ISNUMBER(E535)),AND(Форма="ИП",C535="Дивиденды"),COUNTIF(Docs[ID],A535)&lt;&gt;1,NOT(ISNUMBER(B535)),B535&lt;НачалоУчета,YEAR(B535)&lt;&gt;Год,NOT(ISNUMBER(H535)),H535&lt;B535,E535&lt;0,COUNTIF(Виды,C535)&lt;&gt;1,COUNTIF(Категории,D535)&lt;&gt;1,COUNTIF(Контрагенты,F535)&lt;&gt;1,COUNTIF(Проекты,G535)&lt;&gt;1,L535&lt;-0.01,AND(I535&lt;&gt;"Проведён",I535&lt;&gt;"Черновик")),"ОШИБКА","ОК"))</f>
        <v/>
      </c>
      <c r="Q535" s="4" t="str">
        <f t="shared" si="44"/>
        <v/>
      </c>
    </row>
    <row r="536" spans="1:17" x14ac:dyDescent="0.25">
      <c r="A536" s="22"/>
      <c r="B536" s="23"/>
      <c r="C536" s="22"/>
      <c r="D536" s="22"/>
      <c r="E536" s="22"/>
      <c r="F536" s="22"/>
      <c r="G536" s="22"/>
      <c r="H536" s="23"/>
      <c r="I536" s="22"/>
      <c r="J536" s="22"/>
      <c r="K536" s="4" t="str">
        <f>IF(A536="","",SUMIFS(Cash[Оплата],Cash[Документ],A536,Cash[Дата],"&lt;="&amp;ДатаОтчета))</f>
        <v/>
      </c>
      <c r="L536" s="4" t="str">
        <f t="shared" si="40"/>
        <v/>
      </c>
      <c r="M536" s="4" t="str">
        <f t="shared" si="41"/>
        <v/>
      </c>
      <c r="N536" s="4" t="str">
        <f t="shared" si="42"/>
        <v/>
      </c>
      <c r="O536" s="4" t="str">
        <f t="shared" si="43"/>
        <v/>
      </c>
      <c r="P536" s="4" t="str">
        <f>IF(A536="",IF(COUNTA(B536:J536)&gt;0,"НЕТ ID",""),IF(OR(NOT(ISNUMBER(E536)),AND(Форма="ИП",C536="Дивиденды"),COUNTIF(Docs[ID],A536)&lt;&gt;1,NOT(ISNUMBER(B536)),B536&lt;НачалоУчета,YEAR(B536)&lt;&gt;Год,NOT(ISNUMBER(H536)),H536&lt;B536,E536&lt;0,COUNTIF(Виды,C536)&lt;&gt;1,COUNTIF(Категории,D536)&lt;&gt;1,COUNTIF(Контрагенты,F536)&lt;&gt;1,COUNTIF(Проекты,G536)&lt;&gt;1,L536&lt;-0.01,AND(I536&lt;&gt;"Проведён",I536&lt;&gt;"Черновик")),"ОШИБКА","ОК"))</f>
        <v/>
      </c>
      <c r="Q536" s="4" t="str">
        <f t="shared" si="44"/>
        <v/>
      </c>
    </row>
    <row r="537" spans="1:17" x14ac:dyDescent="0.25">
      <c r="A537" s="22"/>
      <c r="B537" s="23"/>
      <c r="C537" s="22"/>
      <c r="D537" s="22"/>
      <c r="E537" s="22"/>
      <c r="F537" s="22"/>
      <c r="G537" s="22"/>
      <c r="H537" s="23"/>
      <c r="I537" s="22"/>
      <c r="J537" s="22"/>
      <c r="K537" s="4" t="str">
        <f>IF(A537="","",SUMIFS(Cash[Оплата],Cash[Документ],A537,Cash[Дата],"&lt;="&amp;ДатаОтчета))</f>
        <v/>
      </c>
      <c r="L537" s="4" t="str">
        <f t="shared" si="40"/>
        <v/>
      </c>
      <c r="M537" s="4" t="str">
        <f t="shared" si="41"/>
        <v/>
      </c>
      <c r="N537" s="4" t="str">
        <f t="shared" si="42"/>
        <v/>
      </c>
      <c r="O537" s="4" t="str">
        <f t="shared" si="43"/>
        <v/>
      </c>
      <c r="P537" s="4" t="str">
        <f>IF(A537="",IF(COUNTA(B537:J537)&gt;0,"НЕТ ID",""),IF(OR(NOT(ISNUMBER(E537)),AND(Форма="ИП",C537="Дивиденды"),COUNTIF(Docs[ID],A537)&lt;&gt;1,NOT(ISNUMBER(B537)),B537&lt;НачалоУчета,YEAR(B537)&lt;&gt;Год,NOT(ISNUMBER(H537)),H537&lt;B537,E537&lt;0,COUNTIF(Виды,C537)&lt;&gt;1,COUNTIF(Категории,D537)&lt;&gt;1,COUNTIF(Контрагенты,F537)&lt;&gt;1,COUNTIF(Проекты,G537)&lt;&gt;1,L537&lt;-0.01,AND(I537&lt;&gt;"Проведён",I537&lt;&gt;"Черновик")),"ОШИБКА","ОК"))</f>
        <v/>
      </c>
      <c r="Q537" s="4" t="str">
        <f t="shared" si="44"/>
        <v/>
      </c>
    </row>
    <row r="538" spans="1:17" x14ac:dyDescent="0.25">
      <c r="A538" s="22"/>
      <c r="B538" s="23"/>
      <c r="C538" s="22"/>
      <c r="D538" s="22"/>
      <c r="E538" s="22"/>
      <c r="F538" s="22"/>
      <c r="G538" s="22"/>
      <c r="H538" s="23"/>
      <c r="I538" s="22"/>
      <c r="J538" s="22"/>
      <c r="K538" s="4" t="str">
        <f>IF(A538="","",SUMIFS(Cash[Оплата],Cash[Документ],A538,Cash[Дата],"&lt;="&amp;ДатаОтчета))</f>
        <v/>
      </c>
      <c r="L538" s="4" t="str">
        <f t="shared" si="40"/>
        <v/>
      </c>
      <c r="M538" s="4" t="str">
        <f t="shared" si="41"/>
        <v/>
      </c>
      <c r="N538" s="4" t="str">
        <f t="shared" si="42"/>
        <v/>
      </c>
      <c r="O538" s="4" t="str">
        <f t="shared" si="43"/>
        <v/>
      </c>
      <c r="P538" s="4" t="str">
        <f>IF(A538="",IF(COUNTA(B538:J538)&gt;0,"НЕТ ID",""),IF(OR(NOT(ISNUMBER(E538)),AND(Форма="ИП",C538="Дивиденды"),COUNTIF(Docs[ID],A538)&lt;&gt;1,NOT(ISNUMBER(B538)),B538&lt;НачалоУчета,YEAR(B538)&lt;&gt;Год,NOT(ISNUMBER(H538)),H538&lt;B538,E538&lt;0,COUNTIF(Виды,C538)&lt;&gt;1,COUNTIF(Категории,D538)&lt;&gt;1,COUNTIF(Контрагенты,F538)&lt;&gt;1,COUNTIF(Проекты,G538)&lt;&gt;1,L538&lt;-0.01,AND(I538&lt;&gt;"Проведён",I538&lt;&gt;"Черновик")),"ОШИБКА","ОК"))</f>
        <v/>
      </c>
      <c r="Q538" s="4" t="str">
        <f t="shared" si="44"/>
        <v/>
      </c>
    </row>
    <row r="539" spans="1:17" x14ac:dyDescent="0.25">
      <c r="A539" s="22"/>
      <c r="B539" s="23"/>
      <c r="C539" s="22"/>
      <c r="D539" s="22"/>
      <c r="E539" s="22"/>
      <c r="F539" s="22"/>
      <c r="G539" s="22"/>
      <c r="H539" s="23"/>
      <c r="I539" s="22"/>
      <c r="J539" s="22"/>
      <c r="K539" s="4" t="str">
        <f>IF(A539="","",SUMIFS(Cash[Оплата],Cash[Документ],A539,Cash[Дата],"&lt;="&amp;ДатаОтчета))</f>
        <v/>
      </c>
      <c r="L539" s="4" t="str">
        <f t="shared" si="40"/>
        <v/>
      </c>
      <c r="M539" s="4" t="str">
        <f t="shared" si="41"/>
        <v/>
      </c>
      <c r="N539" s="4" t="str">
        <f t="shared" si="42"/>
        <v/>
      </c>
      <c r="O539" s="4" t="str">
        <f t="shared" si="43"/>
        <v/>
      </c>
      <c r="P539" s="4" t="str">
        <f>IF(A539="",IF(COUNTA(B539:J539)&gt;0,"НЕТ ID",""),IF(OR(NOT(ISNUMBER(E539)),AND(Форма="ИП",C539="Дивиденды"),COUNTIF(Docs[ID],A539)&lt;&gt;1,NOT(ISNUMBER(B539)),B539&lt;НачалоУчета,YEAR(B539)&lt;&gt;Год,NOT(ISNUMBER(H539)),H539&lt;B539,E539&lt;0,COUNTIF(Виды,C539)&lt;&gt;1,COUNTIF(Категории,D539)&lt;&gt;1,COUNTIF(Контрагенты,F539)&lt;&gt;1,COUNTIF(Проекты,G539)&lt;&gt;1,L539&lt;-0.01,AND(I539&lt;&gt;"Проведён",I539&lt;&gt;"Черновик")),"ОШИБКА","ОК"))</f>
        <v/>
      </c>
      <c r="Q539" s="4" t="str">
        <f t="shared" si="44"/>
        <v/>
      </c>
    </row>
    <row r="540" spans="1:17" x14ac:dyDescent="0.25">
      <c r="A540" s="22"/>
      <c r="B540" s="23"/>
      <c r="C540" s="22"/>
      <c r="D540" s="22"/>
      <c r="E540" s="22"/>
      <c r="F540" s="22"/>
      <c r="G540" s="22"/>
      <c r="H540" s="23"/>
      <c r="I540" s="22"/>
      <c r="J540" s="22"/>
      <c r="K540" s="4" t="str">
        <f>IF(A540="","",SUMIFS(Cash[Оплата],Cash[Документ],A540,Cash[Дата],"&lt;="&amp;ДатаОтчета))</f>
        <v/>
      </c>
      <c r="L540" s="4" t="str">
        <f t="shared" si="40"/>
        <v/>
      </c>
      <c r="M540" s="4" t="str">
        <f t="shared" si="41"/>
        <v/>
      </c>
      <c r="N540" s="4" t="str">
        <f t="shared" si="42"/>
        <v/>
      </c>
      <c r="O540" s="4" t="str">
        <f t="shared" si="43"/>
        <v/>
      </c>
      <c r="P540" s="4" t="str">
        <f>IF(A540="",IF(COUNTA(B540:J540)&gt;0,"НЕТ ID",""),IF(OR(NOT(ISNUMBER(E540)),AND(Форма="ИП",C540="Дивиденды"),COUNTIF(Docs[ID],A540)&lt;&gt;1,NOT(ISNUMBER(B540)),B540&lt;НачалоУчета,YEAR(B540)&lt;&gt;Год,NOT(ISNUMBER(H540)),H540&lt;B540,E540&lt;0,COUNTIF(Виды,C540)&lt;&gt;1,COUNTIF(Категории,D540)&lt;&gt;1,COUNTIF(Контрагенты,F540)&lt;&gt;1,COUNTIF(Проекты,G540)&lt;&gt;1,L540&lt;-0.01,AND(I540&lt;&gt;"Проведён",I540&lt;&gt;"Черновик")),"ОШИБКА","ОК"))</f>
        <v/>
      </c>
      <c r="Q540" s="4" t="str">
        <f t="shared" si="44"/>
        <v/>
      </c>
    </row>
    <row r="541" spans="1:17" x14ac:dyDescent="0.25">
      <c r="A541" s="22"/>
      <c r="B541" s="23"/>
      <c r="C541" s="22"/>
      <c r="D541" s="22"/>
      <c r="E541" s="22"/>
      <c r="F541" s="22"/>
      <c r="G541" s="22"/>
      <c r="H541" s="23"/>
      <c r="I541" s="22"/>
      <c r="J541" s="22"/>
      <c r="K541" s="4" t="str">
        <f>IF(A541="","",SUMIFS(Cash[Оплата],Cash[Документ],A541,Cash[Дата],"&lt;="&amp;ДатаОтчета))</f>
        <v/>
      </c>
      <c r="L541" s="4" t="str">
        <f t="shared" si="40"/>
        <v/>
      </c>
      <c r="M541" s="4" t="str">
        <f t="shared" si="41"/>
        <v/>
      </c>
      <c r="N541" s="4" t="str">
        <f t="shared" si="42"/>
        <v/>
      </c>
      <c r="O541" s="4" t="str">
        <f t="shared" si="43"/>
        <v/>
      </c>
      <c r="P541" s="4" t="str">
        <f>IF(A541="",IF(COUNTA(B541:J541)&gt;0,"НЕТ ID",""),IF(OR(NOT(ISNUMBER(E541)),AND(Форма="ИП",C541="Дивиденды"),COUNTIF(Docs[ID],A541)&lt;&gt;1,NOT(ISNUMBER(B541)),B541&lt;НачалоУчета,YEAR(B541)&lt;&gt;Год,NOT(ISNUMBER(H541)),H541&lt;B541,E541&lt;0,COUNTIF(Виды,C541)&lt;&gt;1,COUNTIF(Категории,D541)&lt;&gt;1,COUNTIF(Контрагенты,F541)&lt;&gt;1,COUNTIF(Проекты,G541)&lt;&gt;1,L541&lt;-0.01,AND(I541&lt;&gt;"Проведён",I541&lt;&gt;"Черновик")),"ОШИБКА","ОК"))</f>
        <v/>
      </c>
      <c r="Q541" s="4" t="str">
        <f t="shared" si="44"/>
        <v/>
      </c>
    </row>
    <row r="542" spans="1:17" x14ac:dyDescent="0.25">
      <c r="A542" s="22"/>
      <c r="B542" s="23"/>
      <c r="C542" s="22"/>
      <c r="D542" s="22"/>
      <c r="E542" s="22"/>
      <c r="F542" s="22"/>
      <c r="G542" s="22"/>
      <c r="H542" s="23"/>
      <c r="I542" s="22"/>
      <c r="J542" s="22"/>
      <c r="K542" s="4" t="str">
        <f>IF(A542="","",SUMIFS(Cash[Оплата],Cash[Документ],A542,Cash[Дата],"&lt;="&amp;ДатаОтчета))</f>
        <v/>
      </c>
      <c r="L542" s="4" t="str">
        <f t="shared" si="40"/>
        <v/>
      </c>
      <c r="M542" s="4" t="str">
        <f t="shared" si="41"/>
        <v/>
      </c>
      <c r="N542" s="4" t="str">
        <f t="shared" si="42"/>
        <v/>
      </c>
      <c r="O542" s="4" t="str">
        <f t="shared" si="43"/>
        <v/>
      </c>
      <c r="P542" s="4" t="str">
        <f>IF(A542="",IF(COUNTA(B542:J542)&gt;0,"НЕТ ID",""),IF(OR(NOT(ISNUMBER(E542)),AND(Форма="ИП",C542="Дивиденды"),COUNTIF(Docs[ID],A542)&lt;&gt;1,NOT(ISNUMBER(B542)),B542&lt;НачалоУчета,YEAR(B542)&lt;&gt;Год,NOT(ISNUMBER(H542)),H542&lt;B542,E542&lt;0,COUNTIF(Виды,C542)&lt;&gt;1,COUNTIF(Категории,D542)&lt;&gt;1,COUNTIF(Контрагенты,F542)&lt;&gt;1,COUNTIF(Проекты,G542)&lt;&gt;1,L542&lt;-0.01,AND(I542&lt;&gt;"Проведён",I542&lt;&gt;"Черновик")),"ОШИБКА","ОК"))</f>
        <v/>
      </c>
      <c r="Q542" s="4" t="str">
        <f t="shared" si="44"/>
        <v/>
      </c>
    </row>
    <row r="543" spans="1:17" x14ac:dyDescent="0.25">
      <c r="A543" s="22"/>
      <c r="B543" s="23"/>
      <c r="C543" s="22"/>
      <c r="D543" s="22"/>
      <c r="E543" s="22"/>
      <c r="F543" s="22"/>
      <c r="G543" s="22"/>
      <c r="H543" s="23"/>
      <c r="I543" s="22"/>
      <c r="J543" s="22"/>
      <c r="K543" s="4" t="str">
        <f>IF(A543="","",SUMIFS(Cash[Оплата],Cash[Документ],A543,Cash[Дата],"&lt;="&amp;ДатаОтчета))</f>
        <v/>
      </c>
      <c r="L543" s="4" t="str">
        <f t="shared" si="40"/>
        <v/>
      </c>
      <c r="M543" s="4" t="str">
        <f t="shared" si="41"/>
        <v/>
      </c>
      <c r="N543" s="4" t="str">
        <f t="shared" si="42"/>
        <v/>
      </c>
      <c r="O543" s="4" t="str">
        <f t="shared" si="43"/>
        <v/>
      </c>
      <c r="P543" s="4" t="str">
        <f>IF(A543="",IF(COUNTA(B543:J543)&gt;0,"НЕТ ID",""),IF(OR(NOT(ISNUMBER(E543)),AND(Форма="ИП",C543="Дивиденды"),COUNTIF(Docs[ID],A543)&lt;&gt;1,NOT(ISNUMBER(B543)),B543&lt;НачалоУчета,YEAR(B543)&lt;&gt;Год,NOT(ISNUMBER(H543)),H543&lt;B543,E543&lt;0,COUNTIF(Виды,C543)&lt;&gt;1,COUNTIF(Категории,D543)&lt;&gt;1,COUNTIF(Контрагенты,F543)&lt;&gt;1,COUNTIF(Проекты,G543)&lt;&gt;1,L543&lt;-0.01,AND(I543&lt;&gt;"Проведён",I543&lt;&gt;"Черновик")),"ОШИБКА","ОК"))</f>
        <v/>
      </c>
      <c r="Q543" s="4" t="str">
        <f t="shared" si="44"/>
        <v/>
      </c>
    </row>
    <row r="544" spans="1:17" x14ac:dyDescent="0.25">
      <c r="A544" s="22"/>
      <c r="B544" s="23"/>
      <c r="C544" s="22"/>
      <c r="D544" s="22"/>
      <c r="E544" s="22"/>
      <c r="F544" s="22"/>
      <c r="G544" s="22"/>
      <c r="H544" s="23"/>
      <c r="I544" s="22"/>
      <c r="J544" s="22"/>
      <c r="K544" s="4" t="str">
        <f>IF(A544="","",SUMIFS(Cash[Оплата],Cash[Документ],A544,Cash[Дата],"&lt;="&amp;ДатаОтчета))</f>
        <v/>
      </c>
      <c r="L544" s="4" t="str">
        <f t="shared" si="40"/>
        <v/>
      </c>
      <c r="M544" s="4" t="str">
        <f t="shared" si="41"/>
        <v/>
      </c>
      <c r="N544" s="4" t="str">
        <f t="shared" si="42"/>
        <v/>
      </c>
      <c r="O544" s="4" t="str">
        <f t="shared" si="43"/>
        <v/>
      </c>
      <c r="P544" s="4" t="str">
        <f>IF(A544="",IF(COUNTA(B544:J544)&gt;0,"НЕТ ID",""),IF(OR(NOT(ISNUMBER(E544)),AND(Форма="ИП",C544="Дивиденды"),COUNTIF(Docs[ID],A544)&lt;&gt;1,NOT(ISNUMBER(B544)),B544&lt;НачалоУчета,YEAR(B544)&lt;&gt;Год,NOT(ISNUMBER(H544)),H544&lt;B544,E544&lt;0,COUNTIF(Виды,C544)&lt;&gt;1,COUNTIF(Категории,D544)&lt;&gt;1,COUNTIF(Контрагенты,F544)&lt;&gt;1,COUNTIF(Проекты,G544)&lt;&gt;1,L544&lt;-0.01,AND(I544&lt;&gt;"Проведён",I544&lt;&gt;"Черновик")),"ОШИБКА","ОК"))</f>
        <v/>
      </c>
      <c r="Q544" s="4" t="str">
        <f t="shared" si="44"/>
        <v/>
      </c>
    </row>
    <row r="545" spans="1:17" x14ac:dyDescent="0.25">
      <c r="A545" s="22"/>
      <c r="B545" s="23"/>
      <c r="C545" s="22"/>
      <c r="D545" s="22"/>
      <c r="E545" s="22"/>
      <c r="F545" s="22"/>
      <c r="G545" s="22"/>
      <c r="H545" s="23"/>
      <c r="I545" s="22"/>
      <c r="J545" s="22"/>
      <c r="K545" s="4" t="str">
        <f>IF(A545="","",SUMIFS(Cash[Оплата],Cash[Документ],A545,Cash[Дата],"&lt;="&amp;ДатаОтчета))</f>
        <v/>
      </c>
      <c r="L545" s="4" t="str">
        <f t="shared" si="40"/>
        <v/>
      </c>
      <c r="M545" s="4" t="str">
        <f t="shared" si="41"/>
        <v/>
      </c>
      <c r="N545" s="4" t="str">
        <f t="shared" si="42"/>
        <v/>
      </c>
      <c r="O545" s="4" t="str">
        <f t="shared" si="43"/>
        <v/>
      </c>
      <c r="P545" s="4" t="str">
        <f>IF(A545="",IF(COUNTA(B545:J545)&gt;0,"НЕТ ID",""),IF(OR(NOT(ISNUMBER(E545)),AND(Форма="ИП",C545="Дивиденды"),COUNTIF(Docs[ID],A545)&lt;&gt;1,NOT(ISNUMBER(B545)),B545&lt;НачалоУчета,YEAR(B545)&lt;&gt;Год,NOT(ISNUMBER(H545)),H545&lt;B545,E545&lt;0,COUNTIF(Виды,C545)&lt;&gt;1,COUNTIF(Категории,D545)&lt;&gt;1,COUNTIF(Контрагенты,F545)&lt;&gt;1,COUNTIF(Проекты,G545)&lt;&gt;1,L545&lt;-0.01,AND(I545&lt;&gt;"Проведён",I545&lt;&gt;"Черновик")),"ОШИБКА","ОК"))</f>
        <v/>
      </c>
      <c r="Q545" s="4" t="str">
        <f t="shared" si="44"/>
        <v/>
      </c>
    </row>
    <row r="546" spans="1:17" x14ac:dyDescent="0.25">
      <c r="A546" s="22"/>
      <c r="B546" s="23"/>
      <c r="C546" s="22"/>
      <c r="D546" s="22"/>
      <c r="E546" s="22"/>
      <c r="F546" s="22"/>
      <c r="G546" s="22"/>
      <c r="H546" s="23"/>
      <c r="I546" s="22"/>
      <c r="J546" s="22"/>
      <c r="K546" s="4" t="str">
        <f>IF(A546="","",SUMIFS(Cash[Оплата],Cash[Документ],A546,Cash[Дата],"&lt;="&amp;ДатаОтчета))</f>
        <v/>
      </c>
      <c r="L546" s="4" t="str">
        <f t="shared" si="40"/>
        <v/>
      </c>
      <c r="M546" s="4" t="str">
        <f t="shared" si="41"/>
        <v/>
      </c>
      <c r="N546" s="4" t="str">
        <f t="shared" si="42"/>
        <v/>
      </c>
      <c r="O546" s="4" t="str">
        <f t="shared" si="43"/>
        <v/>
      </c>
      <c r="P546" s="4" t="str">
        <f>IF(A546="",IF(COUNTA(B546:J546)&gt;0,"НЕТ ID",""),IF(OR(NOT(ISNUMBER(E546)),AND(Форма="ИП",C546="Дивиденды"),COUNTIF(Docs[ID],A546)&lt;&gt;1,NOT(ISNUMBER(B546)),B546&lt;НачалоУчета,YEAR(B546)&lt;&gt;Год,NOT(ISNUMBER(H546)),H546&lt;B546,E546&lt;0,COUNTIF(Виды,C546)&lt;&gt;1,COUNTIF(Категории,D546)&lt;&gt;1,COUNTIF(Контрагенты,F546)&lt;&gt;1,COUNTIF(Проекты,G546)&lt;&gt;1,L546&lt;-0.01,AND(I546&lt;&gt;"Проведён",I546&lt;&gt;"Черновик")),"ОШИБКА","ОК"))</f>
        <v/>
      </c>
      <c r="Q546" s="4" t="str">
        <f t="shared" si="44"/>
        <v/>
      </c>
    </row>
    <row r="547" spans="1:17" x14ac:dyDescent="0.25">
      <c r="A547" s="22"/>
      <c r="B547" s="23"/>
      <c r="C547" s="22"/>
      <c r="D547" s="22"/>
      <c r="E547" s="22"/>
      <c r="F547" s="22"/>
      <c r="G547" s="22"/>
      <c r="H547" s="23"/>
      <c r="I547" s="22"/>
      <c r="J547" s="22"/>
      <c r="K547" s="4" t="str">
        <f>IF(A547="","",SUMIFS(Cash[Оплата],Cash[Документ],A547,Cash[Дата],"&lt;="&amp;ДатаОтчета))</f>
        <v/>
      </c>
      <c r="L547" s="4" t="str">
        <f t="shared" si="40"/>
        <v/>
      </c>
      <c r="M547" s="4" t="str">
        <f t="shared" si="41"/>
        <v/>
      </c>
      <c r="N547" s="4" t="str">
        <f t="shared" si="42"/>
        <v/>
      </c>
      <c r="O547" s="4" t="str">
        <f t="shared" si="43"/>
        <v/>
      </c>
      <c r="P547" s="4" t="str">
        <f>IF(A547="",IF(COUNTA(B547:J547)&gt;0,"НЕТ ID",""),IF(OR(NOT(ISNUMBER(E547)),AND(Форма="ИП",C547="Дивиденды"),COUNTIF(Docs[ID],A547)&lt;&gt;1,NOT(ISNUMBER(B547)),B547&lt;НачалоУчета,YEAR(B547)&lt;&gt;Год,NOT(ISNUMBER(H547)),H547&lt;B547,E547&lt;0,COUNTIF(Виды,C547)&lt;&gt;1,COUNTIF(Категории,D547)&lt;&gt;1,COUNTIF(Контрагенты,F547)&lt;&gt;1,COUNTIF(Проекты,G547)&lt;&gt;1,L547&lt;-0.01,AND(I547&lt;&gt;"Проведён",I547&lt;&gt;"Черновик")),"ОШИБКА","ОК"))</f>
        <v/>
      </c>
      <c r="Q547" s="4" t="str">
        <f t="shared" si="44"/>
        <v/>
      </c>
    </row>
    <row r="548" spans="1:17" x14ac:dyDescent="0.25">
      <c r="A548" s="22"/>
      <c r="B548" s="23"/>
      <c r="C548" s="22"/>
      <c r="D548" s="22"/>
      <c r="E548" s="22"/>
      <c r="F548" s="22"/>
      <c r="G548" s="22"/>
      <c r="H548" s="23"/>
      <c r="I548" s="22"/>
      <c r="J548" s="22"/>
      <c r="K548" s="4" t="str">
        <f>IF(A548="","",SUMIFS(Cash[Оплата],Cash[Документ],A548,Cash[Дата],"&lt;="&amp;ДатаОтчета))</f>
        <v/>
      </c>
      <c r="L548" s="4" t="str">
        <f t="shared" si="40"/>
        <v/>
      </c>
      <c r="M548" s="4" t="str">
        <f t="shared" si="41"/>
        <v/>
      </c>
      <c r="N548" s="4" t="str">
        <f t="shared" si="42"/>
        <v/>
      </c>
      <c r="O548" s="4" t="str">
        <f t="shared" si="43"/>
        <v/>
      </c>
      <c r="P548" s="4" t="str">
        <f>IF(A548="",IF(COUNTA(B548:J548)&gt;0,"НЕТ ID",""),IF(OR(NOT(ISNUMBER(E548)),AND(Форма="ИП",C548="Дивиденды"),COUNTIF(Docs[ID],A548)&lt;&gt;1,NOT(ISNUMBER(B548)),B548&lt;НачалоУчета,YEAR(B548)&lt;&gt;Год,NOT(ISNUMBER(H548)),H548&lt;B548,E548&lt;0,COUNTIF(Виды,C548)&lt;&gt;1,COUNTIF(Категории,D548)&lt;&gt;1,COUNTIF(Контрагенты,F548)&lt;&gt;1,COUNTIF(Проекты,G548)&lt;&gt;1,L548&lt;-0.01,AND(I548&lt;&gt;"Проведён",I548&lt;&gt;"Черновик")),"ОШИБКА","ОК"))</f>
        <v/>
      </c>
      <c r="Q548" s="4" t="str">
        <f t="shared" si="44"/>
        <v/>
      </c>
    </row>
    <row r="549" spans="1:17" x14ac:dyDescent="0.25">
      <c r="A549" s="22"/>
      <c r="B549" s="23"/>
      <c r="C549" s="22"/>
      <c r="D549" s="22"/>
      <c r="E549" s="22"/>
      <c r="F549" s="22"/>
      <c r="G549" s="22"/>
      <c r="H549" s="23"/>
      <c r="I549" s="22"/>
      <c r="J549" s="22"/>
      <c r="K549" s="4" t="str">
        <f>IF(A549="","",SUMIFS(Cash[Оплата],Cash[Документ],A549,Cash[Дата],"&lt;="&amp;ДатаОтчета))</f>
        <v/>
      </c>
      <c r="L549" s="4" t="str">
        <f t="shared" si="40"/>
        <v/>
      </c>
      <c r="M549" s="4" t="str">
        <f t="shared" si="41"/>
        <v/>
      </c>
      <c r="N549" s="4" t="str">
        <f t="shared" si="42"/>
        <v/>
      </c>
      <c r="O549" s="4" t="str">
        <f t="shared" si="43"/>
        <v/>
      </c>
      <c r="P549" s="4" t="str">
        <f>IF(A549="",IF(COUNTA(B549:J549)&gt;0,"НЕТ ID",""),IF(OR(NOT(ISNUMBER(E549)),AND(Форма="ИП",C549="Дивиденды"),COUNTIF(Docs[ID],A549)&lt;&gt;1,NOT(ISNUMBER(B549)),B549&lt;НачалоУчета,YEAR(B549)&lt;&gt;Год,NOT(ISNUMBER(H549)),H549&lt;B549,E549&lt;0,COUNTIF(Виды,C549)&lt;&gt;1,COUNTIF(Категории,D549)&lt;&gt;1,COUNTIF(Контрагенты,F549)&lt;&gt;1,COUNTIF(Проекты,G549)&lt;&gt;1,L549&lt;-0.01,AND(I549&lt;&gt;"Проведён",I549&lt;&gt;"Черновик")),"ОШИБКА","ОК"))</f>
        <v/>
      </c>
      <c r="Q549" s="4" t="str">
        <f t="shared" si="44"/>
        <v/>
      </c>
    </row>
    <row r="550" spans="1:17" x14ac:dyDescent="0.25">
      <c r="A550" s="22"/>
      <c r="B550" s="23"/>
      <c r="C550" s="22"/>
      <c r="D550" s="22"/>
      <c r="E550" s="22"/>
      <c r="F550" s="22"/>
      <c r="G550" s="22"/>
      <c r="H550" s="23"/>
      <c r="I550" s="22"/>
      <c r="J550" s="22"/>
      <c r="K550" s="4" t="str">
        <f>IF(A550="","",SUMIFS(Cash[Оплата],Cash[Документ],A550,Cash[Дата],"&lt;="&amp;ДатаОтчета))</f>
        <v/>
      </c>
      <c r="L550" s="4" t="str">
        <f t="shared" si="40"/>
        <v/>
      </c>
      <c r="M550" s="4" t="str">
        <f t="shared" si="41"/>
        <v/>
      </c>
      <c r="N550" s="4" t="str">
        <f t="shared" si="42"/>
        <v/>
      </c>
      <c r="O550" s="4" t="str">
        <f t="shared" si="43"/>
        <v/>
      </c>
      <c r="P550" s="4" t="str">
        <f>IF(A550="",IF(COUNTA(B550:J550)&gt;0,"НЕТ ID",""),IF(OR(NOT(ISNUMBER(E550)),AND(Форма="ИП",C550="Дивиденды"),COUNTIF(Docs[ID],A550)&lt;&gt;1,NOT(ISNUMBER(B550)),B550&lt;НачалоУчета,YEAR(B550)&lt;&gt;Год,NOT(ISNUMBER(H550)),H550&lt;B550,E550&lt;0,COUNTIF(Виды,C550)&lt;&gt;1,COUNTIF(Категории,D550)&lt;&gt;1,COUNTIF(Контрагенты,F550)&lt;&gt;1,COUNTIF(Проекты,G550)&lt;&gt;1,L550&lt;-0.01,AND(I550&lt;&gt;"Проведён",I550&lt;&gt;"Черновик")),"ОШИБКА","ОК"))</f>
        <v/>
      </c>
      <c r="Q550" s="4" t="str">
        <f t="shared" si="44"/>
        <v/>
      </c>
    </row>
    <row r="551" spans="1:17" x14ac:dyDescent="0.25">
      <c r="A551" s="22"/>
      <c r="B551" s="23"/>
      <c r="C551" s="22"/>
      <c r="D551" s="22"/>
      <c r="E551" s="22"/>
      <c r="F551" s="22"/>
      <c r="G551" s="22"/>
      <c r="H551" s="23"/>
      <c r="I551" s="22"/>
      <c r="J551" s="22"/>
      <c r="K551" s="4" t="str">
        <f>IF(A551="","",SUMIFS(Cash[Оплата],Cash[Документ],A551,Cash[Дата],"&lt;="&amp;ДатаОтчета))</f>
        <v/>
      </c>
      <c r="L551" s="4" t="str">
        <f t="shared" si="40"/>
        <v/>
      </c>
      <c r="M551" s="4" t="str">
        <f t="shared" si="41"/>
        <v/>
      </c>
      <c r="N551" s="4" t="str">
        <f t="shared" si="42"/>
        <v/>
      </c>
      <c r="O551" s="4" t="str">
        <f t="shared" si="43"/>
        <v/>
      </c>
      <c r="P551" s="4" t="str">
        <f>IF(A551="",IF(COUNTA(B551:J551)&gt;0,"НЕТ ID",""),IF(OR(NOT(ISNUMBER(E551)),AND(Форма="ИП",C551="Дивиденды"),COUNTIF(Docs[ID],A551)&lt;&gt;1,NOT(ISNUMBER(B551)),B551&lt;НачалоУчета,YEAR(B551)&lt;&gt;Год,NOT(ISNUMBER(H551)),H551&lt;B551,E551&lt;0,COUNTIF(Виды,C551)&lt;&gt;1,COUNTIF(Категории,D551)&lt;&gt;1,COUNTIF(Контрагенты,F551)&lt;&gt;1,COUNTIF(Проекты,G551)&lt;&gt;1,L551&lt;-0.01,AND(I551&lt;&gt;"Проведён",I551&lt;&gt;"Черновик")),"ОШИБКА","ОК"))</f>
        <v/>
      </c>
      <c r="Q551" s="4" t="str">
        <f t="shared" si="44"/>
        <v/>
      </c>
    </row>
    <row r="552" spans="1:17" x14ac:dyDescent="0.25">
      <c r="A552" s="22"/>
      <c r="B552" s="23"/>
      <c r="C552" s="22"/>
      <c r="D552" s="22"/>
      <c r="E552" s="22"/>
      <c r="F552" s="22"/>
      <c r="G552" s="22"/>
      <c r="H552" s="23"/>
      <c r="I552" s="22"/>
      <c r="J552" s="22"/>
      <c r="K552" s="4" t="str">
        <f>IF(A552="","",SUMIFS(Cash[Оплата],Cash[Документ],A552,Cash[Дата],"&lt;="&amp;ДатаОтчета))</f>
        <v/>
      </c>
      <c r="L552" s="4" t="str">
        <f t="shared" si="40"/>
        <v/>
      </c>
      <c r="M552" s="4" t="str">
        <f t="shared" si="41"/>
        <v/>
      </c>
      <c r="N552" s="4" t="str">
        <f t="shared" si="42"/>
        <v/>
      </c>
      <c r="O552" s="4" t="str">
        <f t="shared" si="43"/>
        <v/>
      </c>
      <c r="P552" s="4" t="str">
        <f>IF(A552="",IF(COUNTA(B552:J552)&gt;0,"НЕТ ID",""),IF(OR(NOT(ISNUMBER(E552)),AND(Форма="ИП",C552="Дивиденды"),COUNTIF(Docs[ID],A552)&lt;&gt;1,NOT(ISNUMBER(B552)),B552&lt;НачалоУчета,YEAR(B552)&lt;&gt;Год,NOT(ISNUMBER(H552)),H552&lt;B552,E552&lt;0,COUNTIF(Виды,C552)&lt;&gt;1,COUNTIF(Категории,D552)&lt;&gt;1,COUNTIF(Контрагенты,F552)&lt;&gt;1,COUNTIF(Проекты,G552)&lt;&gt;1,L552&lt;-0.01,AND(I552&lt;&gt;"Проведён",I552&lt;&gt;"Черновик")),"ОШИБКА","ОК"))</f>
        <v/>
      </c>
      <c r="Q552" s="4" t="str">
        <f t="shared" si="44"/>
        <v/>
      </c>
    </row>
    <row r="553" spans="1:17" x14ac:dyDescent="0.25">
      <c r="A553" s="22"/>
      <c r="B553" s="23"/>
      <c r="C553" s="22"/>
      <c r="D553" s="22"/>
      <c r="E553" s="22"/>
      <c r="F553" s="22"/>
      <c r="G553" s="22"/>
      <c r="H553" s="23"/>
      <c r="I553" s="22"/>
      <c r="J553" s="22"/>
      <c r="K553" s="4" t="str">
        <f>IF(A553="","",SUMIFS(Cash[Оплата],Cash[Документ],A553,Cash[Дата],"&lt;="&amp;ДатаОтчета))</f>
        <v/>
      </c>
      <c r="L553" s="4" t="str">
        <f t="shared" si="40"/>
        <v/>
      </c>
      <c r="M553" s="4" t="str">
        <f t="shared" si="41"/>
        <v/>
      </c>
      <c r="N553" s="4" t="str">
        <f t="shared" si="42"/>
        <v/>
      </c>
      <c r="O553" s="4" t="str">
        <f t="shared" si="43"/>
        <v/>
      </c>
      <c r="P553" s="4" t="str">
        <f>IF(A553="",IF(COUNTA(B553:J553)&gt;0,"НЕТ ID",""),IF(OR(NOT(ISNUMBER(E553)),AND(Форма="ИП",C553="Дивиденды"),COUNTIF(Docs[ID],A553)&lt;&gt;1,NOT(ISNUMBER(B553)),B553&lt;НачалоУчета,YEAR(B553)&lt;&gt;Год,NOT(ISNUMBER(H553)),H553&lt;B553,E553&lt;0,COUNTIF(Виды,C553)&lt;&gt;1,COUNTIF(Категории,D553)&lt;&gt;1,COUNTIF(Контрагенты,F553)&lt;&gt;1,COUNTIF(Проекты,G553)&lt;&gt;1,L553&lt;-0.01,AND(I553&lt;&gt;"Проведён",I553&lt;&gt;"Черновик")),"ОШИБКА","ОК"))</f>
        <v/>
      </c>
      <c r="Q553" s="4" t="str">
        <f t="shared" si="44"/>
        <v/>
      </c>
    </row>
    <row r="554" spans="1:17" x14ac:dyDescent="0.25">
      <c r="A554" s="22"/>
      <c r="B554" s="23"/>
      <c r="C554" s="22"/>
      <c r="D554" s="22"/>
      <c r="E554" s="22"/>
      <c r="F554" s="22"/>
      <c r="G554" s="22"/>
      <c r="H554" s="23"/>
      <c r="I554" s="22"/>
      <c r="J554" s="22"/>
      <c r="K554" s="4" t="str">
        <f>IF(A554="","",SUMIFS(Cash[Оплата],Cash[Документ],A554,Cash[Дата],"&lt;="&amp;ДатаОтчета))</f>
        <v/>
      </c>
      <c r="L554" s="4" t="str">
        <f t="shared" si="40"/>
        <v/>
      </c>
      <c r="M554" s="4" t="str">
        <f t="shared" si="41"/>
        <v/>
      </c>
      <c r="N554" s="4" t="str">
        <f t="shared" si="42"/>
        <v/>
      </c>
      <c r="O554" s="4" t="str">
        <f t="shared" si="43"/>
        <v/>
      </c>
      <c r="P554" s="4" t="str">
        <f>IF(A554="",IF(COUNTA(B554:J554)&gt;0,"НЕТ ID",""),IF(OR(NOT(ISNUMBER(E554)),AND(Форма="ИП",C554="Дивиденды"),COUNTIF(Docs[ID],A554)&lt;&gt;1,NOT(ISNUMBER(B554)),B554&lt;НачалоУчета,YEAR(B554)&lt;&gt;Год,NOT(ISNUMBER(H554)),H554&lt;B554,E554&lt;0,COUNTIF(Виды,C554)&lt;&gt;1,COUNTIF(Категории,D554)&lt;&gt;1,COUNTIF(Контрагенты,F554)&lt;&gt;1,COUNTIF(Проекты,G554)&lt;&gt;1,L554&lt;-0.01,AND(I554&lt;&gt;"Проведён",I554&lt;&gt;"Черновик")),"ОШИБКА","ОК"))</f>
        <v/>
      </c>
      <c r="Q554" s="4" t="str">
        <f t="shared" si="44"/>
        <v/>
      </c>
    </row>
    <row r="555" spans="1:17" x14ac:dyDescent="0.25">
      <c r="A555" s="22"/>
      <c r="B555" s="23"/>
      <c r="C555" s="22"/>
      <c r="D555" s="22"/>
      <c r="E555" s="22"/>
      <c r="F555" s="22"/>
      <c r="G555" s="22"/>
      <c r="H555" s="23"/>
      <c r="I555" s="22"/>
      <c r="J555" s="22"/>
      <c r="K555" s="4" t="str">
        <f>IF(A555="","",SUMIFS(Cash[Оплата],Cash[Документ],A555,Cash[Дата],"&lt;="&amp;ДатаОтчета))</f>
        <v/>
      </c>
      <c r="L555" s="4" t="str">
        <f t="shared" si="40"/>
        <v/>
      </c>
      <c r="M555" s="4" t="str">
        <f t="shared" si="41"/>
        <v/>
      </c>
      <c r="N555" s="4" t="str">
        <f t="shared" si="42"/>
        <v/>
      </c>
      <c r="O555" s="4" t="str">
        <f t="shared" si="43"/>
        <v/>
      </c>
      <c r="P555" s="4" t="str">
        <f>IF(A555="",IF(COUNTA(B555:J555)&gt;0,"НЕТ ID",""),IF(OR(NOT(ISNUMBER(E555)),AND(Форма="ИП",C555="Дивиденды"),COUNTIF(Docs[ID],A555)&lt;&gt;1,NOT(ISNUMBER(B555)),B555&lt;НачалоУчета,YEAR(B555)&lt;&gt;Год,NOT(ISNUMBER(H555)),H555&lt;B555,E555&lt;0,COUNTIF(Виды,C555)&lt;&gt;1,COUNTIF(Категории,D555)&lt;&gt;1,COUNTIF(Контрагенты,F555)&lt;&gt;1,COUNTIF(Проекты,G555)&lt;&gt;1,L555&lt;-0.01,AND(I555&lt;&gt;"Проведён",I555&lt;&gt;"Черновик")),"ОШИБКА","ОК"))</f>
        <v/>
      </c>
      <c r="Q555" s="4" t="str">
        <f t="shared" si="44"/>
        <v/>
      </c>
    </row>
    <row r="556" spans="1:17" x14ac:dyDescent="0.25">
      <c r="A556" s="22"/>
      <c r="B556" s="23"/>
      <c r="C556" s="22"/>
      <c r="D556" s="22"/>
      <c r="E556" s="22"/>
      <c r="F556" s="22"/>
      <c r="G556" s="22"/>
      <c r="H556" s="23"/>
      <c r="I556" s="22"/>
      <c r="J556" s="22"/>
      <c r="K556" s="4" t="str">
        <f>IF(A556="","",SUMIFS(Cash[Оплата],Cash[Документ],A556,Cash[Дата],"&lt;="&amp;ДатаОтчета))</f>
        <v/>
      </c>
      <c r="L556" s="4" t="str">
        <f t="shared" si="40"/>
        <v/>
      </c>
      <c r="M556" s="4" t="str">
        <f t="shared" si="41"/>
        <v/>
      </c>
      <c r="N556" s="4" t="str">
        <f t="shared" si="42"/>
        <v/>
      </c>
      <c r="O556" s="4" t="str">
        <f t="shared" si="43"/>
        <v/>
      </c>
      <c r="P556" s="4" t="str">
        <f>IF(A556="",IF(COUNTA(B556:J556)&gt;0,"НЕТ ID",""),IF(OR(NOT(ISNUMBER(E556)),AND(Форма="ИП",C556="Дивиденды"),COUNTIF(Docs[ID],A556)&lt;&gt;1,NOT(ISNUMBER(B556)),B556&lt;НачалоУчета,YEAR(B556)&lt;&gt;Год,NOT(ISNUMBER(H556)),H556&lt;B556,E556&lt;0,COUNTIF(Виды,C556)&lt;&gt;1,COUNTIF(Категории,D556)&lt;&gt;1,COUNTIF(Контрагенты,F556)&lt;&gt;1,COUNTIF(Проекты,G556)&lt;&gt;1,L556&lt;-0.01,AND(I556&lt;&gt;"Проведён",I556&lt;&gt;"Черновик")),"ОШИБКА","ОК"))</f>
        <v/>
      </c>
      <c r="Q556" s="4" t="str">
        <f t="shared" si="44"/>
        <v/>
      </c>
    </row>
    <row r="557" spans="1:17" x14ac:dyDescent="0.25">
      <c r="A557" s="22"/>
      <c r="B557" s="23"/>
      <c r="C557" s="22"/>
      <c r="D557" s="22"/>
      <c r="E557" s="22"/>
      <c r="F557" s="22"/>
      <c r="G557" s="22"/>
      <c r="H557" s="23"/>
      <c r="I557" s="22"/>
      <c r="J557" s="22"/>
      <c r="K557" s="4" t="str">
        <f>IF(A557="","",SUMIFS(Cash[Оплата],Cash[Документ],A557,Cash[Дата],"&lt;="&amp;ДатаОтчета))</f>
        <v/>
      </c>
      <c r="L557" s="4" t="str">
        <f t="shared" si="40"/>
        <v/>
      </c>
      <c r="M557" s="4" t="str">
        <f t="shared" si="41"/>
        <v/>
      </c>
      <c r="N557" s="4" t="str">
        <f t="shared" si="42"/>
        <v/>
      </c>
      <c r="O557" s="4" t="str">
        <f t="shared" si="43"/>
        <v/>
      </c>
      <c r="P557" s="4" t="str">
        <f>IF(A557="",IF(COUNTA(B557:J557)&gt;0,"НЕТ ID",""),IF(OR(NOT(ISNUMBER(E557)),AND(Форма="ИП",C557="Дивиденды"),COUNTIF(Docs[ID],A557)&lt;&gt;1,NOT(ISNUMBER(B557)),B557&lt;НачалоУчета,YEAR(B557)&lt;&gt;Год,NOT(ISNUMBER(H557)),H557&lt;B557,E557&lt;0,COUNTIF(Виды,C557)&lt;&gt;1,COUNTIF(Категории,D557)&lt;&gt;1,COUNTIF(Контрагенты,F557)&lt;&gt;1,COUNTIF(Проекты,G557)&lt;&gt;1,L557&lt;-0.01,AND(I557&lt;&gt;"Проведён",I557&lt;&gt;"Черновик")),"ОШИБКА","ОК"))</f>
        <v/>
      </c>
      <c r="Q557" s="4" t="str">
        <f t="shared" si="44"/>
        <v/>
      </c>
    </row>
    <row r="558" spans="1:17" x14ac:dyDescent="0.25">
      <c r="A558" s="22"/>
      <c r="B558" s="23"/>
      <c r="C558" s="22"/>
      <c r="D558" s="22"/>
      <c r="E558" s="22"/>
      <c r="F558" s="22"/>
      <c r="G558" s="22"/>
      <c r="H558" s="23"/>
      <c r="I558" s="22"/>
      <c r="J558" s="22"/>
      <c r="K558" s="4" t="str">
        <f>IF(A558="","",SUMIFS(Cash[Оплата],Cash[Документ],A558,Cash[Дата],"&lt;="&amp;ДатаОтчета))</f>
        <v/>
      </c>
      <c r="L558" s="4" t="str">
        <f t="shared" si="40"/>
        <v/>
      </c>
      <c r="M558" s="4" t="str">
        <f t="shared" si="41"/>
        <v/>
      </c>
      <c r="N558" s="4" t="str">
        <f t="shared" si="42"/>
        <v/>
      </c>
      <c r="O558" s="4" t="str">
        <f t="shared" si="43"/>
        <v/>
      </c>
      <c r="P558" s="4" t="str">
        <f>IF(A558="",IF(COUNTA(B558:J558)&gt;0,"НЕТ ID",""),IF(OR(NOT(ISNUMBER(E558)),AND(Форма="ИП",C558="Дивиденды"),COUNTIF(Docs[ID],A558)&lt;&gt;1,NOT(ISNUMBER(B558)),B558&lt;НачалоУчета,YEAR(B558)&lt;&gt;Год,NOT(ISNUMBER(H558)),H558&lt;B558,E558&lt;0,COUNTIF(Виды,C558)&lt;&gt;1,COUNTIF(Категории,D558)&lt;&gt;1,COUNTIF(Контрагенты,F558)&lt;&gt;1,COUNTIF(Проекты,G558)&lt;&gt;1,L558&lt;-0.01,AND(I558&lt;&gt;"Проведён",I558&lt;&gt;"Черновик")),"ОШИБКА","ОК"))</f>
        <v/>
      </c>
      <c r="Q558" s="4" t="str">
        <f t="shared" si="44"/>
        <v/>
      </c>
    </row>
    <row r="559" spans="1:17" x14ac:dyDescent="0.25">
      <c r="A559" s="22"/>
      <c r="B559" s="23"/>
      <c r="C559" s="22"/>
      <c r="D559" s="22"/>
      <c r="E559" s="22"/>
      <c r="F559" s="22"/>
      <c r="G559" s="22"/>
      <c r="H559" s="23"/>
      <c r="I559" s="22"/>
      <c r="J559" s="22"/>
      <c r="K559" s="4" t="str">
        <f>IF(A559="","",SUMIFS(Cash[Оплата],Cash[Документ],A559,Cash[Дата],"&lt;="&amp;ДатаОтчета))</f>
        <v/>
      </c>
      <c r="L559" s="4" t="str">
        <f t="shared" si="40"/>
        <v/>
      </c>
      <c r="M559" s="4" t="str">
        <f t="shared" si="41"/>
        <v/>
      </c>
      <c r="N559" s="4" t="str">
        <f t="shared" si="42"/>
        <v/>
      </c>
      <c r="O559" s="4" t="str">
        <f t="shared" si="43"/>
        <v/>
      </c>
      <c r="P559" s="4" t="str">
        <f>IF(A559="",IF(COUNTA(B559:J559)&gt;0,"НЕТ ID",""),IF(OR(NOT(ISNUMBER(E559)),AND(Форма="ИП",C559="Дивиденды"),COUNTIF(Docs[ID],A559)&lt;&gt;1,NOT(ISNUMBER(B559)),B559&lt;НачалоУчета,YEAR(B559)&lt;&gt;Год,NOT(ISNUMBER(H559)),H559&lt;B559,E559&lt;0,COUNTIF(Виды,C559)&lt;&gt;1,COUNTIF(Категории,D559)&lt;&gt;1,COUNTIF(Контрагенты,F559)&lt;&gt;1,COUNTIF(Проекты,G559)&lt;&gt;1,L559&lt;-0.01,AND(I559&lt;&gt;"Проведён",I559&lt;&gt;"Черновик")),"ОШИБКА","ОК"))</f>
        <v/>
      </c>
      <c r="Q559" s="4" t="str">
        <f t="shared" si="44"/>
        <v/>
      </c>
    </row>
    <row r="560" spans="1:17" x14ac:dyDescent="0.25">
      <c r="A560" s="22"/>
      <c r="B560" s="23"/>
      <c r="C560" s="22"/>
      <c r="D560" s="22"/>
      <c r="E560" s="22"/>
      <c r="F560" s="22"/>
      <c r="G560" s="22"/>
      <c r="H560" s="23"/>
      <c r="I560" s="22"/>
      <c r="J560" s="22"/>
      <c r="K560" s="4" t="str">
        <f>IF(A560="","",SUMIFS(Cash[Оплата],Cash[Документ],A560,Cash[Дата],"&lt;="&amp;ДатаОтчета))</f>
        <v/>
      </c>
      <c r="L560" s="4" t="str">
        <f t="shared" si="40"/>
        <v/>
      </c>
      <c r="M560" s="4" t="str">
        <f t="shared" si="41"/>
        <v/>
      </c>
      <c r="N560" s="4" t="str">
        <f t="shared" si="42"/>
        <v/>
      </c>
      <c r="O560" s="4" t="str">
        <f t="shared" si="43"/>
        <v/>
      </c>
      <c r="P560" s="4" t="str">
        <f>IF(A560="",IF(COUNTA(B560:J560)&gt;0,"НЕТ ID",""),IF(OR(NOT(ISNUMBER(E560)),AND(Форма="ИП",C560="Дивиденды"),COUNTIF(Docs[ID],A560)&lt;&gt;1,NOT(ISNUMBER(B560)),B560&lt;НачалоУчета,YEAR(B560)&lt;&gt;Год,NOT(ISNUMBER(H560)),H560&lt;B560,E560&lt;0,COUNTIF(Виды,C560)&lt;&gt;1,COUNTIF(Категории,D560)&lt;&gt;1,COUNTIF(Контрагенты,F560)&lt;&gt;1,COUNTIF(Проекты,G560)&lt;&gt;1,L560&lt;-0.01,AND(I560&lt;&gt;"Проведён",I560&lt;&gt;"Черновик")),"ОШИБКА","ОК"))</f>
        <v/>
      </c>
      <c r="Q560" s="4" t="str">
        <f t="shared" si="44"/>
        <v/>
      </c>
    </row>
    <row r="561" spans="1:17" x14ac:dyDescent="0.25">
      <c r="A561" s="22"/>
      <c r="B561" s="23"/>
      <c r="C561" s="22"/>
      <c r="D561" s="22"/>
      <c r="E561" s="22"/>
      <c r="F561" s="22"/>
      <c r="G561" s="22"/>
      <c r="H561" s="23"/>
      <c r="I561" s="22"/>
      <c r="J561" s="22"/>
      <c r="K561" s="4" t="str">
        <f>IF(A561="","",SUMIFS(Cash[Оплата],Cash[Документ],A561,Cash[Дата],"&lt;="&amp;ДатаОтчета))</f>
        <v/>
      </c>
      <c r="L561" s="4" t="str">
        <f t="shared" si="40"/>
        <v/>
      </c>
      <c r="M561" s="4" t="str">
        <f t="shared" si="41"/>
        <v/>
      </c>
      <c r="N561" s="4" t="str">
        <f t="shared" si="42"/>
        <v/>
      </c>
      <c r="O561" s="4" t="str">
        <f t="shared" si="43"/>
        <v/>
      </c>
      <c r="P561" s="4" t="str">
        <f>IF(A561="",IF(COUNTA(B561:J561)&gt;0,"НЕТ ID",""),IF(OR(NOT(ISNUMBER(E561)),AND(Форма="ИП",C561="Дивиденды"),COUNTIF(Docs[ID],A561)&lt;&gt;1,NOT(ISNUMBER(B561)),B561&lt;НачалоУчета,YEAR(B561)&lt;&gt;Год,NOT(ISNUMBER(H561)),H561&lt;B561,E561&lt;0,COUNTIF(Виды,C561)&lt;&gt;1,COUNTIF(Категории,D561)&lt;&gt;1,COUNTIF(Контрагенты,F561)&lt;&gt;1,COUNTIF(Проекты,G561)&lt;&gt;1,L561&lt;-0.01,AND(I561&lt;&gt;"Проведён",I561&lt;&gt;"Черновик")),"ОШИБКА","ОК"))</f>
        <v/>
      </c>
      <c r="Q561" s="4" t="str">
        <f t="shared" si="44"/>
        <v/>
      </c>
    </row>
    <row r="562" spans="1:17" x14ac:dyDescent="0.25">
      <c r="A562" s="22"/>
      <c r="B562" s="23"/>
      <c r="C562" s="22"/>
      <c r="D562" s="22"/>
      <c r="E562" s="22"/>
      <c r="F562" s="22"/>
      <c r="G562" s="22"/>
      <c r="H562" s="23"/>
      <c r="I562" s="22"/>
      <c r="J562" s="22"/>
      <c r="K562" s="4" t="str">
        <f>IF(A562="","",SUMIFS(Cash[Оплата],Cash[Документ],A562,Cash[Дата],"&lt;="&amp;ДатаОтчета))</f>
        <v/>
      </c>
      <c r="L562" s="4" t="str">
        <f t="shared" si="40"/>
        <v/>
      </c>
      <c r="M562" s="4" t="str">
        <f t="shared" si="41"/>
        <v/>
      </c>
      <c r="N562" s="4" t="str">
        <f t="shared" si="42"/>
        <v/>
      </c>
      <c r="O562" s="4" t="str">
        <f t="shared" si="43"/>
        <v/>
      </c>
      <c r="P562" s="4" t="str">
        <f>IF(A562="",IF(COUNTA(B562:J562)&gt;0,"НЕТ ID",""),IF(OR(NOT(ISNUMBER(E562)),AND(Форма="ИП",C562="Дивиденды"),COUNTIF(Docs[ID],A562)&lt;&gt;1,NOT(ISNUMBER(B562)),B562&lt;НачалоУчета,YEAR(B562)&lt;&gt;Год,NOT(ISNUMBER(H562)),H562&lt;B562,E562&lt;0,COUNTIF(Виды,C562)&lt;&gt;1,COUNTIF(Категории,D562)&lt;&gt;1,COUNTIF(Контрагенты,F562)&lt;&gt;1,COUNTIF(Проекты,G562)&lt;&gt;1,L562&lt;-0.01,AND(I562&lt;&gt;"Проведён",I562&lt;&gt;"Черновик")),"ОШИБКА","ОК"))</f>
        <v/>
      </c>
      <c r="Q562" s="4" t="str">
        <f t="shared" si="44"/>
        <v/>
      </c>
    </row>
    <row r="563" spans="1:17" x14ac:dyDescent="0.25">
      <c r="A563" s="22"/>
      <c r="B563" s="23"/>
      <c r="C563" s="22"/>
      <c r="D563" s="22"/>
      <c r="E563" s="22"/>
      <c r="F563" s="22"/>
      <c r="G563" s="22"/>
      <c r="H563" s="23"/>
      <c r="I563" s="22"/>
      <c r="J563" s="22"/>
      <c r="K563" s="4" t="str">
        <f>IF(A563="","",SUMIFS(Cash[Оплата],Cash[Документ],A563,Cash[Дата],"&lt;="&amp;ДатаОтчета))</f>
        <v/>
      </c>
      <c r="L563" s="4" t="str">
        <f t="shared" si="40"/>
        <v/>
      </c>
      <c r="M563" s="4" t="str">
        <f t="shared" si="41"/>
        <v/>
      </c>
      <c r="N563" s="4" t="str">
        <f t="shared" si="42"/>
        <v/>
      </c>
      <c r="O563" s="4" t="str">
        <f t="shared" si="43"/>
        <v/>
      </c>
      <c r="P563" s="4" t="str">
        <f>IF(A563="",IF(COUNTA(B563:J563)&gt;0,"НЕТ ID",""),IF(OR(NOT(ISNUMBER(E563)),AND(Форма="ИП",C563="Дивиденды"),COUNTIF(Docs[ID],A563)&lt;&gt;1,NOT(ISNUMBER(B563)),B563&lt;НачалоУчета,YEAR(B563)&lt;&gt;Год,NOT(ISNUMBER(H563)),H563&lt;B563,E563&lt;0,COUNTIF(Виды,C563)&lt;&gt;1,COUNTIF(Категории,D563)&lt;&gt;1,COUNTIF(Контрагенты,F563)&lt;&gt;1,COUNTIF(Проекты,G563)&lt;&gt;1,L563&lt;-0.01,AND(I563&lt;&gt;"Проведён",I563&lt;&gt;"Черновик")),"ОШИБКА","ОК"))</f>
        <v/>
      </c>
      <c r="Q563" s="4" t="str">
        <f t="shared" si="44"/>
        <v/>
      </c>
    </row>
    <row r="564" spans="1:17" x14ac:dyDescent="0.25">
      <c r="A564" s="22"/>
      <c r="B564" s="23"/>
      <c r="C564" s="22"/>
      <c r="D564" s="22"/>
      <c r="E564" s="22"/>
      <c r="F564" s="22"/>
      <c r="G564" s="22"/>
      <c r="H564" s="23"/>
      <c r="I564" s="22"/>
      <c r="J564" s="22"/>
      <c r="K564" s="4" t="str">
        <f>IF(A564="","",SUMIFS(Cash[Оплата],Cash[Документ],A564,Cash[Дата],"&lt;="&amp;ДатаОтчета))</f>
        <v/>
      </c>
      <c r="L564" s="4" t="str">
        <f t="shared" si="40"/>
        <v/>
      </c>
      <c r="M564" s="4" t="str">
        <f t="shared" si="41"/>
        <v/>
      </c>
      <c r="N564" s="4" t="str">
        <f t="shared" si="42"/>
        <v/>
      </c>
      <c r="O564" s="4" t="str">
        <f t="shared" si="43"/>
        <v/>
      </c>
      <c r="P564" s="4" t="str">
        <f>IF(A564="",IF(COUNTA(B564:J564)&gt;0,"НЕТ ID",""),IF(OR(NOT(ISNUMBER(E564)),AND(Форма="ИП",C564="Дивиденды"),COUNTIF(Docs[ID],A564)&lt;&gt;1,NOT(ISNUMBER(B564)),B564&lt;НачалоУчета,YEAR(B564)&lt;&gt;Год,NOT(ISNUMBER(H564)),H564&lt;B564,E564&lt;0,COUNTIF(Виды,C564)&lt;&gt;1,COUNTIF(Категории,D564)&lt;&gt;1,COUNTIF(Контрагенты,F564)&lt;&gt;1,COUNTIF(Проекты,G564)&lt;&gt;1,L564&lt;-0.01,AND(I564&lt;&gt;"Проведён",I564&lt;&gt;"Черновик")),"ОШИБКА","ОК"))</f>
        <v/>
      </c>
      <c r="Q564" s="4" t="str">
        <f t="shared" si="44"/>
        <v/>
      </c>
    </row>
    <row r="565" spans="1:17" x14ac:dyDescent="0.25">
      <c r="A565" s="22"/>
      <c r="B565" s="23"/>
      <c r="C565" s="22"/>
      <c r="D565" s="22"/>
      <c r="E565" s="22"/>
      <c r="F565" s="22"/>
      <c r="G565" s="22"/>
      <c r="H565" s="23"/>
      <c r="I565" s="22"/>
      <c r="J565" s="22"/>
      <c r="K565" s="4" t="str">
        <f>IF(A565="","",SUMIFS(Cash[Оплата],Cash[Документ],A565,Cash[Дата],"&lt;="&amp;ДатаОтчета))</f>
        <v/>
      </c>
      <c r="L565" s="4" t="str">
        <f t="shared" si="40"/>
        <v/>
      </c>
      <c r="M565" s="4" t="str">
        <f t="shared" si="41"/>
        <v/>
      </c>
      <c r="N565" s="4" t="str">
        <f t="shared" si="42"/>
        <v/>
      </c>
      <c r="O565" s="4" t="str">
        <f t="shared" si="43"/>
        <v/>
      </c>
      <c r="P565" s="4" t="str">
        <f>IF(A565="",IF(COUNTA(B565:J565)&gt;0,"НЕТ ID",""),IF(OR(NOT(ISNUMBER(E565)),AND(Форма="ИП",C565="Дивиденды"),COUNTIF(Docs[ID],A565)&lt;&gt;1,NOT(ISNUMBER(B565)),B565&lt;НачалоУчета,YEAR(B565)&lt;&gt;Год,NOT(ISNUMBER(H565)),H565&lt;B565,E565&lt;0,COUNTIF(Виды,C565)&lt;&gt;1,COUNTIF(Категории,D565)&lt;&gt;1,COUNTIF(Контрагенты,F565)&lt;&gt;1,COUNTIF(Проекты,G565)&lt;&gt;1,L565&lt;-0.01,AND(I565&lt;&gt;"Проведён",I565&lt;&gt;"Черновик")),"ОШИБКА","ОК"))</f>
        <v/>
      </c>
      <c r="Q565" s="4" t="str">
        <f t="shared" si="44"/>
        <v/>
      </c>
    </row>
    <row r="566" spans="1:17" x14ac:dyDescent="0.25">
      <c r="A566" s="22"/>
      <c r="B566" s="23"/>
      <c r="C566" s="22"/>
      <c r="D566" s="22"/>
      <c r="E566" s="22"/>
      <c r="F566" s="22"/>
      <c r="G566" s="22"/>
      <c r="H566" s="23"/>
      <c r="I566" s="22"/>
      <c r="J566" s="22"/>
      <c r="K566" s="4" t="str">
        <f>IF(A566="","",SUMIFS(Cash[Оплата],Cash[Документ],A566,Cash[Дата],"&lt;="&amp;ДатаОтчета))</f>
        <v/>
      </c>
      <c r="L566" s="4" t="str">
        <f t="shared" si="40"/>
        <v/>
      </c>
      <c r="M566" s="4" t="str">
        <f t="shared" si="41"/>
        <v/>
      </c>
      <c r="N566" s="4" t="str">
        <f t="shared" si="42"/>
        <v/>
      </c>
      <c r="O566" s="4" t="str">
        <f t="shared" si="43"/>
        <v/>
      </c>
      <c r="P566" s="4" t="str">
        <f>IF(A566="",IF(COUNTA(B566:J566)&gt;0,"НЕТ ID",""),IF(OR(NOT(ISNUMBER(E566)),AND(Форма="ИП",C566="Дивиденды"),COUNTIF(Docs[ID],A566)&lt;&gt;1,NOT(ISNUMBER(B566)),B566&lt;НачалоУчета,YEAR(B566)&lt;&gt;Год,NOT(ISNUMBER(H566)),H566&lt;B566,E566&lt;0,COUNTIF(Виды,C566)&lt;&gt;1,COUNTIF(Категории,D566)&lt;&gt;1,COUNTIF(Контрагенты,F566)&lt;&gt;1,COUNTIF(Проекты,G566)&lt;&gt;1,L566&lt;-0.01,AND(I566&lt;&gt;"Проведён",I566&lt;&gt;"Черновик")),"ОШИБКА","ОК"))</f>
        <v/>
      </c>
      <c r="Q566" s="4" t="str">
        <f t="shared" si="44"/>
        <v/>
      </c>
    </row>
    <row r="567" spans="1:17" x14ac:dyDescent="0.25">
      <c r="A567" s="22"/>
      <c r="B567" s="23"/>
      <c r="C567" s="22"/>
      <c r="D567" s="22"/>
      <c r="E567" s="22"/>
      <c r="F567" s="22"/>
      <c r="G567" s="22"/>
      <c r="H567" s="23"/>
      <c r="I567" s="22"/>
      <c r="J567" s="22"/>
      <c r="K567" s="4" t="str">
        <f>IF(A567="","",SUMIFS(Cash[Оплата],Cash[Документ],A567,Cash[Дата],"&lt;="&amp;ДатаОтчета))</f>
        <v/>
      </c>
      <c r="L567" s="4" t="str">
        <f t="shared" si="40"/>
        <v/>
      </c>
      <c r="M567" s="4" t="str">
        <f t="shared" si="41"/>
        <v/>
      </c>
      <c r="N567" s="4" t="str">
        <f t="shared" si="42"/>
        <v/>
      </c>
      <c r="O567" s="4" t="str">
        <f t="shared" si="43"/>
        <v/>
      </c>
      <c r="P567" s="4" t="str">
        <f>IF(A567="",IF(COUNTA(B567:J567)&gt;0,"НЕТ ID",""),IF(OR(NOT(ISNUMBER(E567)),AND(Форма="ИП",C567="Дивиденды"),COUNTIF(Docs[ID],A567)&lt;&gt;1,NOT(ISNUMBER(B567)),B567&lt;НачалоУчета,YEAR(B567)&lt;&gt;Год,NOT(ISNUMBER(H567)),H567&lt;B567,E567&lt;0,COUNTIF(Виды,C567)&lt;&gt;1,COUNTIF(Категории,D567)&lt;&gt;1,COUNTIF(Контрагенты,F567)&lt;&gt;1,COUNTIF(Проекты,G567)&lt;&gt;1,L567&lt;-0.01,AND(I567&lt;&gt;"Проведён",I567&lt;&gt;"Черновик")),"ОШИБКА","ОК"))</f>
        <v/>
      </c>
      <c r="Q567" s="4" t="str">
        <f t="shared" si="44"/>
        <v/>
      </c>
    </row>
    <row r="568" spans="1:17" x14ac:dyDescent="0.25">
      <c r="A568" s="22"/>
      <c r="B568" s="23"/>
      <c r="C568" s="22"/>
      <c r="D568" s="22"/>
      <c r="E568" s="22"/>
      <c r="F568" s="22"/>
      <c r="G568" s="22"/>
      <c r="H568" s="23"/>
      <c r="I568" s="22"/>
      <c r="J568" s="22"/>
      <c r="K568" s="4" t="str">
        <f>IF(A568="","",SUMIFS(Cash[Оплата],Cash[Документ],A568,Cash[Дата],"&lt;="&amp;ДатаОтчета))</f>
        <v/>
      </c>
      <c r="L568" s="4" t="str">
        <f t="shared" si="40"/>
        <v/>
      </c>
      <c r="M568" s="4" t="str">
        <f t="shared" si="41"/>
        <v/>
      </c>
      <c r="N568" s="4" t="str">
        <f t="shared" si="42"/>
        <v/>
      </c>
      <c r="O568" s="4" t="str">
        <f t="shared" si="43"/>
        <v/>
      </c>
      <c r="P568" s="4" t="str">
        <f>IF(A568="",IF(COUNTA(B568:J568)&gt;0,"НЕТ ID",""),IF(OR(NOT(ISNUMBER(E568)),AND(Форма="ИП",C568="Дивиденды"),COUNTIF(Docs[ID],A568)&lt;&gt;1,NOT(ISNUMBER(B568)),B568&lt;НачалоУчета,YEAR(B568)&lt;&gt;Год,NOT(ISNUMBER(H568)),H568&lt;B568,E568&lt;0,COUNTIF(Виды,C568)&lt;&gt;1,COUNTIF(Категории,D568)&lt;&gt;1,COUNTIF(Контрагенты,F568)&lt;&gt;1,COUNTIF(Проекты,G568)&lt;&gt;1,L568&lt;-0.01,AND(I568&lt;&gt;"Проведён",I568&lt;&gt;"Черновик")),"ОШИБКА","ОК"))</f>
        <v/>
      </c>
      <c r="Q568" s="4" t="str">
        <f t="shared" si="44"/>
        <v/>
      </c>
    </row>
    <row r="569" spans="1:17" x14ac:dyDescent="0.25">
      <c r="A569" s="22"/>
      <c r="B569" s="23"/>
      <c r="C569" s="22"/>
      <c r="D569" s="22"/>
      <c r="E569" s="22"/>
      <c r="F569" s="22"/>
      <c r="G569" s="22"/>
      <c r="H569" s="23"/>
      <c r="I569" s="22"/>
      <c r="J569" s="22"/>
      <c r="K569" s="4" t="str">
        <f>IF(A569="","",SUMIFS(Cash[Оплата],Cash[Документ],A569,Cash[Дата],"&lt;="&amp;ДатаОтчета))</f>
        <v/>
      </c>
      <c r="L569" s="4" t="str">
        <f t="shared" si="40"/>
        <v/>
      </c>
      <c r="M569" s="4" t="str">
        <f t="shared" si="41"/>
        <v/>
      </c>
      <c r="N569" s="4" t="str">
        <f t="shared" si="42"/>
        <v/>
      </c>
      <c r="O569" s="4" t="str">
        <f t="shared" si="43"/>
        <v/>
      </c>
      <c r="P569" s="4" t="str">
        <f>IF(A569="",IF(COUNTA(B569:J569)&gt;0,"НЕТ ID",""),IF(OR(NOT(ISNUMBER(E569)),AND(Форма="ИП",C569="Дивиденды"),COUNTIF(Docs[ID],A569)&lt;&gt;1,NOT(ISNUMBER(B569)),B569&lt;НачалоУчета,YEAR(B569)&lt;&gt;Год,NOT(ISNUMBER(H569)),H569&lt;B569,E569&lt;0,COUNTIF(Виды,C569)&lt;&gt;1,COUNTIF(Категории,D569)&lt;&gt;1,COUNTIF(Контрагенты,F569)&lt;&gt;1,COUNTIF(Проекты,G569)&lt;&gt;1,L569&lt;-0.01,AND(I569&lt;&gt;"Проведён",I569&lt;&gt;"Черновик")),"ОШИБКА","ОК"))</f>
        <v/>
      </c>
      <c r="Q569" s="4" t="str">
        <f t="shared" si="44"/>
        <v/>
      </c>
    </row>
    <row r="570" spans="1:17" x14ac:dyDescent="0.25">
      <c r="A570" s="22"/>
      <c r="B570" s="23"/>
      <c r="C570" s="22"/>
      <c r="D570" s="22"/>
      <c r="E570" s="22"/>
      <c r="F570" s="22"/>
      <c r="G570" s="22"/>
      <c r="H570" s="23"/>
      <c r="I570" s="22"/>
      <c r="J570" s="22"/>
      <c r="K570" s="4" t="str">
        <f>IF(A570="","",SUMIFS(Cash[Оплата],Cash[Документ],A570,Cash[Дата],"&lt;="&amp;ДатаОтчета))</f>
        <v/>
      </c>
      <c r="L570" s="4" t="str">
        <f t="shared" si="40"/>
        <v/>
      </c>
      <c r="M570" s="4" t="str">
        <f t="shared" si="41"/>
        <v/>
      </c>
      <c r="N570" s="4" t="str">
        <f t="shared" si="42"/>
        <v/>
      </c>
      <c r="O570" s="4" t="str">
        <f t="shared" si="43"/>
        <v/>
      </c>
      <c r="P570" s="4" t="str">
        <f>IF(A570="",IF(COUNTA(B570:J570)&gt;0,"НЕТ ID",""),IF(OR(NOT(ISNUMBER(E570)),AND(Форма="ИП",C570="Дивиденды"),COUNTIF(Docs[ID],A570)&lt;&gt;1,NOT(ISNUMBER(B570)),B570&lt;НачалоУчета,YEAR(B570)&lt;&gt;Год,NOT(ISNUMBER(H570)),H570&lt;B570,E570&lt;0,COUNTIF(Виды,C570)&lt;&gt;1,COUNTIF(Категории,D570)&lt;&gt;1,COUNTIF(Контрагенты,F570)&lt;&gt;1,COUNTIF(Проекты,G570)&lt;&gt;1,L570&lt;-0.01,AND(I570&lt;&gt;"Проведён",I570&lt;&gt;"Черновик")),"ОШИБКА","ОК"))</f>
        <v/>
      </c>
      <c r="Q570" s="4" t="str">
        <f t="shared" si="44"/>
        <v/>
      </c>
    </row>
    <row r="571" spans="1:17" x14ac:dyDescent="0.25">
      <c r="A571" s="22"/>
      <c r="B571" s="23"/>
      <c r="C571" s="22"/>
      <c r="D571" s="22"/>
      <c r="E571" s="22"/>
      <c r="F571" s="22"/>
      <c r="G571" s="22"/>
      <c r="H571" s="23"/>
      <c r="I571" s="22"/>
      <c r="J571" s="22"/>
      <c r="K571" s="4" t="str">
        <f>IF(A571="","",SUMIFS(Cash[Оплата],Cash[Документ],A571,Cash[Дата],"&lt;="&amp;ДатаОтчета))</f>
        <v/>
      </c>
      <c r="L571" s="4" t="str">
        <f t="shared" si="40"/>
        <v/>
      </c>
      <c r="M571" s="4" t="str">
        <f t="shared" si="41"/>
        <v/>
      </c>
      <c r="N571" s="4" t="str">
        <f t="shared" si="42"/>
        <v/>
      </c>
      <c r="O571" s="4" t="str">
        <f t="shared" si="43"/>
        <v/>
      </c>
      <c r="P571" s="4" t="str">
        <f>IF(A571="",IF(COUNTA(B571:J571)&gt;0,"НЕТ ID",""),IF(OR(NOT(ISNUMBER(E571)),AND(Форма="ИП",C571="Дивиденды"),COUNTIF(Docs[ID],A571)&lt;&gt;1,NOT(ISNUMBER(B571)),B571&lt;НачалоУчета,YEAR(B571)&lt;&gt;Год,NOT(ISNUMBER(H571)),H571&lt;B571,E571&lt;0,COUNTIF(Виды,C571)&lt;&gt;1,COUNTIF(Категории,D571)&lt;&gt;1,COUNTIF(Контрагенты,F571)&lt;&gt;1,COUNTIF(Проекты,G571)&lt;&gt;1,L571&lt;-0.01,AND(I571&lt;&gt;"Проведён",I571&lt;&gt;"Черновик")),"ОШИБКА","ОК"))</f>
        <v/>
      </c>
      <c r="Q571" s="4" t="str">
        <f t="shared" si="44"/>
        <v/>
      </c>
    </row>
    <row r="572" spans="1:17" x14ac:dyDescent="0.25">
      <c r="A572" s="22"/>
      <c r="B572" s="23"/>
      <c r="C572" s="22"/>
      <c r="D572" s="22"/>
      <c r="E572" s="22"/>
      <c r="F572" s="22"/>
      <c r="G572" s="22"/>
      <c r="H572" s="23"/>
      <c r="I572" s="22"/>
      <c r="J572" s="22"/>
      <c r="K572" s="4" t="str">
        <f>IF(A572="","",SUMIFS(Cash[Оплата],Cash[Документ],A572,Cash[Дата],"&lt;="&amp;ДатаОтчета))</f>
        <v/>
      </c>
      <c r="L572" s="4" t="str">
        <f t="shared" si="40"/>
        <v/>
      </c>
      <c r="M572" s="4" t="str">
        <f t="shared" si="41"/>
        <v/>
      </c>
      <c r="N572" s="4" t="str">
        <f t="shared" si="42"/>
        <v/>
      </c>
      <c r="O572" s="4" t="str">
        <f t="shared" si="43"/>
        <v/>
      </c>
      <c r="P572" s="4" t="str">
        <f>IF(A572="",IF(COUNTA(B572:J572)&gt;0,"НЕТ ID",""),IF(OR(NOT(ISNUMBER(E572)),AND(Форма="ИП",C572="Дивиденды"),COUNTIF(Docs[ID],A572)&lt;&gt;1,NOT(ISNUMBER(B572)),B572&lt;НачалоУчета,YEAR(B572)&lt;&gt;Год,NOT(ISNUMBER(H572)),H572&lt;B572,E572&lt;0,COUNTIF(Виды,C572)&lt;&gt;1,COUNTIF(Категории,D572)&lt;&gt;1,COUNTIF(Контрагенты,F572)&lt;&gt;1,COUNTIF(Проекты,G572)&lt;&gt;1,L572&lt;-0.01,AND(I572&lt;&gt;"Проведён",I572&lt;&gt;"Черновик")),"ОШИБКА","ОК"))</f>
        <v/>
      </c>
      <c r="Q572" s="4" t="str">
        <f t="shared" si="44"/>
        <v/>
      </c>
    </row>
    <row r="573" spans="1:17" x14ac:dyDescent="0.25">
      <c r="A573" s="22"/>
      <c r="B573" s="23"/>
      <c r="C573" s="22"/>
      <c r="D573" s="22"/>
      <c r="E573" s="22"/>
      <c r="F573" s="22"/>
      <c r="G573" s="22"/>
      <c r="H573" s="23"/>
      <c r="I573" s="22"/>
      <c r="J573" s="22"/>
      <c r="K573" s="4" t="str">
        <f>IF(A573="","",SUMIFS(Cash[Оплата],Cash[Документ],A573,Cash[Дата],"&lt;="&amp;ДатаОтчета))</f>
        <v/>
      </c>
      <c r="L573" s="4" t="str">
        <f t="shared" si="40"/>
        <v/>
      </c>
      <c r="M573" s="4" t="str">
        <f t="shared" si="41"/>
        <v/>
      </c>
      <c r="N573" s="4" t="str">
        <f t="shared" si="42"/>
        <v/>
      </c>
      <c r="O573" s="4" t="str">
        <f t="shared" si="43"/>
        <v/>
      </c>
      <c r="P573" s="4" t="str">
        <f>IF(A573="",IF(COUNTA(B573:J573)&gt;0,"НЕТ ID",""),IF(OR(NOT(ISNUMBER(E573)),AND(Форма="ИП",C573="Дивиденды"),COUNTIF(Docs[ID],A573)&lt;&gt;1,NOT(ISNUMBER(B573)),B573&lt;НачалоУчета,YEAR(B573)&lt;&gt;Год,NOT(ISNUMBER(H573)),H573&lt;B573,E573&lt;0,COUNTIF(Виды,C573)&lt;&gt;1,COUNTIF(Категории,D573)&lt;&gt;1,COUNTIF(Контрагенты,F573)&lt;&gt;1,COUNTIF(Проекты,G573)&lt;&gt;1,L573&lt;-0.01,AND(I573&lt;&gt;"Проведён",I573&lt;&gt;"Черновик")),"ОШИБКА","ОК"))</f>
        <v/>
      </c>
      <c r="Q573" s="4" t="str">
        <f t="shared" si="44"/>
        <v/>
      </c>
    </row>
    <row r="574" spans="1:17" x14ac:dyDescent="0.25">
      <c r="A574" s="22"/>
      <c r="B574" s="23"/>
      <c r="C574" s="22"/>
      <c r="D574" s="22"/>
      <c r="E574" s="22"/>
      <c r="F574" s="22"/>
      <c r="G574" s="22"/>
      <c r="H574" s="23"/>
      <c r="I574" s="22"/>
      <c r="J574" s="22"/>
      <c r="K574" s="4" t="str">
        <f>IF(A574="","",SUMIFS(Cash[Оплата],Cash[Документ],A574,Cash[Дата],"&lt;="&amp;ДатаОтчета))</f>
        <v/>
      </c>
      <c r="L574" s="4" t="str">
        <f t="shared" si="40"/>
        <v/>
      </c>
      <c r="M574" s="4" t="str">
        <f t="shared" si="41"/>
        <v/>
      </c>
      <c r="N574" s="4" t="str">
        <f t="shared" si="42"/>
        <v/>
      </c>
      <c r="O574" s="4" t="str">
        <f t="shared" si="43"/>
        <v/>
      </c>
      <c r="P574" s="4" t="str">
        <f>IF(A574="",IF(COUNTA(B574:J574)&gt;0,"НЕТ ID",""),IF(OR(NOT(ISNUMBER(E574)),AND(Форма="ИП",C574="Дивиденды"),COUNTIF(Docs[ID],A574)&lt;&gt;1,NOT(ISNUMBER(B574)),B574&lt;НачалоУчета,YEAR(B574)&lt;&gt;Год,NOT(ISNUMBER(H574)),H574&lt;B574,E574&lt;0,COUNTIF(Виды,C574)&lt;&gt;1,COUNTIF(Категории,D574)&lt;&gt;1,COUNTIF(Контрагенты,F574)&lt;&gt;1,COUNTIF(Проекты,G574)&lt;&gt;1,L574&lt;-0.01,AND(I574&lt;&gt;"Проведён",I574&lt;&gt;"Черновик")),"ОШИБКА","ОК"))</f>
        <v/>
      </c>
      <c r="Q574" s="4" t="str">
        <f t="shared" si="44"/>
        <v/>
      </c>
    </row>
    <row r="575" spans="1:17" x14ac:dyDescent="0.25">
      <c r="A575" s="22"/>
      <c r="B575" s="23"/>
      <c r="C575" s="22"/>
      <c r="D575" s="22"/>
      <c r="E575" s="22"/>
      <c r="F575" s="22"/>
      <c r="G575" s="22"/>
      <c r="H575" s="23"/>
      <c r="I575" s="22"/>
      <c r="J575" s="22"/>
      <c r="K575" s="4" t="str">
        <f>IF(A575="","",SUMIFS(Cash[Оплата],Cash[Документ],A575,Cash[Дата],"&lt;="&amp;ДатаОтчета))</f>
        <v/>
      </c>
      <c r="L575" s="4" t="str">
        <f t="shared" si="40"/>
        <v/>
      </c>
      <c r="M575" s="4" t="str">
        <f t="shared" si="41"/>
        <v/>
      </c>
      <c r="N575" s="4" t="str">
        <f t="shared" si="42"/>
        <v/>
      </c>
      <c r="O575" s="4" t="str">
        <f t="shared" si="43"/>
        <v/>
      </c>
      <c r="P575" s="4" t="str">
        <f>IF(A575="",IF(COUNTA(B575:J575)&gt;0,"НЕТ ID",""),IF(OR(NOT(ISNUMBER(E575)),AND(Форма="ИП",C575="Дивиденды"),COUNTIF(Docs[ID],A575)&lt;&gt;1,NOT(ISNUMBER(B575)),B575&lt;НачалоУчета,YEAR(B575)&lt;&gt;Год,NOT(ISNUMBER(H575)),H575&lt;B575,E575&lt;0,COUNTIF(Виды,C575)&lt;&gt;1,COUNTIF(Категории,D575)&lt;&gt;1,COUNTIF(Контрагенты,F575)&lt;&gt;1,COUNTIF(Проекты,G575)&lt;&gt;1,L575&lt;-0.01,AND(I575&lt;&gt;"Проведён",I575&lt;&gt;"Черновик")),"ОШИБКА","ОК"))</f>
        <v/>
      </c>
      <c r="Q575" s="4" t="str">
        <f t="shared" si="44"/>
        <v/>
      </c>
    </row>
    <row r="576" spans="1:17" x14ac:dyDescent="0.25">
      <c r="A576" s="22"/>
      <c r="B576" s="23"/>
      <c r="C576" s="22"/>
      <c r="D576" s="22"/>
      <c r="E576" s="22"/>
      <c r="F576" s="22"/>
      <c r="G576" s="22"/>
      <c r="H576" s="23"/>
      <c r="I576" s="22"/>
      <c r="J576" s="22"/>
      <c r="K576" s="4" t="str">
        <f>IF(A576="","",SUMIFS(Cash[Оплата],Cash[Документ],A576,Cash[Дата],"&lt;="&amp;ДатаОтчета))</f>
        <v/>
      </c>
      <c r="L576" s="4" t="str">
        <f t="shared" si="40"/>
        <v/>
      </c>
      <c r="M576" s="4" t="str">
        <f t="shared" si="41"/>
        <v/>
      </c>
      <c r="N576" s="4" t="str">
        <f t="shared" si="42"/>
        <v/>
      </c>
      <c r="O576" s="4" t="str">
        <f t="shared" si="43"/>
        <v/>
      </c>
      <c r="P576" s="4" t="str">
        <f>IF(A576="",IF(COUNTA(B576:J576)&gt;0,"НЕТ ID",""),IF(OR(NOT(ISNUMBER(E576)),AND(Форма="ИП",C576="Дивиденды"),COUNTIF(Docs[ID],A576)&lt;&gt;1,NOT(ISNUMBER(B576)),B576&lt;НачалоУчета,YEAR(B576)&lt;&gt;Год,NOT(ISNUMBER(H576)),H576&lt;B576,E576&lt;0,COUNTIF(Виды,C576)&lt;&gt;1,COUNTIF(Категории,D576)&lt;&gt;1,COUNTIF(Контрагенты,F576)&lt;&gt;1,COUNTIF(Проекты,G576)&lt;&gt;1,L576&lt;-0.01,AND(I576&lt;&gt;"Проведён",I576&lt;&gt;"Черновик")),"ОШИБКА","ОК"))</f>
        <v/>
      </c>
      <c r="Q576" s="4" t="str">
        <f t="shared" si="44"/>
        <v/>
      </c>
    </row>
    <row r="577" spans="1:17" x14ac:dyDescent="0.25">
      <c r="A577" s="22"/>
      <c r="B577" s="23"/>
      <c r="C577" s="22"/>
      <c r="D577" s="22"/>
      <c r="E577" s="22"/>
      <c r="F577" s="22"/>
      <c r="G577" s="22"/>
      <c r="H577" s="23"/>
      <c r="I577" s="22"/>
      <c r="J577" s="22"/>
      <c r="K577" s="4" t="str">
        <f>IF(A577="","",SUMIFS(Cash[Оплата],Cash[Документ],A577,Cash[Дата],"&lt;="&amp;ДатаОтчета))</f>
        <v/>
      </c>
      <c r="L577" s="4" t="str">
        <f t="shared" si="40"/>
        <v/>
      </c>
      <c r="M577" s="4" t="str">
        <f t="shared" si="41"/>
        <v/>
      </c>
      <c r="N577" s="4" t="str">
        <f t="shared" si="42"/>
        <v/>
      </c>
      <c r="O577" s="4" t="str">
        <f t="shared" si="43"/>
        <v/>
      </c>
      <c r="P577" s="4" t="str">
        <f>IF(A577="",IF(COUNTA(B577:J577)&gt;0,"НЕТ ID",""),IF(OR(NOT(ISNUMBER(E577)),AND(Форма="ИП",C577="Дивиденды"),COUNTIF(Docs[ID],A577)&lt;&gt;1,NOT(ISNUMBER(B577)),B577&lt;НачалоУчета,YEAR(B577)&lt;&gt;Год,NOT(ISNUMBER(H577)),H577&lt;B577,E577&lt;0,COUNTIF(Виды,C577)&lt;&gt;1,COUNTIF(Категории,D577)&lt;&gt;1,COUNTIF(Контрагенты,F577)&lt;&gt;1,COUNTIF(Проекты,G577)&lt;&gt;1,L577&lt;-0.01,AND(I577&lt;&gt;"Проведён",I577&lt;&gt;"Черновик")),"ОШИБКА","ОК"))</f>
        <v/>
      </c>
      <c r="Q577" s="4" t="str">
        <f t="shared" si="44"/>
        <v/>
      </c>
    </row>
    <row r="578" spans="1:17" x14ac:dyDescent="0.25">
      <c r="A578" s="22"/>
      <c r="B578" s="23"/>
      <c r="C578" s="22"/>
      <c r="D578" s="22"/>
      <c r="E578" s="22"/>
      <c r="F578" s="22"/>
      <c r="G578" s="22"/>
      <c r="H578" s="23"/>
      <c r="I578" s="22"/>
      <c r="J578" s="22"/>
      <c r="K578" s="4" t="str">
        <f>IF(A578="","",SUMIFS(Cash[Оплата],Cash[Документ],A578,Cash[Дата],"&lt;="&amp;ДатаОтчета))</f>
        <v/>
      </c>
      <c r="L578" s="4" t="str">
        <f t="shared" si="40"/>
        <v/>
      </c>
      <c r="M578" s="4" t="str">
        <f t="shared" si="41"/>
        <v/>
      </c>
      <c r="N578" s="4" t="str">
        <f t="shared" si="42"/>
        <v/>
      </c>
      <c r="O578" s="4" t="str">
        <f t="shared" si="43"/>
        <v/>
      </c>
      <c r="P578" s="4" t="str">
        <f>IF(A578="",IF(COUNTA(B578:J578)&gt;0,"НЕТ ID",""),IF(OR(NOT(ISNUMBER(E578)),AND(Форма="ИП",C578="Дивиденды"),COUNTIF(Docs[ID],A578)&lt;&gt;1,NOT(ISNUMBER(B578)),B578&lt;НачалоУчета,YEAR(B578)&lt;&gt;Год,NOT(ISNUMBER(H578)),H578&lt;B578,E578&lt;0,COUNTIF(Виды,C578)&lt;&gt;1,COUNTIF(Категории,D578)&lt;&gt;1,COUNTIF(Контрагенты,F578)&lt;&gt;1,COUNTIF(Проекты,G578)&lt;&gt;1,L578&lt;-0.01,AND(I578&lt;&gt;"Проведён",I578&lt;&gt;"Черновик")),"ОШИБКА","ОК"))</f>
        <v/>
      </c>
      <c r="Q578" s="4" t="str">
        <f t="shared" si="44"/>
        <v/>
      </c>
    </row>
    <row r="579" spans="1:17" x14ac:dyDescent="0.25">
      <c r="A579" s="22"/>
      <c r="B579" s="23"/>
      <c r="C579" s="22"/>
      <c r="D579" s="22"/>
      <c r="E579" s="22"/>
      <c r="F579" s="22"/>
      <c r="G579" s="22"/>
      <c r="H579" s="23"/>
      <c r="I579" s="22"/>
      <c r="J579" s="22"/>
      <c r="K579" s="4" t="str">
        <f>IF(A579="","",SUMIFS(Cash[Оплата],Cash[Документ],A579,Cash[Дата],"&lt;="&amp;ДатаОтчета))</f>
        <v/>
      </c>
      <c r="L579" s="4" t="str">
        <f t="shared" si="40"/>
        <v/>
      </c>
      <c r="M579" s="4" t="str">
        <f t="shared" si="41"/>
        <v/>
      </c>
      <c r="N579" s="4" t="str">
        <f t="shared" si="42"/>
        <v/>
      </c>
      <c r="O579" s="4" t="str">
        <f t="shared" si="43"/>
        <v/>
      </c>
      <c r="P579" s="4" t="str">
        <f>IF(A579="",IF(COUNTA(B579:J579)&gt;0,"НЕТ ID",""),IF(OR(NOT(ISNUMBER(E579)),AND(Форма="ИП",C579="Дивиденды"),COUNTIF(Docs[ID],A579)&lt;&gt;1,NOT(ISNUMBER(B579)),B579&lt;НачалоУчета,YEAR(B579)&lt;&gt;Год,NOT(ISNUMBER(H579)),H579&lt;B579,E579&lt;0,COUNTIF(Виды,C579)&lt;&gt;1,COUNTIF(Категории,D579)&lt;&gt;1,COUNTIF(Контрагенты,F579)&lt;&gt;1,COUNTIF(Проекты,G579)&lt;&gt;1,L579&lt;-0.01,AND(I579&lt;&gt;"Проведён",I579&lt;&gt;"Черновик")),"ОШИБКА","ОК"))</f>
        <v/>
      </c>
      <c r="Q579" s="4" t="str">
        <f t="shared" si="44"/>
        <v/>
      </c>
    </row>
    <row r="580" spans="1:17" x14ac:dyDescent="0.25">
      <c r="A580" s="22"/>
      <c r="B580" s="23"/>
      <c r="C580" s="22"/>
      <c r="D580" s="22"/>
      <c r="E580" s="22"/>
      <c r="F580" s="22"/>
      <c r="G580" s="22"/>
      <c r="H580" s="23"/>
      <c r="I580" s="22"/>
      <c r="J580" s="22"/>
      <c r="K580" s="4" t="str">
        <f>IF(A580="","",SUMIFS(Cash[Оплата],Cash[Документ],A580,Cash[Дата],"&lt;="&amp;ДатаОтчета))</f>
        <v/>
      </c>
      <c r="L580" s="4" t="str">
        <f t="shared" si="40"/>
        <v/>
      </c>
      <c r="M580" s="4" t="str">
        <f t="shared" si="41"/>
        <v/>
      </c>
      <c r="N580" s="4" t="str">
        <f t="shared" si="42"/>
        <v/>
      </c>
      <c r="O580" s="4" t="str">
        <f t="shared" si="43"/>
        <v/>
      </c>
      <c r="P580" s="4" t="str">
        <f>IF(A580="",IF(COUNTA(B580:J580)&gt;0,"НЕТ ID",""),IF(OR(NOT(ISNUMBER(E580)),AND(Форма="ИП",C580="Дивиденды"),COUNTIF(Docs[ID],A580)&lt;&gt;1,NOT(ISNUMBER(B580)),B580&lt;НачалоУчета,YEAR(B580)&lt;&gt;Год,NOT(ISNUMBER(H580)),H580&lt;B580,E580&lt;0,COUNTIF(Виды,C580)&lt;&gt;1,COUNTIF(Категории,D580)&lt;&gt;1,COUNTIF(Контрагенты,F580)&lt;&gt;1,COUNTIF(Проекты,G580)&lt;&gt;1,L580&lt;-0.01,AND(I580&lt;&gt;"Проведён",I580&lt;&gt;"Черновик")),"ОШИБКА","ОК"))</f>
        <v/>
      </c>
      <c r="Q580" s="4" t="str">
        <f t="shared" si="44"/>
        <v/>
      </c>
    </row>
    <row r="581" spans="1:17" x14ac:dyDescent="0.25">
      <c r="A581" s="22"/>
      <c r="B581" s="23"/>
      <c r="C581" s="22"/>
      <c r="D581" s="22"/>
      <c r="E581" s="22"/>
      <c r="F581" s="22"/>
      <c r="G581" s="22"/>
      <c r="H581" s="23"/>
      <c r="I581" s="22"/>
      <c r="J581" s="22"/>
      <c r="K581" s="4" t="str">
        <f>IF(A581="","",SUMIFS(Cash[Оплата],Cash[Документ],A581,Cash[Дата],"&lt;="&amp;ДатаОтчета))</f>
        <v/>
      </c>
      <c r="L581" s="4" t="str">
        <f t="shared" si="40"/>
        <v/>
      </c>
      <c r="M581" s="4" t="str">
        <f t="shared" si="41"/>
        <v/>
      </c>
      <c r="N581" s="4" t="str">
        <f t="shared" si="42"/>
        <v/>
      </c>
      <c r="O581" s="4" t="str">
        <f t="shared" si="43"/>
        <v/>
      </c>
      <c r="P581" s="4" t="str">
        <f>IF(A581="",IF(COUNTA(B581:J581)&gt;0,"НЕТ ID",""),IF(OR(NOT(ISNUMBER(E581)),AND(Форма="ИП",C581="Дивиденды"),COUNTIF(Docs[ID],A581)&lt;&gt;1,NOT(ISNUMBER(B581)),B581&lt;НачалоУчета,YEAR(B581)&lt;&gt;Год,NOT(ISNUMBER(H581)),H581&lt;B581,E581&lt;0,COUNTIF(Виды,C581)&lt;&gt;1,COUNTIF(Категории,D581)&lt;&gt;1,COUNTIF(Контрагенты,F581)&lt;&gt;1,COUNTIF(Проекты,G581)&lt;&gt;1,L581&lt;-0.01,AND(I581&lt;&gt;"Проведён",I581&lt;&gt;"Черновик")),"ОШИБКА","ОК"))</f>
        <v/>
      </c>
      <c r="Q581" s="4" t="str">
        <f t="shared" si="44"/>
        <v/>
      </c>
    </row>
    <row r="582" spans="1:17" x14ac:dyDescent="0.25">
      <c r="A582" s="22"/>
      <c r="B582" s="23"/>
      <c r="C582" s="22"/>
      <c r="D582" s="22"/>
      <c r="E582" s="22"/>
      <c r="F582" s="22"/>
      <c r="G582" s="22"/>
      <c r="H582" s="23"/>
      <c r="I582" s="22"/>
      <c r="J582" s="22"/>
      <c r="K582" s="4" t="str">
        <f>IF(A582="","",SUMIFS(Cash[Оплата],Cash[Документ],A582,Cash[Дата],"&lt;="&amp;ДатаОтчета))</f>
        <v/>
      </c>
      <c r="L582" s="4" t="str">
        <f t="shared" si="40"/>
        <v/>
      </c>
      <c r="M582" s="4" t="str">
        <f t="shared" si="41"/>
        <v/>
      </c>
      <c r="N582" s="4" t="str">
        <f t="shared" si="42"/>
        <v/>
      </c>
      <c r="O582" s="4" t="str">
        <f t="shared" si="43"/>
        <v/>
      </c>
      <c r="P582" s="4" t="str">
        <f>IF(A582="",IF(COUNTA(B582:J582)&gt;0,"НЕТ ID",""),IF(OR(NOT(ISNUMBER(E582)),AND(Форма="ИП",C582="Дивиденды"),COUNTIF(Docs[ID],A582)&lt;&gt;1,NOT(ISNUMBER(B582)),B582&lt;НачалоУчета,YEAR(B582)&lt;&gt;Год,NOT(ISNUMBER(H582)),H582&lt;B582,E582&lt;0,COUNTIF(Виды,C582)&lt;&gt;1,COUNTIF(Категории,D582)&lt;&gt;1,COUNTIF(Контрагенты,F582)&lt;&gt;1,COUNTIF(Проекты,G582)&lt;&gt;1,L582&lt;-0.01,AND(I582&lt;&gt;"Проведён",I582&lt;&gt;"Черновик")),"ОШИБКА","ОК"))</f>
        <v/>
      </c>
      <c r="Q582" s="4" t="str">
        <f t="shared" si="44"/>
        <v/>
      </c>
    </row>
    <row r="583" spans="1:17" x14ac:dyDescent="0.25">
      <c r="A583" s="22"/>
      <c r="B583" s="23"/>
      <c r="C583" s="22"/>
      <c r="D583" s="22"/>
      <c r="E583" s="22"/>
      <c r="F583" s="22"/>
      <c r="G583" s="22"/>
      <c r="H583" s="23"/>
      <c r="I583" s="22"/>
      <c r="J583" s="22"/>
      <c r="K583" s="4" t="str">
        <f>IF(A583="","",SUMIFS(Cash[Оплата],Cash[Документ],A583,Cash[Дата],"&lt;="&amp;ДатаОтчета))</f>
        <v/>
      </c>
      <c r="L583" s="4" t="str">
        <f t="shared" ref="L583:L606" si="45">IF(A583="","",IF(AND(I583="Проведён",B583&lt;=ДатаОтчета),E583-K583,0))</f>
        <v/>
      </c>
      <c r="M583" s="4" t="str">
        <f t="shared" ref="M583:M606" si="46">IF(A583="","",IF(L583&gt;0.01,MAX(0,ДатаОтчета-H583),0))</f>
        <v/>
      </c>
      <c r="N583" s="4" t="str">
        <f t="shared" ref="N583:N606" si="47">IF(A583="","",IF(L583&lt;=0.01,"Закрыта",IF(M583=0,"Не просрочена",IF(M583&lt;=30,"1–30 дней",IF(M583&lt;=60,"31–60 дней",IF(M583&lt;=90,"61–90 дней","Более 90 дней"))))))</f>
        <v/>
      </c>
      <c r="O583" s="4" t="str">
        <f t="shared" ref="O583:O606" si="48">IF(A583="","",IF(L583&lt;-0.01,"Переплата",IF(L583&lt;=0.01,"Оплачено",IF(M583&gt;0,"Просрочено",IF(H583&lt;=ДатаОтчета+7,"Оплата в 7 дней","Открыто")))))</f>
        <v/>
      </c>
      <c r="P583" s="4" t="str">
        <f>IF(A583="",IF(COUNTA(B583:J583)&gt;0,"НЕТ ID",""),IF(OR(NOT(ISNUMBER(E583)),AND(Форма="ИП",C583="Дивиденды"),COUNTIF(Docs[ID],A583)&lt;&gt;1,NOT(ISNUMBER(B583)),B583&lt;НачалоУчета,YEAR(B583)&lt;&gt;Год,NOT(ISNUMBER(H583)),H583&lt;B583,E583&lt;0,COUNTIF(Виды,C583)&lt;&gt;1,COUNTIF(Категории,D583)&lt;&gt;1,COUNTIF(Контрагенты,F583)&lt;&gt;1,COUNTIF(Проекты,G583)&lt;&gt;1,L583&lt;-0.01,AND(I583&lt;&gt;"Проведён",I583&lt;&gt;"Черновик")),"ОШИБКА","ОК"))</f>
        <v/>
      </c>
      <c r="Q583" s="4" t="str">
        <f t="shared" ref="Q583:Q606" si="49">IF(A583="","",IF(OR(C583="Выручка",C583="Начальная ДЗ"),"ДЗ","КЗ"))</f>
        <v/>
      </c>
    </row>
    <row r="584" spans="1:17" x14ac:dyDescent="0.25">
      <c r="A584" s="22"/>
      <c r="B584" s="23"/>
      <c r="C584" s="22"/>
      <c r="D584" s="22"/>
      <c r="E584" s="22"/>
      <c r="F584" s="22"/>
      <c r="G584" s="22"/>
      <c r="H584" s="23"/>
      <c r="I584" s="22"/>
      <c r="J584" s="22"/>
      <c r="K584" s="4" t="str">
        <f>IF(A584="","",SUMIFS(Cash[Оплата],Cash[Документ],A584,Cash[Дата],"&lt;="&amp;ДатаОтчета))</f>
        <v/>
      </c>
      <c r="L584" s="4" t="str">
        <f t="shared" si="45"/>
        <v/>
      </c>
      <c r="M584" s="4" t="str">
        <f t="shared" si="46"/>
        <v/>
      </c>
      <c r="N584" s="4" t="str">
        <f t="shared" si="47"/>
        <v/>
      </c>
      <c r="O584" s="4" t="str">
        <f t="shared" si="48"/>
        <v/>
      </c>
      <c r="P584" s="4" t="str">
        <f>IF(A584="",IF(COUNTA(B584:J584)&gt;0,"НЕТ ID",""),IF(OR(NOT(ISNUMBER(E584)),AND(Форма="ИП",C584="Дивиденды"),COUNTIF(Docs[ID],A584)&lt;&gt;1,NOT(ISNUMBER(B584)),B584&lt;НачалоУчета,YEAR(B584)&lt;&gt;Год,NOT(ISNUMBER(H584)),H584&lt;B584,E584&lt;0,COUNTIF(Виды,C584)&lt;&gt;1,COUNTIF(Категории,D584)&lt;&gt;1,COUNTIF(Контрагенты,F584)&lt;&gt;1,COUNTIF(Проекты,G584)&lt;&gt;1,L584&lt;-0.01,AND(I584&lt;&gt;"Проведён",I584&lt;&gt;"Черновик")),"ОШИБКА","ОК"))</f>
        <v/>
      </c>
      <c r="Q584" s="4" t="str">
        <f t="shared" si="49"/>
        <v/>
      </c>
    </row>
    <row r="585" spans="1:17" x14ac:dyDescent="0.25">
      <c r="A585" s="22"/>
      <c r="B585" s="23"/>
      <c r="C585" s="22"/>
      <c r="D585" s="22"/>
      <c r="E585" s="22"/>
      <c r="F585" s="22"/>
      <c r="G585" s="22"/>
      <c r="H585" s="23"/>
      <c r="I585" s="22"/>
      <c r="J585" s="22"/>
      <c r="K585" s="4" t="str">
        <f>IF(A585="","",SUMIFS(Cash[Оплата],Cash[Документ],A585,Cash[Дата],"&lt;="&amp;ДатаОтчета))</f>
        <v/>
      </c>
      <c r="L585" s="4" t="str">
        <f t="shared" si="45"/>
        <v/>
      </c>
      <c r="M585" s="4" t="str">
        <f t="shared" si="46"/>
        <v/>
      </c>
      <c r="N585" s="4" t="str">
        <f t="shared" si="47"/>
        <v/>
      </c>
      <c r="O585" s="4" t="str">
        <f t="shared" si="48"/>
        <v/>
      </c>
      <c r="P585" s="4" t="str">
        <f>IF(A585="",IF(COUNTA(B585:J585)&gt;0,"НЕТ ID",""),IF(OR(NOT(ISNUMBER(E585)),AND(Форма="ИП",C585="Дивиденды"),COUNTIF(Docs[ID],A585)&lt;&gt;1,NOT(ISNUMBER(B585)),B585&lt;НачалоУчета,YEAR(B585)&lt;&gt;Год,NOT(ISNUMBER(H585)),H585&lt;B585,E585&lt;0,COUNTIF(Виды,C585)&lt;&gt;1,COUNTIF(Категории,D585)&lt;&gt;1,COUNTIF(Контрагенты,F585)&lt;&gt;1,COUNTIF(Проекты,G585)&lt;&gt;1,L585&lt;-0.01,AND(I585&lt;&gt;"Проведён",I585&lt;&gt;"Черновик")),"ОШИБКА","ОК"))</f>
        <v/>
      </c>
      <c r="Q585" s="4" t="str">
        <f t="shared" si="49"/>
        <v/>
      </c>
    </row>
    <row r="586" spans="1:17" x14ac:dyDescent="0.25">
      <c r="A586" s="22"/>
      <c r="B586" s="23"/>
      <c r="C586" s="22"/>
      <c r="D586" s="22"/>
      <c r="E586" s="22"/>
      <c r="F586" s="22"/>
      <c r="G586" s="22"/>
      <c r="H586" s="23"/>
      <c r="I586" s="22"/>
      <c r="J586" s="22"/>
      <c r="K586" s="4" t="str">
        <f>IF(A586="","",SUMIFS(Cash[Оплата],Cash[Документ],A586,Cash[Дата],"&lt;="&amp;ДатаОтчета))</f>
        <v/>
      </c>
      <c r="L586" s="4" t="str">
        <f t="shared" si="45"/>
        <v/>
      </c>
      <c r="M586" s="4" t="str">
        <f t="shared" si="46"/>
        <v/>
      </c>
      <c r="N586" s="4" t="str">
        <f t="shared" si="47"/>
        <v/>
      </c>
      <c r="O586" s="4" t="str">
        <f t="shared" si="48"/>
        <v/>
      </c>
      <c r="P586" s="4" t="str">
        <f>IF(A586="",IF(COUNTA(B586:J586)&gt;0,"НЕТ ID",""),IF(OR(NOT(ISNUMBER(E586)),AND(Форма="ИП",C586="Дивиденды"),COUNTIF(Docs[ID],A586)&lt;&gt;1,NOT(ISNUMBER(B586)),B586&lt;НачалоУчета,YEAR(B586)&lt;&gt;Год,NOT(ISNUMBER(H586)),H586&lt;B586,E586&lt;0,COUNTIF(Виды,C586)&lt;&gt;1,COUNTIF(Категории,D586)&lt;&gt;1,COUNTIF(Контрагенты,F586)&lt;&gt;1,COUNTIF(Проекты,G586)&lt;&gt;1,L586&lt;-0.01,AND(I586&lt;&gt;"Проведён",I586&lt;&gt;"Черновик")),"ОШИБКА","ОК"))</f>
        <v/>
      </c>
      <c r="Q586" s="4" t="str">
        <f t="shared" si="49"/>
        <v/>
      </c>
    </row>
    <row r="587" spans="1:17" x14ac:dyDescent="0.25">
      <c r="A587" s="22"/>
      <c r="B587" s="23"/>
      <c r="C587" s="22"/>
      <c r="D587" s="22"/>
      <c r="E587" s="22"/>
      <c r="F587" s="22"/>
      <c r="G587" s="22"/>
      <c r="H587" s="23"/>
      <c r="I587" s="22"/>
      <c r="J587" s="22"/>
      <c r="K587" s="4" t="str">
        <f>IF(A587="","",SUMIFS(Cash[Оплата],Cash[Документ],A587,Cash[Дата],"&lt;="&amp;ДатаОтчета))</f>
        <v/>
      </c>
      <c r="L587" s="4" t="str">
        <f t="shared" si="45"/>
        <v/>
      </c>
      <c r="M587" s="4" t="str">
        <f t="shared" si="46"/>
        <v/>
      </c>
      <c r="N587" s="4" t="str">
        <f t="shared" si="47"/>
        <v/>
      </c>
      <c r="O587" s="4" t="str">
        <f t="shared" si="48"/>
        <v/>
      </c>
      <c r="P587" s="4" t="str">
        <f>IF(A587="",IF(COUNTA(B587:J587)&gt;0,"НЕТ ID",""),IF(OR(NOT(ISNUMBER(E587)),AND(Форма="ИП",C587="Дивиденды"),COUNTIF(Docs[ID],A587)&lt;&gt;1,NOT(ISNUMBER(B587)),B587&lt;НачалоУчета,YEAR(B587)&lt;&gt;Год,NOT(ISNUMBER(H587)),H587&lt;B587,E587&lt;0,COUNTIF(Виды,C587)&lt;&gt;1,COUNTIF(Категории,D587)&lt;&gt;1,COUNTIF(Контрагенты,F587)&lt;&gt;1,COUNTIF(Проекты,G587)&lt;&gt;1,L587&lt;-0.01,AND(I587&lt;&gt;"Проведён",I587&lt;&gt;"Черновик")),"ОШИБКА","ОК"))</f>
        <v/>
      </c>
      <c r="Q587" s="4" t="str">
        <f t="shared" si="49"/>
        <v/>
      </c>
    </row>
    <row r="588" spans="1:17" x14ac:dyDescent="0.25">
      <c r="A588" s="22"/>
      <c r="B588" s="23"/>
      <c r="C588" s="22"/>
      <c r="D588" s="22"/>
      <c r="E588" s="22"/>
      <c r="F588" s="22"/>
      <c r="G588" s="22"/>
      <c r="H588" s="23"/>
      <c r="I588" s="22"/>
      <c r="J588" s="22"/>
      <c r="K588" s="4" t="str">
        <f>IF(A588="","",SUMIFS(Cash[Оплата],Cash[Документ],A588,Cash[Дата],"&lt;="&amp;ДатаОтчета))</f>
        <v/>
      </c>
      <c r="L588" s="4" t="str">
        <f t="shared" si="45"/>
        <v/>
      </c>
      <c r="M588" s="4" t="str">
        <f t="shared" si="46"/>
        <v/>
      </c>
      <c r="N588" s="4" t="str">
        <f t="shared" si="47"/>
        <v/>
      </c>
      <c r="O588" s="4" t="str">
        <f t="shared" si="48"/>
        <v/>
      </c>
      <c r="P588" s="4" t="str">
        <f>IF(A588="",IF(COUNTA(B588:J588)&gt;0,"НЕТ ID",""),IF(OR(NOT(ISNUMBER(E588)),AND(Форма="ИП",C588="Дивиденды"),COUNTIF(Docs[ID],A588)&lt;&gt;1,NOT(ISNUMBER(B588)),B588&lt;НачалоУчета,YEAR(B588)&lt;&gt;Год,NOT(ISNUMBER(H588)),H588&lt;B588,E588&lt;0,COUNTIF(Виды,C588)&lt;&gt;1,COUNTIF(Категории,D588)&lt;&gt;1,COUNTIF(Контрагенты,F588)&lt;&gt;1,COUNTIF(Проекты,G588)&lt;&gt;1,L588&lt;-0.01,AND(I588&lt;&gt;"Проведён",I588&lt;&gt;"Черновик")),"ОШИБКА","ОК"))</f>
        <v/>
      </c>
      <c r="Q588" s="4" t="str">
        <f t="shared" si="49"/>
        <v/>
      </c>
    </row>
    <row r="589" spans="1:17" x14ac:dyDescent="0.25">
      <c r="A589" s="22"/>
      <c r="B589" s="23"/>
      <c r="C589" s="22"/>
      <c r="D589" s="22"/>
      <c r="E589" s="22"/>
      <c r="F589" s="22"/>
      <c r="G589" s="22"/>
      <c r="H589" s="23"/>
      <c r="I589" s="22"/>
      <c r="J589" s="22"/>
      <c r="K589" s="4" t="str">
        <f>IF(A589="","",SUMIFS(Cash[Оплата],Cash[Документ],A589,Cash[Дата],"&lt;="&amp;ДатаОтчета))</f>
        <v/>
      </c>
      <c r="L589" s="4" t="str">
        <f t="shared" si="45"/>
        <v/>
      </c>
      <c r="M589" s="4" t="str">
        <f t="shared" si="46"/>
        <v/>
      </c>
      <c r="N589" s="4" t="str">
        <f t="shared" si="47"/>
        <v/>
      </c>
      <c r="O589" s="4" t="str">
        <f t="shared" si="48"/>
        <v/>
      </c>
      <c r="P589" s="4" t="str">
        <f>IF(A589="",IF(COUNTA(B589:J589)&gt;0,"НЕТ ID",""),IF(OR(NOT(ISNUMBER(E589)),AND(Форма="ИП",C589="Дивиденды"),COUNTIF(Docs[ID],A589)&lt;&gt;1,NOT(ISNUMBER(B589)),B589&lt;НачалоУчета,YEAR(B589)&lt;&gt;Год,NOT(ISNUMBER(H589)),H589&lt;B589,E589&lt;0,COUNTIF(Виды,C589)&lt;&gt;1,COUNTIF(Категории,D589)&lt;&gt;1,COUNTIF(Контрагенты,F589)&lt;&gt;1,COUNTIF(Проекты,G589)&lt;&gt;1,L589&lt;-0.01,AND(I589&lt;&gt;"Проведён",I589&lt;&gt;"Черновик")),"ОШИБКА","ОК"))</f>
        <v/>
      </c>
      <c r="Q589" s="4" t="str">
        <f t="shared" si="49"/>
        <v/>
      </c>
    </row>
    <row r="590" spans="1:17" x14ac:dyDescent="0.25">
      <c r="A590" s="22"/>
      <c r="B590" s="23"/>
      <c r="C590" s="22"/>
      <c r="D590" s="22"/>
      <c r="E590" s="22"/>
      <c r="F590" s="22"/>
      <c r="G590" s="22"/>
      <c r="H590" s="23"/>
      <c r="I590" s="22"/>
      <c r="J590" s="22"/>
      <c r="K590" s="4" t="str">
        <f>IF(A590="","",SUMIFS(Cash[Оплата],Cash[Документ],A590,Cash[Дата],"&lt;="&amp;ДатаОтчета))</f>
        <v/>
      </c>
      <c r="L590" s="4" t="str">
        <f t="shared" si="45"/>
        <v/>
      </c>
      <c r="M590" s="4" t="str">
        <f t="shared" si="46"/>
        <v/>
      </c>
      <c r="N590" s="4" t="str">
        <f t="shared" si="47"/>
        <v/>
      </c>
      <c r="O590" s="4" t="str">
        <f t="shared" si="48"/>
        <v/>
      </c>
      <c r="P590" s="4" t="str">
        <f>IF(A590="",IF(COUNTA(B590:J590)&gt;0,"НЕТ ID",""),IF(OR(NOT(ISNUMBER(E590)),AND(Форма="ИП",C590="Дивиденды"),COUNTIF(Docs[ID],A590)&lt;&gt;1,NOT(ISNUMBER(B590)),B590&lt;НачалоУчета,YEAR(B590)&lt;&gt;Год,NOT(ISNUMBER(H590)),H590&lt;B590,E590&lt;0,COUNTIF(Виды,C590)&lt;&gt;1,COUNTIF(Категории,D590)&lt;&gt;1,COUNTIF(Контрагенты,F590)&lt;&gt;1,COUNTIF(Проекты,G590)&lt;&gt;1,L590&lt;-0.01,AND(I590&lt;&gt;"Проведён",I590&lt;&gt;"Черновик")),"ОШИБКА","ОК"))</f>
        <v/>
      </c>
      <c r="Q590" s="4" t="str">
        <f t="shared" si="49"/>
        <v/>
      </c>
    </row>
    <row r="591" spans="1:17" x14ac:dyDescent="0.25">
      <c r="A591" s="22"/>
      <c r="B591" s="23"/>
      <c r="C591" s="22"/>
      <c r="D591" s="22"/>
      <c r="E591" s="22"/>
      <c r="F591" s="22"/>
      <c r="G591" s="22"/>
      <c r="H591" s="23"/>
      <c r="I591" s="22"/>
      <c r="J591" s="22"/>
      <c r="K591" s="4" t="str">
        <f>IF(A591="","",SUMIFS(Cash[Оплата],Cash[Документ],A591,Cash[Дата],"&lt;="&amp;ДатаОтчета))</f>
        <v/>
      </c>
      <c r="L591" s="4" t="str">
        <f t="shared" si="45"/>
        <v/>
      </c>
      <c r="M591" s="4" t="str">
        <f t="shared" si="46"/>
        <v/>
      </c>
      <c r="N591" s="4" t="str">
        <f t="shared" si="47"/>
        <v/>
      </c>
      <c r="O591" s="4" t="str">
        <f t="shared" si="48"/>
        <v/>
      </c>
      <c r="P591" s="4" t="str">
        <f>IF(A591="",IF(COUNTA(B591:J591)&gt;0,"НЕТ ID",""),IF(OR(NOT(ISNUMBER(E591)),AND(Форма="ИП",C591="Дивиденды"),COUNTIF(Docs[ID],A591)&lt;&gt;1,NOT(ISNUMBER(B591)),B591&lt;НачалоУчета,YEAR(B591)&lt;&gt;Год,NOT(ISNUMBER(H591)),H591&lt;B591,E591&lt;0,COUNTIF(Виды,C591)&lt;&gt;1,COUNTIF(Категории,D591)&lt;&gt;1,COUNTIF(Контрагенты,F591)&lt;&gt;1,COUNTIF(Проекты,G591)&lt;&gt;1,L591&lt;-0.01,AND(I591&lt;&gt;"Проведён",I591&lt;&gt;"Черновик")),"ОШИБКА","ОК"))</f>
        <v/>
      </c>
      <c r="Q591" s="4" t="str">
        <f t="shared" si="49"/>
        <v/>
      </c>
    </row>
    <row r="592" spans="1:17" x14ac:dyDescent="0.25">
      <c r="A592" s="22"/>
      <c r="B592" s="23"/>
      <c r="C592" s="22"/>
      <c r="D592" s="22"/>
      <c r="E592" s="22"/>
      <c r="F592" s="22"/>
      <c r="G592" s="22"/>
      <c r="H592" s="23"/>
      <c r="I592" s="22"/>
      <c r="J592" s="22"/>
      <c r="K592" s="4" t="str">
        <f>IF(A592="","",SUMIFS(Cash[Оплата],Cash[Документ],A592,Cash[Дата],"&lt;="&amp;ДатаОтчета))</f>
        <v/>
      </c>
      <c r="L592" s="4" t="str">
        <f t="shared" si="45"/>
        <v/>
      </c>
      <c r="M592" s="4" t="str">
        <f t="shared" si="46"/>
        <v/>
      </c>
      <c r="N592" s="4" t="str">
        <f t="shared" si="47"/>
        <v/>
      </c>
      <c r="O592" s="4" t="str">
        <f t="shared" si="48"/>
        <v/>
      </c>
      <c r="P592" s="4" t="str">
        <f>IF(A592="",IF(COUNTA(B592:J592)&gt;0,"НЕТ ID",""),IF(OR(NOT(ISNUMBER(E592)),AND(Форма="ИП",C592="Дивиденды"),COUNTIF(Docs[ID],A592)&lt;&gt;1,NOT(ISNUMBER(B592)),B592&lt;НачалоУчета,YEAR(B592)&lt;&gt;Год,NOT(ISNUMBER(H592)),H592&lt;B592,E592&lt;0,COUNTIF(Виды,C592)&lt;&gt;1,COUNTIF(Категории,D592)&lt;&gt;1,COUNTIF(Контрагенты,F592)&lt;&gt;1,COUNTIF(Проекты,G592)&lt;&gt;1,L592&lt;-0.01,AND(I592&lt;&gt;"Проведён",I592&lt;&gt;"Черновик")),"ОШИБКА","ОК"))</f>
        <v/>
      </c>
      <c r="Q592" s="4" t="str">
        <f t="shared" si="49"/>
        <v/>
      </c>
    </row>
    <row r="593" spans="1:17" x14ac:dyDescent="0.25">
      <c r="A593" s="22"/>
      <c r="B593" s="23"/>
      <c r="C593" s="22"/>
      <c r="D593" s="22"/>
      <c r="E593" s="22"/>
      <c r="F593" s="22"/>
      <c r="G593" s="22"/>
      <c r="H593" s="23"/>
      <c r="I593" s="22"/>
      <c r="J593" s="22"/>
      <c r="K593" s="4" t="str">
        <f>IF(A593="","",SUMIFS(Cash[Оплата],Cash[Документ],A593,Cash[Дата],"&lt;="&amp;ДатаОтчета))</f>
        <v/>
      </c>
      <c r="L593" s="4" t="str">
        <f t="shared" si="45"/>
        <v/>
      </c>
      <c r="M593" s="4" t="str">
        <f t="shared" si="46"/>
        <v/>
      </c>
      <c r="N593" s="4" t="str">
        <f t="shared" si="47"/>
        <v/>
      </c>
      <c r="O593" s="4" t="str">
        <f t="shared" si="48"/>
        <v/>
      </c>
      <c r="P593" s="4" t="str">
        <f>IF(A593="",IF(COUNTA(B593:J593)&gt;0,"НЕТ ID",""),IF(OR(NOT(ISNUMBER(E593)),AND(Форма="ИП",C593="Дивиденды"),COUNTIF(Docs[ID],A593)&lt;&gt;1,NOT(ISNUMBER(B593)),B593&lt;НачалоУчета,YEAR(B593)&lt;&gt;Год,NOT(ISNUMBER(H593)),H593&lt;B593,E593&lt;0,COUNTIF(Виды,C593)&lt;&gt;1,COUNTIF(Категории,D593)&lt;&gt;1,COUNTIF(Контрагенты,F593)&lt;&gt;1,COUNTIF(Проекты,G593)&lt;&gt;1,L593&lt;-0.01,AND(I593&lt;&gt;"Проведён",I593&lt;&gt;"Черновик")),"ОШИБКА","ОК"))</f>
        <v/>
      </c>
      <c r="Q593" s="4" t="str">
        <f t="shared" si="49"/>
        <v/>
      </c>
    </row>
    <row r="594" spans="1:17" x14ac:dyDescent="0.25">
      <c r="A594" s="22"/>
      <c r="B594" s="23"/>
      <c r="C594" s="22"/>
      <c r="D594" s="22"/>
      <c r="E594" s="22"/>
      <c r="F594" s="22"/>
      <c r="G594" s="22"/>
      <c r="H594" s="23"/>
      <c r="I594" s="22"/>
      <c r="J594" s="22"/>
      <c r="K594" s="4" t="str">
        <f>IF(A594="","",SUMIFS(Cash[Оплата],Cash[Документ],A594,Cash[Дата],"&lt;="&amp;ДатаОтчета))</f>
        <v/>
      </c>
      <c r="L594" s="4" t="str">
        <f t="shared" si="45"/>
        <v/>
      </c>
      <c r="M594" s="4" t="str">
        <f t="shared" si="46"/>
        <v/>
      </c>
      <c r="N594" s="4" t="str">
        <f t="shared" si="47"/>
        <v/>
      </c>
      <c r="O594" s="4" t="str">
        <f t="shared" si="48"/>
        <v/>
      </c>
      <c r="P594" s="4" t="str">
        <f>IF(A594="",IF(COUNTA(B594:J594)&gt;0,"НЕТ ID",""),IF(OR(NOT(ISNUMBER(E594)),AND(Форма="ИП",C594="Дивиденды"),COUNTIF(Docs[ID],A594)&lt;&gt;1,NOT(ISNUMBER(B594)),B594&lt;НачалоУчета,YEAR(B594)&lt;&gt;Год,NOT(ISNUMBER(H594)),H594&lt;B594,E594&lt;0,COUNTIF(Виды,C594)&lt;&gt;1,COUNTIF(Категории,D594)&lt;&gt;1,COUNTIF(Контрагенты,F594)&lt;&gt;1,COUNTIF(Проекты,G594)&lt;&gt;1,L594&lt;-0.01,AND(I594&lt;&gt;"Проведён",I594&lt;&gt;"Черновик")),"ОШИБКА","ОК"))</f>
        <v/>
      </c>
      <c r="Q594" s="4" t="str">
        <f t="shared" si="49"/>
        <v/>
      </c>
    </row>
    <row r="595" spans="1:17" x14ac:dyDescent="0.25">
      <c r="A595" s="22"/>
      <c r="B595" s="23"/>
      <c r="C595" s="22"/>
      <c r="D595" s="22"/>
      <c r="E595" s="22"/>
      <c r="F595" s="22"/>
      <c r="G595" s="22"/>
      <c r="H595" s="23"/>
      <c r="I595" s="22"/>
      <c r="J595" s="22"/>
      <c r="K595" s="4" t="str">
        <f>IF(A595="","",SUMIFS(Cash[Оплата],Cash[Документ],A595,Cash[Дата],"&lt;="&amp;ДатаОтчета))</f>
        <v/>
      </c>
      <c r="L595" s="4" t="str">
        <f t="shared" si="45"/>
        <v/>
      </c>
      <c r="M595" s="4" t="str">
        <f t="shared" si="46"/>
        <v/>
      </c>
      <c r="N595" s="4" t="str">
        <f t="shared" si="47"/>
        <v/>
      </c>
      <c r="O595" s="4" t="str">
        <f t="shared" si="48"/>
        <v/>
      </c>
      <c r="P595" s="4" t="str">
        <f>IF(A595="",IF(COUNTA(B595:J595)&gt;0,"НЕТ ID",""),IF(OR(NOT(ISNUMBER(E595)),AND(Форма="ИП",C595="Дивиденды"),COUNTIF(Docs[ID],A595)&lt;&gt;1,NOT(ISNUMBER(B595)),B595&lt;НачалоУчета,YEAR(B595)&lt;&gt;Год,NOT(ISNUMBER(H595)),H595&lt;B595,E595&lt;0,COUNTIF(Виды,C595)&lt;&gt;1,COUNTIF(Категории,D595)&lt;&gt;1,COUNTIF(Контрагенты,F595)&lt;&gt;1,COUNTIF(Проекты,G595)&lt;&gt;1,L595&lt;-0.01,AND(I595&lt;&gt;"Проведён",I595&lt;&gt;"Черновик")),"ОШИБКА","ОК"))</f>
        <v/>
      </c>
      <c r="Q595" s="4" t="str">
        <f t="shared" si="49"/>
        <v/>
      </c>
    </row>
    <row r="596" spans="1:17" x14ac:dyDescent="0.25">
      <c r="A596" s="22"/>
      <c r="B596" s="23"/>
      <c r="C596" s="22"/>
      <c r="D596" s="22"/>
      <c r="E596" s="22"/>
      <c r="F596" s="22"/>
      <c r="G596" s="22"/>
      <c r="H596" s="23"/>
      <c r="I596" s="22"/>
      <c r="J596" s="22"/>
      <c r="K596" s="4" t="str">
        <f>IF(A596="","",SUMIFS(Cash[Оплата],Cash[Документ],A596,Cash[Дата],"&lt;="&amp;ДатаОтчета))</f>
        <v/>
      </c>
      <c r="L596" s="4" t="str">
        <f t="shared" si="45"/>
        <v/>
      </c>
      <c r="M596" s="4" t="str">
        <f t="shared" si="46"/>
        <v/>
      </c>
      <c r="N596" s="4" t="str">
        <f t="shared" si="47"/>
        <v/>
      </c>
      <c r="O596" s="4" t="str">
        <f t="shared" si="48"/>
        <v/>
      </c>
      <c r="P596" s="4" t="str">
        <f>IF(A596="",IF(COUNTA(B596:J596)&gt;0,"НЕТ ID",""),IF(OR(NOT(ISNUMBER(E596)),AND(Форма="ИП",C596="Дивиденды"),COUNTIF(Docs[ID],A596)&lt;&gt;1,NOT(ISNUMBER(B596)),B596&lt;НачалоУчета,YEAR(B596)&lt;&gt;Год,NOT(ISNUMBER(H596)),H596&lt;B596,E596&lt;0,COUNTIF(Виды,C596)&lt;&gt;1,COUNTIF(Категории,D596)&lt;&gt;1,COUNTIF(Контрагенты,F596)&lt;&gt;1,COUNTIF(Проекты,G596)&lt;&gt;1,L596&lt;-0.01,AND(I596&lt;&gt;"Проведён",I596&lt;&gt;"Черновик")),"ОШИБКА","ОК"))</f>
        <v/>
      </c>
      <c r="Q596" s="4" t="str">
        <f t="shared" si="49"/>
        <v/>
      </c>
    </row>
    <row r="597" spans="1:17" x14ac:dyDescent="0.25">
      <c r="A597" s="22"/>
      <c r="B597" s="23"/>
      <c r="C597" s="22"/>
      <c r="D597" s="22"/>
      <c r="E597" s="22"/>
      <c r="F597" s="22"/>
      <c r="G597" s="22"/>
      <c r="H597" s="23"/>
      <c r="I597" s="22"/>
      <c r="J597" s="22"/>
      <c r="K597" s="4" t="str">
        <f>IF(A597="","",SUMIFS(Cash[Оплата],Cash[Документ],A597,Cash[Дата],"&lt;="&amp;ДатаОтчета))</f>
        <v/>
      </c>
      <c r="L597" s="4" t="str">
        <f t="shared" si="45"/>
        <v/>
      </c>
      <c r="M597" s="4" t="str">
        <f t="shared" si="46"/>
        <v/>
      </c>
      <c r="N597" s="4" t="str">
        <f t="shared" si="47"/>
        <v/>
      </c>
      <c r="O597" s="4" t="str">
        <f t="shared" si="48"/>
        <v/>
      </c>
      <c r="P597" s="4" t="str">
        <f>IF(A597="",IF(COUNTA(B597:J597)&gt;0,"НЕТ ID",""),IF(OR(NOT(ISNUMBER(E597)),AND(Форма="ИП",C597="Дивиденды"),COUNTIF(Docs[ID],A597)&lt;&gt;1,NOT(ISNUMBER(B597)),B597&lt;НачалоУчета,YEAR(B597)&lt;&gt;Год,NOT(ISNUMBER(H597)),H597&lt;B597,E597&lt;0,COUNTIF(Виды,C597)&lt;&gt;1,COUNTIF(Категории,D597)&lt;&gt;1,COUNTIF(Контрагенты,F597)&lt;&gt;1,COUNTIF(Проекты,G597)&lt;&gt;1,L597&lt;-0.01,AND(I597&lt;&gt;"Проведён",I597&lt;&gt;"Черновик")),"ОШИБКА","ОК"))</f>
        <v/>
      </c>
      <c r="Q597" s="4" t="str">
        <f t="shared" si="49"/>
        <v/>
      </c>
    </row>
    <row r="598" spans="1:17" x14ac:dyDescent="0.25">
      <c r="A598" s="22"/>
      <c r="B598" s="23"/>
      <c r="C598" s="22"/>
      <c r="D598" s="22"/>
      <c r="E598" s="22"/>
      <c r="F598" s="22"/>
      <c r="G598" s="22"/>
      <c r="H598" s="23"/>
      <c r="I598" s="22"/>
      <c r="J598" s="22"/>
      <c r="K598" s="4" t="str">
        <f>IF(A598="","",SUMIFS(Cash[Оплата],Cash[Документ],A598,Cash[Дата],"&lt;="&amp;ДатаОтчета))</f>
        <v/>
      </c>
      <c r="L598" s="4" t="str">
        <f t="shared" si="45"/>
        <v/>
      </c>
      <c r="M598" s="4" t="str">
        <f t="shared" si="46"/>
        <v/>
      </c>
      <c r="N598" s="4" t="str">
        <f t="shared" si="47"/>
        <v/>
      </c>
      <c r="O598" s="4" t="str">
        <f t="shared" si="48"/>
        <v/>
      </c>
      <c r="P598" s="4" t="str">
        <f>IF(A598="",IF(COUNTA(B598:J598)&gt;0,"НЕТ ID",""),IF(OR(NOT(ISNUMBER(E598)),AND(Форма="ИП",C598="Дивиденды"),COUNTIF(Docs[ID],A598)&lt;&gt;1,NOT(ISNUMBER(B598)),B598&lt;НачалоУчета,YEAR(B598)&lt;&gt;Год,NOT(ISNUMBER(H598)),H598&lt;B598,E598&lt;0,COUNTIF(Виды,C598)&lt;&gt;1,COUNTIF(Категории,D598)&lt;&gt;1,COUNTIF(Контрагенты,F598)&lt;&gt;1,COUNTIF(Проекты,G598)&lt;&gt;1,L598&lt;-0.01,AND(I598&lt;&gt;"Проведён",I598&lt;&gt;"Черновик")),"ОШИБКА","ОК"))</f>
        <v/>
      </c>
      <c r="Q598" s="4" t="str">
        <f t="shared" si="49"/>
        <v/>
      </c>
    </row>
    <row r="599" spans="1:17" x14ac:dyDescent="0.25">
      <c r="A599" s="22"/>
      <c r="B599" s="23"/>
      <c r="C599" s="22"/>
      <c r="D599" s="22"/>
      <c r="E599" s="22"/>
      <c r="F599" s="22"/>
      <c r="G599" s="22"/>
      <c r="H599" s="23"/>
      <c r="I599" s="22"/>
      <c r="J599" s="22"/>
      <c r="K599" s="4" t="str">
        <f>IF(A599="","",SUMIFS(Cash[Оплата],Cash[Документ],A599,Cash[Дата],"&lt;="&amp;ДатаОтчета))</f>
        <v/>
      </c>
      <c r="L599" s="4" t="str">
        <f t="shared" si="45"/>
        <v/>
      </c>
      <c r="M599" s="4" t="str">
        <f t="shared" si="46"/>
        <v/>
      </c>
      <c r="N599" s="4" t="str">
        <f t="shared" si="47"/>
        <v/>
      </c>
      <c r="O599" s="4" t="str">
        <f t="shared" si="48"/>
        <v/>
      </c>
      <c r="P599" s="4" t="str">
        <f>IF(A599="",IF(COUNTA(B599:J599)&gt;0,"НЕТ ID",""),IF(OR(NOT(ISNUMBER(E599)),AND(Форма="ИП",C599="Дивиденды"),COUNTIF(Docs[ID],A599)&lt;&gt;1,NOT(ISNUMBER(B599)),B599&lt;НачалоУчета,YEAR(B599)&lt;&gt;Год,NOT(ISNUMBER(H599)),H599&lt;B599,E599&lt;0,COUNTIF(Виды,C599)&lt;&gt;1,COUNTIF(Категории,D599)&lt;&gt;1,COUNTIF(Контрагенты,F599)&lt;&gt;1,COUNTIF(Проекты,G599)&lt;&gt;1,L599&lt;-0.01,AND(I599&lt;&gt;"Проведён",I599&lt;&gt;"Черновик")),"ОШИБКА","ОК"))</f>
        <v/>
      </c>
      <c r="Q599" s="4" t="str">
        <f t="shared" si="49"/>
        <v/>
      </c>
    </row>
    <row r="600" spans="1:17" x14ac:dyDescent="0.25">
      <c r="A600" s="22"/>
      <c r="B600" s="23"/>
      <c r="C600" s="22"/>
      <c r="D600" s="22"/>
      <c r="E600" s="22"/>
      <c r="F600" s="22"/>
      <c r="G600" s="22"/>
      <c r="H600" s="23"/>
      <c r="I600" s="22"/>
      <c r="J600" s="22"/>
      <c r="K600" s="4" t="str">
        <f>IF(A600="","",SUMIFS(Cash[Оплата],Cash[Документ],A600,Cash[Дата],"&lt;="&amp;ДатаОтчета))</f>
        <v/>
      </c>
      <c r="L600" s="4" t="str">
        <f t="shared" si="45"/>
        <v/>
      </c>
      <c r="M600" s="4" t="str">
        <f t="shared" si="46"/>
        <v/>
      </c>
      <c r="N600" s="4" t="str">
        <f t="shared" si="47"/>
        <v/>
      </c>
      <c r="O600" s="4" t="str">
        <f t="shared" si="48"/>
        <v/>
      </c>
      <c r="P600" s="4" t="str">
        <f>IF(A600="",IF(COUNTA(B600:J600)&gt;0,"НЕТ ID",""),IF(OR(NOT(ISNUMBER(E600)),AND(Форма="ИП",C600="Дивиденды"),COUNTIF(Docs[ID],A600)&lt;&gt;1,NOT(ISNUMBER(B600)),B600&lt;НачалоУчета,YEAR(B600)&lt;&gt;Год,NOT(ISNUMBER(H600)),H600&lt;B600,E600&lt;0,COUNTIF(Виды,C600)&lt;&gt;1,COUNTIF(Категории,D600)&lt;&gt;1,COUNTIF(Контрагенты,F600)&lt;&gt;1,COUNTIF(Проекты,G600)&lt;&gt;1,L600&lt;-0.01,AND(I600&lt;&gt;"Проведён",I600&lt;&gt;"Черновик")),"ОШИБКА","ОК"))</f>
        <v/>
      </c>
      <c r="Q600" s="4" t="str">
        <f t="shared" si="49"/>
        <v/>
      </c>
    </row>
    <row r="601" spans="1:17" x14ac:dyDescent="0.25">
      <c r="A601" s="22"/>
      <c r="B601" s="23"/>
      <c r="C601" s="22"/>
      <c r="D601" s="22"/>
      <c r="E601" s="22"/>
      <c r="F601" s="22"/>
      <c r="G601" s="22"/>
      <c r="H601" s="23"/>
      <c r="I601" s="22"/>
      <c r="J601" s="22"/>
      <c r="K601" s="4" t="str">
        <f>IF(A601="","",SUMIFS(Cash[Оплата],Cash[Документ],A601,Cash[Дата],"&lt;="&amp;ДатаОтчета))</f>
        <v/>
      </c>
      <c r="L601" s="4" t="str">
        <f t="shared" si="45"/>
        <v/>
      </c>
      <c r="M601" s="4" t="str">
        <f t="shared" si="46"/>
        <v/>
      </c>
      <c r="N601" s="4" t="str">
        <f t="shared" si="47"/>
        <v/>
      </c>
      <c r="O601" s="4" t="str">
        <f t="shared" si="48"/>
        <v/>
      </c>
      <c r="P601" s="4" t="str">
        <f>IF(A601="",IF(COUNTA(B601:J601)&gt;0,"НЕТ ID",""),IF(OR(NOT(ISNUMBER(E601)),AND(Форма="ИП",C601="Дивиденды"),COUNTIF(Docs[ID],A601)&lt;&gt;1,NOT(ISNUMBER(B601)),B601&lt;НачалоУчета,YEAR(B601)&lt;&gt;Год,NOT(ISNUMBER(H601)),H601&lt;B601,E601&lt;0,COUNTIF(Виды,C601)&lt;&gt;1,COUNTIF(Категории,D601)&lt;&gt;1,COUNTIF(Контрагенты,F601)&lt;&gt;1,COUNTIF(Проекты,G601)&lt;&gt;1,L601&lt;-0.01,AND(I601&lt;&gt;"Проведён",I601&lt;&gt;"Черновик")),"ОШИБКА","ОК"))</f>
        <v/>
      </c>
      <c r="Q601" s="4" t="str">
        <f t="shared" si="49"/>
        <v/>
      </c>
    </row>
    <row r="602" spans="1:17" x14ac:dyDescent="0.25">
      <c r="A602" s="22"/>
      <c r="B602" s="23"/>
      <c r="C602" s="22"/>
      <c r="D602" s="22"/>
      <c r="E602" s="22"/>
      <c r="F602" s="22"/>
      <c r="G602" s="22"/>
      <c r="H602" s="23"/>
      <c r="I602" s="22"/>
      <c r="J602" s="22"/>
      <c r="K602" s="4" t="str">
        <f>IF(A602="","",SUMIFS(Cash[Оплата],Cash[Документ],A602,Cash[Дата],"&lt;="&amp;ДатаОтчета))</f>
        <v/>
      </c>
      <c r="L602" s="4" t="str">
        <f t="shared" si="45"/>
        <v/>
      </c>
      <c r="M602" s="4" t="str">
        <f t="shared" si="46"/>
        <v/>
      </c>
      <c r="N602" s="4" t="str">
        <f t="shared" si="47"/>
        <v/>
      </c>
      <c r="O602" s="4" t="str">
        <f t="shared" si="48"/>
        <v/>
      </c>
      <c r="P602" s="4" t="str">
        <f>IF(A602="",IF(COUNTA(B602:J602)&gt;0,"НЕТ ID",""),IF(OR(NOT(ISNUMBER(E602)),AND(Форма="ИП",C602="Дивиденды"),COUNTIF(Docs[ID],A602)&lt;&gt;1,NOT(ISNUMBER(B602)),B602&lt;НачалоУчета,YEAR(B602)&lt;&gt;Год,NOT(ISNUMBER(H602)),H602&lt;B602,E602&lt;0,COUNTIF(Виды,C602)&lt;&gt;1,COUNTIF(Категории,D602)&lt;&gt;1,COUNTIF(Контрагенты,F602)&lt;&gt;1,COUNTIF(Проекты,G602)&lt;&gt;1,L602&lt;-0.01,AND(I602&lt;&gt;"Проведён",I602&lt;&gt;"Черновик")),"ОШИБКА","ОК"))</f>
        <v/>
      </c>
      <c r="Q602" s="4" t="str">
        <f t="shared" si="49"/>
        <v/>
      </c>
    </row>
    <row r="603" spans="1:17" x14ac:dyDescent="0.25">
      <c r="A603" s="22"/>
      <c r="B603" s="23"/>
      <c r="C603" s="22"/>
      <c r="D603" s="22"/>
      <c r="E603" s="22"/>
      <c r="F603" s="22"/>
      <c r="G603" s="22"/>
      <c r="H603" s="23"/>
      <c r="I603" s="22"/>
      <c r="J603" s="22"/>
      <c r="K603" s="4" t="str">
        <f>IF(A603="","",SUMIFS(Cash[Оплата],Cash[Документ],A603,Cash[Дата],"&lt;="&amp;ДатаОтчета))</f>
        <v/>
      </c>
      <c r="L603" s="4" t="str">
        <f t="shared" si="45"/>
        <v/>
      </c>
      <c r="M603" s="4" t="str">
        <f t="shared" si="46"/>
        <v/>
      </c>
      <c r="N603" s="4" t="str">
        <f t="shared" si="47"/>
        <v/>
      </c>
      <c r="O603" s="4" t="str">
        <f t="shared" si="48"/>
        <v/>
      </c>
      <c r="P603" s="4" t="str">
        <f>IF(A603="",IF(COUNTA(B603:J603)&gt;0,"НЕТ ID",""),IF(OR(NOT(ISNUMBER(E603)),AND(Форма="ИП",C603="Дивиденды"),COUNTIF(Docs[ID],A603)&lt;&gt;1,NOT(ISNUMBER(B603)),B603&lt;НачалоУчета,YEAR(B603)&lt;&gt;Год,NOT(ISNUMBER(H603)),H603&lt;B603,E603&lt;0,COUNTIF(Виды,C603)&lt;&gt;1,COUNTIF(Категории,D603)&lt;&gt;1,COUNTIF(Контрагенты,F603)&lt;&gt;1,COUNTIF(Проекты,G603)&lt;&gt;1,L603&lt;-0.01,AND(I603&lt;&gt;"Проведён",I603&lt;&gt;"Черновик")),"ОШИБКА","ОК"))</f>
        <v/>
      </c>
      <c r="Q603" s="4" t="str">
        <f t="shared" si="49"/>
        <v/>
      </c>
    </row>
    <row r="604" spans="1:17" x14ac:dyDescent="0.25">
      <c r="A604" s="22"/>
      <c r="B604" s="23"/>
      <c r="C604" s="22"/>
      <c r="D604" s="22"/>
      <c r="E604" s="22"/>
      <c r="F604" s="22"/>
      <c r="G604" s="22"/>
      <c r="H604" s="23"/>
      <c r="I604" s="22"/>
      <c r="J604" s="22"/>
      <c r="K604" s="4" t="str">
        <f>IF(A604="","",SUMIFS(Cash[Оплата],Cash[Документ],A604,Cash[Дата],"&lt;="&amp;ДатаОтчета))</f>
        <v/>
      </c>
      <c r="L604" s="4" t="str">
        <f t="shared" si="45"/>
        <v/>
      </c>
      <c r="M604" s="4" t="str">
        <f t="shared" si="46"/>
        <v/>
      </c>
      <c r="N604" s="4" t="str">
        <f t="shared" si="47"/>
        <v/>
      </c>
      <c r="O604" s="4" t="str">
        <f t="shared" si="48"/>
        <v/>
      </c>
      <c r="P604" s="4" t="str">
        <f>IF(A604="",IF(COUNTA(B604:J604)&gt;0,"НЕТ ID",""),IF(OR(NOT(ISNUMBER(E604)),AND(Форма="ИП",C604="Дивиденды"),COUNTIF(Docs[ID],A604)&lt;&gt;1,NOT(ISNUMBER(B604)),B604&lt;НачалоУчета,YEAR(B604)&lt;&gt;Год,NOT(ISNUMBER(H604)),H604&lt;B604,E604&lt;0,COUNTIF(Виды,C604)&lt;&gt;1,COUNTIF(Категории,D604)&lt;&gt;1,COUNTIF(Контрагенты,F604)&lt;&gt;1,COUNTIF(Проекты,G604)&lt;&gt;1,L604&lt;-0.01,AND(I604&lt;&gt;"Проведён",I604&lt;&gt;"Черновик")),"ОШИБКА","ОК"))</f>
        <v/>
      </c>
      <c r="Q604" s="4" t="str">
        <f t="shared" si="49"/>
        <v/>
      </c>
    </row>
    <row r="605" spans="1:17" x14ac:dyDescent="0.25">
      <c r="A605" s="22"/>
      <c r="B605" s="23"/>
      <c r="C605" s="22"/>
      <c r="D605" s="22"/>
      <c r="E605" s="22"/>
      <c r="F605" s="22"/>
      <c r="G605" s="22"/>
      <c r="H605" s="23"/>
      <c r="I605" s="22"/>
      <c r="J605" s="22"/>
      <c r="K605" s="4" t="str">
        <f>IF(A605="","",SUMIFS(Cash[Оплата],Cash[Документ],A605,Cash[Дата],"&lt;="&amp;ДатаОтчета))</f>
        <v/>
      </c>
      <c r="L605" s="4" t="str">
        <f t="shared" si="45"/>
        <v/>
      </c>
      <c r="M605" s="4" t="str">
        <f t="shared" si="46"/>
        <v/>
      </c>
      <c r="N605" s="4" t="str">
        <f t="shared" si="47"/>
        <v/>
      </c>
      <c r="O605" s="4" t="str">
        <f t="shared" si="48"/>
        <v/>
      </c>
      <c r="P605" s="4" t="str">
        <f>IF(A605="",IF(COUNTA(B605:J605)&gt;0,"НЕТ ID",""),IF(OR(NOT(ISNUMBER(E605)),AND(Форма="ИП",C605="Дивиденды"),COUNTIF(Docs[ID],A605)&lt;&gt;1,NOT(ISNUMBER(B605)),B605&lt;НачалоУчета,YEAR(B605)&lt;&gt;Год,NOT(ISNUMBER(H605)),H605&lt;B605,E605&lt;0,COUNTIF(Виды,C605)&lt;&gt;1,COUNTIF(Категории,D605)&lt;&gt;1,COUNTIF(Контрагенты,F605)&lt;&gt;1,COUNTIF(Проекты,G605)&lt;&gt;1,L605&lt;-0.01,AND(I605&lt;&gt;"Проведён",I605&lt;&gt;"Черновик")),"ОШИБКА","ОК"))</f>
        <v/>
      </c>
      <c r="Q605" s="4" t="str">
        <f t="shared" si="49"/>
        <v/>
      </c>
    </row>
    <row r="606" spans="1:17" x14ac:dyDescent="0.25">
      <c r="A606" s="22"/>
      <c r="B606" s="23"/>
      <c r="C606" s="22"/>
      <c r="D606" s="22"/>
      <c r="E606" s="22"/>
      <c r="F606" s="22"/>
      <c r="G606" s="22"/>
      <c r="H606" s="23"/>
      <c r="I606" s="22"/>
      <c r="J606" s="22"/>
      <c r="K606" s="4" t="str">
        <f>IF(A606="","",SUMIFS(Cash[Оплата],Cash[Документ],A606,Cash[Дата],"&lt;="&amp;ДатаОтчета))</f>
        <v/>
      </c>
      <c r="L606" s="4" t="str">
        <f t="shared" si="45"/>
        <v/>
      </c>
      <c r="M606" s="4" t="str">
        <f t="shared" si="46"/>
        <v/>
      </c>
      <c r="N606" s="4" t="str">
        <f t="shared" si="47"/>
        <v/>
      </c>
      <c r="O606" s="4" t="str">
        <f t="shared" si="48"/>
        <v/>
      </c>
      <c r="P606" s="4" t="str">
        <f>IF(A606="",IF(COUNTA(B606:J606)&gt;0,"НЕТ ID",""),IF(OR(NOT(ISNUMBER(E606)),AND(Форма="ИП",C606="Дивиденды"),COUNTIF(Docs[ID],A606)&lt;&gt;1,NOT(ISNUMBER(B606)),B606&lt;НачалоУчета,YEAR(B606)&lt;&gt;Год,NOT(ISNUMBER(H606)),H606&lt;B606,E606&lt;0,COUNTIF(Виды,C606)&lt;&gt;1,COUNTIF(Категории,D606)&lt;&gt;1,COUNTIF(Контрагенты,F606)&lt;&gt;1,COUNTIF(Проекты,G606)&lt;&gt;1,L606&lt;-0.01,AND(I606&lt;&gt;"Проведён",I606&lt;&gt;"Черновик")),"ОШИБКА","ОК"))</f>
        <v/>
      </c>
      <c r="Q606" s="4" t="str">
        <f t="shared" si="49"/>
        <v/>
      </c>
    </row>
  </sheetData>
  <conditionalFormatting sqref="A7:P606">
    <cfRule type="expression" dxfId="2" priority="1">
      <formula>OR($P7="ОШИБКА",$O7="Просрочено")</formula>
    </cfRule>
  </conditionalFormatting>
  <dataValidations count="5">
    <dataValidation type="list" allowBlank="1" showErrorMessage="1" errorTitle="Проверьте ввод" error="Выберите значение из списка или исправьте число." sqref="C7:C606" xr:uid="{00000000-0002-0000-1100-000000000000}">
      <formula1>Виды</formula1>
    </dataValidation>
    <dataValidation type="list" allowBlank="1" showErrorMessage="1" errorTitle="Проверьте ввод" error="Выберите значение из списка или исправьте число." sqref="D7:D606" xr:uid="{00000000-0002-0000-1100-000001000000}">
      <formula1>Категории</formula1>
    </dataValidation>
    <dataValidation type="list" allowBlank="1" showErrorMessage="1" errorTitle="Проверьте ввод" error="Выберите значение из списка или исправьте число." sqref="F7:F606" xr:uid="{00000000-0002-0000-1100-000002000000}">
      <formula1>Контрагенты</formula1>
    </dataValidation>
    <dataValidation type="list" allowBlank="1" showErrorMessage="1" errorTitle="Проверьте ввод" error="Выберите значение из списка или исправьте число." sqref="G7:G606" xr:uid="{00000000-0002-0000-1100-000003000000}">
      <formula1>Проекты</formula1>
    </dataValidation>
    <dataValidation type="list" allowBlank="1" showErrorMessage="1" errorTitle="Проверьте ввод" error="Выберите значение из списка или исправьте число." sqref="I7:I606" xr:uid="{00000000-0002-0000-1100-000004000000}">
      <formula1>"Проведён,Черновик"</formula1>
    </dataValidation>
  </dataValidations>
  <hyperlinks>
    <hyperlink ref="A1" location="'ПАНЕЛЬ'!A1" display="Главная панель" xr:uid="{00000000-0004-0000-1100-000000000000}"/>
    <hyperlink ref="D1" location="'НАСТРОЙКИ'!A1" display="Настройки" xr:uid="{00000000-0004-0000-1100-000001000000}"/>
    <hyperlink ref="F1" location="'КОНТРОЛЬ'!A1" display="Контроль" xr:uid="{00000000-0004-0000-11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Right="0"/>
    <pageSetUpPr fitToPage="1"/>
  </sheetPr>
  <dimension ref="A1:F21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3" customWidth="1"/>
    <col min="2" max="5" width="17" customWidth="1"/>
    <col min="6" max="6" width="31.7109375" customWidth="1"/>
    <col min="7" max="14" width="17" customWidth="1"/>
  </cols>
  <sheetData>
    <row r="1" spans="1:6" x14ac:dyDescent="0.25">
      <c r="A1" s="1" t="s">
        <v>0</v>
      </c>
      <c r="D1" s="2" t="s">
        <v>1</v>
      </c>
      <c r="F1" s="2" t="s">
        <v>2</v>
      </c>
    </row>
    <row r="2" spans="1:6" ht="30" customHeight="1" x14ac:dyDescent="0.25">
      <c r="A2" s="9" t="s">
        <v>29</v>
      </c>
    </row>
    <row r="3" spans="1:6" x14ac:dyDescent="0.25">
      <c r="A3" s="10" t="s">
        <v>36</v>
      </c>
    </row>
    <row r="6" spans="1:6" ht="35.1" customHeight="1" x14ac:dyDescent="0.25">
      <c r="A6" s="7" t="s">
        <v>458</v>
      </c>
      <c r="B6" s="7" t="s">
        <v>960</v>
      </c>
      <c r="C6" s="7" t="s">
        <v>374</v>
      </c>
      <c r="D6" s="7" t="s">
        <v>961</v>
      </c>
      <c r="E6" s="7" t="s">
        <v>962</v>
      </c>
      <c r="F6" s="7" t="s">
        <v>461</v>
      </c>
    </row>
    <row r="7" spans="1:6" x14ac:dyDescent="0.25">
      <c r="A7" s="3" t="s">
        <v>474</v>
      </c>
      <c r="B7" s="12">
        <v>0</v>
      </c>
      <c r="C7" s="4">
        <f>IF(A7="","",SUMIFS(Cash[Поток],Cash[Счёт],A7,Cash[Поток],"&gt;0",Cash[Дата],"&lt;="&amp;ДатаОтчета)+SUMIFS(Cash[Сумма],Cash[Счёт получателя],A7,Cash[Тип],"Перевод",Cash[Статус],"Проведён",Cash[Дата],"&lt;="&amp;ДатаОтчета))</f>
        <v>7340960</v>
      </c>
      <c r="D7" s="4">
        <f>IF(A7="","",-SUMIFS(Cash[Поток],Cash[Счёт],A7,Cash[Поток],"&lt;0",Cash[Дата],"&lt;="&amp;ДатаОтчета))</f>
        <v>5845916.7600000007</v>
      </c>
      <c r="E7" s="4">
        <f t="shared" ref="E7:E16" si="0">IF(A7="","",B7+C7-D7)</f>
        <v>1495043.2399999993</v>
      </c>
      <c r="F7" s="3" t="s">
        <v>963</v>
      </c>
    </row>
    <row r="8" spans="1:6" x14ac:dyDescent="0.25">
      <c r="A8" s="3" t="s">
        <v>964</v>
      </c>
      <c r="B8" s="12">
        <v>0</v>
      </c>
      <c r="C8" s="4">
        <f>IF(A8="","",SUMIFS(Cash[Поток],Cash[Счёт],A8,Cash[Поток],"&gt;0",Cash[Дата],"&lt;="&amp;ДатаОтчета)+SUMIFS(Cash[Сумма],Cash[Счёт получателя],A8,Cash[Тип],"Перевод",Cash[Статус],"Проведён",Cash[Дата],"&lt;="&amp;ДатаОтчета))</f>
        <v>0</v>
      </c>
      <c r="D8" s="4">
        <f>IF(A8="","",-SUMIFS(Cash[Поток],Cash[Счёт],A8,Cash[Поток],"&lt;0",Cash[Дата],"&lt;="&amp;ДатаОтчета))</f>
        <v>0</v>
      </c>
      <c r="E8" s="4">
        <f t="shared" si="0"/>
        <v>0</v>
      </c>
      <c r="F8" s="3" t="s">
        <v>965</v>
      </c>
    </row>
    <row r="9" spans="1:6" x14ac:dyDescent="0.25">
      <c r="A9" s="3" t="s">
        <v>299</v>
      </c>
      <c r="B9" s="12">
        <v>0</v>
      </c>
      <c r="C9" s="4">
        <f>IF(A9="","",SUMIFS(Cash[Поток],Cash[Счёт],A9,Cash[Поток],"&gt;0",Cash[Дата],"&lt;="&amp;ДатаОтчета)+SUMIFS(Cash[Сумма],Cash[Счёт получателя],A9,Cash[Тип],"Перевод",Cash[Статус],"Проведён",Cash[Дата],"&lt;="&amp;ДатаОтчета))</f>
        <v>180000</v>
      </c>
      <c r="D9" s="4">
        <f>IF(A9="","",-SUMIFS(Cash[Поток],Cash[Счёт],A9,Cash[Поток],"&lt;0",Cash[Дата],"&lt;="&amp;ДатаОтчета))</f>
        <v>0</v>
      </c>
      <c r="E9" s="4">
        <f t="shared" si="0"/>
        <v>180000</v>
      </c>
      <c r="F9" s="3" t="s">
        <v>966</v>
      </c>
    </row>
    <row r="10" spans="1:6" x14ac:dyDescent="0.25">
      <c r="A10" s="22"/>
      <c r="B10" s="22"/>
      <c r="C10" s="4" t="str">
        <f>IF(A10="","",SUMIFS(Cash[Поток],Cash[Счёт],A10,Cash[Поток],"&gt;0",Cash[Дата],"&lt;="&amp;ДатаОтчета)+SUMIFS(Cash[Сумма],Cash[Счёт получателя],A10,Cash[Тип],"Перевод",Cash[Статус],"Проведён",Cash[Дата],"&lt;="&amp;ДатаОтчета))</f>
        <v/>
      </c>
      <c r="D10" s="4" t="str">
        <f>IF(A10="","",-SUMIFS(Cash[Поток],Cash[Счёт],A10,Cash[Поток],"&lt;0",Cash[Дата],"&lt;="&amp;ДатаОтчета))</f>
        <v/>
      </c>
      <c r="E10" s="4" t="str">
        <f t="shared" si="0"/>
        <v/>
      </c>
      <c r="F10" s="22"/>
    </row>
    <row r="11" spans="1:6" x14ac:dyDescent="0.25">
      <c r="A11" s="22"/>
      <c r="B11" s="22"/>
      <c r="C11" s="4" t="str">
        <f>IF(A11="","",SUMIFS(Cash[Поток],Cash[Счёт],A11,Cash[Поток],"&gt;0",Cash[Дата],"&lt;="&amp;ДатаОтчета)+SUMIFS(Cash[Сумма],Cash[Счёт получателя],A11,Cash[Тип],"Перевод",Cash[Статус],"Проведён",Cash[Дата],"&lt;="&amp;ДатаОтчета))</f>
        <v/>
      </c>
      <c r="D11" s="4" t="str">
        <f>IF(A11="","",-SUMIFS(Cash[Поток],Cash[Счёт],A11,Cash[Поток],"&lt;0",Cash[Дата],"&lt;="&amp;ДатаОтчета))</f>
        <v/>
      </c>
      <c r="E11" s="4" t="str">
        <f t="shared" si="0"/>
        <v/>
      </c>
      <c r="F11" s="22"/>
    </row>
    <row r="12" spans="1:6" x14ac:dyDescent="0.25">
      <c r="A12" s="22"/>
      <c r="B12" s="22"/>
      <c r="C12" s="4" t="str">
        <f>IF(A12="","",SUMIFS(Cash[Поток],Cash[Счёт],A12,Cash[Поток],"&gt;0",Cash[Дата],"&lt;="&amp;ДатаОтчета)+SUMIFS(Cash[Сумма],Cash[Счёт получателя],A12,Cash[Тип],"Перевод",Cash[Статус],"Проведён",Cash[Дата],"&lt;="&amp;ДатаОтчета))</f>
        <v/>
      </c>
      <c r="D12" s="4" t="str">
        <f>IF(A12="","",-SUMIFS(Cash[Поток],Cash[Счёт],A12,Cash[Поток],"&lt;0",Cash[Дата],"&lt;="&amp;ДатаОтчета))</f>
        <v/>
      </c>
      <c r="E12" s="4" t="str">
        <f t="shared" si="0"/>
        <v/>
      </c>
      <c r="F12" s="22"/>
    </row>
    <row r="13" spans="1:6" x14ac:dyDescent="0.25">
      <c r="A13" s="22"/>
      <c r="B13" s="22"/>
      <c r="C13" s="4" t="str">
        <f>IF(A13="","",SUMIFS(Cash[Поток],Cash[Счёт],A13,Cash[Поток],"&gt;0",Cash[Дата],"&lt;="&amp;ДатаОтчета)+SUMIFS(Cash[Сумма],Cash[Счёт получателя],A13,Cash[Тип],"Перевод",Cash[Статус],"Проведён",Cash[Дата],"&lt;="&amp;ДатаОтчета))</f>
        <v/>
      </c>
      <c r="D13" s="4" t="str">
        <f>IF(A13="","",-SUMIFS(Cash[Поток],Cash[Счёт],A13,Cash[Поток],"&lt;0",Cash[Дата],"&lt;="&amp;ДатаОтчета))</f>
        <v/>
      </c>
      <c r="E13" s="4" t="str">
        <f t="shared" si="0"/>
        <v/>
      </c>
      <c r="F13" s="22"/>
    </row>
    <row r="14" spans="1:6" x14ac:dyDescent="0.25">
      <c r="A14" s="22"/>
      <c r="B14" s="22"/>
      <c r="C14" s="4" t="str">
        <f>IF(A14="","",SUMIFS(Cash[Поток],Cash[Счёт],A14,Cash[Поток],"&gt;0",Cash[Дата],"&lt;="&amp;ДатаОтчета)+SUMIFS(Cash[Сумма],Cash[Счёт получателя],A14,Cash[Тип],"Перевод",Cash[Статус],"Проведён",Cash[Дата],"&lt;="&amp;ДатаОтчета))</f>
        <v/>
      </c>
      <c r="D14" s="4" t="str">
        <f>IF(A14="","",-SUMIFS(Cash[Поток],Cash[Счёт],A14,Cash[Поток],"&lt;0",Cash[Дата],"&lt;="&amp;ДатаОтчета))</f>
        <v/>
      </c>
      <c r="E14" s="4" t="str">
        <f t="shared" si="0"/>
        <v/>
      </c>
      <c r="F14" s="22"/>
    </row>
    <row r="15" spans="1:6" x14ac:dyDescent="0.25">
      <c r="A15" s="22"/>
      <c r="B15" s="22"/>
      <c r="C15" s="4" t="str">
        <f>IF(A15="","",SUMIFS(Cash[Поток],Cash[Счёт],A15,Cash[Поток],"&gt;0",Cash[Дата],"&lt;="&amp;ДатаОтчета)+SUMIFS(Cash[Сумма],Cash[Счёт получателя],A15,Cash[Тип],"Перевод",Cash[Статус],"Проведён",Cash[Дата],"&lt;="&amp;ДатаОтчета))</f>
        <v/>
      </c>
      <c r="D15" s="4" t="str">
        <f>IF(A15="","",-SUMIFS(Cash[Поток],Cash[Счёт],A15,Cash[Поток],"&lt;0",Cash[Дата],"&lt;="&amp;ДатаОтчета))</f>
        <v/>
      </c>
      <c r="E15" s="4" t="str">
        <f t="shared" si="0"/>
        <v/>
      </c>
      <c r="F15" s="22"/>
    </row>
    <row r="16" spans="1:6" x14ac:dyDescent="0.25">
      <c r="A16" s="22"/>
      <c r="B16" s="22"/>
      <c r="C16" s="4" t="str">
        <f>IF(A16="","",SUMIFS(Cash[Поток],Cash[Счёт],A16,Cash[Поток],"&gt;0",Cash[Дата],"&lt;="&amp;ДатаОтчета)+SUMIFS(Cash[Сумма],Cash[Счёт получателя],A16,Cash[Тип],"Перевод",Cash[Статус],"Проведён",Cash[Дата],"&lt;="&amp;ДатаОтчета))</f>
        <v/>
      </c>
      <c r="D16" s="4" t="str">
        <f>IF(A16="","",-SUMIFS(Cash[Поток],Cash[Счёт],A16,Cash[Поток],"&lt;0",Cash[Дата],"&lt;="&amp;ДатаОтчета))</f>
        <v/>
      </c>
      <c r="E16" s="4" t="str">
        <f t="shared" si="0"/>
        <v/>
      </c>
      <c r="F16" s="22"/>
    </row>
    <row r="19" spans="1:2" x14ac:dyDescent="0.25">
      <c r="A19" s="3" t="s">
        <v>7</v>
      </c>
      <c r="B19" s="4">
        <f>SUM(Accounts[Конечный])</f>
        <v>1675043.2399999993</v>
      </c>
    </row>
    <row r="21" spans="1:2" x14ac:dyDescent="0.25">
      <c r="A21" s="3" t="s">
        <v>967</v>
      </c>
      <c r="B21" s="4">
        <f>SUMIF(Accounts[Счёт],"Резерв",Accounts[Конечный])</f>
        <v>180000</v>
      </c>
    </row>
  </sheetData>
  <conditionalFormatting sqref="E7:E16">
    <cfRule type="cellIs" dxfId="1" priority="1" operator="lessThan">
      <formula>0</formula>
    </cfRule>
  </conditionalFormatting>
  <hyperlinks>
    <hyperlink ref="A1" location="'ПАНЕЛЬ'!A1" display="Главная панель" xr:uid="{00000000-0004-0000-1200-000000000000}"/>
    <hyperlink ref="D1" location="'НАСТРОЙКИ'!A1" display="Настройки" xr:uid="{00000000-0004-0000-1200-000001000000}"/>
    <hyperlink ref="F1" location="'КОНТРОЛЬ'!A1" display="Контроль" xr:uid="{00000000-0004-0000-12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Right="0"/>
    <pageSetUpPr fitToPage="1"/>
  </sheetPr>
  <dimension ref="A1:L66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7" customWidth="1"/>
    <col min="2" max="5" width="17" customWidth="1"/>
    <col min="6" max="7" width="27" customWidth="1"/>
    <col min="8" max="8" width="17" customWidth="1"/>
    <col min="9" max="9" width="27" customWidth="1"/>
    <col min="10" max="14" width="17" customWidth="1"/>
  </cols>
  <sheetData>
    <row r="1" spans="1:12" x14ac:dyDescent="0.25">
      <c r="A1" s="1" t="s">
        <v>0</v>
      </c>
      <c r="D1" s="2" t="s">
        <v>1</v>
      </c>
      <c r="F1" s="2" t="s">
        <v>2</v>
      </c>
    </row>
    <row r="2" spans="1:12" ht="30" customHeight="1" x14ac:dyDescent="0.25">
      <c r="A2" s="9" t="s">
        <v>30</v>
      </c>
    </row>
    <row r="3" spans="1:12" x14ac:dyDescent="0.25">
      <c r="A3" s="10" t="s">
        <v>36</v>
      </c>
    </row>
    <row r="6" spans="1:12" ht="35.1" customHeight="1" x14ac:dyDescent="0.25">
      <c r="A6" s="7" t="s">
        <v>968</v>
      </c>
      <c r="B6" s="7" t="s">
        <v>969</v>
      </c>
      <c r="C6" s="7" t="s">
        <v>970</v>
      </c>
      <c r="D6" s="7" t="s">
        <v>971</v>
      </c>
      <c r="E6" s="7" t="s">
        <v>468</v>
      </c>
      <c r="F6" s="7" t="s">
        <v>457</v>
      </c>
      <c r="G6" s="7" t="s">
        <v>372</v>
      </c>
      <c r="H6" s="7" t="s">
        <v>469</v>
      </c>
      <c r="I6" s="7" t="s">
        <v>438</v>
      </c>
      <c r="J6" s="7" t="s">
        <v>972</v>
      </c>
      <c r="K6" s="7" t="s">
        <v>973</v>
      </c>
      <c r="L6" s="7" t="s">
        <v>974</v>
      </c>
    </row>
    <row r="7" spans="1:12" x14ac:dyDescent="0.25">
      <c r="A7" s="3" t="s">
        <v>484</v>
      </c>
      <c r="B7" s="12">
        <v>1</v>
      </c>
      <c r="C7" s="3" t="s">
        <v>975</v>
      </c>
      <c r="D7" s="12">
        <v>1</v>
      </c>
      <c r="E7" s="12">
        <v>1</v>
      </c>
      <c r="F7" s="3" t="s">
        <v>485</v>
      </c>
      <c r="G7" s="3" t="s">
        <v>486</v>
      </c>
      <c r="H7" s="3" t="s">
        <v>976</v>
      </c>
      <c r="I7" s="3" t="s">
        <v>381</v>
      </c>
      <c r="J7" s="3" t="s">
        <v>5</v>
      </c>
      <c r="K7" s="3" t="s">
        <v>44</v>
      </c>
      <c r="L7" s="3" t="s">
        <v>44</v>
      </c>
    </row>
    <row r="8" spans="1:12" x14ac:dyDescent="0.25">
      <c r="A8" s="3" t="s">
        <v>616</v>
      </c>
      <c r="B8" s="12">
        <v>-1</v>
      </c>
      <c r="C8" s="3" t="s">
        <v>975</v>
      </c>
      <c r="D8" s="12">
        <v>-1</v>
      </c>
      <c r="E8" s="12">
        <v>-1</v>
      </c>
      <c r="F8" s="3" t="s">
        <v>505</v>
      </c>
      <c r="G8" s="3" t="s">
        <v>489</v>
      </c>
      <c r="H8" s="3" t="s">
        <v>976</v>
      </c>
      <c r="I8" s="3" t="s">
        <v>298</v>
      </c>
      <c r="J8" s="3" t="s">
        <v>125</v>
      </c>
      <c r="K8" s="3" t="s">
        <v>198</v>
      </c>
      <c r="L8" s="3" t="s">
        <v>198</v>
      </c>
    </row>
    <row r="9" spans="1:12" x14ac:dyDescent="0.25">
      <c r="A9" s="3" t="s">
        <v>504</v>
      </c>
      <c r="B9" s="12">
        <v>-1</v>
      </c>
      <c r="C9" s="3" t="s">
        <v>975</v>
      </c>
      <c r="D9" s="12">
        <v>1</v>
      </c>
      <c r="E9" s="12">
        <v>0</v>
      </c>
      <c r="F9" s="3" t="s">
        <v>509</v>
      </c>
      <c r="G9" s="3" t="s">
        <v>492</v>
      </c>
      <c r="H9" s="3" t="s">
        <v>41</v>
      </c>
      <c r="I9" s="3" t="s">
        <v>382</v>
      </c>
      <c r="J9" s="3" t="s">
        <v>959</v>
      </c>
      <c r="K9" s="3" t="s">
        <v>977</v>
      </c>
      <c r="L9" s="3" t="s">
        <v>978</v>
      </c>
    </row>
    <row r="10" spans="1:12" x14ac:dyDescent="0.25">
      <c r="A10" s="3" t="s">
        <v>979</v>
      </c>
      <c r="B10" s="12">
        <v>1</v>
      </c>
      <c r="C10" s="3" t="s">
        <v>975</v>
      </c>
      <c r="D10" s="12">
        <v>-1</v>
      </c>
      <c r="E10" s="12">
        <v>0</v>
      </c>
      <c r="F10" s="3" t="s">
        <v>295</v>
      </c>
      <c r="G10" s="3" t="s">
        <v>495</v>
      </c>
      <c r="H10" s="3" t="s">
        <v>976</v>
      </c>
      <c r="I10" s="3" t="s">
        <v>383</v>
      </c>
      <c r="J10" s="3" t="s">
        <v>130</v>
      </c>
      <c r="K10" s="3" t="s">
        <v>978</v>
      </c>
    </row>
    <row r="11" spans="1:12" x14ac:dyDescent="0.25">
      <c r="A11" s="3" t="s">
        <v>539</v>
      </c>
      <c r="B11" s="12">
        <v>-1</v>
      </c>
      <c r="C11" s="3" t="s">
        <v>980</v>
      </c>
      <c r="D11" s="12">
        <v>0</v>
      </c>
      <c r="E11" s="12">
        <v>0</v>
      </c>
      <c r="F11" s="3" t="s">
        <v>518</v>
      </c>
      <c r="G11" s="3" t="s">
        <v>498</v>
      </c>
      <c r="H11" s="3" t="s">
        <v>981</v>
      </c>
      <c r="I11" s="22"/>
      <c r="J11" s="3" t="s">
        <v>982</v>
      </c>
    </row>
    <row r="12" spans="1:12" x14ac:dyDescent="0.25">
      <c r="A12" s="3" t="s">
        <v>472</v>
      </c>
      <c r="B12" s="12">
        <v>1</v>
      </c>
      <c r="C12" s="3" t="s">
        <v>983</v>
      </c>
      <c r="D12" s="12">
        <v>0</v>
      </c>
      <c r="E12" s="12">
        <v>0</v>
      </c>
      <c r="F12" s="3" t="s">
        <v>523</v>
      </c>
      <c r="G12" s="3" t="s">
        <v>501</v>
      </c>
      <c r="H12" s="3" t="s">
        <v>976</v>
      </c>
      <c r="I12" s="22"/>
      <c r="J12" s="3" t="s">
        <v>103</v>
      </c>
    </row>
    <row r="13" spans="1:12" x14ac:dyDescent="0.25">
      <c r="A13" s="3" t="s">
        <v>613</v>
      </c>
      <c r="B13" s="12">
        <v>-1</v>
      </c>
      <c r="C13" s="3" t="s">
        <v>983</v>
      </c>
      <c r="D13" s="12">
        <v>0</v>
      </c>
      <c r="E13" s="12">
        <v>0</v>
      </c>
      <c r="F13" s="3" t="s">
        <v>527</v>
      </c>
      <c r="G13" s="3" t="s">
        <v>506</v>
      </c>
      <c r="H13" s="3" t="s">
        <v>41</v>
      </c>
      <c r="I13" s="22"/>
      <c r="J13" s="3" t="s">
        <v>105</v>
      </c>
    </row>
    <row r="14" spans="1:12" x14ac:dyDescent="0.25">
      <c r="A14" s="3" t="s">
        <v>478</v>
      </c>
      <c r="B14" s="12">
        <v>1</v>
      </c>
      <c r="C14" s="3" t="s">
        <v>983</v>
      </c>
      <c r="D14" s="12">
        <v>0</v>
      </c>
      <c r="E14" s="12">
        <v>0</v>
      </c>
      <c r="F14" s="3" t="s">
        <v>532</v>
      </c>
      <c r="G14" s="3" t="s">
        <v>510</v>
      </c>
      <c r="H14" s="3" t="s">
        <v>976</v>
      </c>
      <c r="I14" s="22"/>
      <c r="J14" s="22"/>
    </row>
    <row r="15" spans="1:12" x14ac:dyDescent="0.25">
      <c r="A15" s="3" t="s">
        <v>537</v>
      </c>
      <c r="B15" s="12">
        <v>-1</v>
      </c>
      <c r="C15" s="3" t="s">
        <v>983</v>
      </c>
      <c r="D15" s="12">
        <v>0</v>
      </c>
      <c r="E15" s="12">
        <v>0</v>
      </c>
      <c r="F15" s="3" t="s">
        <v>130</v>
      </c>
      <c r="G15" s="3" t="s">
        <v>514</v>
      </c>
      <c r="H15" s="3" t="s">
        <v>976</v>
      </c>
      <c r="I15" s="22"/>
      <c r="J15" s="22"/>
    </row>
    <row r="16" spans="1:12" x14ac:dyDescent="0.25">
      <c r="A16" s="3" t="s">
        <v>130</v>
      </c>
      <c r="B16" s="12">
        <v>-1</v>
      </c>
      <c r="C16" s="3" t="s">
        <v>975</v>
      </c>
      <c r="D16" s="12">
        <v>1</v>
      </c>
      <c r="E16" s="12">
        <v>0</v>
      </c>
      <c r="F16" s="3" t="s">
        <v>641</v>
      </c>
      <c r="G16" s="3" t="s">
        <v>519</v>
      </c>
      <c r="H16" s="3" t="s">
        <v>976</v>
      </c>
      <c r="I16" s="22"/>
      <c r="J16" s="22"/>
    </row>
    <row r="17" spans="1:10" x14ac:dyDescent="0.25">
      <c r="A17" s="3" t="s">
        <v>640</v>
      </c>
      <c r="B17" s="12">
        <v>-1</v>
      </c>
      <c r="C17" s="3" t="s">
        <v>975</v>
      </c>
      <c r="D17" s="12">
        <v>0</v>
      </c>
      <c r="E17" s="12">
        <v>0</v>
      </c>
      <c r="F17" s="3" t="s">
        <v>977</v>
      </c>
      <c r="G17" s="3" t="s">
        <v>52</v>
      </c>
      <c r="H17" s="3" t="s">
        <v>981</v>
      </c>
      <c r="I17" s="22"/>
      <c r="J17" s="22"/>
    </row>
    <row r="18" spans="1:10" x14ac:dyDescent="0.25">
      <c r="A18" s="3" t="s">
        <v>481</v>
      </c>
      <c r="B18" s="12">
        <v>-1</v>
      </c>
      <c r="C18" s="3" t="s">
        <v>984</v>
      </c>
      <c r="D18" s="12">
        <v>0</v>
      </c>
      <c r="E18" s="12">
        <v>0</v>
      </c>
      <c r="F18" s="3" t="s">
        <v>985</v>
      </c>
      <c r="G18" s="3" t="s">
        <v>528</v>
      </c>
      <c r="H18" s="3" t="s">
        <v>976</v>
      </c>
      <c r="I18" s="22"/>
      <c r="J18" s="22"/>
    </row>
    <row r="19" spans="1:10" x14ac:dyDescent="0.25">
      <c r="A19" s="3" t="s">
        <v>982</v>
      </c>
      <c r="B19" s="12">
        <v>-1</v>
      </c>
      <c r="C19" s="3" t="s">
        <v>983</v>
      </c>
      <c r="D19" s="12">
        <v>1</v>
      </c>
      <c r="E19" s="12">
        <v>0</v>
      </c>
      <c r="F19" s="3" t="s">
        <v>211</v>
      </c>
      <c r="G19" s="3" t="s">
        <v>397</v>
      </c>
      <c r="H19" s="3" t="s">
        <v>976</v>
      </c>
      <c r="I19" s="22"/>
      <c r="J19" s="22"/>
    </row>
    <row r="20" spans="1:10" x14ac:dyDescent="0.25">
      <c r="A20" s="3" t="s">
        <v>211</v>
      </c>
      <c r="B20" s="12">
        <v>-1</v>
      </c>
      <c r="C20" s="3" t="s">
        <v>975</v>
      </c>
      <c r="D20" s="12">
        <v>0</v>
      </c>
      <c r="E20" s="12">
        <v>0</v>
      </c>
      <c r="F20" s="3" t="s">
        <v>296</v>
      </c>
      <c r="G20" s="3" t="s">
        <v>475</v>
      </c>
      <c r="H20" s="3" t="s">
        <v>981</v>
      </c>
      <c r="I20" s="22"/>
      <c r="J20" s="22"/>
    </row>
    <row r="21" spans="1:10" x14ac:dyDescent="0.25">
      <c r="A21" s="3" t="s">
        <v>986</v>
      </c>
      <c r="B21" s="12">
        <v>1</v>
      </c>
      <c r="C21" s="3" t="s">
        <v>983</v>
      </c>
      <c r="D21" s="12">
        <v>0</v>
      </c>
      <c r="E21" s="12">
        <v>0</v>
      </c>
      <c r="F21" s="3" t="s">
        <v>299</v>
      </c>
      <c r="G21" s="3" t="s">
        <v>482</v>
      </c>
      <c r="H21" s="3" t="s">
        <v>976</v>
      </c>
      <c r="I21" s="22"/>
      <c r="J21" s="22"/>
    </row>
    <row r="22" spans="1:10" x14ac:dyDescent="0.25">
      <c r="A22" s="3" t="s">
        <v>987</v>
      </c>
      <c r="B22" s="12">
        <v>-1</v>
      </c>
      <c r="C22" s="3" t="s">
        <v>983</v>
      </c>
      <c r="D22" s="12">
        <v>0</v>
      </c>
      <c r="E22" s="12">
        <v>0</v>
      </c>
      <c r="F22" s="3" t="s">
        <v>294</v>
      </c>
      <c r="G22" s="22"/>
      <c r="H22" s="22"/>
      <c r="I22" s="22"/>
      <c r="J22" s="22"/>
    </row>
    <row r="23" spans="1:10" x14ac:dyDescent="0.25">
      <c r="F23" s="3" t="s">
        <v>297</v>
      </c>
      <c r="G23" s="22"/>
      <c r="H23" s="22"/>
      <c r="I23" s="22"/>
      <c r="J23" s="22"/>
    </row>
    <row r="24" spans="1:10" x14ac:dyDescent="0.25">
      <c r="F24" s="3" t="s">
        <v>298</v>
      </c>
      <c r="G24" s="22"/>
      <c r="H24" s="22"/>
      <c r="I24" s="22"/>
      <c r="J24" s="22"/>
    </row>
    <row r="25" spans="1:10" x14ac:dyDescent="0.25">
      <c r="F25" s="3" t="s">
        <v>300</v>
      </c>
      <c r="G25" s="22"/>
      <c r="H25" s="22"/>
      <c r="I25" s="22"/>
      <c r="J25" s="22"/>
    </row>
    <row r="26" spans="1:10" x14ac:dyDescent="0.25">
      <c r="F26" s="3" t="s">
        <v>479</v>
      </c>
      <c r="G26" s="22"/>
      <c r="H26" s="22"/>
      <c r="I26" s="22"/>
      <c r="J26" s="22"/>
    </row>
    <row r="27" spans="1:10" x14ac:dyDescent="0.25">
      <c r="F27" s="3" t="s">
        <v>473</v>
      </c>
      <c r="G27" s="22"/>
      <c r="H27" s="22"/>
      <c r="I27" s="22"/>
      <c r="J27" s="22"/>
    </row>
    <row r="28" spans="1:10" x14ac:dyDescent="0.25">
      <c r="F28" s="3" t="s">
        <v>988</v>
      </c>
      <c r="G28" s="22"/>
      <c r="H28" s="22"/>
      <c r="I28" s="22"/>
      <c r="J28" s="22"/>
    </row>
    <row r="29" spans="1:10" x14ac:dyDescent="0.25">
      <c r="F29" s="22"/>
      <c r="G29" s="22"/>
      <c r="H29" s="22"/>
      <c r="I29" s="22"/>
      <c r="J29" s="22"/>
    </row>
    <row r="30" spans="1:10" x14ac:dyDescent="0.25">
      <c r="F30" s="22"/>
      <c r="G30" s="22"/>
      <c r="H30" s="22"/>
      <c r="I30" s="22"/>
      <c r="J30" s="22"/>
    </row>
    <row r="31" spans="1:10" x14ac:dyDescent="0.25">
      <c r="F31" s="22"/>
      <c r="G31" s="22"/>
      <c r="H31" s="22"/>
      <c r="I31" s="22"/>
      <c r="J31" s="22"/>
    </row>
    <row r="32" spans="1:10" x14ac:dyDescent="0.25">
      <c r="F32" s="22"/>
      <c r="G32" s="22"/>
      <c r="H32" s="22"/>
      <c r="I32" s="22"/>
      <c r="J32" s="22"/>
    </row>
    <row r="33" spans="6:10" x14ac:dyDescent="0.25">
      <c r="F33" s="22"/>
      <c r="G33" s="22"/>
      <c r="H33" s="22"/>
      <c r="I33" s="22"/>
      <c r="J33" s="22"/>
    </row>
    <row r="34" spans="6:10" x14ac:dyDescent="0.25">
      <c r="F34" s="22"/>
      <c r="G34" s="22"/>
      <c r="H34" s="22"/>
      <c r="I34" s="22"/>
      <c r="J34" s="22"/>
    </row>
    <row r="35" spans="6:10" x14ac:dyDescent="0.25">
      <c r="F35" s="22"/>
      <c r="G35" s="22"/>
      <c r="H35" s="22"/>
      <c r="I35" s="22"/>
      <c r="J35" s="22"/>
    </row>
    <row r="36" spans="6:10" x14ac:dyDescent="0.25">
      <c r="F36" s="22"/>
      <c r="G36" s="22"/>
      <c r="H36" s="22"/>
      <c r="I36" s="22"/>
      <c r="J36" s="22"/>
    </row>
    <row r="37" spans="6:10" x14ac:dyDescent="0.25">
      <c r="F37" s="22"/>
      <c r="G37" s="22"/>
      <c r="H37" s="22"/>
      <c r="I37" s="22"/>
      <c r="J37" s="22"/>
    </row>
    <row r="38" spans="6:10" x14ac:dyDescent="0.25">
      <c r="F38" s="22"/>
      <c r="G38" s="22"/>
      <c r="H38" s="22"/>
      <c r="I38" s="22"/>
      <c r="J38" s="22"/>
    </row>
    <row r="39" spans="6:10" x14ac:dyDescent="0.25">
      <c r="F39" s="22"/>
      <c r="G39" s="22"/>
      <c r="H39" s="22"/>
      <c r="I39" s="22"/>
      <c r="J39" s="22"/>
    </row>
    <row r="40" spans="6:10" x14ac:dyDescent="0.25">
      <c r="F40" s="22"/>
      <c r="G40" s="22"/>
      <c r="H40" s="22"/>
      <c r="I40" s="22"/>
      <c r="J40" s="22"/>
    </row>
    <row r="41" spans="6:10" x14ac:dyDescent="0.25">
      <c r="F41" s="22"/>
      <c r="G41" s="22"/>
      <c r="H41" s="22"/>
      <c r="I41" s="22"/>
      <c r="J41" s="22"/>
    </row>
    <row r="42" spans="6:10" x14ac:dyDescent="0.25">
      <c r="F42" s="22"/>
      <c r="G42" s="22"/>
      <c r="H42" s="22"/>
      <c r="I42" s="22"/>
      <c r="J42" s="22"/>
    </row>
    <row r="43" spans="6:10" x14ac:dyDescent="0.25">
      <c r="F43" s="22"/>
      <c r="G43" s="22"/>
      <c r="H43" s="22"/>
      <c r="I43" s="22"/>
      <c r="J43" s="22"/>
    </row>
    <row r="44" spans="6:10" x14ac:dyDescent="0.25">
      <c r="F44" s="22"/>
      <c r="G44" s="22"/>
      <c r="H44" s="22"/>
      <c r="I44" s="22"/>
      <c r="J44" s="22"/>
    </row>
    <row r="45" spans="6:10" x14ac:dyDescent="0.25">
      <c r="F45" s="22"/>
      <c r="G45" s="22"/>
      <c r="H45" s="22"/>
      <c r="I45" s="22"/>
      <c r="J45" s="22"/>
    </row>
    <row r="46" spans="6:10" x14ac:dyDescent="0.25">
      <c r="F46" s="22"/>
      <c r="G46" s="22"/>
      <c r="H46" s="22"/>
      <c r="I46" s="22"/>
      <c r="J46" s="22"/>
    </row>
    <row r="47" spans="6:10" x14ac:dyDescent="0.25">
      <c r="F47" s="22"/>
      <c r="G47" s="22"/>
      <c r="H47" s="22"/>
      <c r="I47" s="22"/>
      <c r="J47" s="22"/>
    </row>
    <row r="48" spans="6:10" x14ac:dyDescent="0.25">
      <c r="F48" s="22"/>
      <c r="G48" s="22"/>
      <c r="H48" s="22"/>
      <c r="I48" s="22"/>
      <c r="J48" s="22"/>
    </row>
    <row r="49" spans="6:10" x14ac:dyDescent="0.25">
      <c r="F49" s="22"/>
      <c r="G49" s="22"/>
      <c r="H49" s="22"/>
      <c r="I49" s="22"/>
      <c r="J49" s="22"/>
    </row>
    <row r="50" spans="6:10" x14ac:dyDescent="0.25">
      <c r="F50" s="22"/>
      <c r="G50" s="22"/>
      <c r="H50" s="22"/>
      <c r="I50" s="22"/>
      <c r="J50" s="22"/>
    </row>
    <row r="51" spans="6:10" x14ac:dyDescent="0.25">
      <c r="F51" s="22"/>
      <c r="G51" s="22"/>
      <c r="H51" s="22"/>
      <c r="I51" s="22"/>
      <c r="J51" s="22"/>
    </row>
    <row r="52" spans="6:10" x14ac:dyDescent="0.25">
      <c r="F52" s="22"/>
      <c r="G52" s="22"/>
      <c r="H52" s="22"/>
      <c r="I52" s="22"/>
      <c r="J52" s="22"/>
    </row>
    <row r="53" spans="6:10" x14ac:dyDescent="0.25">
      <c r="F53" s="22"/>
      <c r="G53" s="22"/>
      <c r="H53" s="22"/>
      <c r="I53" s="22"/>
      <c r="J53" s="22"/>
    </row>
    <row r="54" spans="6:10" x14ac:dyDescent="0.25">
      <c r="F54" s="22"/>
      <c r="G54" s="22"/>
      <c r="H54" s="22"/>
      <c r="I54" s="22"/>
      <c r="J54" s="22"/>
    </row>
    <row r="55" spans="6:10" x14ac:dyDescent="0.25">
      <c r="F55" s="22"/>
      <c r="G55" s="22"/>
      <c r="H55" s="22"/>
      <c r="I55" s="22"/>
      <c r="J55" s="22"/>
    </row>
    <row r="56" spans="6:10" x14ac:dyDescent="0.25">
      <c r="F56" s="22"/>
      <c r="G56" s="22"/>
      <c r="H56" s="22"/>
      <c r="I56" s="22"/>
      <c r="J56" s="22"/>
    </row>
    <row r="57" spans="6:10" x14ac:dyDescent="0.25">
      <c r="F57" s="22"/>
      <c r="G57" s="22"/>
      <c r="H57" s="22"/>
      <c r="I57" s="22"/>
      <c r="J57" s="22"/>
    </row>
    <row r="58" spans="6:10" x14ac:dyDescent="0.25">
      <c r="F58" s="22"/>
      <c r="G58" s="22"/>
      <c r="H58" s="22"/>
      <c r="I58" s="22"/>
      <c r="J58" s="22"/>
    </row>
    <row r="59" spans="6:10" x14ac:dyDescent="0.25">
      <c r="F59" s="22"/>
      <c r="G59" s="22"/>
      <c r="H59" s="22"/>
      <c r="I59" s="22"/>
      <c r="J59" s="22"/>
    </row>
    <row r="60" spans="6:10" x14ac:dyDescent="0.25">
      <c r="F60" s="22"/>
      <c r="G60" s="22"/>
      <c r="H60" s="22"/>
      <c r="I60" s="22"/>
      <c r="J60" s="22"/>
    </row>
    <row r="61" spans="6:10" x14ac:dyDescent="0.25">
      <c r="F61" s="22"/>
      <c r="G61" s="22"/>
      <c r="H61" s="22"/>
      <c r="I61" s="22"/>
      <c r="J61" s="22"/>
    </row>
    <row r="62" spans="6:10" x14ac:dyDescent="0.25">
      <c r="F62" s="22"/>
      <c r="G62" s="22"/>
      <c r="H62" s="22"/>
      <c r="I62" s="22"/>
      <c r="J62" s="22"/>
    </row>
    <row r="63" spans="6:10" x14ac:dyDescent="0.25">
      <c r="F63" s="22"/>
      <c r="G63" s="22"/>
      <c r="H63" s="22"/>
      <c r="I63" s="22"/>
      <c r="J63" s="22"/>
    </row>
    <row r="64" spans="6:10" x14ac:dyDescent="0.25">
      <c r="F64" s="22"/>
      <c r="G64" s="22"/>
      <c r="H64" s="22"/>
      <c r="I64" s="22"/>
      <c r="J64" s="22"/>
    </row>
    <row r="65" spans="6:10" x14ac:dyDescent="0.25">
      <c r="F65" s="22"/>
      <c r="G65" s="22"/>
      <c r="H65" s="22"/>
      <c r="I65" s="22"/>
      <c r="J65" s="22"/>
    </row>
    <row r="66" spans="6:10" x14ac:dyDescent="0.25">
      <c r="F66" s="22"/>
      <c r="G66" s="22"/>
      <c r="H66" s="22"/>
      <c r="I66" s="22"/>
      <c r="J66" s="22"/>
    </row>
  </sheetData>
  <hyperlinks>
    <hyperlink ref="A1" location="'ПАНЕЛЬ'!A1" display="Главная панель" xr:uid="{00000000-0004-0000-1300-000000000000}"/>
    <hyperlink ref="D1" location="'НАСТРОЙКИ'!A1" display="Настройки" xr:uid="{00000000-0004-0000-1300-000001000000}"/>
    <hyperlink ref="F1" location="'КОНТРОЛЬ'!A1" display="Контроль" xr:uid="{00000000-0004-0000-13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Right="0"/>
    <pageSetUpPr fitToPage="1"/>
  </sheetPr>
  <dimension ref="A1:F27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" customWidth="1"/>
    <col min="2" max="2" width="23" customWidth="1"/>
    <col min="3" max="3" width="65" customWidth="1"/>
    <col min="4" max="4" width="24" customWidth="1"/>
    <col min="5" max="14" width="17" customWidth="1"/>
  </cols>
  <sheetData>
    <row r="1" spans="1:6" x14ac:dyDescent="0.25">
      <c r="A1" s="1" t="s">
        <v>0</v>
      </c>
      <c r="D1" s="2" t="s">
        <v>1</v>
      </c>
      <c r="F1" s="2" t="s">
        <v>2</v>
      </c>
    </row>
    <row r="2" spans="1:6" ht="30" customHeight="1" x14ac:dyDescent="0.25">
      <c r="A2" s="9" t="s">
        <v>31</v>
      </c>
    </row>
    <row r="3" spans="1:6" x14ac:dyDescent="0.25">
      <c r="A3" s="10" t="s">
        <v>36</v>
      </c>
    </row>
    <row r="6" spans="1:6" ht="35.1" customHeight="1" x14ac:dyDescent="0.25">
      <c r="A6" s="7" t="s">
        <v>432</v>
      </c>
      <c r="B6" s="7" t="s">
        <v>989</v>
      </c>
      <c r="C6" s="7" t="s">
        <v>990</v>
      </c>
      <c r="D6" s="7" t="s">
        <v>277</v>
      </c>
    </row>
    <row r="7" spans="1:6" x14ac:dyDescent="0.25">
      <c r="A7" s="3" t="s">
        <v>991</v>
      </c>
      <c r="B7" s="25">
        <f>COUNTIF(Cash[Проверка],"ОШИБКА")+COUNTIF(Cash[Проверка],"НЕТ ID")</f>
        <v>0</v>
      </c>
      <c r="C7" s="3" t="s">
        <v>992</v>
      </c>
      <c r="D7" s="4" t="str">
        <f t="shared" ref="D7:D24" si="0">IF(ABS(B7)&lt;0.02,"ОК","ПРОВЕРИТЬ")</f>
        <v>ОК</v>
      </c>
    </row>
    <row r="8" spans="1:6" x14ac:dyDescent="0.25">
      <c r="A8" s="3" t="s">
        <v>993</v>
      </c>
      <c r="B8" s="25">
        <f>COUNTIF(Docs[Проверка],"ОШИБКА")+COUNTIF(Docs[Проверка],"НЕТ ID")</f>
        <v>0</v>
      </c>
      <c r="C8" s="3" t="s">
        <v>994</v>
      </c>
      <c r="D8" s="4" t="str">
        <f t="shared" si="0"/>
        <v>ОК</v>
      </c>
    </row>
    <row r="9" spans="1:6" x14ac:dyDescent="0.25">
      <c r="A9" s="3" t="s">
        <v>995</v>
      </c>
      <c r="B9" s="26">
        <f>ДДС!N14-СЧЕТА!B19</f>
        <v>0</v>
      </c>
      <c r="C9" s="3" t="s">
        <v>996</v>
      </c>
      <c r="D9" s="4" t="str">
        <f t="shared" si="0"/>
        <v>ОК</v>
      </c>
    </row>
    <row r="10" spans="1:6" x14ac:dyDescent="0.25">
      <c r="A10" s="3" t="s">
        <v>997</v>
      </c>
      <c r="B10" s="26">
        <f>БАЛАНС!B28</f>
        <v>0</v>
      </c>
      <c r="C10" s="3" t="s">
        <v>998</v>
      </c>
      <c r="D10" s="4" t="str">
        <f t="shared" si="0"/>
        <v>ОК</v>
      </c>
    </row>
    <row r="11" spans="1:6" x14ac:dyDescent="0.25">
      <c r="A11" s="3" t="s">
        <v>999</v>
      </c>
      <c r="B11" s="25">
        <f>SUM(Assets[Расхождение])</f>
        <v>0</v>
      </c>
      <c r="C11" s="3" t="s">
        <v>1000</v>
      </c>
      <c r="D11" s="4" t="str">
        <f t="shared" si="0"/>
        <v>ОК</v>
      </c>
    </row>
    <row r="12" spans="1:6" x14ac:dyDescent="0.25">
      <c r="A12" s="3" t="s">
        <v>1001</v>
      </c>
      <c r="B12" s="26">
        <f>КРЕДИТ!B9-КРЕДИТ!B14</f>
        <v>0</v>
      </c>
      <c r="C12" s="3" t="s">
        <v>1002</v>
      </c>
      <c r="D12" s="4" t="str">
        <f t="shared" si="0"/>
        <v>ОК</v>
      </c>
    </row>
    <row r="13" spans="1:6" x14ac:dyDescent="0.25">
      <c r="A13" s="3" t="s">
        <v>1003</v>
      </c>
      <c r="B13" s="26">
        <f>SUMPRODUCT(ABS(КРЕДИТ!J20:J31))</f>
        <v>3.637978807091713E-12</v>
      </c>
      <c r="C13" s="3" t="s">
        <v>1004</v>
      </c>
      <c r="D13" s="4" t="str">
        <f t="shared" si="0"/>
        <v>ОК</v>
      </c>
    </row>
    <row r="14" spans="1:6" x14ac:dyDescent="0.25">
      <c r="A14" s="3" t="s">
        <v>1005</v>
      </c>
      <c r="B14" s="25">
        <f>COUNTIFS(Docs[ID],"&lt;&gt;",Docs[Остаток],"&lt;"&amp;-0.01)</f>
        <v>0</v>
      </c>
      <c r="C14" s="3" t="s">
        <v>1006</v>
      </c>
      <c r="D14" s="4" t="str">
        <f t="shared" si="0"/>
        <v>ОК</v>
      </c>
    </row>
    <row r="15" spans="1:6" x14ac:dyDescent="0.25">
      <c r="A15" s="3" t="s">
        <v>1007</v>
      </c>
      <c r="B15" s="25">
        <f>COUNTIF(Accounts[Конечный],"&lt;0")</f>
        <v>0</v>
      </c>
      <c r="C15" s="3" t="s">
        <v>29</v>
      </c>
      <c r="D15" s="4" t="str">
        <f t="shared" si="0"/>
        <v>ОК</v>
      </c>
    </row>
    <row r="16" spans="1:6" x14ac:dyDescent="0.25">
      <c r="A16" s="3" t="s">
        <v>1008</v>
      </c>
      <c r="B16" s="25">
        <f>COUNTIF(Cash[Остаток счёта],"&lt;0")</f>
        <v>0</v>
      </c>
      <c r="C16" s="3" t="s">
        <v>1009</v>
      </c>
      <c r="D16" s="4" t="str">
        <f t="shared" si="0"/>
        <v>ОК</v>
      </c>
    </row>
    <row r="17" spans="1:4" x14ac:dyDescent="0.25">
      <c r="A17" s="3" t="s">
        <v>1010</v>
      </c>
      <c r="B17" s="26">
        <f>РЕИНВЕСТИЦИИ!B25-1</f>
        <v>0</v>
      </c>
      <c r="C17" s="3" t="s">
        <v>1011</v>
      </c>
      <c r="D17" s="4" t="str">
        <f t="shared" si="0"/>
        <v>ОК</v>
      </c>
    </row>
    <row r="18" spans="1:4" x14ac:dyDescent="0.25">
      <c r="A18" s="3" t="s">
        <v>1012</v>
      </c>
      <c r="B18" s="26">
        <f>IF(НАЛОГИ!B4="ПРЕДВАРИТЕЛЬНЫЙ РАСЧЁТ",0,1)</f>
        <v>0</v>
      </c>
      <c r="C18" s="3" t="s">
        <v>1013</v>
      </c>
      <c r="D18" s="4" t="str">
        <f t="shared" si="0"/>
        <v>ОК</v>
      </c>
    </row>
    <row r="19" spans="1:4" x14ac:dyDescent="0.25">
      <c r="A19" s="3" t="s">
        <v>1014</v>
      </c>
      <c r="B19" s="26">
        <f>АНАЛИТИКА!B87</f>
        <v>59040</v>
      </c>
      <c r="C19" s="3" t="s">
        <v>1015</v>
      </c>
      <c r="D19" s="4" t="str">
        <f t="shared" si="0"/>
        <v>ПРОВЕРИТЬ</v>
      </c>
    </row>
    <row r="20" spans="1:4" x14ac:dyDescent="0.25">
      <c r="A20" s="3" t="s">
        <v>1016</v>
      </c>
      <c r="B20" s="26">
        <f>АНАЛИТИКА!B88</f>
        <v>131200</v>
      </c>
      <c r="C20" s="3" t="s">
        <v>1015</v>
      </c>
      <c r="D20" s="4" t="str">
        <f t="shared" si="0"/>
        <v>ПРОВЕРИТЬ</v>
      </c>
    </row>
    <row r="21" spans="1:4" x14ac:dyDescent="0.25">
      <c r="A21" s="3" t="s">
        <v>1017</v>
      </c>
      <c r="B21" s="25">
        <f>COUNTIFS(Cash[ID],"&lt;&gt;",Cash[Дата],"&gt;"&amp;ДатаОтчета)+COUNTIFS(Docs[ID],"&lt;&gt;",Docs[Дата],"&gt;"&amp;ДатаОтчета)</f>
        <v>0</v>
      </c>
      <c r="C21" s="3" t="s">
        <v>1018</v>
      </c>
      <c r="D21" s="4" t="str">
        <f t="shared" si="0"/>
        <v>ОК</v>
      </c>
    </row>
    <row r="22" spans="1:4" x14ac:dyDescent="0.25">
      <c r="A22" s="3" t="s">
        <v>1019</v>
      </c>
      <c r="B22" s="25">
        <f>IF(AND(YEAR(ДатаОтчета)=Год,YEAR(НачалоУчета)=Год),0,1)</f>
        <v>0</v>
      </c>
      <c r="C22" s="3" t="s">
        <v>1020</v>
      </c>
      <c r="D22" s="4" t="str">
        <f t="shared" si="0"/>
        <v>ОК</v>
      </c>
    </row>
    <row r="23" spans="1:4" x14ac:dyDescent="0.25">
      <c r="A23" s="3" t="s">
        <v>1021</v>
      </c>
      <c r="B23" s="26">
        <f>SUM(ОПиУ!B11:M11)-АКТИВЫ!B60</f>
        <v>0</v>
      </c>
      <c r="C23" s="3" t="s">
        <v>1022</v>
      </c>
      <c r="D23" s="4" t="str">
        <f t="shared" si="0"/>
        <v>ОК</v>
      </c>
    </row>
    <row r="24" spans="1:4" x14ac:dyDescent="0.25">
      <c r="A24" s="3" t="s">
        <v>1023</v>
      </c>
      <c r="B24" s="25">
        <f>COUNTIFS(Cash[Налоговый доход],"&lt;&gt;0",Cash[Тип лица],"Не задан")</f>
        <v>0</v>
      </c>
      <c r="C24" s="3" t="s">
        <v>1024</v>
      </c>
      <c r="D24" s="4" t="str">
        <f t="shared" si="0"/>
        <v>ОК</v>
      </c>
    </row>
    <row r="25" spans="1:4" x14ac:dyDescent="0.25">
      <c r="A25" t="s">
        <v>1025</v>
      </c>
      <c r="B25">
        <f>COUNTIF(АКТИВЫ!W7:W56,"ОШИБКА")</f>
        <v>0</v>
      </c>
      <c r="C25" t="s">
        <v>1026</v>
      </c>
      <c r="D25" t="str">
        <f>IF(B25=0,"ОК","ПРОВЕРИТЬ")</f>
        <v>ОК</v>
      </c>
    </row>
    <row r="26" spans="1:4" x14ac:dyDescent="0.25">
      <c r="A26" s="3" t="s">
        <v>1027</v>
      </c>
      <c r="B26" s="5">
        <f>SUMPRODUCT(--ISERROR(ОПЕРАЦИИ!P7:W1006))+SUMPRODUCT(--ISERROR(НАЧИСЛЕНИЯ!K7:P606))+SUMPRODUCT(--ISERROR(ДДС!B7:N18))+SUMPRODUCT(--ISERROR(ОПиУ!B7:N18))+SUMPRODUCT(--ISERROR(БАЛАНС!B7:B29))+SUMPRODUCT(--ISERROR(НАЛОГИ!B7:N31))+SUMPRODUCT(--ISERROR(ПРОГНОЗ!B7:N24))+SUMPRODUCT(--ISERROR(РЕЗЕРВЫ!B7:B16))+SUMPRODUCT(--ISERROR(РЕИНВЕСТИЦИИ!B7:E26))+SUMPRODUCT(--ISERROR(ПОКАЗАТЕЛИ!B7:B20))+SUMPRODUCT(--ISERROR(КРЕДИТ!B20:J79))+SUMPRODUCT(--ISERROR(АКТИВЫ!G7:V56))</f>
        <v>0</v>
      </c>
      <c r="C26" s="3" t="s">
        <v>1028</v>
      </c>
      <c r="D26" s="4" t="str">
        <f>IF(B26=0,"ОК","ОШИБКИ ФОРМУЛ")</f>
        <v>ОК</v>
      </c>
    </row>
    <row r="27" spans="1:4" x14ac:dyDescent="0.25">
      <c r="A27" s="3" t="s">
        <v>1029</v>
      </c>
      <c r="B27" s="5">
        <f>IF(OR(СтавкаДоход&lt;0,СтавкаДоход&gt;1,СтавкаДР&lt;0,СтавкаДР&gt;1,СтавкаНПДФЛ&lt;0,СтавкаНПДФЛ&gt;1,СтавкаНПДЮЛ&lt;0,СтавкаНПДЮЛ&gt;1,БонусНПД&lt;0,БонусНПД&gt;10000,ФиксВзносы&lt;0,МаксВзносы&lt;0,ВычетУСН&lt;0,COUNTIF(НАЛОГИ!F7:F18,"&lt;0")&gt;0),1,0)</f>
        <v>0</v>
      </c>
      <c r="C27" s="3" t="s">
        <v>1030</v>
      </c>
      <c r="D27" s="4" t="str">
        <f>IF(B27=0,"ОК","ПРОВЕРИТЬ")</f>
        <v>ОК</v>
      </c>
    </row>
  </sheetData>
  <conditionalFormatting sqref="A7:D26">
    <cfRule type="expression" dxfId="0" priority="1">
      <formula>ABS($B7)&gt;0.02</formula>
    </cfRule>
  </conditionalFormatting>
  <hyperlinks>
    <hyperlink ref="A1" location="'ПАНЕЛЬ'!A1" display="Главная панель" xr:uid="{00000000-0004-0000-1400-000000000000}"/>
    <hyperlink ref="D1" location="'НАСТРОЙКИ'!A1" display="Настройки" xr:uid="{00000000-0004-0000-1400-000001000000}"/>
    <hyperlink ref="F1" location="'КОНТРОЛЬ'!A1" display="Контроль" xr:uid="{00000000-0004-0000-14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Right="0"/>
    <pageSetUpPr fitToPage="1"/>
  </sheetPr>
  <dimension ref="A1:F25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6" customWidth="1"/>
    <col min="2" max="2" width="127" customWidth="1"/>
    <col min="3" max="14" width="17" customWidth="1"/>
  </cols>
  <sheetData>
    <row r="1" spans="1:6" x14ac:dyDescent="0.25">
      <c r="A1" s="1" t="s">
        <v>0</v>
      </c>
      <c r="D1" s="2" t="s">
        <v>1</v>
      </c>
      <c r="F1" s="2" t="s">
        <v>2</v>
      </c>
    </row>
    <row r="2" spans="1:6" ht="30" customHeight="1" x14ac:dyDescent="0.25">
      <c r="A2" s="9" t="s">
        <v>32</v>
      </c>
    </row>
    <row r="3" spans="1:6" x14ac:dyDescent="0.25">
      <c r="A3" s="10" t="s">
        <v>36</v>
      </c>
    </row>
    <row r="6" spans="1:6" ht="35.1" customHeight="1" x14ac:dyDescent="0.25">
      <c r="A6" s="7" t="s">
        <v>1031</v>
      </c>
      <c r="B6" s="7" t="s">
        <v>1032</v>
      </c>
    </row>
    <row r="7" spans="1:6" ht="32.1" customHeight="1" x14ac:dyDescent="0.25">
      <c r="A7" s="3" t="s">
        <v>1033</v>
      </c>
      <c r="B7" s="28" t="s">
        <v>1034</v>
      </c>
    </row>
    <row r="8" spans="1:6" ht="32.1" customHeight="1" x14ac:dyDescent="0.25">
      <c r="A8" s="3" t="s">
        <v>1035</v>
      </c>
      <c r="B8" s="28" t="s">
        <v>1036</v>
      </c>
    </row>
    <row r="9" spans="1:6" ht="32.1" customHeight="1" x14ac:dyDescent="0.25">
      <c r="A9" s="3" t="s">
        <v>1037</v>
      </c>
      <c r="B9" s="28" t="s">
        <v>1038</v>
      </c>
    </row>
    <row r="10" spans="1:6" ht="32.1" customHeight="1" x14ac:dyDescent="0.25">
      <c r="A10" s="3" t="s">
        <v>1039</v>
      </c>
      <c r="B10" s="28" t="s">
        <v>1040</v>
      </c>
    </row>
    <row r="11" spans="1:6" ht="32.1" customHeight="1" x14ac:dyDescent="0.25">
      <c r="A11" s="3" t="s">
        <v>1041</v>
      </c>
      <c r="B11" s="28" t="s">
        <v>1042</v>
      </c>
    </row>
    <row r="12" spans="1:6" ht="32.1" customHeight="1" x14ac:dyDescent="0.25">
      <c r="A12" s="3" t="s">
        <v>1043</v>
      </c>
      <c r="B12" s="28" t="s">
        <v>1044</v>
      </c>
    </row>
    <row r="13" spans="1:6" ht="32.1" customHeight="1" x14ac:dyDescent="0.25">
      <c r="A13" s="3" t="s">
        <v>1045</v>
      </c>
      <c r="B13" s="28" t="s">
        <v>1046</v>
      </c>
    </row>
    <row r="14" spans="1:6" ht="32.1" customHeight="1" x14ac:dyDescent="0.25">
      <c r="A14" s="3" t="s">
        <v>1047</v>
      </c>
      <c r="B14" s="28" t="s">
        <v>1048</v>
      </c>
    </row>
    <row r="15" spans="1:6" ht="32.1" customHeight="1" x14ac:dyDescent="0.25">
      <c r="A15" s="3" t="s">
        <v>1049</v>
      </c>
      <c r="B15" s="28" t="s">
        <v>1050</v>
      </c>
    </row>
    <row r="16" spans="1:6" ht="32.1" customHeight="1" x14ac:dyDescent="0.25">
      <c r="A16" s="3" t="s">
        <v>1051</v>
      </c>
      <c r="B16" s="28" t="s">
        <v>1052</v>
      </c>
    </row>
    <row r="17" spans="1:2" ht="32.1" customHeight="1" x14ac:dyDescent="0.25">
      <c r="A17" s="3" t="s">
        <v>1053</v>
      </c>
      <c r="B17" s="28" t="s">
        <v>1054</v>
      </c>
    </row>
    <row r="18" spans="1:2" ht="32.1" customHeight="1" x14ac:dyDescent="0.25">
      <c r="A18" s="3" t="s">
        <v>1055</v>
      </c>
      <c r="B18" s="28" t="s">
        <v>1056</v>
      </c>
    </row>
    <row r="19" spans="1:2" ht="32.1" customHeight="1" x14ac:dyDescent="0.25">
      <c r="A19" s="3" t="s">
        <v>1057</v>
      </c>
      <c r="B19" s="28" t="s">
        <v>1058</v>
      </c>
    </row>
    <row r="20" spans="1:2" ht="32.1" customHeight="1" x14ac:dyDescent="0.25">
      <c r="A20" s="3" t="s">
        <v>1059</v>
      </c>
      <c r="B20" s="28" t="s">
        <v>1060</v>
      </c>
    </row>
    <row r="21" spans="1:2" ht="32.1" customHeight="1" x14ac:dyDescent="0.25">
      <c r="A21" s="3" t="s">
        <v>1061</v>
      </c>
      <c r="B21" s="28" t="s">
        <v>1062</v>
      </c>
    </row>
    <row r="22" spans="1:2" ht="32.1" customHeight="1" x14ac:dyDescent="0.25">
      <c r="A22" s="3" t="s">
        <v>1063</v>
      </c>
      <c r="B22" s="28" t="s">
        <v>1064</v>
      </c>
    </row>
    <row r="23" spans="1:2" ht="32.1" customHeight="1" x14ac:dyDescent="0.25">
      <c r="A23" s="3" t="s">
        <v>1065</v>
      </c>
      <c r="B23" s="28" t="s">
        <v>1066</v>
      </c>
    </row>
    <row r="24" spans="1:2" ht="32.1" customHeight="1" x14ac:dyDescent="0.25">
      <c r="A24" s="3" t="s">
        <v>1067</v>
      </c>
      <c r="B24" s="28" t="s">
        <v>1068</v>
      </c>
    </row>
    <row r="25" spans="1:2" ht="32.1" customHeight="1" x14ac:dyDescent="0.25">
      <c r="A25" s="3" t="s">
        <v>1069</v>
      </c>
      <c r="B25" s="28" t="s">
        <v>1070</v>
      </c>
    </row>
  </sheetData>
  <hyperlinks>
    <hyperlink ref="A1" location="'ПАНЕЛЬ'!A1" display="Главная панель" xr:uid="{00000000-0004-0000-1500-000000000000}"/>
    <hyperlink ref="D1" location="'НАСТРОЙКИ'!A1" display="Настройки" xr:uid="{00000000-0004-0000-1500-000001000000}"/>
    <hyperlink ref="F1" location="'КОНТРОЛЬ'!A1" display="Контроль" xr:uid="{00000000-0004-0000-1500-000002000000}"/>
  </hyperlinks>
  <printOptions horizontalCentered="1"/>
  <pageMargins left="0.75" right="0.75" top="1" bottom="1" header="0.5" footer="0.5"/>
  <pageSetup paperSize="8" orientation="landscape"/>
  <headerFooter>
    <oddFooter>&amp;CLEO STUDIO    FINCORE BUSINESS PRO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22</vt:i4>
      </vt:variant>
      <vt:variant>
        <vt:lpstr>Именованные диапазоны</vt:lpstr>
      </vt:variant>
      <vt:variant>
        <vt:i4>54</vt:i4>
      </vt:variant>
    </vt:vector>
  </HeadingPairs>
  <TitlesOfParts>
    <vt:vector size="76" baseType="lpstr">
      <vt:lpstr>ПАНЕЛЬ</vt:lpstr>
      <vt:lpstr>НАСТРОЙКИ</vt:lpstr>
      <vt:lpstr>ДДС</vt:lpstr>
      <vt:lpstr>ОПиУ</vt:lpstr>
      <vt:lpstr>БАЛАНС</vt:lpstr>
      <vt:lpstr>НАЛОГИ</vt:lpstr>
      <vt:lpstr>БЮДЖЕТ</vt:lpstr>
      <vt:lpstr>РЕЗЕРВЫ</vt:lpstr>
      <vt:lpstr>РЕИНВЕСТИЦИИ</vt:lpstr>
      <vt:lpstr>ПРОГНОЗ</vt:lpstr>
      <vt:lpstr>РИСКИ</vt:lpstr>
      <vt:lpstr>ПОКАЗАТЕЛИ</vt:lpstr>
      <vt:lpstr>АНАЛИТИКА</vt:lpstr>
      <vt:lpstr>КРЕДИТ</vt:lpstr>
      <vt:lpstr>АКТИВЫ</vt:lpstr>
      <vt:lpstr>ИНВЕСТПРОЕКТ</vt:lpstr>
      <vt:lpstr>ОПЕРАЦИИ</vt:lpstr>
      <vt:lpstr>НАЧИСЛЕНИЯ</vt:lpstr>
      <vt:lpstr>СЧЕТА</vt:lpstr>
      <vt:lpstr>СПРАВОЧНИКИ</vt:lpstr>
      <vt:lpstr>КОНТРОЛЬ</vt:lpstr>
      <vt:lpstr>ИНСТРУКЦИЯ</vt:lpstr>
      <vt:lpstr>БонусНПД</vt:lpstr>
      <vt:lpstr>Виды</vt:lpstr>
      <vt:lpstr>ВычетУСН</vt:lpstr>
      <vt:lpstr>Год</vt:lpstr>
      <vt:lpstr>ДатаОтчета</vt:lpstr>
      <vt:lpstr>ДоходПрошлыйГод</vt:lpstr>
      <vt:lpstr>АКТИВЫ!Заголовки_для_печати</vt:lpstr>
      <vt:lpstr>НАЧИСЛЕНИЯ!Заголовки_для_печати</vt:lpstr>
      <vt:lpstr>ОПЕРАЦИИ!Заголовки_для_печати</vt:lpstr>
      <vt:lpstr>СЧЕТА!Заголовки_для_печати</vt:lpstr>
      <vt:lpstr>Категории</vt:lpstr>
      <vt:lpstr>Контрагенты</vt:lpstr>
      <vt:lpstr>ЛимитНПД</vt:lpstr>
      <vt:lpstr>ЛимитУСН</vt:lpstr>
      <vt:lpstr>МаксВзносы</vt:lpstr>
      <vt:lpstr>МесяцыРезерва</vt:lpstr>
      <vt:lpstr>НачалоУчета</vt:lpstr>
      <vt:lpstr>АКТИВЫ!Область_печати</vt:lpstr>
      <vt:lpstr>АНАЛИТИКА!Область_печати</vt:lpstr>
      <vt:lpstr>БАЛАНС!Область_печати</vt:lpstr>
      <vt:lpstr>БЮДЖЕТ!Область_печати</vt:lpstr>
      <vt:lpstr>ДДС!Область_печати</vt:lpstr>
      <vt:lpstr>ИНВЕСТПРОЕКТ!Область_печати</vt:lpstr>
      <vt:lpstr>ИНСТРУКЦИЯ!Область_печати</vt:lpstr>
      <vt:lpstr>КОНТРОЛЬ!Область_печати</vt:lpstr>
      <vt:lpstr>КРЕДИТ!Область_печати</vt:lpstr>
      <vt:lpstr>НАЛОГИ!Область_печати</vt:lpstr>
      <vt:lpstr>НАСТРОЙКИ!Область_печати</vt:lpstr>
      <vt:lpstr>НАЧИСЛЕНИЯ!Область_печати</vt:lpstr>
      <vt:lpstr>ОПЕРАЦИИ!Область_печати</vt:lpstr>
      <vt:lpstr>ОПиУ!Область_печати</vt:lpstr>
      <vt:lpstr>ПАНЕЛЬ!Область_печати</vt:lpstr>
      <vt:lpstr>ПОКАЗАТЕЛИ!Область_печати</vt:lpstr>
      <vt:lpstr>ПРОГНОЗ!Область_печати</vt:lpstr>
      <vt:lpstr>РЕЗЕРВЫ!Область_печати</vt:lpstr>
      <vt:lpstr>РЕИНВЕСТИЦИИ!Область_печати</vt:lpstr>
      <vt:lpstr>РИСКИ!Область_печати</vt:lpstr>
      <vt:lpstr>СПРАВОЧНИКИ!Область_печати</vt:lpstr>
      <vt:lpstr>СЧЕТА!Область_печати</vt:lpstr>
      <vt:lpstr>ПорогНДС</vt:lpstr>
      <vt:lpstr>Проекты</vt:lpstr>
      <vt:lpstr>Режим</vt:lpstr>
      <vt:lpstr>РежимыИП</vt:lpstr>
      <vt:lpstr>РежимыООО</vt:lpstr>
      <vt:lpstr>Сотрудники</vt:lpstr>
      <vt:lpstr>СтавкаДоход</vt:lpstr>
      <vt:lpstr>СтавкаДР</vt:lpstr>
      <vt:lpstr>СтавкаНПДФЛ</vt:lpstr>
      <vt:lpstr>СтавкаНПДЮЛ</vt:lpstr>
      <vt:lpstr>Сценарий</vt:lpstr>
      <vt:lpstr>Счета</vt:lpstr>
      <vt:lpstr>Типы</vt:lpstr>
      <vt:lpstr>ФиксВзносы</vt:lpstr>
      <vt:lpstr>Форма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FINCORE BUSINESS PRO</dc:title>
  <dc:creator>LEO STUDIO</dc:creator>
  <dc:description>Демонстрационный проект. Все данные вымышлены</dc:description>
  <cp:lastModifiedBy>LEO STUDIO</cp:lastModifiedBy>
  <dcterms:created xsi:type="dcterms:W3CDTF">2026-10-15T19:28:30Z</dcterms:created>
  <dcterms:modified xsi:type="dcterms:W3CDTF">2026-10-15T19:36:17Z</dcterms:modified>
</cp:coreProperties>
</file>